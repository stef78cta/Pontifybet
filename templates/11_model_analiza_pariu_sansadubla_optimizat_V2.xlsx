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e26e1effa49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ri" sheetId="1" r:id="Rb706b5e0e7034ea7"/>
    <x:sheet xmlns:r="http://schemas.openxmlformats.org/officeDocument/2006/relationships" name="Input_Meci" sheetId="2" r:id="R6c4049193e534303"/>
    <x:sheet xmlns:r="http://schemas.openxmlformats.org/officeDocument/2006/relationships" name="Model_1X2" sheetId="3" r:id="R57d12db77ec7400c"/>
    <x:sheet xmlns:r="http://schemas.openxmlformats.org/officeDocument/2006/relationships" name="Draw_Risk" sheetId="4" r:id="Re9aa452eb1f84055"/>
    <x:sheet xmlns:r="http://schemas.openxmlformats.org/officeDocument/2006/relationships" name="Loss_Risk" sheetId="5" r:id="Rd1271c53dc834511"/>
    <x:sheet xmlns:r="http://schemas.openxmlformats.org/officeDocument/2006/relationships" name="Double_Chance" sheetId="6" r:id="Ra108d8a72f204578"/>
    <x:sheet xmlns:r="http://schemas.openxmlformats.org/officeDocument/2006/relationships" name="Backtest" sheetId="10" r:id="Rb9543ce197fe4778"/>
    <x:sheet xmlns:r="http://schemas.openxmlformats.org/officeDocument/2006/relationships" name="Dashboard" sheetId="11" r:id="R04530f1493354c84"/>
    <x:sheet xmlns:r="http://schemas.openxmlformats.org/officeDocument/2006/relationships" name="P0_Gates_v2" sheetId="13" r:id="R46be6e67e9d44fa7"/>
    <x:sheet xmlns:r="http://schemas.openxmlformats.org/officeDocument/2006/relationships" name="Uncertainty_v2" sheetId="14" r:id="Rc46a4c3dcb3640cc"/>
    <x:sheet xmlns:r="http://schemas.openxmlformats.org/officeDocument/2006/relationships" name="WalkForward_Calibration" sheetId="15" r:id="R2b0750f9c4fe46a7"/>
    <x:sheet xmlns:r="http://schemas.openxmlformats.org/officeDocument/2006/relationships" name="Favorite_Fragility_v4" sheetId="18" r:id="R3efcc6e23ac74dff"/>
    <x:sheet xmlns:r="http://schemas.openxmlformats.org/officeDocument/2006/relationships" name="CHANGELOG_VERSIUNI" sheetId="21" r:id="R26998379e6a24136"/>
    <x:sheet xmlns:r="http://schemas.openxmlformats.org/officeDocument/2006/relationships" name="DOCUMENTATIE_MODEL" sheetId="22" r:id="R9f34c03cb4824f92"/>
    <x:sheet xmlns:r="http://schemas.openxmlformats.org/officeDocument/2006/relationships" name="Surse_Date" sheetId="23" r:id="R57a182ad8db7413a"/>
  </x:sheets>
</x:workbook>
</file>

<file path=xl/sharedStrings.xml><?xml version="1.0" encoding="utf-8"?>
<x:sst xmlns:x="http://schemas.openxmlformats.org/spreadsheetml/2006/main">
  <x:si>
    <x:t xml:space="preserve">Parametru</x:t>
  </x:si>
  <x:si>
    <x:t xml:space="preserve">Valoare implicită</x:t>
  </x:si>
  <x:si>
    <x:t xml:space="preserve">Unitate</x:t>
  </x:si>
  <x:si>
    <x:t xml:space="preserve">Rol</x:t>
  </x:si>
  <x:si>
    <x:t xml:space="preserve">Observație</x:t>
  </x:si>
  <x:si>
    <x:t xml:space="preserve">Min_P_DC_Strong</x:t>
  </x:si>
  <x:si>
    <x:t xml:space="preserve">prob.</x:t>
  </x:si>
  <x:si>
    <x:t xml:space="preserve">Configurabil prin backtest</x:t>
  </x:si>
  <x:si>
    <x:t xml:space="preserve">Min_P_DC_Prudent</x:t>
  </x:si>
  <x:si>
    <x:t xml:space="preserve">Prag PRUDENT 1X/X2</x:t>
  </x:si>
  <x:si>
    <x:t xml:space="preserve">Max_Loss_Risk_Strong</x:t>
  </x:si>
  <x:si>
    <x:t xml:space="preserve">Max_Loss_Risk_Prudent</x:t>
  </x:si>
  <x:si>
    <x:t xml:space="preserve">Max_Draw_Risk_12_Strong</x:t>
  </x:si>
  <x:si>
    <x:t xml:space="preserve">Max_Draw_Risk_12_Prudent</x:t>
  </x:si>
  <x:si>
    <x:t xml:space="preserve">Max. P_draw_adj pentru 12 PRUDENT</x:t>
  </x:si>
  <x:si>
    <x:t xml:space="preserve">23–26% = WATCH; &gt;26% = NO BET</x:t>
  </x:si>
  <x:si>
    <x:t xml:space="preserve">Max_DC_Market_Gap</x:t>
  </x:si>
  <x:si>
    <x:t xml:space="preserve">Min_Edge</x:t>
  </x:si>
  <x:si>
    <x:t xml:space="preserve">Min_EV_DEPRECATED</x:t>
  </x:si>
  <x:si>
    <x:t xml:space="preserve">Uncertainty_Haircut_A</x:t>
  </x:si>
  <x:si>
    <x:t xml:space="preserve">Haircut confidence A</x:t>
  </x:si>
  <x:si>
    <x:t xml:space="preserve">Date foarte bune</x:t>
  </x:si>
  <x:si>
    <x:t xml:space="preserve">Uncertainty_Haircut_B</x:t>
  </x:si>
  <x:si>
    <x:t xml:space="preserve">Haircut confidence B</x:t>
  </x:si>
  <x:si>
    <x:t xml:space="preserve">Date bune</x:t>
  </x:si>
  <x:si>
    <x:t xml:space="preserve">Uncertainty_Haircut_C</x:t>
  </x:si>
  <x:si>
    <x:t xml:space="preserve">Haircut confidence C</x:t>
  </x:si>
  <x:si>
    <x:t xml:space="preserve">Date mediocre</x:t>
  </x:si>
  <x:si>
    <x:t xml:space="preserve">Draw_00_11_Concentration_Strong</x:t>
  </x:si>
  <x:si>
    <x:t xml:space="preserve">share draw</x:t>
  </x:si>
  <x:si>
    <x:t xml:space="preserve">Small_Sample_N</x:t>
  </x:si>
  <x:si>
    <x:t xml:space="preserve">meciuri</x:t>
  </x:si>
  <x:si>
    <x:t xml:space="preserve">Prag eșantion mic</x:t>
  </x:si>
  <x:si>
    <x:t xml:space="preserve">Recent_Window</x:t>
  </x:si>
  <x:si>
    <x:t xml:space="preserve">Formă recentă</x:t>
  </x:si>
  <x:si>
    <x:t xml:space="preserve">Nu înlocuiește sezonul</x:t>
  </x:si>
  <x:si>
    <x:t xml:space="preserve">MarketDir_PASS_Max</x:t>
  </x:si>
  <x:si>
    <x:t xml:space="preserve">Market Direction PASS 1X/X2</x:t>
  </x:si>
  <x:si>
    <x:t xml:space="preserve">Pmarket(outcome exclus) ≤30%</x:t>
  </x:si>
  <x:si>
    <x:t xml:space="preserve">MarketDir_PRUDENT_Max</x:t>
  </x:si>
  <x:si>
    <x:t xml:space="preserve">Market Direction PRUDENT</x:t>
  </x:si>
  <x:si>
    <x:t xml:space="preserve">30–35%; &gt;35% = hard FAIL</x:t>
  </x:si>
  <x:si>
    <x:t xml:space="preserve">Protected_Strength_Tolerance</x:t>
  </x:si>
  <x:si>
    <x:t xml:space="preserve">Toleranță protected-side</x:t>
  </x:si>
  <x:si>
    <x:t xml:space="preserve">Protected side poate fi max. 5pp sub outcome exclus înainte de FAIL</x:t>
  </x:si>
  <x:si>
    <x:t xml:space="preserve">Quant_Override_Min_ModelAdv</x:t>
  </x:si>
  <x:si>
    <x:t xml:space="preserve">Override Protected Strength</x:t>
  </x:si>
  <x:si>
    <x:t xml:space="preserve">Necesită motiv cantitativ + avantaj model ≥7pp; nu poate suprascrie Market Direction FAIL</x:t>
  </x:si>
  <x:si>
    <x:t xml:space="preserve">Draw_WATCH_Max</x:t>
  </x:si>
  <x:si>
    <x:t xml:space="preserve">Limită WATCH pentru 12</x:t>
  </x:si>
  <x:si>
    <x:t xml:space="preserve">23–26% WATCH; &gt;26% NO BET</x:t>
  </x:si>
  <x:si>
    <x:t xml:space="preserve">EarlySeason_Extra_Haircut</x:t>
  </x:si>
  <x:si>
    <x:t xml:space="preserve">Haircut suplimentar early season</x:t>
  </x:si>
  <x:si>
    <x:t xml:space="preserve">Se adaugă dacă min sample H/A &lt; Small_Sample_N</x:t>
  </x:si>
  <x:si>
    <x:t xml:space="preserve">AwayFav_Strong_Threshold</x:t>
  </x:si>
  <x:si>
    <x:t xml:space="preserve">Favorit puternic în deplasare</x:t>
  </x:si>
  <x:si>
    <x:t xml:space="preserve">Pmarket(2) ≥55%</x:t>
  </x:si>
  <x:si>
    <x:t xml:space="preserve">AwayFav_Risk_Context1</x:t>
  </x:si>
  <x:si>
    <x:t xml:space="preserve">puncte</x:t>
  </x:si>
  <x:si>
    <x:t xml:space="preserve">Surcharge risc context negativ=1</x:t>
  </x:si>
  <x:si>
    <x:t xml:space="preserve">+5 Risk Score</x:t>
  </x:si>
  <x:si>
    <x:t xml:space="preserve">AwayFav_Risk_Context2</x:t>
  </x:si>
  <x:si>
    <x:t xml:space="preserve">Surcharge risc context negativ=2</x:t>
  </x:si>
  <x:si>
    <x:t xml:space="preserve">+10 Risk Score</x:t>
  </x:si>
  <x:si>
    <x:t xml:space="preserve">WalkForward_MinN_Family</x:t>
  </x:si>
  <x:si>
    <x:t xml:space="preserve">pariuri</x:t>
  </x:si>
  <x:si>
    <x:t xml:space="preserve">Minim promovare prag</x:t>
  </x:si>
  <x:si>
    <x:t xml:space="preserve">Separat 1X / X2 / 12</x:t>
  </x:si>
  <x:si>
    <x:t xml:space="preserve">Calibration_Gap_Warn</x:t>
  </x:si>
  <x:si>
    <x:t xml:space="preserve">Avertizare calibrare</x:t>
  </x:si>
  <x:si>
    <x:t xml:space="preserve">|HitRate - Avg P_adj| &gt;3pp =&gt; recalibrare</x:t>
  </x:si>
  <x:si>
    <x:t xml:space="preserve">Câmp</x:t>
  </x:si>
  <x:si>
    <x:t xml:space="preserve">Gazde</x:t>
  </x:si>
  <x:si>
    <x:t xml:space="preserve">Oaspeți</x:t>
  </x:si>
  <x:si>
    <x:t xml:space="preserve">Notă</x:t>
  </x:si>
  <x:si>
    <x:t xml:space="preserve">Echipă</x:t>
  </x:si>
  <x:si>
    <x:t xml:space="preserve">Ligă</x:t>
  </x:si>
  <x:si>
    <x:t xml:space="preserve">Data meci</x:t>
  </x:si>
  <x:si>
    <x:t xml:space="preserve">Teren neutru?</x:t>
  </x:si>
  <x:si>
    <x:t xml:space="preserve">NU</x:t>
  </x:si>
  <x:si>
    <x:t xml:space="preserve">Poziție clasament</x:t>
  </x:si>
  <x:si>
    <x:t xml:space="preserve">Puncte/meci sezon</x:t>
  </x:si>
  <x:si>
    <x:t xml:space="preserve">Puncte/meci H/A</x:t>
  </x:si>
  <x:si>
    <x:t xml:space="preserve">Formă L5 - puncte/meci</x:t>
  </x:si>
  <x:si>
    <x:t xml:space="preserve">Goluri marcate / meci sezon</x:t>
  </x:si>
  <x:si>
    <x:t xml:space="preserve">Goluri primite / meci sezon</x:t>
  </x:si>
  <x:si>
    <x:t xml:space="preserve">Goluri marcate / meci H/A</x:t>
  </x:si>
  <x:si>
    <x:t xml:space="preserve">Goluri primite / meci H/A</x:t>
  </x:si>
  <x:si>
    <x:t xml:space="preserve">xG / meci H/A</x:t>
  </x:si>
  <x:si>
    <x:t xml:space="preserve">xGA / meci H/A</x:t>
  </x:si>
  <x:si>
    <x:t xml:space="preserve">% victorii H/A</x:t>
  </x:si>
  <x:si>
    <x:t xml:space="preserve">% egaluri H/A</x:t>
  </x:si>
  <x:si>
    <x:t xml:space="preserve">% înfrângeri H/A</x:t>
  </x:si>
  <x:si>
    <x:t xml:space="preserve">% meciuri fără gol marcat H/A</x:t>
  </x:si>
  <x:si>
    <x:t xml:space="preserve">% clean sheets H/A</x:t>
  </x:si>
  <x:si>
    <x:t xml:space="preserve">Elo / rating putere</x:t>
  </x:si>
  <x:si>
    <x:t xml:space="preserve">Absențe cheie atac (0-3)</x:t>
  </x:si>
  <x:si>
    <x:t xml:space="preserve">Absențe cheie apărare (0-3)</x:t>
  </x:si>
  <x:si>
    <x:t xml:space="preserve">Motivație/context (0-3)</x:t>
  </x:si>
  <x:si>
    <x:t xml:space="preserve">Zile odihnă</x:t>
  </x:si>
  <x:si>
    <x:t xml:space="preserve">Prob. piață 1 de-vig</x:t>
  </x:si>
  <x:si>
    <x:t xml:space="preserve">Prob. piață X de-vig</x:t>
  </x:si>
  <x:si>
    <x:t xml:space="preserve">Prob. piață 2 de-vig</x:t>
  </x:si>
  <x:si>
    <x:t xml:space="preserve">Cotă 1X</x:t>
  </x:si>
  <x:si>
    <x:t xml:space="preserve">Cotă X2</x:t>
  </x:si>
  <x:si>
    <x:t xml:space="preserve">Cotă 12</x:t>
  </x:si>
  <x:si>
    <x:t xml:space="preserve">Confidence date</x:t>
  </x:si>
  <x:si>
    <x:t xml:space="preserve">B</x:t>
  </x:si>
  <x:si>
    <x:t xml:space="preserve">A/B/C</x:t>
  </x:si>
  <x:si>
    <x:t xml:space="preserve">Meciuri sample curent sezon H/A</x:t>
  </x:si>
  <x:si>
    <x:t xml:space="preserve">Override Protected Strength 1X</x:t>
  </x:si>
  <x:si>
    <x:t xml:space="preserve">DA numai cu motiv cantitativ explicit</x:t>
  </x:si>
  <x:si>
    <x:t xml:space="preserve">Override Protected Strength X2</x:t>
  </x:si>
  <x:si>
    <x:t xml:space="preserve">Motiv cantitativ override 1X</x:t>
  </x:si>
  <x:si>
    <x:t xml:space="preserve">text: Elo/xG/model independent; nu poate suprascrie Market Direction FAIL</x:t>
  </x:si>
  <x:si>
    <x:t xml:space="preserve">Motiv cantitativ override X2</x:t>
  </x:si>
  <x:si>
    <x:t xml:space="preserve">Context negativ favorit deplasare (0-2)</x:t>
  </x:si>
  <x:si>
    <x:t xml:space="preserve">0=nu; 1=moderat; 2=material (lineup/formă/rotație etc.)</x:t>
  </x:si>
  <x:si>
    <x:t xml:space="preserve">Componentă</x:t>
  </x:si>
  <x:si>
    <x:t xml:space="preserve">P(1)</x:t>
  </x:si>
  <x:si>
    <x:t xml:space="preserve">P(X)</x:t>
  </x:si>
  <x:si>
    <x:t xml:space="preserve">P(2)</x:t>
  </x:si>
  <x:si>
    <x:t xml:space="preserve">Suma</x:t>
  </x:si>
  <x:si>
    <x:t xml:space="preserve">Status</x:t>
  </x:si>
  <x:si>
    <x:t xml:space="preserve">Model scoreline Dixon-Coles / bivar. Poisson</x:t>
  </x:si>
  <x:si>
    <x:t xml:space="preserve">Motor principal</x:t>
  </x:si>
  <x:si>
    <x:t xml:space="preserve">Introduce probabilitățile rezultate din modelul de scor</x:t>
  </x:si>
  <x:si>
    <x:t xml:space="preserve">Model strength/Elo + form</x:t>
  </x:si>
  <x:si>
    <x:t xml:space="preserve">Confirmare independentă</x:t>
  </x:si>
  <x:si>
    <x:t xml:space="preserve">Poate proveni din rating / classifier calibrat</x:t>
  </x:si>
  <x:si>
    <x:t xml:space="preserve">Piață 1X2 de-vig</x:t>
  </x:si>
  <x:si>
    <x:t xml:space="preserve">Ancora de piață</x:t>
  </x:si>
  <x:si>
    <x:t xml:space="preserve">Input din Input_Meci</x:t>
  </x:si>
  <x:si>
    <x:t xml:space="preserve">Blend brut</x:t>
  </x:si>
  <x:si>
    <x:t xml:space="preserve">Agregare</x:t>
  </x:si>
  <x:si>
    <x:t xml:space="preserve">50% scoreline + 25% strength + 25% market</x:t>
  </x:si>
  <x:si>
    <x:t xml:space="preserve">Final model</x:t>
  </x:si>
  <x:si>
    <x:t xml:space="preserve">Indicator</x:t>
  </x:si>
  <x:si>
    <x:t xml:space="preserve">Valoare</x:t>
  </x:si>
  <x:si>
    <x:t xml:space="preserve">Prag PRUDENT</x:t>
  </x:si>
  <x:si>
    <x:t xml:space="preserve">Impact</x:t>
  </x:si>
  <x:si>
    <x:t xml:space="preserve">Explicație</x:t>
  </x:si>
  <x:si>
    <x:t xml:space="preserve">P(X) model final</x:t>
  </x:si>
  <x:si>
    <x:t xml:space="preserve">P(0-0)</x:t>
  </x:si>
  <x:si>
    <x:t xml:space="preserve">P(1-1)</x:t>
  </x:si>
  <x:si>
    <x:t xml:space="preserve">Concentrație (0-0 + 1-1) / P(X)</x:t>
  </x:si>
  <x:si>
    <x:t xml:space="preserve">% egaluri H/A empiric</x:t>
  </x:si>
  <x:si>
    <x:t xml:space="preserve">Gazde acasă + oaspeți deplasare</x:t>
  </x:si>
  <x:si>
    <x:t xml:space="preserve">% egaluri L5/L10 ajustat</x:t>
  </x:si>
  <x:si>
    <x:t xml:space="preserve">Doar confirmare, cu shrinkage</x:t>
  </x:si>
  <x:si>
    <x:t xml:space="preserve">Draw-market mismatch</x:t>
  </x:si>
  <x:si>
    <x:t xml:space="preserve">|Pmodel X - Pmarket X|</x:t>
  </x:si>
  <x:si>
    <x:t xml:space="preserve">Low-tempo / low-event flag</x:t>
  </x:si>
  <x:si>
    <x:t xml:space="preserve">P(X) model + uncertainty haircut</x:t>
  </x:si>
  <x:si>
    <x:t xml:space="preserve">Crește failure risk, nu îl reduce</x:t>
  </x:si>
  <x:si>
    <x:t xml:space="preserve">P(X) piață de-vig</x:t>
  </x:si>
  <x:si>
    <x:t xml:space="preserve">Pdraw_adj = MAX(model_haircut, market)</x:t>
  </x:si>
  <x:si>
    <x:t xml:space="preserve">Conservator: folosim riscul mai mare</x:t>
  </x:si>
  <x:si>
    <x:t xml:space="preserve">Draw Market Gate v2</x:t>
  </x:si>
  <x:si>
    <x:t xml:space="preserve">≤20 PASS; 20–23 PRUDENT; 23–26 WATCH; &gt;26 FAIL</x:t>
  </x:si>
  <x:si>
    <x:t xml:space="preserve">P0 final 12</x:t>
  </x:si>
  <x:si>
    <x:t xml:space="preserve">WATCH/FAIL exclude selecția defensivă</x:t>
  </x:si>
  <x:si>
    <x:t xml:space="preserve">1X</x:t>
  </x:si>
  <x:si>
    <x:t xml:space="preserve">X2</x:t>
  </x:si>
  <x:si>
    <x:t xml:space="preserve">Status 1X</x:t>
  </x:si>
  <x:si>
    <x:t xml:space="preserve">Status X2</x:t>
  </x:si>
  <x:si>
    <x:t xml:space="preserve">Outcome exclus</x:t>
  </x:si>
  <x:si>
    <x:t xml:space="preserve">2</x:t>
  </x:si>
  <x:si>
    <x:t xml:space="preserve">1</x:t>
  </x:si>
  <x:si>
    <x:t xml:space="preserve">1X pierde doar la 2; X2 pierde doar la 1</x:t>
  </x:si>
  <x:si>
    <x:t xml:space="preserve">Loss risk model final</x:t>
  </x:si>
  <x:si>
    <x:t xml:space="preserve">Loss risk piață de-vig</x:t>
  </x:si>
  <x:si>
    <x:t xml:space="preserve">Mismatch model-piață</x:t>
  </x:si>
  <x:si>
    <x:t xml:space="preserve">Putere adversar / upset context flag</x:t>
  </x:si>
  <x:si>
    <x:t xml:space="preserve">Formă H/A contradictorie flag</x:t>
  </x:si>
  <x:si>
    <x:t xml:space="preserve">Market Direction Gate</x:t>
  </x:si>
  <x:si>
    <x:t xml:space="preserve">P0 obligatoriu; &gt;35% outcome exclus = FAIL</x:t>
  </x:si>
  <x:si>
    <x:t xml:space="preserve">Protected-Side Strength Gate</x:t>
  </x:si>
  <x:si>
    <x:t xml:space="preserve">Home advantage nu poate suprascrie un protected side prea slab</x:t>
  </x:si>
  <x:si>
    <x:t xml:space="preserve">P0 final v2</x:t>
  </x:si>
  <x:si>
    <x:t xml:space="preserve">FAIL =&gt; NO BET indiferent de P agregată</x:t>
  </x:si>
  <x:si>
    <x:t xml:space="preserve">Notă override</x:t>
  </x:si>
  <x:si>
    <x:t xml:space="preserve">Override doar la Protected Strength, cu motiv cantitativ + model advantage; nu la Market Direction</x:t>
  </x:si>
  <x:si>
    <x:t xml:space="preserve">Selecție</x:t>
  </x:si>
  <x:si>
    <x:t xml:space="preserve">P_model</x:t>
  </x:si>
  <x:si>
    <x:t xml:space="preserve">Failure mode</x:t>
  </x:si>
  <x:si>
    <x:t xml:space="preserve">P_failure</x:t>
  </x:si>
  <x:si>
    <x:t xml:space="preserve">Haircut total</x:t>
  </x:si>
  <x:si>
    <x:t xml:space="preserve">P_adj</x:t>
  </x:si>
  <x:si>
    <x:t xml:space="preserve">Cotă</x:t>
  </x:si>
  <x:si>
    <x:t xml:space="preserve">P_market</x:t>
  </x:si>
  <x:si>
    <x:t xml:space="preserve">Edge</x:t>
  </x:si>
  <x:si>
    <x:t xml:space="preserve">Risk Score</x:t>
  </x:si>
  <x:si>
    <x:t xml:space="preserve">Risk Level</x:t>
  </x:si>
  <x:si>
    <x:t xml:space="preserve">Verdict</x:t>
  </x:si>
  <x:si>
    <x:t xml:space="preserve">Market Direction</x:t>
  </x:si>
  <x:si>
    <x:t xml:space="preserve">Protected Strength</x:t>
  </x:si>
  <x:si>
    <x:t xml:space="preserve">Draw Market</x:t>
  </x:si>
  <x:si>
    <x:t xml:space="preserve">Early Season</x:t>
  </x:si>
  <x:si>
    <x:t xml:space="preserve">Confidence efectiv</x:t>
  </x:si>
  <x:si>
    <x:t xml:space="preserve">Away Fav Surcharge</x:t>
  </x:si>
  <x:si>
    <x:t xml:space="preserve">P0 final</x:t>
  </x:si>
  <x:si>
    <x:t xml:space="preserve">Victorie oaspeți (2)</x:t>
  </x:si>
  <x:si>
    <x:t xml:space="preserve">N/A</x:t>
  </x:si>
  <x:si>
    <x:t xml:space="preserve">Victorie gazde (1)</x:t>
  </x:si>
  <x:si>
    <x:t xml:space="preserve">12</x:t>
  </x:si>
  <x:si>
    <x:t xml:space="preserve">Egal (X)</x:t>
  </x:si>
  <x:si>
    <x:t xml:space="preserve">Data</x:t>
  </x:si>
  <x:si>
    <x:t xml:space="preserve">EV</x:t>
  </x:si>
  <x:si>
    <x:t xml:space="preserve">Verdict prematch</x:t>
  </x:si>
  <x:si>
    <x:t xml:space="preserve">Scor final</x:t>
  </x:si>
  <x:si>
    <x:t xml:space="preserve">Rezultat 1X2</x:t>
  </x:si>
  <x:si>
    <x:t xml:space="preserve">Hit</x:t>
  </x:si>
  <x:si>
    <x:t xml:space="preserve">Profit unități</x:t>
  </x:si>
  <x:si>
    <x:t xml:space="preserve">MarketDir Gate</x:t>
  </x:si>
  <x:si>
    <x:t xml:space="preserve">ProtectedStrength Gate</x:t>
  </x:si>
  <x:si>
    <x:t xml:space="preserve">DrawMarket Gate</x:t>
  </x:si>
  <x:si>
    <x:t xml:space="preserve">AwayFav Surcharge</x:t>
  </x:si>
  <x:si>
    <x:t xml:space="preserve">Brier</x:t>
  </x:si>
  <x:si>
    <x:t xml:space="preserve">Pmarket outcome exclus</x:t>
  </x:si>
  <x:si>
    <x:t xml:space="preserve">Pmarket protected side</x:t>
  </x:si>
  <x:si>
    <x:t xml:space="preserve">Strength Δ protected-excluded</x:t>
  </x:si>
  <x:si>
    <x:t xml:space="preserve">Override</x:t>
  </x:si>
  <x:si>
    <x:t xml:space="preserve">Model advantage vs market</x:t>
  </x:si>
  <x:si>
    <x:t xml:space="preserve">Pdraw model haircut</x:t>
  </x:si>
  <x:si>
    <x:t xml:space="preserve">Pdraw market</x:t>
  </x:si>
  <x:si>
    <x:t xml:space="preserve">Draw Market Gate</x:t>
  </x:si>
  <x:si>
    <x:t xml:space="preserve">Regulă</x:t>
  </x:si>
  <x:si>
    <x:t xml:space="preserve">Status/Rezultat</x:t>
  </x:si>
  <x:si>
    <x:t xml:space="preserve">Min sample H/A</x:t>
  </x:si>
  <x:si>
    <x:t xml:space="preserve">min(home sample, away sample)</x:t>
  </x:si>
  <x:si>
    <x:t xml:space="preserve">Early season flag</x:t>
  </x:si>
  <x:si>
    <x:t xml:space="preserve">&lt; Small_Sample_N (8)</x:t>
  </x:si>
  <x:si>
    <x:t xml:space="preserve">Confidence input</x:t>
  </x:si>
  <x:si>
    <x:t xml:space="preserve">A capat la B în early season</x:t>
  </x:si>
  <x:si>
    <x:t xml:space="preserve">Haircut bază</x:t>
  </x:si>
  <x:si>
    <x:t xml:space="preserve">după confidence efectiv</x:t>
  </x:si>
  <x:si>
    <x:t xml:space="preserve">Haircut early suplimentar</x:t>
  </x:si>
  <x:si>
    <x:t xml:space="preserve">+2pp implicit</x:t>
  </x:si>
  <x:si>
    <x:t xml:space="preserve">haircut total pentru P_adj</x:t>
  </x:si>
  <x:si>
    <x:t xml:space="preserve">Favorite Away Upset Risk</x:t>
  </x:si>
  <x:si>
    <x:t xml:space="preserve">Pmarket away</x:t>
  </x:si>
  <x:si>
    <x:t xml:space="preserve">Context neg. 0-2</x:t>
  </x:si>
  <x:si>
    <x:t xml:space="preserve">Surcharge</x:t>
  </x:si>
  <x:si>
    <x:t xml:space="preserve">X2 pe favorit puternic în deplasare</x:t>
  </x:si>
  <x:si>
    <x:t xml:space="preserve">Nu blochează automat; +5/+10 Risk Score numai dacă Pmarket(2) ≥ prag și context negativ</x:t>
  </x:si>
  <x:si>
    <x:t xml:space="preserve">Familie</x:t>
  </x:si>
  <x:si>
    <x:t xml:space="preserve">N eligibil</x:t>
  </x:si>
  <x:si>
    <x:t xml:space="preserve">Hits</x:t>
  </x:si>
  <x:si>
    <x:t xml:space="preserve">Hit Rate</x:t>
  </x:si>
  <x:si>
    <x:t xml:space="preserve">Avg P_adj</x:t>
  </x:si>
  <x:si>
    <x:t xml:space="preserve">Calibration Gap</x:t>
  </x:si>
  <x:si>
    <x:t xml:space="preserve">Min N status</x:t>
  </x:si>
  <x:si>
    <x:t xml:space="preserve">Calibration status</x:t>
  </x:si>
</x:sst>
</file>

<file path=xl/styles.xml><?xml version="1.0" encoding="utf-8"?>
<x:styleSheet xmlns:x="http://schemas.openxmlformats.org/spreadsheetml/2006/main">
  <x:numFmts count="4">
    <x:numFmt numFmtId="164" formatCode="0.0%"/>
    <x:numFmt numFmtId="165" formatCode="0.000"/>
    <x:numFmt numFmtId="200" formatCode="dd.mm.yyyy hh:mm"/>
    <x:numFmt numFmtId="201" formatCode="0"/>
  </x:numFmts>
  <x:fonts count="22">
    <x:font>
      <x:sz val="11"/>
      <x:name val="Carlito"/>
    </x:font>
    <x:font>
      <x:b/>
      <x:sz val="14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000000"/>
      <x:name val="Aptos"/>
    </x:font>
    <x:font>
      <x:b/>
      <x:sz val="11"/>
      <x:color rgb="FF17365D"/>
      <x:name val="Carlito"/>
    </x:font>
    <x:font>
      <x:b/>
      <x:sz val="11"/>
      <x:color rgb="FF375623"/>
      <x:name val="Carlito"/>
    </x:font>
    <x:font>
      <x:b/>
      <x:sz val="14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  <x:font>
      <x:b/>
      <x:sz val="11"/>
      <x:color rgb="FF000000"/>
      <x:name val="Carlito"/>
    </x:font>
    <x:font>
      <x:i/>
      <x:sz val="11"/>
      <x:color rgb="FF666666"/>
      <x:name val="Carlito"/>
    </x:font>
    <x:font>
      <x:sz val="10"/>
      <x:name val="Arial"/>
    </x:font>
    <x:font>
      <x:b/>
      <x:sz val="15"/>
      <x:name val="Arial"/>
    </x:font>
    <x:font>
      <x:b/>
      <x:sz val="10"/>
      <x:color rgb="FFFFFFFF"/>
      <x:name val="Arial"/>
    </x:font>
    <x:font>
      <x:i/>
      <x:sz val="10"/>
      <x:color rgb="FF666666"/>
      <x:name val="Arial"/>
    </x:font>
    <x:font>
      <x:b/>
      <x:sz val="10"/>
      <x:color rgb="FF17365D"/>
      <x:name val="Arial"/>
    </x:font>
    <x:font>
      <x:b/>
      <x:sz val="15"/>
      <x:color rgb="FFFFFFFF"/>
      <x:name val="Arial"/>
    </x:font>
    <x:font>
      <x:b/>
      <x:sz val="10"/>
      <x:color rgb="FF000000"/>
      <x:name val="Arial"/>
    </x:font>
    <x:font>
      <x:b/>
      <x:sz val="14"/>
      <x:name val="Arial"/>
    </x:font>
    <x:font>
      <x:sz val="11"/>
      <x:name val="Arial"/>
    </x:font>
    <x:font>
      <x:b/>
      <x:sz val="11"/>
      <x:color rgb="FFFFFFFF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7EEF5"/>
      </x:patternFill>
    </x:fill>
    <x:fill>
      <x:patternFill patternType="solid">
        <x:fgColor rgb="FF19395D"/>
      </x:patternFill>
    </x:fill>
  </x:fills>
  <x:borders count="10">
    <x:border/>
    <x:border/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207">
    <x:xf numFmtId="0" fontId="0" fillId="0" borderId="0" xfId="0"/>
    <x:xf numFmtId="0" fontId="0" fillId="0" borderId="0" xfId="0" applyAlignment="1">
      <x:alignment wrapText="1"/>
    </x:xf>
    <x:xf numFmtId="0" fontId="3" fillId="0" borderId="0" xfId="0" applyFont="1"/>
    <x:xf numFmtId="0" fontId="3" fillId="0" borderId="0" xfId="0" applyFont="1" applyAlignment="1">
      <x:alignment vertical="top" wrapText="1"/>
    </x:xf>
    <x:xf numFmtId="0" fontId="2" fillId="2" borderId="0" xfId="0" applyFont="1" applyFill="1" applyAlignment="1">
      <x:alignment horizontal="center" vertical="top" wrapText="1"/>
    </x:xf>
    <x:xf numFmtId="164" fontId="3" fillId="0" borderId="0" xfId="0" applyNumberFormat="1" applyFont="1" applyAlignment="1">
      <x:alignment vertical="top" wrapText="1"/>
    </x:xf>
    <x:xf numFmtId="1" fontId="3" fillId="0" borderId="0" xfId="0" applyNumberFormat="1" applyFont="1" applyAlignment="1">
      <x:alignment vertical="top" wrapText="1"/>
    </x:xf>
    <x:xf numFmtId="2" fontId="3" fillId="0" borderId="0" xfId="0" applyNumberFormat="1" applyFont="1" applyAlignment="1">
      <x:alignment vertical="top" wrapText="1"/>
    </x:xf>
    <x:xf numFmtId="164" fontId="3" fillId="0" borderId="0" xfId="0" applyNumberFormat="1" applyFont="1"/>
    <x:xf numFmtId="2" fontId="3" fillId="0" borderId="0" xfId="0" applyNumberFormat="1" applyFont="1"/>
    <x:xf numFmtId="0" fontId="3" fillId="0" borderId="0" xfId="0" applyFont="1" applyAlignment="1">
      <x:alignment wrapText="1"/>
    </x:xf>
    <x:xf numFmtId="164" fontId="3" fillId="0" borderId="0" xfId="0" applyNumberFormat="1" applyFont="1" applyAlignment="1">
      <x:alignment wrapText="1"/>
    </x:xf>
    <x:xf numFmtId="1" fontId="3" fillId="0" borderId="0" xfId="0" applyNumberFormat="1" applyFont="1" applyAlignment="1">
      <x:alignment wrapText="1"/>
    </x:xf>
    <x:xf numFmtId="0" fontId="2" fillId="4" borderId="0" xfId="0" applyFont="1" applyFill="1" applyAlignment="1">
      <x:alignment horizontal="center" vertical="center" wrapText="1"/>
    </x:xf>
    <x:xf numFmtId="165" fontId="3" fillId="0" borderId="0" xfId="0" applyNumberFormat="1" applyFont="1"/>
    <x:xf numFmtId="165" fontId="3" fillId="0" borderId="0" xfId="0" applyNumberFormat="1" applyFont="1" applyAlignment="1">
      <x:alignment wrapText="1"/>
    </x:xf>
    <x:xf numFmtId="0" fontId="5" fillId="6" borderId="0" xfId="0" applyFont="1" applyFill="1" applyAlignment="1">
      <x:alignment horizontal="center" vertical="center" wrapText="1"/>
    </x:xf>
    <x:xf numFmtId="0" fontId="6" fillId="7" borderId="0" xfId="0" applyFont="1" applyFill="1" applyAlignment="1">
      <x:alignment wrapText="1"/>
    </x:xf>
    <x:xf numFmtId="0" fontId="2" fillId="2" borderId="0" xfId="0" applyFont="1" applyFill="1" applyAlignment="1">
      <x:alignment horizontal="center" vertical="center"/>
    </x:xf>
    <x:xf numFmtId="0" fontId="3" fillId="0" borderId="0" xfId="0" applyFont="1"/>
    <x:xf numFmtId="0" fontId="4" fillId="3" borderId="0" xfId="0" applyFont="1" applyFill="1" applyAlignment="1">
      <x:alignment horizontal="left" vertical="center"/>
    </x:xf>
    <x:xf numFmtId="0" fontId="2" fillId="4" borderId="0" xfId="0" applyFont="1" applyFill="1" applyAlignment="1">
      <x:alignment horizontal="center"/>
    </x:xf>
    <x:xf numFmtId="0" fontId="1" fillId="5" borderId="0" xfId="0" applyFont="1" applyFill="1" applyAlignment="1">
      <x:alignment horizontal="left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164" fontId="3" fillId="0" borderId="1" xfId="0" applyNumberFormat="1" applyFont="1" applyFill="1" applyBorder="1" applyAlignment="1">
      <x:alignment vertical="top" wrapText="1"/>
    </x:xf>
    <x:xf numFmtId="1" fontId="3" fillId="0" borderId="1" xfId="0" applyNumberFormat="1" applyFont="1" applyFill="1" applyBorder="1" applyAlignment="1">
      <x:alignment vertical="top" wrapText="1"/>
    </x:xf>
    <x:xf numFmtId="2" fontId="3" fillId="0" borderId="1" xfId="0" applyNumberFormat="1" applyFont="1" applyFill="1" applyBorder="1" applyAlignment="1">
      <x:alignment vertical="top" wrapText="1"/>
    </x:xf>
    <x:xf numFmtId="164" fontId="3" fillId="0" borderId="1" xfId="0" applyNumberFormat="1" applyFont="1" applyFill="1" applyBorder="1"/>
    <x:xf numFmtId="2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164" fontId="3" fillId="0" borderId="1" xfId="0" applyNumberFormat="1" applyFont="1" applyFill="1" applyBorder="1" applyAlignment="1">
      <x:alignment wrapText="1"/>
    </x:xf>
    <x:xf numFmtId="1" fontId="3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165" fontId="3" fillId="0" borderId="1" xfId="0" applyNumberFormat="1" applyFont="1" applyFill="1" applyBorder="1"/>
    <x:xf numFmtId="165" fontId="3" fillId="0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164" fontId="3" fillId="0" borderId="0" xfId="0" applyNumberFormat="1" applyFont="1" applyFill="1" applyBorder="1" applyAlignment="1">
      <x:alignment vertical="top" wrapText="1"/>
    </x:xf>
    <x:xf numFmtId="2" fontId="3" fillId="0" borderId="0" xfId="0" applyNumberFormat="1" applyFont="1" applyFill="1" applyBorder="1" applyAlignment="1">
      <x:alignment vertical="top" wrapText="1"/>
    </x:xf>
    <x:xf numFmtId="1" fontId="3" fillId="0" borderId="0" xfId="0" applyNumberFormat="1" applyFont="1" applyFill="1" applyBorder="1" applyAlignment="1">
      <x:alignment vertical="top" wrapText="1"/>
    </x:xf>
    <x:xf numFmtId="1" fontId="3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center"/>
    </x:xf>
    <x:xf numFmtId="0" fontId="8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8" fillId="9" borderId="1" xfId="0" applyNumberFormat="1" applyFont="1" applyFill="1" applyBorder="1"/>
    <x:xf numFmtId="0" fontId="8" fillId="9" borderId="1" xfId="0" applyNumberFormat="1" applyFont="1" applyFill="1" applyBorder="1" applyAlignment="1">
      <x:alignment horizontal="center"/>
    </x:xf>
    <x:xf numFmtId="0" fontId="8" fillId="9" borderId="1" xfId="0" applyNumberFormat="1" applyFont="1" applyFill="1" applyBorder="1" applyAlignment="1">
      <x:alignment horizontal="center" vertical="center"/>
    </x:xf>
    <x:xf numFmtId="0" fontId="7" fillId="8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8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3" fillId="9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horizontal="center" wrapText="1"/>
    </x:xf>
    <x:xf numFmtId="0" fontId="8" fillId="9" borderId="1" xfId="0" applyNumberFormat="1" applyFont="1" applyFill="1" applyBorder="1" applyAlignment="1">
      <x:alignment horizontal="center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164" fontId="3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top" wrapText="1"/>
    </x:xf>
    <x:xf numFmtId="164" fontId="3" fillId="0" borderId="0" xfId="0" applyNumberFormat="1" applyFont="1" applyFill="1" applyBorder="1"/>
    <x:xf numFmtId="2" fontId="3" fillId="0" borderId="0" xfId="0" applyNumberFormat="1" applyFont="1" applyFill="1" applyBorder="1"/>
    <x:xf numFmtId="165" fontId="3" fillId="0" borderId="0" xfId="0" applyNumberFormat="1" applyFont="1" applyFill="1" applyBorder="1"/>
    <x:xf numFmtId="165" fontId="3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center"/>
    </x:xf>
    <x:xf numFmtId="0" fontId="9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horizontal="center" wrapText="1"/>
    </x:xf>
    <x:xf numFmtId="0" fontId="10" fillId="11" borderId="0" xfId="0" applyNumberFormat="1" applyFont="1" applyFill="1" applyBorder="1" applyAlignment="1">
      <x:alignment horizontal="center" vertical="center" wrapText="1"/>
    </x:xf>
    <x:xf numFmtId="0" fontId="9" fillId="10" borderId="2" xfId="0" applyNumberFormat="1" applyFont="1" applyFill="1" applyBorder="1" applyAlignment="1">
      <x:alignment horizontal="center" vertical="center"/>
    </x:xf>
    <x:xf numFmtId="0" fontId="9" fillId="10" borderId="3" xfId="0" applyNumberFormat="1" applyFont="1" applyFill="1" applyBorder="1" applyAlignment="1">
      <x:alignment horizontal="center" vertical="center"/>
    </x:xf>
    <x:xf numFmtId="0" fontId="9" fillId="10" borderId="4" xfId="0" applyNumberFormat="1" applyFont="1" applyFill="1" applyBorder="1" applyAlignment="1">
      <x:alignment horizontal="center" vertical="center"/>
    </x:xf>
    <x:xf numFmtId="0" fontId="10" fillId="11" borderId="5" xfId="0" applyNumberFormat="1" applyFont="1" applyFill="1" applyBorder="1" applyAlignment="1">
      <x:alignment horizontal="center" vertical="center" wrapText="1"/>
    </x:xf>
    <x:xf numFmtId="0" fontId="10" fillId="11" xfId="0" applyNumberFormat="1" applyFont="1" applyFill="1" applyBorder="0" applyAlignment="1">
      <x:alignment horizontal="center" vertical="center" wrapText="1"/>
    </x:xf>
    <x:xf numFmtId="0" fontId="10" fillId="11" borderId="6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horizontal="center"/>
    </x:xf>
    <x:xf numFmtId="0" fontId="9" fillId="9" borderId="0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horizontal="center" wrapText="1"/>
    </x:xf>
    <x:xf numFmtId="0" fontId="10" fillId="3" borderId="0" xfId="0" applyNumberFormat="1" applyFont="1" applyFill="1" applyBorder="1" applyAlignment="1">
      <x:alignment horizontal="center" vertical="center" wrapText="1"/>
    </x:xf>
    <x:xf numFmtId="0" fontId="9" fillId="9" borderId="2" xfId="0" applyNumberFormat="1" applyFont="1" applyFill="1" applyBorder="1" applyAlignment="1">
      <x:alignment horizontal="center" vertical="center"/>
    </x:xf>
    <x:xf numFmtId="0" fontId="9" fillId="9" borderId="3" xfId="0" applyNumberFormat="1" applyFont="1" applyFill="1" applyBorder="1" applyAlignment="1">
      <x:alignment horizontal="center" vertical="center"/>
    </x:xf>
    <x:xf numFmtId="0" fontId="9" fillId="9" borderId="4" xfId="0" applyNumberFormat="1" applyFont="1" applyFill="1" applyBorder="1" applyAlignment="1">
      <x:alignment horizontal="center" vertical="center"/>
    </x:xf>
    <x:xf numFmtId="0" fontId="10" fillId="3" borderId="5" xfId="0" applyNumberFormat="1" applyFont="1" applyFill="1" applyBorder="1" applyAlignment="1">
      <x:alignment horizontal="center" vertical="center" wrapText="1"/>
    </x:xf>
    <x:xf numFmtId="0" fontId="10" fillId="3" xfId="0" applyNumberFormat="1" applyFont="1" applyFill="1" applyBorder="0" applyAlignment="1">
      <x:alignment horizontal="center" vertical="center" wrapText="1"/>
    </x:xf>
    <x:xf numFmtId="0" fontId="10" fillId="3" borderId="6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14" borderId="0" xfId="0" applyNumberFormat="1" applyFont="1" applyFill="1" applyBorder="1"/>
    <x:xf numFmtId="0" fontId="0" fillId="14" borderId="0" xfId="0" applyNumberFormat="1" applyFont="1" applyFill="1" applyBorder="1"/>
    <x:xf numFmtId="0" fontId="0" fillId="15" borderId="0" xfId="0" applyNumberFormat="1" applyFont="1" applyFill="1" applyBorder="1"/>
    <x:xf numFmtId="200" fontId="0" fillId="14" borderId="0" xfId="0" applyNumberFormat="1" applyFont="1" applyFill="1" applyBorder="1"/>
    <x:xf numFmtId="200" fontId="12" fillId="14" borderId="0" xfId="0" applyNumberFormat="1" applyFont="1" applyFill="1" applyBorder="1"/>
    <x:xf numFmtId="0" fontId="12" fillId="15" borderId="0" xfId="0" applyNumberFormat="1" applyFont="1" applyFill="1" applyBorder="1"/>
    <x:xf numFmtId="0" fontId="13" fillId="0" borderId="0" xfId="0" applyNumberFormat="1" applyFont="1" applyFill="1" applyBorder="1"/>
    <x:xf numFmtId="0" fontId="12" fillId="16" borderId="0" xfId="0" applyNumberFormat="1" applyFont="1" applyFill="1" applyBorder="1"/>
    <x:xf numFmtId="0" fontId="14" fillId="16" borderId="0" xfId="0" applyNumberFormat="1" applyFont="1" applyFill="1" applyBorder="1"/>
    <x:xf numFmtId="0" fontId="14" fillId="16" borderId="0" xfId="0" applyNumberFormat="1" applyFont="1" applyFill="1" applyBorder="1" applyAlignment="1">
      <x:alignment wrapText="1"/>
    </x:xf>
    <x:xf numFmtId="0" fontId="12" fillId="14" borderId="0" xfId="0" applyNumberFormat="1" applyFont="1" applyFill="1" applyBorder="1" applyAlignment="1">
      <x:alignment wrapText="1"/>
    </x:xf>
    <x:xf numFmtId="200" fontId="12" fillId="14" borderId="0" xfId="0" applyNumberFormat="1" applyFont="1" applyFill="1" applyBorder="1" applyAlignment="1">
      <x:alignment wrapText="1"/>
    </x:xf>
    <x:xf numFmtId="0" fontId="12" fillId="15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top" wrapText="1"/>
    </x:xf>
    <x:xf numFmtId="0" fontId="3" fillId="16" borderId="0" xfId="0" applyNumberFormat="1" applyFont="1" applyFill="1" applyBorder="1"/>
    <x:xf numFmtId="0" fontId="0" fillId="16" borderId="0" xfId="0" applyNumberFormat="1" applyFont="1" applyFill="1" applyBorder="1"/>
    <x:xf numFmtId="0" fontId="2" fillId="16" borderId="0" xfId="0" applyNumberFormat="1" applyFont="1" applyFill="1" applyBorder="1" applyAlignment="1">
      <x:alignment horizontal="center" vertical="center" wrapText="1"/>
    </x:xf>
    <x:xf numFmtId="0" fontId="14" fillId="16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16" borderId="0" xfId="0" applyNumberFormat="1" applyFont="1" applyFill="1" applyBorder="1" applyAlignment="1">
      <x:alignment vertical="top" wrapText="1"/>
    </x:xf>
    <x:xf numFmtId="0" fontId="14" fillId="16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wrapText="1"/>
    </x:xf>
    <x:xf numFmtId="0" fontId="14" fillId="9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/>
    <x:xf numFmtId="0" fontId="16" fillId="3" borderId="0" xfId="0" applyNumberFormat="1" applyFont="1" applyFill="1" applyBorder="1" applyAlignment="1">
      <x:alignment wrapText="1"/>
    </x:xf>
    <x:xf numFmtId="0" fontId="17" fillId="9" borderId="0" xfId="0" applyNumberFormat="1" applyFont="1" applyFill="1" applyBorder="1" applyAlignment="1">
      <x:alignment vertical="center"/>
    </x:xf>
    <x:xf numFmtId="0" fontId="14" fillId="2" borderId="0" xfId="0" applyNumberFormat="1" applyFont="1" applyFill="1" applyBorder="1" applyAlignment="1">
      <x:alignment horizontal="center" vertical="center"/>
    </x:xf>
    <x:xf numFmtId="0" fontId="18" fillId="3" borderId="0" xfId="0" applyNumberFormat="1" applyFont="1" applyFill="1" applyBorder="1" applyAlignment="1">
      <x:alignment horizontal="left" vertical="center"/>
    </x:xf>
    <x:xf numFmtId="0" fontId="14" fillId="2" borderId="0" xfId="0" applyNumberFormat="1" applyFont="1" applyFill="1" applyBorder="1" applyAlignment="1">
      <x:alignment horizontal="center" vertical="top" wrapText="1"/>
    </x:xf>
    <x:xf numFmtId="0" fontId="12" fillId="0" borderId="0" xfId="0" applyNumberFormat="1" applyFont="1" applyFill="1" applyBorder="1" applyAlignment="1">
      <x:alignment vertical="top" wrapText="1"/>
    </x:xf>
    <x:xf numFmtId="164" fontId="12" fillId="0" borderId="0" xfId="0" applyNumberFormat="1" applyFont="1" applyFill="1" applyBorder="1" applyAlignment="1">
      <x:alignment vertical="top" wrapText="1"/>
    </x:xf>
    <x:xf numFmtId="164" fontId="12" fillId="0" borderId="0" xfId="0" applyNumberFormat="1" applyFont="1" applyFill="1" applyBorder="1"/>
    <x:xf numFmtId="0" fontId="18" fillId="3" borderId="0" xfId="0" applyNumberFormat="1" applyFont="1" applyFill="1" applyBorder="1" applyAlignment="1">
      <x:alignment horizontal="left" vertical="center" wrapText="1"/>
    </x:xf>
    <x:xf numFmtId="164" fontId="12" fillId="0" borderId="0" xfId="0" applyNumberFormat="1" applyFont="1" applyFill="1" applyBorder="1" applyAlignment="1">
      <x:alignment wrapText="1"/>
    </x:xf>
    <x:xf numFmtId="0" fontId="14" fillId="2" borderId="0" xfId="0" applyNumberFormat="1" applyFont="1" applyFill="1" applyBorder="1" applyAlignment="1">
      <x:alignment horizontal="center"/>
    </x:xf>
    <x:xf numFmtId="0" fontId="14" fillId="2" borderId="0" xfId="0" applyNumberFormat="1" applyFont="1" applyFill="1" applyBorder="1" applyAlignment="1">
      <x:alignment horizontal="center" vertical="center" wrapText="1"/>
    </x:xf>
    <x:xf numFmtId="0" fontId="19" fillId="3" borderId="0" xfId="0" applyNumberFormat="1" applyFont="1" applyFill="1" applyBorder="1" applyAlignment="1">
      <x:alignment wrapText="1"/>
    </x:xf>
    <x:xf numFmtId="0" fontId="20" fillId="0" borderId="0" xfId="0" applyNumberFormat="1" applyFont="1" applyFill="1" applyBorder="1"/>
    <x:xf numFmtId="0" fontId="20" fillId="0" borderId="0" xfId="0" applyNumberFormat="1" applyFont="1" applyFill="1" applyBorder="1" applyAlignment="1">
      <x:alignment wrapText="1"/>
    </x:xf>
    <x:xf numFmtId="0" fontId="21" fillId="9" borderId="0" xfId="0" applyNumberFormat="1" applyFont="1" applyFill="1" applyBorder="1" applyAlignment="1">
      <x:alignment horizontal="center" vertical="center" wrapText="1"/>
    </x:xf>
    <x:xf numFmtId="165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0"/>
    </x:xf>
    <x:xf numFmtId="0" fontId="8" fillId="16" borderId="0" xfId="0" applyNumberFormat="1" applyFont="1" applyFill="1" applyBorder="1" applyAlignment="1">
      <x:alignment horizontal="center" vertical="center" wrapText="1"/>
    </x:xf>
    <x:xf numFmtId="0" fontId="14" fillId="16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164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 wrapText="1"/>
    </x:xf>
    <x:xf numFmtId="164" fontId="12" fillId="0" borderId="0" xfId="0" applyNumberFormat="1" applyFont="1" applyFill="1" applyBorder="1" applyAlignment="1">
      <x:alignment vertical="center" wrapText="1"/>
    </x:xf>
    <x:xf numFmtId="0" fontId="12" fillId="14" borderId="0" xfId="0" applyNumberFormat="1" applyFont="1" applyFill="1" applyBorder="1" applyAlignment="1">
      <x:alignment vertical="center" wrapText="1"/>
    </x:xf>
    <x:xf numFmtId="200" fontId="12" fillId="14" borderId="0" xfId="0" applyNumberFormat="1" applyFont="1" applyFill="1" applyBorder="1" applyAlignment="1">
      <x:alignment vertical="center" wrapText="1"/>
    </x:xf>
    <x:xf numFmtId="0" fontId="12" fillId="15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/>
    </x:xf>
    <x:xf numFmtId="2" fontId="3" fillId="0" borderId="0" xfId="0" applyNumberFormat="1" applyFont="1" applyFill="1" applyBorder="1" applyAlignment="1">
      <x:alignment vertical="center" wrapText="1"/>
    </x:xf>
    <x:xf numFmtId="1" fontId="3" fillId="0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165" fontId="12" fillId="0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vertical="center" wrapText="1"/>
    </x:xf>
    <x:xf numFmtId="0" fontId="16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9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323802ed344c48" /><Relationship Type="http://schemas.openxmlformats.org/officeDocument/2006/relationships/theme" Target="/xl/theme/theme1.xml" Id="Rdcea937bb60d4454" /><Relationship Type="http://schemas.openxmlformats.org/officeDocument/2006/relationships/sharedStrings" Target="/xl/sharedStrings.xml" Id="Rfda4521e67c641bc" /><Relationship Type="http://schemas.openxmlformats.org/officeDocument/2006/relationships/worksheet" Target="/xl/worksheets/sheet1.xml" Id="Rb706b5e0e7034ea7" /><Relationship Type="http://schemas.openxmlformats.org/officeDocument/2006/relationships/worksheet" Target="/xl/worksheets/sheet2.xml" Id="R6c4049193e534303" /><Relationship Type="http://schemas.openxmlformats.org/officeDocument/2006/relationships/worksheet" Target="/xl/worksheets/sheet3.xml" Id="R57d12db77ec7400c" /><Relationship Type="http://schemas.openxmlformats.org/officeDocument/2006/relationships/worksheet" Target="/xl/worksheets/sheet4.xml" Id="Re9aa452eb1f84055" /><Relationship Type="http://schemas.openxmlformats.org/officeDocument/2006/relationships/worksheet" Target="/xl/worksheets/sheet5.xml" Id="Rd1271c53dc834511" /><Relationship Type="http://schemas.openxmlformats.org/officeDocument/2006/relationships/worksheet" Target="/xl/worksheets/sheet6.xml" Id="Ra108d8a72f204578" /><Relationship Type="http://schemas.openxmlformats.org/officeDocument/2006/relationships/worksheet" Target="/xl/worksheets/sheet7.xml" Id="Rb9543ce197fe4778" /><Relationship Type="http://schemas.openxmlformats.org/officeDocument/2006/relationships/worksheet" Target="/xl/worksheets/sheet8.xml" Id="R04530f1493354c84" /><Relationship Type="http://schemas.openxmlformats.org/officeDocument/2006/relationships/worksheet" Target="/xl/worksheets/sheet9.xml" Id="R46be6e67e9d44fa7" /><Relationship Type="http://schemas.openxmlformats.org/officeDocument/2006/relationships/worksheet" Target="/xl/worksheets/sheet10.xml" Id="Rc46a4c3dcb3640cc" /><Relationship Type="http://schemas.openxmlformats.org/officeDocument/2006/relationships/worksheet" Target="/xl/worksheets/sheet11.xml" Id="R2b0750f9c4fe46a7" /><Relationship Type="http://schemas.openxmlformats.org/officeDocument/2006/relationships/worksheet" Target="/xl/worksheets/sheet12.xml" Id="R3efcc6e23ac74dff" /><Relationship Type="http://schemas.openxmlformats.org/officeDocument/2006/relationships/worksheet" Target="/xl/worksheets/sheet13.xml" Id="R26998379e6a24136" /><Relationship Type="http://schemas.openxmlformats.org/officeDocument/2006/relationships/worksheet" Target="/xl/worksheets/sheet14.xml" Id="R9f34c03cb4824f92" /><Relationship Type="http://schemas.openxmlformats.org/officeDocument/2006/relationships/worksheet" Target="/xl/worksheets/sheet15.xml" Id="R57a182ad8db741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3" width="24" customWidth="1"/>
    <x:col min="4" max="5" width="40" customWidth="1"/>
  </x:cols>
  <x:sheetData>
    <x:row r="1" ht="27.950000762939453" customHeight="1">
      <x:c r="A1" s="18" t="str">
        <x:v>ȘANSĂ DUBLĂ – PARAMETRI ȘI CONTROALE</x:v>
      </x:c>
      <x:c r="B1" s="19"/>
      <x:c r="C1" s="19"/>
      <x:c r="D1" s="19"/>
      <x:c r="E1" s="19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15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 ht="15">
      <x:c r="A3" s="4" t="s">
        <x:v>0</x:v>
      </x:c>
      <x:c r="B3" s="4" t="s">
        <x:v>1</x:v>
      </x:c>
      <x:c r="C3" s="4" t="s">
        <x:v>2</x:v>
      </x:c>
      <x:c r="D3" s="4" t="s">
        <x:v>3</x:v>
      </x:c>
      <x:c r="E3" s="4" t="s">
        <x:v>4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 ht="15">
      <x:c r="A4" s="3" t="s">
        <x:v>5</x:v>
      </x:c>
      <x:c r="B4" s="5">
        <x:v>0.82</x:v>
      </x:c>
      <x:c r="C4" s="3" t="s">
        <x:v>6</x:v>
      </x:c>
      <x:c r="D4" s="3" t="str">
        <x:v>Prag P ajustată pentru DEFENSIV</x:v>
      </x:c>
      <x:c r="E4" s="3" t="s">
        <x:v>7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15">
      <x:c r="A5" s="3" t="s">
        <x:v>8</x:v>
      </x:c>
      <x:c r="B5" s="5">
        <x:v>0.76</x:v>
      </x:c>
      <x:c r="C5" s="3" t="s">
        <x:v>6</x:v>
      </x:c>
      <x:c r="D5" s="3" t="s">
        <x:v>9</x:v>
      </x:c>
      <x:c r="E5" s="3" t="str">
        <x:v>Prag de probabilitate pentru PRUDENT; nivelul de risc are precedență.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 ht="15">
      <x:c r="A6" s="3" t="s">
        <x:v>10</x:v>
      </x:c>
      <x:c r="B6" s="5">
        <x:v>0.18</x:v>
      </x:c>
      <x:c r="C6" s="3" t="s">
        <x:v>6</x:v>
      </x:c>
      <x:c r="D6" s="3" t="str">
        <x:v>ISTORIC – fără hard gate activ</x:v>
      </x:c>
      <x:c r="E6" s="3" t="str">
        <x:v>Control înlocuit de Market Direction, riscul conservator și selector.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</x:row>
    <x:row r="7" ht="15">
      <x:c r="A7" s="3" t="s">
        <x:v>11</x:v>
      </x:c>
      <x:c r="B7" s="5">
        <x:v>0.24</x:v>
      </x:c>
      <x:c r="C7" s="3" t="s">
        <x:v>6</x:v>
      </x:c>
      <x:c r="D7" s="3" t="str">
        <x:v>ISTORIC – fără hard gate activ</x:v>
      </x:c>
      <x:c r="E7" s="3" t="str">
        <x:v>Control înlocuit de Market Direction, riscul conservator și selector.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</x:row>
    <x:row r="8" ht="15">
      <x:c r="A8" s="3" t="s">
        <x:v>12</x:v>
      </x:c>
      <x:c r="B8" s="5">
        <x:v>0.2</x:v>
      </x:c>
      <x:c r="C8" s="3" t="s">
        <x:v>6</x:v>
      </x:c>
      <x:c r="D8" s="3" t="str">
        <x:v>Prag PASS pentru Draw Gate</x:v>
      </x:c>
      <x:c r="E8" s="3" t="str">
        <x:v>max(P egal model + haircut unic, P egal piață); DEFENSIV cere și nivel 1.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</x:row>
    <x:row r="9" ht="15">
      <x:c r="A9" s="3" t="s">
        <x:v>13</x:v>
      </x:c>
      <x:c r="B9" s="5">
        <x:v>0.23</x:v>
      </x:c>
      <x:c r="C9" s="3" t="s">
        <x:v>6</x:v>
      </x:c>
      <x:c r="D9" s="3" t="s">
        <x:v>14</x:v>
      </x:c>
      <x:c r="E9" s="3" t="s">
        <x:v>15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</x:row>
    <x:row r="10" ht="15">
      <x:c r="A10" s="3" t="s">
        <x:v>16</x:v>
      </x:c>
      <x:c r="B10" s="5">
        <x:v>7.0000000000000007E-2</x:v>
      </x:c>
      <x:c r="C10" s="3" t="s">
        <x:v>6</x:v>
      </x:c>
      <x:c r="D10" s="3" t="str">
        <x:v>Diagnostic model–piață</x:v>
      </x:c>
      <x:c r="E10" s="3" t="str">
        <x:v>Nu impune singur WATCH/NO BET.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</x:row>
    <x:row r="11" ht="15">
      <x:c r="A11" s="3" t="s">
        <x:v>17</x:v>
      </x:c>
      <x:c r="B11" s="5">
        <x:v>2.5000000000000001E-2</x:v>
      </x:c>
      <x:c r="C11" s="3" t="s">
        <x:v>6</x:v>
      </x:c>
      <x:c r="D11" s="3" t="str">
        <x:v>ISTORIC – Edge informativ</x:v>
      </x:c>
      <x:c r="E11" s="3" t="str">
        <x:v>Nu participă la verdictul tehnic.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</x:row>
    <x:row r="12" ht="15">
      <x:c r="A12" s="3" t="s">
        <x:v>18</x:v>
      </x:c>
      <x:c r="B12" s="5">
        <x:v>0</x:v>
      </x:c>
      <x:c r="C12" s="3"/>
      <x:c r="D12" s="3" t="str">
        <x:v>EV neutilizat</x:v>
      </x:c>
      <x:c r="E12" s="3" t="str">
        <x:v>Nu participă la verdictul tehnic.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</x:row>
    <x:row r="13" ht="15">
      <x:c r="A13" s="3" t="s">
        <x:v>19</x:v>
      </x:c>
      <x:c r="B13" s="5">
        <x:v>0.01</x:v>
      </x:c>
      <x:c r="C13" s="3" t="s">
        <x:v>6</x:v>
      </x:c>
      <x:c r="D13" s="3" t="s">
        <x:v>20</x:v>
      </x:c>
      <x:c r="E13" s="3" t="s">
        <x:v>21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</x:row>
    <x:row r="14" ht="15">
      <x:c r="A14" s="3" t="s">
        <x:v>22</x:v>
      </x:c>
      <x:c r="B14" s="5">
        <x:v>2.5000000000000001E-2</x:v>
      </x:c>
      <x:c r="C14" s="3" t="s">
        <x:v>6</x:v>
      </x:c>
      <x:c r="D14" s="3" t="s">
        <x:v>23</x:v>
      </x:c>
      <x:c r="E14" s="3" t="s">
        <x:v>24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</x:row>
    <x:row r="15" ht="15">
      <x:c r="A15" s="3" t="s">
        <x:v>25</x:v>
      </x:c>
      <x:c r="B15" s="5">
        <x:v>0.05</x:v>
      </x:c>
      <x:c r="C15" s="3" t="s">
        <x:v>6</x:v>
      </x:c>
      <x:c r="D15" s="3" t="s">
        <x:v>26</x:v>
      </x:c>
      <x:c r="E15" s="3" t="s">
        <x:v>27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</x:row>
    <x:row r="16" ht="27">
      <x:c r="A16" s="3" t="s">
        <x:v>28</x:v>
      </x:c>
      <x:c r="B16" s="5">
        <x:v>0.65</x:v>
      </x:c>
      <x:c r="C16" s="3" t="s">
        <x:v>29</x:v>
      </x:c>
      <x:c r="D16" s="3" t="str">
        <x:v>Diagnostic concentrație egal</x:v>
      </x:c>
      <x:c r="E16" s="3" t="str">
        <x:v>Nu constituie un hard gate suplimentar.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</x:row>
    <x:row r="17" ht="15">
      <x:c r="A17" s="3" t="s">
        <x:v>30</x:v>
      </x:c>
      <x:c r="B17" s="6">
        <x:v>8</x:v>
      </x:c>
      <x:c r="C17" s="3" t="s">
        <x:v>31</x:v>
      </x:c>
      <x:c r="D17" s="3" t="s">
        <x:v>32</x:v>
      </x:c>
      <x:c r="E17" s="3" t="str">
        <x:v>Prior/shrinkage documentat în modelele externe când N &lt; 8.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</x:row>
    <x:row r="18" ht="15">
      <x:c r="A18" s="3" t="s">
        <x:v>33</x:v>
      </x:c>
      <x:c r="B18" s="6">
        <x:v>5</x:v>
      </x:c>
      <x:c r="C18" s="3" t="s">
        <x:v>31</x:v>
      </x:c>
      <x:c r="D18" s="3" t="s">
        <x:v>34</x:v>
      </x:c>
      <x:c r="E18" s="3" t="s">
        <x:v>35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</x:row>
    <x:row r="19" ht="15">
      <x:c r="A19" s="10"/>
      <x:c r="B19" s="10"/>
      <x:c r="C19" s="10"/>
      <x:c r="D19" s="10"/>
      <x:c r="E19" s="10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</x:row>
    <x:row r="20" ht="15">
      <x:c r="A20" s="10" t="s">
        <x:v>36</x:v>
      </x:c>
      <x:c r="B20" s="11">
        <x:v>0.3</x:v>
      </x:c>
      <x:c r="C20" s="10" t="s">
        <x:v>6</x:v>
      </x:c>
      <x:c r="D20" s="10" t="s">
        <x:v>37</x:v>
      </x:c>
      <x:c r="E20" s="10" t="s">
        <x:v>38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</x:row>
    <x:row r="21" ht="15">
      <x:c r="A21" s="10" t="s">
        <x:v>39</x:v>
      </x:c>
      <x:c r="B21" s="11">
        <x:v>0.35</x:v>
      </x:c>
      <x:c r="C21" s="10" t="s">
        <x:v>6</x:v>
      </x:c>
      <x:c r="D21" s="10" t="s">
        <x:v>40</x:v>
      </x:c>
      <x:c r="E21" s="10" t="s">
        <x:v>41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</x:row>
    <x:row r="22" ht="27">
      <x:c r="A22" s="10" t="s">
        <x:v>42</x:v>
      </x:c>
      <x:c r="B22" s="11">
        <x:v>0.05</x:v>
      </x:c>
      <x:c r="C22" s="10" t="s">
        <x:v>6</x:v>
      </x:c>
      <x:c r="D22" s="10" t="s">
        <x:v>43</x:v>
      </x:c>
      <x:c r="E22" s="10" t="s">
        <x:v>44</x:v>
      </x:c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</x:row>
    <x:row r="23" ht="27">
      <x:c r="A23" s="10" t="s">
        <x:v>45</x:v>
      </x:c>
      <x:c r="B23" s="11">
        <x:v>7.0000000000000007E-2</x:v>
      </x:c>
      <x:c r="C23" s="10" t="s">
        <x:v>6</x:v>
      </x:c>
      <x:c r="D23" s="10" t="s">
        <x:v>46</x:v>
      </x:c>
      <x:c r="E23" s="10" t="s">
        <x:v>47</x:v>
      </x:c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</x:row>
    <x:row r="24" ht="15">
      <x:c r="A24" s="10" t="s">
        <x:v>48</x:v>
      </x:c>
      <x:c r="B24" s="11">
        <x:v>0.26</x:v>
      </x:c>
      <x:c r="C24" s="10" t="s">
        <x:v>6</x:v>
      </x:c>
      <x:c r="D24" s="10" t="s">
        <x:v>49</x:v>
      </x:c>
      <x:c r="E24" s="10" t="s">
        <x:v>50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</x:row>
    <x:row r="25" ht="15">
      <x:c r="A25" s="10" t="s">
        <x:v>51</x:v>
      </x:c>
      <x:c r="B25" s="11">
        <x:v>0.02</x:v>
      </x:c>
      <x:c r="C25" s="10" t="s">
        <x:v>6</x:v>
      </x:c>
      <x:c r="D25" s="10" t="s">
        <x:v>52</x:v>
      </x:c>
      <x:c r="E25" s="10" t="s">
        <x:v>53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</x:row>
    <x:row r="26" ht="15">
      <x:c r="A26" s="10" t="s">
        <x:v>54</x:v>
      </x:c>
      <x:c r="B26" s="11">
        <x:v>0.55000000000000004</x:v>
      </x:c>
      <x:c r="C26" s="10" t="s">
        <x:v>6</x:v>
      </x:c>
      <x:c r="D26" s="10" t="s">
        <x:v>55</x:v>
      </x:c>
      <x:c r="E26" s="10" t="s">
        <x:v>56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</x:row>
    <x:row r="27" ht="15">
      <x:c r="A27" s="10" t="s">
        <x:v>57</x:v>
      </x:c>
      <x:c r="B27" s="12">
        <x:v>5</x:v>
      </x:c>
      <x:c r="C27" s="10" t="s">
        <x:v>58</x:v>
      </x:c>
      <x:c r="D27" s="10" t="s">
        <x:v>59</x:v>
      </x:c>
      <x:c r="E27" s="10" t="s">
        <x:v>60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</x:row>
    <x:row r="28" ht="15">
      <x:c r="A28" s="10" t="s">
        <x:v>61</x:v>
      </x:c>
      <x:c r="B28" s="12">
        <x:v>10</x:v>
      </x:c>
      <x:c r="C28" s="10" t="s">
        <x:v>58</x:v>
      </x:c>
      <x:c r="D28" s="10" t="s">
        <x:v>62</x:v>
      </x:c>
      <x:c r="E28" s="10" t="s">
        <x:v>63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</x:row>
    <x:row r="29" ht="15">
      <x:c r="A29" s="10" t="s">
        <x:v>64</x:v>
      </x:c>
      <x:c r="B29" s="12">
        <x:v>30</x:v>
      </x:c>
      <x:c r="C29" s="10" t="s">
        <x:v>65</x:v>
      </x:c>
      <x:c r="D29" s="10" t="s">
        <x:v>66</x:v>
      </x:c>
      <x:c r="E29" s="10" t="s">
        <x:v>67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</x:row>
    <x:row r="30" ht="15">
      <x:c r="A30" s="10" t="s">
        <x:v>68</x:v>
      </x:c>
      <x:c r="B30" s="12">
        <x:v>0.03</x:v>
      </x:c>
      <x:c r="C30" s="10" t="s">
        <x:v>6</x:v>
      </x:c>
      <x:c r="D30" s="10" t="s">
        <x:v>69</x:v>
      </x:c>
      <x:c r="E30" s="10" t="s">
        <x:v>70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</x:row>
    <x:row r="31" ht="30" customHeight="1">
      <x:c r="A31" s="141" t="str">
        <x:v>Probability_Sum_Tolerance</x:v>
      </x:c>
      <x:c r="B31" s="143" t="n">
        <x:v>0.02</x:v>
      </x:c>
      <x:c r="C31" s="141" t="str">
        <x:v>prob.</x:v>
      </x:c>
      <x:c r="D31" s="142" t="str">
        <x:v>Toleranță sumă 1X2</x:v>
      </x:c>
      <x:c r="E31" s="142" t="str">
        <x:v>Toleranța existentă; valorile individuale rămân între 0 și 1.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</x:row>
    <x:row r="32" ht="30" customHeight="1">
      <x:c r="A32" s="141" t="str">
        <x:v>Weight_Scoreline</x:v>
      </x:c>
      <x:c r="B32" s="143" t="n">
        <x:v>0.5</x:v>
      </x:c>
      <x:c r="C32" s="141" t="str">
        <x:v>pondere</x:v>
      </x:c>
      <x:c r="D32" s="142" t="str">
        <x:v>Model de scor</x:v>
      </x:c>
      <x:c r="E32" s="142" t="str">
        <x:v>Pondere existentă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</x:row>
    <x:row r="33" ht="30" customHeight="1">
      <x:c r="A33" s="141" t="str">
        <x:v>Weight_Strength</x:v>
      </x:c>
      <x:c r="B33" s="143" t="n">
        <x:v>0.25</x:v>
      </x:c>
      <x:c r="C33" s="141" t="str">
        <x:v>pondere</x:v>
      </x:c>
      <x:c r="D33" s="142" t="str">
        <x:v>Model de forță</x:v>
      </x:c>
      <x:c r="E33" s="142" t="str">
        <x:v>Pondere existentă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</x:row>
    <x:row r="34" ht="30" customHeight="1">
      <x:c r="A34" s="141" t="str">
        <x:v>Weight_Market</x:v>
      </x:c>
      <x:c r="B34" s="143" t="n">
        <x:v>0.25</x:v>
      </x:c>
      <x:c r="C34" s="141" t="str">
        <x:v>pondere</x:v>
      </x:c>
      <x:c r="D34" s="142" t="str">
        <x:v>Piață 1X2 de-vig</x:v>
      </x:c>
      <x:c r="E34" s="142" t="str">
        <x:v>Pondere existentă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</x:row>
    <x:row r="35" ht="30" customHeight="1">
      <x:c r="A35" s="141" t="str">
        <x:v>Risk_Failure_1X_X2</x:v>
      </x:c>
      <x:c r="B35" s="143" t="n">
        <x:v>180</x:v>
      </x:c>
      <x:c r="C35" s="141" t="str">
        <x:v>coef.</x:v>
      </x:c>
      <x:c r="D35" s="142" t="str">
        <x:v>Risk Score 1X/X2</x:v>
      </x:c>
      <x:c r="E35" s="142" t="str">
        <x:v>Coeficient existent</x:v>
      </x:c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</x:row>
    <x:row r="36" ht="30" customHeight="1">
      <x:c r="A36" s="141" t="str">
        <x:v>Risk_Haircut_1X_X2</x:v>
      </x:c>
      <x:c r="B36" s="143" t="n">
        <x:v>200</x:v>
      </x:c>
      <x:c r="C36" s="141" t="str">
        <x:v>coef.</x:v>
      </x:c>
      <x:c r="D36" s="142" t="str">
        <x:v>Risk Score 1X/X2</x:v>
      </x:c>
      <x:c r="E36" s="142" t="str">
        <x:v>Coeficient existent</x:v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</x:row>
    <x:row r="37" ht="30" customHeight="1">
      <x:c r="A37" s="141" t="str">
        <x:v>Risk_Failure_12</x:v>
      </x:c>
      <x:c r="B37" s="143" t="n">
        <x:v>200</x:v>
      </x:c>
      <x:c r="C37" s="141" t="str">
        <x:v>coef.</x:v>
      </x:c>
      <x:c r="D37" s="142" t="str">
        <x:v>Risk Score 12</x:v>
      </x:c>
      <x:c r="E37" s="142" t="str">
        <x:v>Coeficient existent</x:v>
      </x:c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</x:row>
    <x:row r="38" ht="30" customHeight="1">
      <x:c r="A38" s="141" t="str">
        <x:v>Risk_Haircut_12</x:v>
      </x:c>
      <x:c r="B38" s="143" t="n">
        <x:v>120</x:v>
      </x:c>
      <x:c r="C38" s="141" t="str">
        <x:v>coef.</x:v>
      </x:c>
      <x:c r="D38" s="142" t="str">
        <x:v>Risk Score 12</x:v>
      </x:c>
      <x:c r="E38" s="142" t="str">
        <x:v>Coeficient existent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</x:row>
    <x:row r="39" ht="30" customHeight="1">
      <x:c r="A39" s="141" t="str">
        <x:v>Risk_Level1_Max</x:v>
      </x:c>
      <x:c r="B39" s="143" t="n">
        <x:v>20</x:v>
      </x:c>
      <x:c r="C39" s="141" t="str">
        <x:v>puncte</x:v>
      </x:c>
      <x:c r="D39" s="142" t="str">
        <x:v>Nivel 1</x:v>
      </x:c>
      <x:c r="E39" s="142" t="str">
        <x:v>După rotunjirea scorului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</x:row>
    <x:row r="40" ht="30" customHeight="1">
      <x:c r="A40" s="141" t="str">
        <x:v>Risk_Level2_Max</x:v>
      </x:c>
      <x:c r="B40" s="143" t="n">
        <x:v>40</x:v>
      </x:c>
      <x:c r="C40" s="141" t="str">
        <x:v>puncte</x:v>
      </x:c>
      <x:c r="D40" s="142" t="str">
        <x:v>Nivel 2</x:v>
      </x:c>
      <x:c r="E40" s="142" t="str">
        <x:v>După rotunjirea scorului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</x:row>
    <x:row r="41" ht="30" customHeight="1">
      <x:c r="A41" s="141" t="str">
        <x:v>Risk_Level3_Max</x:v>
      </x:c>
      <x:c r="B41" s="143" t="n">
        <x:v>60</x:v>
      </x:c>
      <x:c r="C41" s="141" t="str">
        <x:v>puncte</x:v>
      </x:c>
      <x:c r="D41" s="142" t="str">
        <x:v>Nivel 3</x:v>
      </x:c>
      <x:c r="E41" s="142" t="str">
        <x:v>După rotunjirea scorului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</x:row>
    <x:row r="42" ht="30" customHeight="1">
      <x:c r="A42" s="141" t="str">
        <x:v>Risk_Level4_Max</x:v>
      </x:c>
      <x:c r="B42" s="143" t="n">
        <x:v>80</x:v>
      </x:c>
      <x:c r="C42" s="141" t="str">
        <x:v>puncte</x:v>
      </x:c>
      <x:c r="D42" s="142" t="str">
        <x:v>Nivel 4</x:v>
      </x:c>
      <x:c r="E42" s="142" t="str">
        <x:v>Peste 80: nivel 5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</x:row>
    <x:row r="43" ht="30" customHeight="1">
      <x:c r="A43" s="141" t="str">
        <x:v>Risk_Score_Max</x:v>
      </x:c>
      <x:c r="B43" s="143" t="n">
        <x:v>100</x:v>
      </x:c>
      <x:c r="C43" s="141" t="str">
        <x:v>puncte</x:v>
      </x:c>
      <x:c r="D43" s="142" t="str">
        <x:v>Plafon scor</x:v>
      </x:c>
      <x:c r="E43" s="142" t="str">
        <x:v>Coeficient existent</x:v>
      </x:c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</x:row>
    <x:row r="44" ht="30" customHeight="1">
      <x:c r="A44" s="141" t="str">
        <x:v>Prudent_Gate_Surcharge</x:v>
      </x:c>
      <x:c r="B44" s="143" t="n">
        <x:v>10</x:v>
      </x:c>
      <x:c r="C44" s="141" t="str">
        <x:v>puncte</x:v>
      </x:c>
      <x:c r="D44" s="142" t="str">
        <x:v>Penalizare gate PRUDENT</x:v>
      </x:c>
      <x:c r="E44" s="142" t="str">
        <x:v>Coeficient existent</x:v>
      </x:c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</x:row>
    <x:row r="45" ht="30" customHeight="1">
      <x:c r="A45" s="141" t="str">
        <x:v>Draw_Watch_Surcharge</x:v>
      </x:c>
      <x:c r="B45" s="143" t="n">
        <x:v>35</x:v>
      </x:c>
      <x:c r="C45" s="141" t="str">
        <x:v>puncte</x:v>
      </x:c>
      <x:c r="D45" s="142" t="str">
        <x:v>Penalizare Draw WATCH</x:v>
      </x:c>
      <x:c r="E45" s="142" t="str">
        <x:v>Coeficient existent</x:v>
      </x:c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</x:row>
    <x:row r="46" ht="30" customHeight="1">
      <x:c r="A46" s="141" t="str">
        <x:v>Gate_Fail_Surcharge</x:v>
      </x:c>
      <x:c r="B46" s="143" t="n">
        <x:v>60</x:v>
      </x:c>
      <x:c r="C46" s="141" t="str">
        <x:v>puncte</x:v>
      </x:c>
      <x:c r="D46" s="142" t="str">
        <x:v>Penalizare FAIL</x:v>
      </x:c>
      <x:c r="E46" s="142" t="str">
        <x:v>Coeficient existent</x:v>
      </x:c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</x:row>
    <x:row r="47" ht="30" customHeight="1">
      <x:c r="A47" s="141" t="str">
        <x:v>Risk_Level_Max</x:v>
      </x:c>
      <x:c r="B47" s="143" t="n">
        <x:v>5</x:v>
      </x:c>
      <x:c r="C47" s="141" t="str">
        <x:v>nivel</x:v>
      </x:c>
      <x:c r="D47" s="142" t="str">
        <x:v>Plafon nivel</x:v>
      </x:c>
      <x:c r="E47" s="142" t="str">
        <x:v>Nivel 5: WATCH / NO BET</x:v>
      </x:c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</x:row>
    <x:row r="48" ht="30" customHeight="1">
      <x:c r="A48" s="141" t="str">
        <x:v>Fragility_Material_Count</x:v>
      </x:c>
      <x:c r="B48" s="143" t="n">
        <x:v>2</x:v>
      </x:c>
      <x:c r="C48" s="141" t="str">
        <x:v>semnale</x:v>
      </x:c>
      <x:c r="D48" s="142" t="str">
        <x:v>Prag MATERIAL</x:v>
      </x:c>
      <x:c r="E48" s="142" t="str">
        <x:v>Numărul existent de semnale DA</x:v>
      </x:c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</x:row>
    <x:row r="49" ht="30" customHeight="1">
      <x:c r="A49" s="141" t="str">
        <x:v>Fragility_Level_Surcharge</x:v>
      </x:c>
      <x:c r="B49" s="143" t="n">
        <x:v>1</x:v>
      </x:c>
      <x:c r="C49" s="141" t="str">
        <x:v>nivel</x:v>
      </x:c>
      <x:c r="D49" s="142" t="str">
        <x:v>Majorare MATERIAL</x:v>
      </x:c>
      <x:c r="E49" s="142" t="str">
        <x:v>Majorarea existentă</x:v>
      </x:c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</x:row>
    <x:row r="50" ht="15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</x:row>
    <x:row r="51" ht="15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</x:row>
    <x:row r="52" ht="15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</x:row>
    <x:row r="53" ht="15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</x:row>
    <x:row r="54" ht="15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</x:row>
    <x:row r="55" ht="1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</x:row>
    <x:row r="56" ht="15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</x:row>
    <x:row r="57" ht="15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</x:row>
    <x:row r="58" ht="15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</x:row>
    <x:row r="59" ht="15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</x:row>
    <x:row r="60" ht="15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</x:row>
    <x:row r="61" ht="15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</x:row>
    <x:row r="62" ht="15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</x:row>
    <x:row r="63" ht="15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</x:row>
    <x:row r="64" ht="15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</x:row>
    <x:row r="65" ht="1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</x:row>
    <x:row r="66" ht="15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</x:row>
    <x:row r="67" ht="15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</x:row>
    <x:row r="68" ht="15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</x:row>
    <x:row r="69" ht="15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</x:row>
    <x:row r="70" ht="15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</x:row>
    <x:row r="71" ht="15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</x:row>
    <x:row r="72" ht="15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</x:row>
    <x:row r="73" ht="15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</x:row>
    <x:row r="74" ht="15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</x:row>
    <x:row r="75" ht="1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</x:row>
    <x:row r="76" ht="15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</x:row>
    <x:row r="77" ht="15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</x:row>
    <x:row r="78" ht="15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</x:row>
    <x:row r="79" ht="15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</x:row>
    <x:row r="80" ht="15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</x:row>
    <x:row r="81" ht="15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</x:row>
    <x:row r="82" ht="15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</x:row>
    <x:row r="83" ht="15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</x:row>
    <x:row r="84" ht="15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</x:row>
    <x:row r="85" ht="1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</x:row>
    <x:row r="86" ht="15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</x:row>
    <x:row r="87" ht="15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</x:row>
    <x:row r="88" ht="15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</x:row>
    <x:row r="89" ht="15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</x:row>
    <x:row r="90" ht="15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</x:row>
    <x:row r="91" ht="15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</x:row>
    <x:row r="92" ht="15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</x:row>
    <x:row r="93" ht="15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</x:row>
    <x:row r="94" ht="15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</x:row>
    <x:row r="95" ht="1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</x:row>
    <x:row r="96" ht="15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</x:row>
    <x:row r="97" ht="15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</x:row>
    <x:row r="98" ht="15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</x:row>
    <x:row r="99" ht="15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</x:row>
    <x:row r="100" ht="15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</x:row>
    <x:row r="101" ht="15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</x:row>
    <x:row r="102" ht="15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</x:row>
    <x:row r="103" ht="15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</x:row>
    <x:row r="104" ht="15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</x:row>
    <x:row r="105" ht="1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</x:row>
    <x:row r="106" ht="15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</x:row>
    <x:row r="107" ht="15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</x:row>
    <x:row r="108" ht="15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</x:row>
    <x:row r="109" ht="15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</x:row>
    <x:row r="110" ht="15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</x:row>
    <x:row r="111" ht="15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</x:row>
    <x:row r="112" ht="15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</x:row>
    <x:row r="113" ht="15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</x:row>
    <x:row r="114" ht="15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</x:row>
    <x:row r="115" ht="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</x:row>
    <x:row r="116" ht="15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</x:row>
    <x:row r="117" ht="15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</x:row>
    <x:row r="118" ht="15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</x:row>
    <x:row r="119" ht="15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</x:row>
    <x:row r="120" ht="15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</x:row>
    <x:row r="121" ht="15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</x:row>
    <x:row r="122" ht="15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</x:row>
    <x:row r="123" ht="15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</x:row>
    <x:row r="124" ht="15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</x:row>
    <x:row r="125" ht="1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</x:row>
    <x:row r="126" ht="15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</x:row>
    <x:row r="127" ht="15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</x:row>
    <x:row r="128" ht="15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</x:row>
    <x:row r="129" ht="15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</x:row>
    <x:row r="130" ht="15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</x:row>
    <x:row r="131" ht="15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</x:row>
    <x:row r="132" ht="15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</x:row>
    <x:row r="133" ht="15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</x:row>
    <x:row r="134" ht="15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</x:row>
    <x:row r="135" ht="1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</x:row>
    <x:row r="136" ht="15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</x:row>
    <x:row r="137" ht="15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</x:row>
    <x:row r="138" ht="15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</x:row>
    <x:row r="139" ht="15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</x:row>
    <x:row r="140" ht="15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</x:row>
    <x:row r="141" ht="15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</x:row>
    <x:row r="142" ht="15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</x:row>
    <x:row r="143" ht="15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</x:row>
    <x:row r="144" ht="15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</x:row>
    <x:row r="145" ht="1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</x:row>
    <x:row r="146" ht="15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</x:row>
    <x:row r="147" ht="15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</x:row>
    <x:row r="148" ht="15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</x:row>
    <x:row r="149" ht="15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</x:row>
    <x:row r="150" ht="15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</x:row>
    <x:row r="151" ht="15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</x:row>
    <x:row r="152" ht="15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</x:row>
    <x:row r="153" ht="15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</x:row>
    <x:row r="154" ht="15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</x:row>
    <x:row r="155" ht="1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</x:row>
    <x:row r="156" ht="15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</x:row>
    <x:row r="157" ht="15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</x:row>
    <x:row r="158" ht="15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</x:row>
    <x:row r="159" ht="15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</x:row>
    <x:row r="160" ht="15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</x:row>
    <x:row r="161" ht="15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</x:row>
    <x:row r="162" ht="15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</x:row>
    <x:row r="163" ht="15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</x:row>
    <x:row r="164" ht="15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</x:row>
    <x:row r="165" ht="1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</x:row>
    <x:row r="166" ht="15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</x:row>
    <x:row r="167" ht="15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</x:row>
    <x:row r="168" ht="15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</x:row>
    <x:row r="169" ht="15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</x:row>
    <x:row r="170" ht="15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</x:row>
    <x:row r="171" ht="15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</x:row>
    <x:row r="172" ht="15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</x:row>
    <x:row r="173" ht="15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</x:row>
    <x:row r="174" ht="15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</x:row>
    <x:row r="175" ht="1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</x:row>
    <x:row r="176" ht="15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</x:row>
    <x:row r="177" ht="15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</x:row>
    <x:row r="178" ht="15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</x:row>
    <x:row r="179" ht="15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</x:row>
    <x:row r="180" ht="15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</x:row>
    <x:row r="181" ht="15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</x:row>
    <x:row r="182" ht="15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</x:row>
    <x:row r="183" ht="15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</x:row>
    <x:row r="184" ht="15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</x:row>
    <x:row r="185" ht="1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</x:row>
    <x:row r="186" ht="15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</x:row>
    <x:row r="187" ht="15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</x:row>
    <x:row r="188" ht="15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</x:row>
    <x:row r="189" ht="15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</x:row>
    <x:row r="190" ht="15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</x:row>
    <x:row r="191" ht="15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</x:row>
    <x:row r="192" ht="15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</x:row>
    <x:row r="193" ht="15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</x:row>
    <x:row r="194" ht="15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</x:row>
    <x:row r="195" ht="1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</x:row>
    <x:row r="196" ht="15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</x:row>
    <x:row r="197" ht="15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</x:row>
    <x:row r="198" ht="15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</x:row>
    <x:row r="199" ht="15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</x:row>
    <x:row r="200" ht="15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</x:row>
    <x:row r="201" ht="15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</x:row>
    <x:row r="202" ht="15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</x:row>
    <x:row r="203" ht="15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</x:row>
    <x:row r="204" ht="15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</x:row>
    <x:row r="205" ht="1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</x:row>
    <x:row r="206" ht="15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</x:row>
    <x:row r="207" ht="15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</x:row>
    <x:row r="208" ht="15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</x:row>
    <x:row r="209" ht="15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</x:row>
    <x:row r="210" ht="15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</x:row>
    <x:row r="211" ht="15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</x:row>
    <x:row r="212" ht="15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</x:row>
    <x:row r="213" ht="15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</x:row>
    <x:row r="214" ht="15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</x:row>
    <x:row r="215" ht="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</x:row>
    <x:row r="216" ht="15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</x:row>
    <x:row r="217" ht="15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</x:row>
    <x:row r="218" ht="15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</x:row>
    <x:row r="219" ht="15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</x:row>
    <x:row r="220" ht="15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38" customWidth="1"/>
    <x:col min="2" max="3" width="24" customWidth="1"/>
    <x:col min="4" max="4" width="48" customWidth="1"/>
  </x:cols>
  <x:sheetData>
    <x:row r="1" ht="27.950000762939453" customHeight="1">
      <x:c r="A1" s="18" t="str">
        <x:v>ȘANSĂ DUBLĂ – DATE MECI ȘI CONTEXT</x:v>
      </x:c>
      <x:c r="B1" s="19"/>
      <x:c r="C1" s="19"/>
      <x:c r="D1" s="19"/>
      <x:c r="E1" s="19"/>
      <x:c r="F1" s="19"/>
      <x:c r="G1" s="19"/>
      <x:c r="H1" s="19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15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 ht="15">
      <x:c r="A3" s="4" t="s">
        <x:v>71</x:v>
      </x:c>
      <x:c r="B3" s="4" t="s">
        <x:v>72</x:v>
      </x:c>
      <x:c r="C3" s="4" t="s">
        <x:v>73</x:v>
      </x:c>
      <x:c r="D3" s="4" t="s">
        <x:v>74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 ht="34" customHeight="1">
      <x:c r="A4" s="3" t="s">
        <x:v>75</x:v>
      </x:c>
      <x:c r="B4" s="3"/>
      <x:c r="C4" s="3"/>
      <x:c r="D4" s="3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34" customHeight="1">
      <x:c r="A5" s="3" t="s">
        <x:v>76</x:v>
      </x:c>
      <x:c r="B5" s="3"/>
      <x:c r="C5" s="3"/>
      <x:c r="D5" s="3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 ht="34" customHeight="1">
      <x:c r="A6" s="3" t="s">
        <x:v>77</x:v>
      </x:c>
      <x:c r="B6" s="156"/>
      <x:c r="C6" s="3"/>
      <x:c r="D6" s="3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</x:row>
    <x:row r="7" ht="34" customHeight="1">
      <x:c r="A7" s="3" t="s">
        <x:v>78</x:v>
      </x:c>
      <x:c r="B7" s="3" t="s">
        <x:v>79</x:v>
      </x:c>
      <x:c r="C7" s="3"/>
      <x:c r="D7" s="48" t="str">
        <x:v>Terenul și ordinea gazde/oaspeți trebuie confirmate în sursele modelelor.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</x:row>
    <x:row r="8" ht="34" customHeight="1">
      <x:c r="A8" s="3" t="s">
        <x:v>80</x:v>
      </x:c>
      <x:c r="B8" s="3"/>
      <x:c r="C8" s="3"/>
      <x:c r="D8" s="48" t="str">
        <x:v>Context pentru modelele externe; nu ajustează automat probabilitățile.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</x:row>
    <x:row r="9" ht="34" customHeight="1">
      <x:c r="A9" s="3" t="s">
        <x:v>81</x:v>
      </x:c>
      <x:c r="B9" s="7"/>
      <x:c r="C9" s="7"/>
      <x:c r="D9" s="48" t="str">
        <x:v>Context pentru modelele externe; nu ajustează automat probabilitățile.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</x:row>
    <x:row r="10" ht="34" customHeight="1">
      <x:c r="A10" s="3" t="s">
        <x:v>82</x:v>
      </x:c>
      <x:c r="B10" s="7"/>
      <x:c r="C10" s="7"/>
      <x:c r="D10" s="48" t="str">
        <x:v>Context pentru modelele externe; nu ajustează automat probabilitățile.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</x:row>
    <x:row r="11" ht="34" customHeight="1">
      <x:c r="A11" s="3" t="s">
        <x:v>83</x:v>
      </x:c>
      <x:c r="B11" s="7"/>
      <x:c r="C11" s="7"/>
      <x:c r="D11" s="48" t="str">
        <x:v>Context pentru modelele externe; nu ajustează automat probabilitățile.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</x:row>
    <x:row r="12" ht="34" customHeight="1">
      <x:c r="A12" s="3" t="s">
        <x:v>84</x:v>
      </x:c>
      <x:c r="B12" s="7"/>
      <x:c r="C12" s="7"/>
      <x:c r="D12" s="48" t="str">
        <x:v>Context pentru modelele externe; nu ajustează automat probabilitățile.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</x:row>
    <x:row r="13" ht="34" customHeight="1">
      <x:c r="A13" s="3" t="s">
        <x:v>85</x:v>
      </x:c>
      <x:c r="B13" s="7"/>
      <x:c r="C13" s="7"/>
      <x:c r="D13" s="48" t="str">
        <x:v>Context pentru modelele externe; nu ajustează automat probabilitățile.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</x:row>
    <x:row r="14" ht="34" customHeight="1">
      <x:c r="A14" s="3" t="s">
        <x:v>86</x:v>
      </x:c>
      <x:c r="B14" s="7"/>
      <x:c r="C14" s="7"/>
      <x:c r="D14" s="48" t="str">
        <x:v>Context pentru modelele externe; nu ajustează automat probabilitățile.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</x:row>
    <x:row r="15" ht="34" customHeight="1">
      <x:c r="A15" s="3" t="s">
        <x:v>87</x:v>
      </x:c>
      <x:c r="B15" s="7"/>
      <x:c r="C15" s="7"/>
      <x:c r="D15" s="48" t="str">
        <x:v>Context pentru modelele externe; nu ajustează automat probabilitățile.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</x:row>
    <x:row r="16" ht="34" customHeight="1">
      <x:c r="A16" s="3" t="s">
        <x:v>88</x:v>
      </x:c>
      <x:c r="B16" s="7"/>
      <x:c r="C16" s="7"/>
      <x:c r="D16" s="48" t="str">
        <x:v>Context pentru modelele externe; nu ajustează automat probabilitățile.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</x:row>
    <x:row r="17" ht="34" customHeight="1">
      <x:c r="A17" s="3" t="s">
        <x:v>89</x:v>
      </x:c>
      <x:c r="B17" s="7"/>
      <x:c r="C17" s="7"/>
      <x:c r="D17" s="48" t="str">
        <x:v>Context pentru modelele externe; nu ajustează automat probabilitățile.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</x:row>
    <x:row r="18" ht="34" customHeight="1">
      <x:c r="A18" s="3" t="s">
        <x:v>90</x:v>
      </x:c>
      <x:c r="B18" s="5"/>
      <x:c r="C18" s="5"/>
      <x:c r="D18" s="48" t="str">
        <x:v>Context pentru modelele externe; nu ajustează automat probabilitățile.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</x:row>
    <x:row r="19" ht="34" customHeight="1">
      <x:c r="A19" s="3" t="s">
        <x:v>91</x:v>
      </x:c>
      <x:c r="B19" s="5"/>
      <x:c r="C19" s="5"/>
      <x:c r="D19" s="48" t="str">
        <x:v>Context pentru modelele externe; nu ajustează automat probabilitățile.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</x:row>
    <x:row r="20" ht="34" customHeight="1">
      <x:c r="A20" s="3" t="s">
        <x:v>92</x:v>
      </x:c>
      <x:c r="B20" s="5"/>
      <x:c r="C20" s="5"/>
      <x:c r="D20" s="48" t="str">
        <x:v>Context pentru modelele externe; nu ajustează automat probabilitățile.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</x:row>
    <x:row r="21" ht="34" customHeight="1">
      <x:c r="A21" s="3" t="s">
        <x:v>93</x:v>
      </x:c>
      <x:c r="B21" s="5"/>
      <x:c r="C21" s="5"/>
      <x:c r="D21" s="48" t="str">
        <x:v>Context pentru modelele externe; nu ajustează automat probabilitățile.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</x:row>
    <x:row r="22" ht="34" customHeight="1">
      <x:c r="A22" s="3" t="s">
        <x:v>94</x:v>
      </x:c>
      <x:c r="B22" s="5"/>
      <x:c r="C22" s="5"/>
      <x:c r="D22" s="48" t="str">
        <x:v>Context pentru modelele externe; nu ajustează automat probabilitățile.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</x:row>
    <x:row r="23" ht="34" customHeight="1">
      <x:c r="A23" s="3" t="s">
        <x:v>95</x:v>
      </x:c>
      <x:c r="B23" s="7"/>
      <x:c r="C23" s="7"/>
      <x:c r="D23" s="48" t="str">
        <x:v>Context pentru modelele externe; nu ajustează automat probabilitățile.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</x:row>
    <x:row r="24" ht="34" customHeight="1">
      <x:c r="A24" s="3" t="s">
        <x:v>96</x:v>
      </x:c>
      <x:c r="B24" s="7"/>
      <x:c r="C24" s="7"/>
      <x:c r="D24" s="48" t="str">
        <x:v>Context pentru modelele externe; nu ajustează automat probabilitățile.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</x:row>
    <x:row r="25" ht="34" customHeight="1">
      <x:c r="A25" s="3" t="s">
        <x:v>97</x:v>
      </x:c>
      <x:c r="B25" s="7"/>
      <x:c r="C25" s="7"/>
      <x:c r="D25" s="48" t="str">
        <x:v>Context pentru modelele externe; nu ajustează automat probabilitățile.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</x:row>
    <x:row r="26" ht="34" customHeight="1">
      <x:c r="A26" s="3" t="s">
        <x:v>98</x:v>
      </x:c>
      <x:c r="B26" s="7"/>
      <x:c r="C26" s="7"/>
      <x:c r="D26" s="48" t="str">
        <x:v>Context pentru modelele externe; nu ajustează automat probabilitățile.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</x:row>
    <x:row r="27" ht="34" customHeight="1">
      <x:c r="A27" s="3" t="s">
        <x:v>99</x:v>
      </x:c>
      <x:c r="B27" s="3"/>
      <x:c r="C27" s="3"/>
      <x:c r="D27" s="48" t="str">
        <x:v>Context pentru modelele externe; nu ajustează automat probabilitățile.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</x:row>
    <x:row r="28" ht="34" customHeight="1">
      <x:c r="A28" s="3" t="s">
        <x:v>100</x:v>
      </x:c>
      <x:c r="B28" s="5"/>
      <x:c r="C28" s="3"/>
      <x:c r="D28" s="48" t="str">
        <x:v>Probabilitate 1X2 de-vig. Se validează și normalizează în Model_1X2.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</x:row>
    <x:row r="29" ht="34" customHeight="1">
      <x:c r="A29" s="3" t="s">
        <x:v>101</x:v>
      </x:c>
      <x:c r="B29" s="5"/>
      <x:c r="C29" s="3"/>
      <x:c r="D29" s="48" t="str">
        <x:v>Probabilitate 1X2 de-vig.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</x:row>
    <x:row r="30" ht="34" customHeight="1">
      <x:c r="A30" s="3" t="s">
        <x:v>102</x:v>
      </x:c>
      <x:c r="B30" s="5"/>
      <x:c r="C30" s="3"/>
      <x:c r="D30" s="48" t="str">
        <x:v>Probabilitate 1X2 de-vig.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</x:row>
    <x:row r="31" ht="34" customHeight="1">
      <x:c r="A31" s="3" t="s">
        <x:v>103</x:v>
      </x:c>
      <x:c r="B31" s="7"/>
      <x:c r="C31" s="3"/>
      <x:c r="D31" s="48" t="str">
        <x:v>Informativ. Cota exactă nu modifică verdictul tehnic.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</x:row>
    <x:row r="32" ht="34" customHeight="1">
      <x:c r="A32" s="3" t="s">
        <x:v>104</x:v>
      </x:c>
      <x:c r="B32" s="7"/>
      <x:c r="C32" s="3"/>
      <x:c r="D32" s="48" t="str">
        <x:v>Informativ. Cota exactă nu modifică verdictul tehnic.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</x:row>
    <x:row r="33" ht="34" customHeight="1">
      <x:c r="A33" s="3" t="s">
        <x:v>105</x:v>
      </x:c>
      <x:c r="B33" s="7"/>
      <x:c r="C33" s="3"/>
      <x:c r="D33" s="48" t="str">
        <x:v>Informativ. Cota exactă nu modifică verdictul tehnic.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</x:row>
    <x:row r="34" ht="34" customHeight="1">
      <x:c r="A34" s="3" t="s">
        <x:v>106</x:v>
      </x:c>
      <x:c r="B34" s="3" t="s">
        <x:v>107</x:v>
      </x:c>
      <x:c r="C34" s="3"/>
      <x:c r="D34" s="48" t="s">
        <x:v>108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</x:row>
    <x:row r="35" ht="34" customHeight="1">
      <x:c r="A35" s="10"/>
      <x:c r="B35" s="10"/>
      <x:c r="C35" s="10"/>
      <x:c r="D35" s="46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</x:row>
    <x:row r="36" ht="34" customHeight="1">
      <x:c r="A36" s="10" t="s">
        <x:v>109</x:v>
      </x:c>
      <x:c r="B36" s="12"/>
      <x:c r="C36" s="12"/>
      <x:c r="D36" s="46" t="str">
        <x:v>Număr curent întreg ≥ 0; sub 8 se cere prior/shrinkage documentat.</x:v>
      </x:c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</x:row>
    <x:row r="37" ht="34" customHeight="1">
      <x:c r="A37" s="10" t="s">
        <x:v>110</x:v>
      </x:c>
      <x:c r="B37" s="10" t="s">
        <x:v>79</x:v>
      </x:c>
      <x:c r="C37" s="10"/>
      <x:c r="D37" s="46" t="s">
        <x:v>111</x:v>
      </x:c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</x:row>
    <x:row r="38" ht="34" customHeight="1">
      <x:c r="A38" s="10" t="s">
        <x:v>112</x:v>
      </x:c>
      <x:c r="B38" s="10" t="s">
        <x:v>79</x:v>
      </x:c>
      <x:c r="C38" s="10"/>
      <x:c r="D38" s="46" t="s">
        <x:v>111</x:v>
      </x:c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</x:row>
    <x:row r="39" ht="34" customHeight="1">
      <x:c r="A39" s="10" t="s">
        <x:v>113</x:v>
      </x:c>
      <x:c r="B39" s="10"/>
      <x:c r="C39" s="10"/>
      <x:c r="D39" s="46" t="s">
        <x:v>114</x:v>
      </x:c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</x:row>
    <x:row r="40" ht="34" customHeight="1">
      <x:c r="A40" s="10" t="s">
        <x:v>115</x:v>
      </x:c>
      <x:c r="B40" s="10"/>
      <x:c r="C40" s="10"/>
      <x:c r="D40" s="46" t="s">
        <x:v>114</x:v>
      </x:c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</x:row>
    <x:row r="41" ht="34" customHeight="1">
      <x:c r="A41" s="10" t="s">
        <x:v>116</x:v>
      </x:c>
      <x:c r="B41" s="10"/>
      <x:c r="C41" s="10">
        <x:v>0</x:v>
      </x:c>
      <x:c r="D41" s="46" t="s">
        <x:v>117</x:v>
      </x:c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</x:row>
    <x:row r="42" ht="34" customHeight="1">
      <x:c r="A42" s="2" t="str">
        <x:v>Sursă probabilități 1X2 de-vig</x:v>
      </x:c>
      <x:c r="B42" s="2"/>
      <x:c r="C42" s="2"/>
      <x:c r="D42" s="46" t="str">
        <x:v>Sursa pieței; datele verificării și cutoff-ul se completează în Surse_Date.</x:v>
      </x:c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</x:row>
    <x:row r="43" ht="34" customHeight="1">
      <x:c r="A43" s="2" t="str">
        <x:v>Home favorite foarte scurt?</x:v>
      </x:c>
      <x:c r="B43" s="2" t="str">
        <x:v>PENDING</x:v>
      </x:c>
      <x:c r="C43" s="2"/>
      <x:c r="D43" s="46" t="str">
        <x:v>DA/NU/PENDING – audit manual, fără prag numeric nou</x:v>
      </x:c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</x:row>
    <x:row r="44" ht="34" customHeight="1">
      <x:c r="A44" s="2" t="str">
        <x:v>Discrepanțe finishing favorit home?</x:v>
      </x:c>
      <x:c r="B44" s="2" t="str">
        <x:v>PENDING</x:v>
      </x:c>
      <x:c r="C44" s="2"/>
      <x:c r="D44" s="46" t="str">
        <x:v>DA/NU/PENDING</x:v>
      </x:c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</x:row>
    <x:row r="45" ht="34" customHeight="1">
      <x:c r="A45" s="2" t="str">
        <x:v>Adversar transition threat / away scoring robust?</x:v>
      </x:c>
      <x:c r="B45" s="2" t="str">
        <x:v>PENDING</x:v>
      </x:c>
      <x:c r="C45" s="2"/>
      <x:c r="D45" s="46" t="str">
        <x:v>DA/NU/PENDING</x:v>
      </x:c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</x:row>
    <x:row r="46" ht="34" customHeight="1">
      <x:c r="A46" s="2" t="str">
        <x:v>P1X mare aproape exclusiv din piață?</x:v>
      </x:c>
      <x:c r="B46" s="2" t="str">
        <x:v>PENDING</x:v>
      </x:c>
      <x:c r="C46" s="2"/>
      <x:c r="D46" s="46" t="str">
        <x:v>DA/NU/PENDING</x:v>
      </x:c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</x:row>
    <x:row r="47" ht="34" customHeight="1">
      <x:c r="A47" s="2" t="str">
        <x:v>Notă integrare context</x:v>
      </x:c>
      <x:c r="B47" s="2"/>
      <x:c r="C47" s="2"/>
      <x:c r="D47" s="46" t="str">
        <x:v>Contextul material se integrează în modelele externe și se documentează în Surse_Date; fără dublă penalizare.</x:v>
      </x:c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</x:row>
    <x:row r="48" ht="34" customHeight="1">
      <x:c r="A48" s="2"/>
      <x:c r="B48" s="2"/>
      <x:c r="C48" s="2"/>
      <x:c r="D48" s="46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</x:row>
    <x:row r="49" ht="34" customHeight="1">
      <x:c r="A49" s="2" t="str">
        <x:v>Surse și verificare</x:v>
      </x:c>
      <x:c r="B49" s="2"/>
      <x:c r="C49" s="2"/>
      <x:c r="D49" s="46" t="str">
        <x:v>Completați Surse_Date înaintea folosirii recomandărilor.</x:v>
      </x:c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</x:row>
    <x:row r="50" ht="34" customHeight="1">
      <x:c r="A50" s="2" t="str">
        <x:v>Modele externe</x:v>
      </x:c>
      <x:c r="B50" s="2"/>
      <x:c r="C50" s="2"/>
      <x:c r="D50" s="46" t="str">
        <x:v>Introduceți P(1), P(X), P(2) în Model_1X2, pentru fiecare model.</x:v>
      </x:c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</x:row>
    <x:row r="51" ht="15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</x:row>
    <x:row r="52" ht="15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</x:row>
    <x:row r="53" ht="15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</x:row>
    <x:row r="54" ht="15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</x:row>
    <x:row r="55" ht="1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</x:row>
    <x:row r="56" ht="15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</x:row>
    <x:row r="57" ht="15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</x:row>
    <x:row r="58" ht="15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</x:row>
    <x:row r="59" ht="15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</x:row>
    <x:row r="60" ht="15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</x:row>
    <x:row r="61" ht="15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</x:row>
    <x:row r="62" ht="15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</x:row>
    <x:row r="63" ht="15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</x:row>
    <x:row r="64" ht="15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</x:row>
    <x:row r="65" ht="1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</x:row>
    <x:row r="66" ht="15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</x:row>
    <x:row r="67" ht="15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</x:row>
    <x:row r="68" ht="15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</x:row>
    <x:row r="69" ht="15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</x:row>
    <x:row r="70" ht="15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</x:row>
    <x:row r="71" ht="15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</x:row>
    <x:row r="72" ht="15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</x:row>
    <x:row r="73" ht="15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</x:row>
    <x:row r="74" ht="15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</x:row>
    <x:row r="75" ht="1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</x:row>
    <x:row r="76" ht="15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</x:row>
    <x:row r="77" ht="15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</x:row>
    <x:row r="78" ht="15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</x:row>
    <x:row r="79" ht="15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</x:row>
    <x:row r="80" ht="15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</x:row>
    <x:row r="81" ht="15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</x:row>
    <x:row r="82" ht="15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</x:row>
    <x:row r="83" ht="15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</x:row>
    <x:row r="84" ht="15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</x:row>
    <x:row r="85" ht="1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</x:row>
    <x:row r="86" ht="15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</x:row>
    <x:row r="87" ht="15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</x:row>
    <x:row r="88" ht="15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</x:row>
    <x:row r="89" ht="15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</x:row>
    <x:row r="90" ht="15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</x:row>
    <x:row r="91" ht="15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</x:row>
    <x:row r="92" ht="15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</x:row>
    <x:row r="93" ht="15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</x:row>
    <x:row r="94" ht="15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</x:row>
    <x:row r="95" ht="1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</x:row>
    <x:row r="96" ht="15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</x:row>
    <x:row r="97" ht="15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</x:row>
    <x:row r="98" ht="15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</x:row>
    <x:row r="99" ht="15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</x:row>
    <x:row r="100" ht="15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</x:row>
    <x:row r="101" ht="15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</x:row>
    <x:row r="102" ht="15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</x:row>
    <x:row r="103" ht="15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</x:row>
    <x:row r="104" ht="15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</x:row>
    <x:row r="105" ht="1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</x:row>
    <x:row r="106" ht="15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</x:row>
    <x:row r="107" ht="15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</x:row>
    <x:row r="108" ht="15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</x:row>
    <x:row r="109" ht="15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</x:row>
    <x:row r="110" ht="15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</x:row>
    <x:row r="111" ht="15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</x:row>
    <x:row r="112" ht="15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</x:row>
    <x:row r="113" ht="15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</x:row>
    <x:row r="114" ht="15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</x:row>
    <x:row r="115" ht="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</x:row>
    <x:row r="116" ht="15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</x:row>
    <x:row r="117" ht="15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</x:row>
    <x:row r="118" ht="15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</x:row>
    <x:row r="119" ht="15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</x:row>
    <x:row r="120" ht="15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</x:row>
    <x:row r="121" ht="15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</x:row>
    <x:row r="122" ht="15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</x:row>
    <x:row r="123" ht="15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</x:row>
    <x:row r="124" ht="15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</x:row>
    <x:row r="125" ht="1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</x:row>
    <x:row r="126" ht="15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</x:row>
    <x:row r="127" ht="15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</x:row>
    <x:row r="128" ht="15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</x:row>
    <x:row r="129" ht="15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</x:row>
    <x:row r="130" ht="15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</x:row>
    <x:row r="131" ht="15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</x:row>
    <x:row r="132" ht="15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</x:row>
    <x:row r="133" ht="15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</x:row>
    <x:row r="134" ht="15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</x:row>
    <x:row r="135" ht="1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</x:row>
    <x:row r="136" ht="15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</x:row>
    <x:row r="137" ht="15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</x:row>
    <x:row r="138" ht="15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</x:row>
    <x:row r="139" ht="15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</x:row>
    <x:row r="140" ht="15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</x:row>
    <x:row r="141" ht="15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</x:row>
    <x:row r="142" ht="15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</x:row>
    <x:row r="143" ht="15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</x:row>
    <x:row r="144" ht="15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</x:row>
    <x:row r="145" ht="1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</x:row>
    <x:row r="146" ht="15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</x:row>
    <x:row r="147" ht="15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</x:row>
    <x:row r="148" ht="15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</x:row>
    <x:row r="149" ht="15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</x:row>
    <x:row r="150" ht="15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</x:row>
    <x:row r="151" ht="15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</x:row>
    <x:row r="152" ht="15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</x:row>
    <x:row r="153" ht="15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</x:row>
    <x:row r="154" ht="15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</x:row>
    <x:row r="155" ht="1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</x:row>
    <x:row r="156" ht="15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</x:row>
    <x:row r="157" ht="15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</x:row>
    <x:row r="158" ht="15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</x:row>
    <x:row r="159" ht="15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</x:row>
    <x:row r="160" ht="15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</x:row>
    <x:row r="161" ht="15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</x:row>
    <x:row r="162" ht="15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</x:row>
    <x:row r="163" ht="15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</x:row>
    <x:row r="164" ht="15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</x:row>
    <x:row r="165" ht="1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</x:row>
    <x:row r="166" ht="15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</x:row>
    <x:row r="167" ht="15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</x:row>
    <x:row r="168" ht="15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</x:row>
    <x:row r="169" ht="15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</x:row>
    <x:row r="170" ht="15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</x:row>
    <x:row r="171" ht="15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</x:row>
    <x:row r="172" ht="15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</x:row>
    <x:row r="173" ht="15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</x:row>
    <x:row r="174" ht="15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</x:row>
    <x:row r="175" ht="1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</x:row>
    <x:row r="176" ht="15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</x:row>
    <x:row r="177" ht="15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</x:row>
    <x:row r="178" ht="15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</x:row>
    <x:row r="179" ht="15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</x:row>
    <x:row r="180" ht="15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</x:row>
    <x:row r="181" ht="15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</x:row>
    <x:row r="182" ht="15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</x:row>
    <x:row r="183" ht="15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</x:row>
    <x:row r="184" ht="15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</x:row>
    <x:row r="185" ht="1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</x:row>
    <x:row r="186" ht="15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</x:row>
    <x:row r="187" ht="15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</x:row>
    <x:row r="188" ht="15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</x:row>
    <x:row r="189" ht="15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</x:row>
    <x:row r="190" ht="15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</x:row>
    <x:row r="191" ht="15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</x:row>
    <x:row r="192" ht="15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</x:row>
    <x:row r="193" ht="15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</x:row>
    <x:row r="194" ht="15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</x:row>
    <x:row r="195" ht="1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</x:row>
    <x:row r="196" ht="15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</x:row>
    <x:row r="197" ht="15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</x:row>
    <x:row r="198" ht="15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</x:row>
    <x:row r="199" ht="15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</x:row>
    <x:row r="200" ht="15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</x:row>
    <x:row r="201" ht="15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</x:row>
    <x:row r="202" ht="15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</x:row>
    <x:row r="203" ht="15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</x:row>
    <x:row r="204" ht="15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</x:row>
    <x:row r="205" ht="1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</x:row>
    <x:row r="206" ht="15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</x:row>
    <x:row r="207" ht="15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</x:row>
    <x:row r="208" ht="15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</x:row>
    <x:row r="209" ht="15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</x:row>
    <x:row r="210" ht="15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</x:row>
    <x:row r="211" ht="15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</x:row>
    <x:row r="212" ht="15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</x:row>
    <x:row r="213" ht="15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</x:row>
    <x:row r="214" ht="15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</x:row>
    <x:row r="215" ht="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</x:row>
    <x:row r="216" ht="15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</x:row>
    <x:row r="217" ht="15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</x:row>
    <x:row r="218" ht="15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</x:row>
    <x:row r="219" ht="15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</x:row>
    <x:row r="220" ht="15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</x:row>
  </x:sheetData>
  <x:mergeCells>
    <x:mergeCell ref="A1:H1"/>
  </x:mergeCells>
  <x:dataValidations count="4">
    <x:dataValidation type="list" sqref="B34">
      <x:formula1>"A,B,C"</x:formula1>
    </x:dataValidation>
    <x:dataValidation type="list" sqref="B7 B37:B38">
      <x:formula1>"DA,NU"</x:formula1>
    </x:dataValidation>
    <x:dataValidation type="list" sqref="C41">
      <x:formula1>"0,1,2"</x:formula1>
    </x:dataValidation>
    <x:dataValidation type="list" sqref="B43:B46">
      <x:formula1>"DA,NU,PENDING"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3" customWidth="1"/>
    <x:col min="2" max="6" width="20" customWidth="1"/>
    <x:col min="7" max="8" width="32" customWidth="1"/>
    <x:col min="10" max="10" width="19" hidden="0" customWidth="1"/>
    <x:col min="11" max="11" width="19" hidden="0" customWidth="1"/>
    <x:col min="12" max="12" width="19" hidden="0" customWidth="1"/>
    <x:col min="6" max="6" width="22" hidden="0" customWidth="1"/>
    <x:col min="8" max="8" width="53" hidden="0" customWidth="1"/>
  </x:cols>
  <x:sheetData>
    <x:row r="1" ht="27.950000762939453" customHeight="1">
      <x:c r="A1" s="171" t="str">
        <x:v>MODEL 1X2 – INTRĂRI VALIDATE ȘI COMBINARE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15">
      <x:c r="A2" s="141"/>
      <x:c r="B2" s="141"/>
      <x:c r="C2" s="141"/>
      <x:c r="D2" s="141"/>
      <x:c r="E2" s="141"/>
      <x:c r="F2" s="141"/>
      <x:c r="G2" s="141"/>
      <x:c r="H2" s="141"/>
      <x:c r="I2" s="141"/>
      <x:c r="J2" s="141"/>
      <x:c r="K2" s="141"/>
      <x:c r="L2" s="141"/>
      <x:c r="M2" s="141"/>
      <x:c r="N2" s="141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 ht="15">
      <x:c r="A3" s="177" t="str">
        <x:v>Introduceți două distribuții externe; toate componentele trebuie să fie valide.</x:v>
      </x:c>
      <x:c r="B3" s="142"/>
      <x:c r="C3" s="142"/>
      <x:c r="D3" s="142"/>
      <x:c r="E3" s="142"/>
      <x:c r="F3" s="142"/>
      <x:c r="G3" s="142"/>
      <x:c r="H3" s="142"/>
      <x:c r="I3" s="142"/>
      <x:c r="J3" s="142"/>
      <x:c r="K3" s="142"/>
      <x:c r="L3" s="142"/>
      <x:c r="M3" s="142"/>
      <x:c r="N3" s="14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 ht="43" customHeight="1">
      <x:c r="A4" s="142"/>
      <x:c r="B4" s="142"/>
      <x:c r="C4" s="142"/>
      <x:c r="D4" s="142"/>
      <x:c r="E4" s="142"/>
      <x:c r="F4" s="142"/>
      <x:c r="G4" s="142"/>
      <x:c r="H4" s="142"/>
      <x:c r="I4" s="142"/>
      <x:c r="J4" s="142"/>
      <x:c r="K4" s="142"/>
      <x:c r="L4" s="142"/>
      <x:c r="M4" s="142"/>
      <x:c r="N4" s="14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43" customHeight="1">
      <x:c r="A5" s="180" t="s">
        <x:v>118</x:v>
      </x:c>
      <x:c r="B5" s="180" t="s">
        <x:v>119</x:v>
      </x:c>
      <x:c r="C5" s="180" t="s">
        <x:v>120</x:v>
      </x:c>
      <x:c r="D5" s="180" t="s">
        <x:v>121</x:v>
      </x:c>
      <x:c r="E5" s="180" t="s">
        <x:v>122</x:v>
      </x:c>
      <x:c r="F5" s="180" t="s">
        <x:v>123</x:v>
      </x:c>
      <x:c r="G5" s="180" t="s">
        <x:v>3</x:v>
      </x:c>
      <x:c r="H5" s="180" t="s">
        <x:v>74</x:v>
      </x:c>
      <x:c r="I5" s="193"/>
      <x:c r="J5" s="188" t="str">
        <x:v>P(1) normalizat</x:v>
      </x:c>
      <x:c r="K5" s="188" t="str">
        <x:v>P(X) normalizat</x:v>
      </x:c>
      <x:c r="L5" s="188" t="str">
        <x:v>P(2) normalizat</x:v>
      </x:c>
      <x:c r="M5" s="142"/>
      <x:c r="N5" s="14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 ht="43" customHeight="1">
      <x:c r="A6" s="193" t="s">
        <x:v>124</x:v>
      </x:c>
      <x:c r="B6" s="194"/>
      <x:c r="C6" s="194"/>
      <x:c r="D6" s="194"/>
      <x:c r="E6" s="194" t="str">
        <x:f>IF(COUNT(B6:D6)=0,"",SUM(B6:D6))</x:f>
      </x:c>
      <x:c r="F6" s="193" t="str">
        <x:f>IF(COUNTBLANK(B6:D6)&gt;0,"INPUT",IF(COUNT(B6:D6)&lt;&gt;3,"INVALID",IF(OR(MIN(B6:D6)&lt;0,MAX(B6:D6)&gt;1,ROUND(ABS(SUM(B6:D6)-1),12)&gt;'Parametri'!B31),"INVALID","OK")))</x:f>
        <x:v>INPUT</x:v>
      </x:c>
      <x:c r="G6" s="193" t="s">
        <x:v>125</x:v>
      </x:c>
      <x:c r="H6" s="193" t="s">
        <x:v>126</x:v>
      </x:c>
      <x:c r="I6" s="193"/>
      <x:c r="J6" s="194" t="str">
        <x:f>IF(F6&lt;&gt;"OK","",B6/E6)</x:f>
      </x:c>
      <x:c r="K6" s="194" t="str">
        <x:f>IF(F6&lt;&gt;"OK","",C6/E6)</x:f>
      </x:c>
      <x:c r="L6" s="194" t="str">
        <x:f>IF(F6&lt;&gt;"OK","",D6/E6)</x:f>
      </x:c>
      <x:c r="M6" s="142"/>
      <x:c r="N6" s="142"/>
      <x:c r="O6" s="2"/>
      <x:c r="P6" s="2"/>
      <x:c r="Q6" s="2"/>
      <x:c r="R6" s="2"/>
      <x:c r="S6" s="2"/>
      <x:c r="T6" s="2"/>
      <x:c r="U6" s="2"/>
      <x:c r="V6" s="2"/>
      <x:c r="W6" s="2"/>
      <x:c r="X6" s="2"/>
    </x:row>
    <x:row r="7" ht="43" customHeight="1">
      <x:c r="A7" s="193" t="s">
        <x:v>127</x:v>
      </x:c>
      <x:c r="B7" s="194"/>
      <x:c r="C7" s="194"/>
      <x:c r="D7" s="194"/>
      <x:c r="E7" s="194" t="str">
        <x:f>IF(COUNT(B7:D7)=0,"",SUM(B7:D7))</x:f>
      </x:c>
      <x:c r="F7" s="193" t="str">
        <x:f>IF(COUNTBLANK(B7:D7)&gt;0,"INPUT",IF(COUNT(B7:D7)&lt;&gt;3,"INVALID",IF(OR(MIN(B7:D7)&lt;0,MAX(B7:D7)&gt;1,ROUND(ABS(SUM(B7:D7)-1),12)&gt;'Parametri'!B31),"INVALID","OK")))</x:f>
        <x:v>INPUT</x:v>
      </x:c>
      <x:c r="G7" s="193" t="s">
        <x:v>128</x:v>
      </x:c>
      <x:c r="H7" s="193" t="s">
        <x:v>129</x:v>
      </x:c>
      <x:c r="I7" s="193"/>
      <x:c r="J7" s="194" t="str">
        <x:f>IF(F7&lt;&gt;"OK","",B7/E7)</x:f>
      </x:c>
      <x:c r="K7" s="194" t="str">
        <x:f>IF(F7&lt;&gt;"OK","",C7/E7)</x:f>
      </x:c>
      <x:c r="L7" s="194" t="str">
        <x:f>IF(F7&lt;&gt;"OK","",D7/E7)</x:f>
      </x:c>
      <x:c r="M7" s="142"/>
      <x:c r="N7" s="142"/>
      <x:c r="O7" s="2"/>
      <x:c r="P7" s="2"/>
      <x:c r="Q7" s="2"/>
      <x:c r="R7" s="2"/>
      <x:c r="S7" s="2"/>
      <x:c r="T7" s="2"/>
      <x:c r="U7" s="2"/>
      <x:c r="V7" s="2"/>
      <x:c r="W7" s="2"/>
      <x:c r="X7" s="2"/>
    </x:row>
    <x:row r="8" ht="43" customHeight="1">
      <x:c r="A8" s="193" t="s">
        <x:v>130</x:v>
      </x:c>
      <x:c r="B8" s="194" t="str">
        <x:f>IF(NOT(ISNUMBER(Input_Meci!B28)),"",Input_Meci!B28)</x:f>
      </x:c>
      <x:c r="C8" s="194" t="str">
        <x:f>IF(NOT(ISNUMBER(Input_Meci!B29)),"",Input_Meci!B29)</x:f>
      </x:c>
      <x:c r="D8" s="194" t="str">
        <x:f>IF(NOT(ISNUMBER(Input_Meci!B30)),"",Input_Meci!B30)</x:f>
      </x:c>
      <x:c r="E8" s="194" t="str">
        <x:f>IF(COUNT(B8:D8)=0,"",SUM(B8:D8))</x:f>
      </x:c>
      <x:c r="F8" s="193" t="str">
        <x:f>IF(COUNTBLANK(B8:D8)&gt;0,"INPUT",IF(COUNT(B8:D8)&lt;&gt;3,"INVALID",IF(OR(MIN(B8:D8)&lt;0,MAX(B8:D8)&gt;1,ROUND(ABS(SUM(B8:D8)-1),12)&gt;'Parametri'!B31),"INVALID","OK")))</x:f>
        <x:v>INPUT</x:v>
      </x:c>
      <x:c r="G8" s="193" t="s">
        <x:v>131</x:v>
      </x:c>
      <x:c r="H8" s="193" t="s">
        <x:v>132</x:v>
      </x:c>
      <x:c r="I8" s="193"/>
      <x:c r="J8" s="194" t="str">
        <x:f>IF(F8&lt;&gt;"OK","",B8/E8)</x:f>
      </x:c>
      <x:c r="K8" s="194" t="str">
        <x:f>IF(F8&lt;&gt;"OK","",C8/E8)</x:f>
      </x:c>
      <x:c r="L8" s="194" t="str">
        <x:f>IF(F8&lt;&gt;"OK","",D8/E8)</x:f>
      </x:c>
      <x:c r="M8" s="142"/>
      <x:c r="N8" s="142"/>
      <x:c r="O8" s="2"/>
      <x:c r="P8" s="2"/>
      <x:c r="Q8" s="2"/>
      <x:c r="R8" s="2"/>
      <x:c r="S8" s="2"/>
      <x:c r="T8" s="2"/>
      <x:c r="U8" s="2"/>
      <x:c r="V8" s="2"/>
      <x:c r="W8" s="2"/>
      <x:c r="X8" s="2"/>
    </x:row>
    <x:row r="9" ht="43" customHeight="1">
      <x:c r="A9" s="193" t="s">
        <x:v>133</x:v>
      </x:c>
      <x:c r="B9" s="194" t="str">
        <x:f>IF($F$14&lt;&gt;"READY","",'Parametri'!$B$32*J6+'Parametri'!$B$33*J7+'Parametri'!$B$34*J8)</x:f>
      </x:c>
      <x:c r="C9" s="194" t="str">
        <x:f>IF($F$14&lt;&gt;"READY","",'Parametri'!$B$32*K6+'Parametri'!$B$33*K7+'Parametri'!$B$34*K8)</x:f>
      </x:c>
      <x:c r="D9" s="194" t="str">
        <x:f>IF($F$14&lt;&gt;"READY","",'Parametri'!$B$32*L6+'Parametri'!$B$33*L7+'Parametri'!$B$34*L8)</x:f>
      </x:c>
      <x:c r="E9" s="194" t="str">
        <x:f>IF(COUNT(B9:D9)&lt;&gt;3,"",SUM(B9:D9))</x:f>
      </x:c>
      <x:c r="F9" s="193" t="str">
        <x:f>IF(COUNT(B9:D9)&lt;&gt;3,"INPUT",IF(ROUND(ABS(E9-1),12)&lt;='Parametri'!B31,"OK","INVALID"))</x:f>
        <x:v>INPUT</x:v>
      </x:c>
      <x:c r="G9" s="193" t="s">
        <x:v>134</x:v>
      </x:c>
      <x:c r="H9" s="193" t="s">
        <x:v>135</x:v>
      </x:c>
      <x:c r="I9" s="193"/>
      <x:c r="J9" s="193"/>
      <x:c r="K9" s="193"/>
      <x:c r="L9" s="193"/>
      <x:c r="M9" s="142"/>
      <x:c r="N9" s="142"/>
      <x:c r="O9" s="2"/>
      <x:c r="P9" s="2"/>
      <x:c r="Q9" s="2"/>
      <x:c r="R9" s="2"/>
      <x:c r="S9" s="2"/>
      <x:c r="T9" s="2"/>
      <x:c r="U9" s="2"/>
      <x:c r="V9" s="2"/>
      <x:c r="W9" s="2"/>
      <x:c r="X9" s="2"/>
    </x:row>
    <x:row r="10" ht="43" customHeight="1">
      <x:c r="A10" s="193" t="str">
        <x:v>Distribuție combinată finală</x:v>
      </x:c>
      <x:c r="B10" s="194" t="str">
        <x:f>IF(OR(NOT(ISNUMBER(B9)),$F$9&lt;&gt;"OK"),"",B9/$E$9)</x:f>
      </x:c>
      <x:c r="C10" s="194" t="str">
        <x:f>IF(OR(NOT(ISNUMBER(C9)),$F$9&lt;&gt;"OK"),"",C9/$E$9)</x:f>
      </x:c>
      <x:c r="D10" s="194" t="str">
        <x:f>IF(OR(NOT(ISNUMBER(D9)),$F$9&lt;&gt;"OK"),"",D9/$E$9)</x:f>
      </x:c>
      <x:c r="E10" s="194" t="str">
        <x:f>IF(COUNT(B10:D10)&lt;&gt;3,"",SUM(B10:D10))</x:f>
      </x:c>
      <x:c r="F10" s="193" t="str">
        <x:f>IF(COUNT(B10:D10)&lt;&gt;3,"INPUT",IF(ROUND(ABS(E10-1),12)&lt;='Parametri'!B31,"OK","INVALID"))</x:f>
        <x:v>INPUT</x:v>
      </x:c>
      <x:c r="G10" s="193" t="s">
        <x:v>136</x:v>
      </x:c>
      <x:c r="H10" s="193" t="str">
        <x:v>Contextul este integrat extern; haircut-ul se aplică ulterior, o singură dată.</x:v>
      </x:c>
      <x:c r="I10" s="193"/>
      <x:c r="J10" s="193"/>
      <x:c r="K10" s="193"/>
      <x:c r="L10" s="193"/>
      <x:c r="M10" s="142"/>
      <x:c r="N10" s="142"/>
      <x:c r="O10" s="2"/>
      <x:c r="P10" s="2"/>
      <x:c r="Q10" s="2"/>
      <x:c r="R10" s="2"/>
      <x:c r="S10" s="2"/>
      <x:c r="T10" s="2"/>
      <x:c r="U10" s="2"/>
      <x:c r="V10" s="2"/>
      <x:c r="W10" s="2"/>
      <x:c r="X10" s="2"/>
    </x:row>
    <x:row r="11" ht="43" customHeight="1">
      <x:c r="A11" s="193"/>
      <x:c r="B11" s="193"/>
      <x:c r="C11" s="193"/>
      <x:c r="D11" s="193"/>
      <x:c r="E11" s="193"/>
      <x:c r="F11" s="193"/>
      <x:c r="G11" s="193"/>
      <x:c r="H11" s="193"/>
      <x:c r="I11" s="193"/>
      <x:c r="J11" s="193"/>
      <x:c r="K11" s="193"/>
      <x:c r="L11" s="193"/>
      <x:c r="M11" s="142"/>
      <x:c r="N11" s="142"/>
      <x:c r="O11" s="2"/>
      <x:c r="P11" s="2"/>
      <x:c r="Q11" s="2"/>
      <x:c r="R11" s="2"/>
      <x:c r="S11" s="2"/>
      <x:c r="T11" s="2"/>
      <x:c r="U11" s="2"/>
      <x:c r="V11" s="2"/>
      <x:c r="W11" s="2"/>
      <x:c r="X11" s="2"/>
    </x:row>
    <x:row r="12" ht="43" customHeight="1">
      <x:c r="A12" s="193" t="str">
        <x:v>Integritate distribuții</x:v>
      </x:c>
      <x:c r="B12" s="193"/>
      <x:c r="C12" s="193"/>
      <x:c r="D12" s="193"/>
      <x:c r="E12" s="193"/>
      <x:c r="F12" s="193" t="str">
        <x:f>IF(COUNTIF(F6:F8,"INVALID")&gt;0,"INVALID",IF(COUNTIF(F6:F8,"OK")=3,"READY","INPUT"))</x:f>
        <x:v>INPUT</x:v>
      </x:c>
      <x:c r="G12" s="193"/>
      <x:c r="H12" s="193" t="str">
        <x:v>Interval 0–100%; sumă în toleranța de 2 puncte procentuale.</x:v>
      </x:c>
      <x:c r="I12" s="193"/>
      <x:c r="J12" s="193"/>
      <x:c r="K12" s="193"/>
      <x:c r="L12" s="193"/>
      <x:c r="M12" s="142"/>
      <x:c r="N12" s="142"/>
      <x:c r="O12" s="2"/>
      <x:c r="P12" s="2"/>
      <x:c r="Q12" s="2"/>
      <x:c r="R12" s="2"/>
      <x:c r="S12" s="2"/>
      <x:c r="T12" s="2"/>
      <x:c r="U12" s="2"/>
      <x:c r="V12" s="2"/>
      <x:c r="W12" s="2"/>
      <x:c r="X12" s="2"/>
    </x:row>
    <x:row r="13" ht="43" customHeight="1">
      <x:c r="A13" s="193" t="str">
        <x:v>Integritate fixture și parametri</x:v>
      </x:c>
      <x:c r="B13" s="193"/>
      <x:c r="C13" s="193"/>
      <x:c r="D13" s="193"/>
      <x:c r="E13" s="193"/>
      <x:c r="F13" s="193" t="str">
        <x:f>IF(OR('Input_Meci'!B4="",'Input_Meci'!C4="",'Input_Meci'!B5="",NOT(ISNUMBER('Input_Meci'!B6)),'Input_Meci'!B7="",'Input_Meci'!B34=""),"INPUT",IF(OR('Input_Meci'!B4='Input_Meci'!C4,AND('Input_Meci'!B7&lt;&gt;"DA",'Input_Meci'!B7&lt;&gt;"NU"),AND('Input_Meci'!B34&lt;&gt;"A",'Input_Meci'!B34&lt;&gt;"B",'Input_Meci'!B34&lt;&gt;"C"),ABS(SUM('Parametri'!B32:B34)-1)&gt;0.000000000001,MIN('Parametri'!B32:B34)&lt;0),"INVALID","READY"))</x:f>
        <x:v>INPUT</x:v>
      </x:c>
      <x:c r="G13" s="193"/>
      <x:c r="H13" s="193" t="str">
        <x:v>Același meci, teren, confidence și ponderi valide.</x:v>
      </x:c>
      <x:c r="I13" s="193"/>
      <x:c r="J13" s="193"/>
      <x:c r="K13" s="193"/>
      <x:c r="L13" s="193"/>
      <x:c r="M13" s="142"/>
      <x:c r="N13" s="142"/>
      <x:c r="O13" s="2"/>
      <x:c r="P13" s="2"/>
      <x:c r="Q13" s="2"/>
      <x:c r="R13" s="2"/>
      <x:c r="S13" s="2"/>
      <x:c r="T13" s="2"/>
      <x:c r="U13" s="2"/>
      <x:c r="V13" s="2"/>
      <x:c r="W13" s="2"/>
      <x:c r="X13" s="2"/>
    </x:row>
    <x:row r="14" ht="43" customHeight="1">
      <x:c r="A14" s="193" t="str">
        <x:v>Eliberare calcul</x:v>
      </x:c>
      <x:c r="B14" s="193"/>
      <x:c r="C14" s="193"/>
      <x:c r="D14" s="193"/>
      <x:c r="E14" s="193"/>
      <x:c r="F14" s="193" t="str">
        <x:f>IF('Surse_Date'!L15="CRITICAL MISSING","CRITICAL MISSING",IF(OR(F12="INVALID",F13="INVALID",'Surse_Date'!L15="INVALID"),"INVALID",IF(AND(F12="READY",F13="READY",OR('Surse_Date'!L15="READY",'Surse_Date'!L15="CONDITIONAL")),"READY","PENDING")))</x:f>
        <x:v>PENDING</x:v>
      </x:c>
      <x:c r="G14" s="193"/>
      <x:c r="H14" s="193" t="str">
        <x:v>PENDING/INVALID nu se transformă în probabilitate sau nivel de risc.</x:v>
      </x:c>
      <x:c r="I14" s="193"/>
      <x:c r="J14" s="193"/>
      <x:c r="K14" s="193"/>
      <x:c r="L14" s="193"/>
      <x:c r="M14" s="142"/>
      <x:c r="N14" s="142"/>
      <x:c r="O14" s="2"/>
      <x:c r="P14" s="2"/>
      <x:c r="Q14" s="2"/>
      <x:c r="R14" s="2"/>
      <x:c r="S14" s="2"/>
      <x:c r="T14" s="2"/>
      <x:c r="U14" s="2"/>
      <x:c r="V14" s="2"/>
      <x:c r="W14" s="2"/>
      <x:c r="X14" s="2"/>
    </x:row>
    <x:row r="15" ht="43" customHeight="1">
      <x:c r="A15" s="142"/>
      <x:c r="B15" s="142"/>
      <x:c r="C15" s="142"/>
      <x:c r="D15" s="142"/>
      <x:c r="E15" s="142"/>
      <x:c r="F15" s="142"/>
      <x:c r="G15" s="142"/>
      <x:c r="H15" s="142"/>
      <x:c r="I15" s="142"/>
      <x:c r="J15" s="142"/>
      <x:c r="K15" s="142"/>
      <x:c r="L15" s="142"/>
      <x:c r="M15" s="142"/>
      <x:c r="N15" s="142"/>
      <x:c r="O15" s="2"/>
      <x:c r="P15" s="2"/>
      <x:c r="Q15" s="2"/>
      <x:c r="R15" s="2"/>
      <x:c r="S15" s="2"/>
      <x:c r="T15" s="2"/>
      <x:c r="U15" s="2"/>
      <x:c r="V15" s="2"/>
      <x:c r="W15" s="2"/>
      <x:c r="X15" s="2"/>
    </x:row>
    <x:row r="16" ht="43" customHeight="1">
      <x:c r="A16" s="142"/>
      <x:c r="B16" s="142"/>
      <x:c r="C16" s="142"/>
      <x:c r="D16" s="142"/>
      <x:c r="E16" s="142"/>
      <x:c r="F16" s="142"/>
      <x:c r="G16" s="142"/>
      <x:c r="H16" s="142"/>
      <x:c r="I16" s="142"/>
      <x:c r="J16" s="142"/>
      <x:c r="K16" s="142"/>
      <x:c r="L16" s="142"/>
      <x:c r="M16" s="142"/>
      <x:c r="N16" s="142"/>
      <x:c r="O16" s="2"/>
      <x:c r="P16" s="2"/>
      <x:c r="Q16" s="2"/>
      <x:c r="R16" s="2"/>
      <x:c r="S16" s="2"/>
      <x:c r="T16" s="2"/>
      <x:c r="U16" s="2"/>
      <x:c r="V16" s="2"/>
      <x:c r="W16" s="2"/>
      <x:c r="X16" s="2"/>
    </x:row>
    <x:row r="17" ht="43" customHeight="1">
      <x:c r="A17" s="142"/>
      <x:c r="B17" s="142"/>
      <x:c r="C17" s="142"/>
      <x:c r="D17" s="142"/>
      <x:c r="E17" s="142"/>
      <x:c r="F17" s="142"/>
      <x:c r="G17" s="142"/>
      <x:c r="H17" s="142"/>
      <x:c r="I17" s="142"/>
      <x:c r="J17" s="142"/>
      <x:c r="K17" s="142"/>
      <x:c r="L17" s="142"/>
      <x:c r="M17" s="142"/>
      <x:c r="N17" s="142"/>
      <x:c r="O17" s="2"/>
      <x:c r="P17" s="2"/>
      <x:c r="Q17" s="2"/>
      <x:c r="R17" s="2"/>
      <x:c r="S17" s="2"/>
      <x:c r="T17" s="2"/>
      <x:c r="U17" s="2"/>
      <x:c r="V17" s="2"/>
      <x:c r="W17" s="2"/>
      <x:c r="X17" s="2"/>
    </x:row>
    <x:row r="18" ht="43" customHeight="1">
      <x:c r="A18" s="142"/>
      <x:c r="B18" s="142"/>
      <x:c r="C18" s="142"/>
      <x:c r="D18" s="142"/>
      <x:c r="E18" s="142"/>
      <x:c r="F18" s="142"/>
      <x:c r="G18" s="142"/>
      <x:c r="H18" s="142"/>
      <x:c r="I18" s="142"/>
      <x:c r="J18" s="142"/>
      <x:c r="K18" s="142"/>
      <x:c r="L18" s="142"/>
      <x:c r="M18" s="142"/>
      <x:c r="N18" s="142"/>
      <x:c r="O18" s="2"/>
      <x:c r="P18" s="2"/>
      <x:c r="Q18" s="2"/>
      <x:c r="R18" s="2"/>
      <x:c r="S18" s="2"/>
      <x:c r="T18" s="2"/>
      <x:c r="U18" s="2"/>
      <x:c r="V18" s="2"/>
      <x:c r="W18" s="2"/>
      <x:c r="X18" s="2"/>
    </x:row>
    <x:row r="19" ht="43" customHeight="1">
      <x:c r="A19" s="142"/>
      <x:c r="B19" s="142"/>
      <x:c r="C19" s="142"/>
      <x:c r="D19" s="142"/>
      <x:c r="E19" s="142"/>
      <x:c r="F19" s="142"/>
      <x:c r="G19" s="142"/>
      <x:c r="H19" s="142"/>
      <x:c r="I19" s="142"/>
      <x:c r="J19" s="142"/>
      <x:c r="K19" s="142"/>
      <x:c r="L19" s="142"/>
      <x:c r="M19" s="142"/>
      <x:c r="N19" s="142"/>
      <x:c r="O19" s="2"/>
      <x:c r="P19" s="2"/>
      <x:c r="Q19" s="2"/>
      <x:c r="R19" s="2"/>
      <x:c r="S19" s="2"/>
      <x:c r="T19" s="2"/>
      <x:c r="U19" s="2"/>
      <x:c r="V19" s="2"/>
      <x:c r="W19" s="2"/>
      <x:c r="X19" s="2"/>
    </x:row>
    <x:row r="20" ht="43" customHeight="1">
      <x:c r="A20" s="142"/>
      <x:c r="B20" s="142"/>
      <x:c r="C20" s="142"/>
      <x:c r="D20" s="142"/>
      <x:c r="E20" s="142"/>
      <x:c r="F20" s="142"/>
      <x:c r="G20" s="142"/>
      <x:c r="H20" s="142"/>
      <x:c r="I20" s="142"/>
      <x:c r="J20" s="142"/>
      <x:c r="K20" s="142"/>
      <x:c r="L20" s="142"/>
      <x:c r="M20" s="142"/>
      <x:c r="N20" s="142"/>
      <x:c r="O20" s="2"/>
      <x:c r="P20" s="2"/>
      <x:c r="Q20" s="2"/>
      <x:c r="R20" s="2"/>
      <x:c r="S20" s="2"/>
      <x:c r="T20" s="2"/>
      <x:c r="U20" s="2"/>
      <x:c r="V20" s="2"/>
      <x:c r="W20" s="2"/>
      <x:c r="X20" s="2"/>
    </x:row>
    <x:row r="21" ht="15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</x:row>
    <x:row r="22" ht="15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</x:row>
    <x:row r="23" ht="15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</x:row>
    <x:row r="24" ht="15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</x:row>
    <x:row r="25" ht="1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</x:row>
    <x:row r="26" ht="15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</x:row>
    <x:row r="27" ht="15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</x:row>
    <x:row r="28" ht="15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</x:row>
    <x:row r="29" ht="15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</x:row>
    <x:row r="30" ht="15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</x:row>
    <x:row r="31" ht="15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</x:row>
    <x:row r="32" ht="15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</x:row>
    <x:row r="33" ht="15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</x:row>
    <x:row r="34" ht="15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</x:row>
    <x:row r="35" ht="1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</x:row>
    <x:row r="36" ht="15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</x:row>
    <x:row r="37" ht="15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</x:row>
    <x:row r="38" ht="15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</x:row>
    <x:row r="39" ht="15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</x:row>
    <x:row r="40" ht="15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</x:row>
    <x:row r="41" ht="15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</x:row>
    <x:row r="42" ht="15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</x:row>
    <x:row r="43" ht="15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</x:row>
    <x:row r="44" ht="15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</x:row>
    <x:row r="45" ht="1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</x:row>
    <x:row r="46" ht="15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</x:row>
    <x:row r="47" ht="15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</x:row>
    <x:row r="48" ht="15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</x:row>
    <x:row r="49" ht="15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</x:row>
    <x:row r="50" ht="15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</x:row>
    <x:row r="51" ht="15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</x:row>
    <x:row r="52" ht="15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</x:row>
    <x:row r="53" ht="15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</x:row>
    <x:row r="54" ht="15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</x:row>
    <x:row r="55" ht="1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</x:row>
    <x:row r="56" ht="15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</x:row>
    <x:row r="57" ht="15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</x:row>
    <x:row r="58" ht="15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</x:row>
    <x:row r="59" ht="15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</x:row>
    <x:row r="60" ht="15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</x:row>
    <x:row r="61" ht="15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</x:row>
    <x:row r="62" ht="15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</x:row>
    <x:row r="63" ht="15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</x:row>
    <x:row r="64" ht="15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</x:row>
    <x:row r="65" ht="1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</x:row>
    <x:row r="66" ht="15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</x:row>
    <x:row r="67" ht="15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</x:row>
    <x:row r="68" ht="15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</x:row>
    <x:row r="69" ht="15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</x:row>
    <x:row r="70" ht="15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</x:row>
    <x:row r="71" ht="15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</x:row>
    <x:row r="72" ht="15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</x:row>
    <x:row r="73" ht="15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</x:row>
    <x:row r="74" ht="15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</x:row>
    <x:row r="75" ht="1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</x:row>
    <x:row r="76" ht="15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</x:row>
    <x:row r="77" ht="15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</x:row>
    <x:row r="78" ht="15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</x:row>
    <x:row r="79" ht="15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</x:row>
    <x:row r="80" ht="15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</x:row>
    <x:row r="81" ht="15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</x:row>
    <x:row r="82" ht="15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</x:row>
    <x:row r="83" ht="15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</x:row>
    <x:row r="84" ht="15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</x:row>
    <x:row r="85" ht="1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</x:row>
    <x:row r="86" ht="15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</x:row>
    <x:row r="87" ht="15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</x:row>
    <x:row r="88" ht="15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</x:row>
    <x:row r="89" ht="15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</x:row>
    <x:row r="90" ht="15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</x:row>
    <x:row r="91" ht="15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</x:row>
    <x:row r="92" ht="15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</x:row>
    <x:row r="93" ht="15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</x:row>
    <x:row r="94" ht="15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</x:row>
    <x:row r="95" ht="1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</x:row>
    <x:row r="96" ht="15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</x:row>
    <x:row r="97" ht="15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</x:row>
    <x:row r="98" ht="15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</x:row>
    <x:row r="99" ht="15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</x:row>
    <x:row r="100" ht="15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</x:row>
    <x:row r="101" ht="15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</x:row>
    <x:row r="102" ht="15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</x:row>
    <x:row r="103" ht="15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</x:row>
    <x:row r="104" ht="15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</x:row>
    <x:row r="105" ht="1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</x:row>
    <x:row r="106" ht="15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</x:row>
    <x:row r="107" ht="15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</x:row>
    <x:row r="108" ht="15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</x:row>
    <x:row r="109" ht="15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</x:row>
    <x:row r="110" ht="15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</x:row>
    <x:row r="111" ht="15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</x:row>
    <x:row r="112" ht="15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</x:row>
    <x:row r="113" ht="15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</x:row>
    <x:row r="114" ht="15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</x:row>
    <x:row r="115" ht="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</x:row>
    <x:row r="116" ht="15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</x:row>
    <x:row r="117" ht="15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</x:row>
    <x:row r="118" ht="15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</x:row>
    <x:row r="119" ht="15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</x:row>
    <x:row r="120" ht="15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</x:row>
    <x:row r="121" ht="15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</x:row>
    <x:row r="122" ht="15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</x:row>
    <x:row r="123" ht="15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</x:row>
    <x:row r="124" ht="15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</x:row>
    <x:row r="125" ht="1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</x:row>
    <x:row r="126" ht="15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</x:row>
    <x:row r="127" ht="15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</x:row>
    <x:row r="128" ht="15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</x:row>
    <x:row r="129" ht="15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</x:row>
    <x:row r="130" ht="15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</x:row>
    <x:row r="131" ht="15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</x:row>
    <x:row r="132" ht="15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</x:row>
    <x:row r="133" ht="15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</x:row>
    <x:row r="134" ht="15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</x:row>
    <x:row r="135" ht="1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</x:row>
    <x:row r="136" ht="15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</x:row>
    <x:row r="137" ht="15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</x:row>
    <x:row r="138" ht="15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</x:row>
    <x:row r="139" ht="15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</x:row>
    <x:row r="140" ht="15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</x:row>
    <x:row r="141" ht="15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</x:row>
    <x:row r="142" ht="15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</x:row>
    <x:row r="143" ht="15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</x:row>
    <x:row r="144" ht="15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</x:row>
    <x:row r="145" ht="1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</x:row>
    <x:row r="146" ht="15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</x:row>
    <x:row r="147" ht="15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</x:row>
    <x:row r="148" ht="15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</x:row>
    <x:row r="149" ht="15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</x:row>
    <x:row r="150" ht="15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</x:row>
    <x:row r="151" ht="15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</x:row>
    <x:row r="152" ht="15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</x:row>
    <x:row r="153" ht="15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</x:row>
    <x:row r="154" ht="15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</x:row>
    <x:row r="155" ht="1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</x:row>
    <x:row r="156" ht="15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</x:row>
    <x:row r="157" ht="15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</x:row>
    <x:row r="158" ht="15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</x:row>
    <x:row r="159" ht="15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</x:row>
    <x:row r="160" ht="15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</x:row>
    <x:row r="161" ht="15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</x:row>
    <x:row r="162" ht="15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</x:row>
    <x:row r="163" ht="15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</x:row>
    <x:row r="164" ht="15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</x:row>
    <x:row r="165" ht="1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</x:row>
    <x:row r="166" ht="15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</x:row>
    <x:row r="167" ht="15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</x:row>
    <x:row r="168" ht="15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</x:row>
    <x:row r="169" ht="15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</x:row>
    <x:row r="170" ht="15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</x:row>
    <x:row r="171" ht="15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</x:row>
    <x:row r="172" ht="15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</x:row>
    <x:row r="173" ht="15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</x:row>
    <x:row r="174" ht="15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</x:row>
    <x:row r="175" ht="1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</x:row>
    <x:row r="176" ht="15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</x:row>
    <x:row r="177" ht="15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</x:row>
    <x:row r="178" ht="15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</x:row>
    <x:row r="179" ht="15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</x:row>
    <x:row r="180" ht="15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</x:row>
    <x:row r="181" ht="15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</x:row>
    <x:row r="182" ht="15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</x:row>
    <x:row r="183" ht="15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</x:row>
    <x:row r="184" ht="15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</x:row>
    <x:row r="185" ht="1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</x:row>
    <x:row r="186" ht="15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</x:row>
    <x:row r="187" ht="15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</x:row>
    <x:row r="188" ht="15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</x:row>
    <x:row r="189" ht="15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</x:row>
    <x:row r="190" ht="15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</x:row>
    <x:row r="191" ht="15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</x:row>
    <x:row r="192" ht="15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</x:row>
    <x:row r="193" ht="15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</x:row>
    <x:row r="194" ht="15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</x:row>
    <x:row r="195" ht="1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</x:row>
    <x:row r="196" ht="15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</x:row>
    <x:row r="197" ht="15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</x:row>
    <x:row r="198" ht="15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</x:row>
    <x:row r="199" ht="15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</x:row>
    <x:row r="200" ht="15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</x:row>
    <x:row r="201" ht="15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</x:row>
    <x:row r="202" ht="15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</x:row>
    <x:row r="203" ht="15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</x:row>
    <x:row r="204" ht="15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</x:row>
    <x:row r="205" ht="1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</x:row>
    <x:row r="206" ht="15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</x:row>
    <x:row r="207" ht="15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</x:row>
    <x:row r="208" ht="15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</x:row>
    <x:row r="209" ht="15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</x:row>
    <x:row r="210" ht="15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</x:row>
    <x:row r="211" ht="15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</x:row>
    <x:row r="212" ht="15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</x:row>
    <x:row r="213" ht="15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</x:row>
    <x:row r="214" ht="15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</x:row>
    <x:row r="215" ht="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</x:row>
    <x:row r="216" ht="15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</x:row>
    <x:row r="217" ht="15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</x:row>
    <x:row r="218" ht="15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</x:row>
    <x:row r="219" ht="15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</x:row>
    <x:row r="220" ht="15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</x:row>
  </x:sheetData>
  <x:mergeCells>
    <x:mergeCell ref="A1:H1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40" customWidth="1"/>
    <x:col min="2" max="6" width="20" customWidth="1"/>
    <x:col min="7" max="7" width="52" customWidth="1"/>
    <x:col min="5" max="5" width="28" hidden="0" customWidth="1"/>
  </x:cols>
  <x:sheetData>
    <x:row r="1" ht="27.950000762939453" customHeight="1">
      <x:c r="A1" s="171" t="str">
        <x:v>RISC DE EGAL – CONTROL ACTIV PENTRU 12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15">
      <x:c r="A2" s="141"/>
      <x:c r="B2" s="141"/>
      <x:c r="C2" s="141"/>
      <x:c r="D2" s="141"/>
      <x:c r="E2" s="141"/>
      <x:c r="F2" s="141"/>
      <x:c r="G2" s="141"/>
      <x:c r="H2" s="141"/>
      <x:c r="I2" s="141"/>
      <x:c r="J2" s="141"/>
      <x:c r="K2" s="141"/>
      <x:c r="L2" s="141"/>
      <x:c r="M2" s="141"/>
      <x:c r="N2" s="141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 ht="15">
      <x:c r="A3" s="180" t="s">
        <x:v>137</x:v>
      </x:c>
      <x:c r="B3" s="180" t="s">
        <x:v>138</x:v>
      </x:c>
      <x:c r="C3" s="180" t="str">
        <x:v>Prag PASS</x:v>
      </x:c>
      <x:c r="D3" s="180" t="s">
        <x:v>139</x:v>
      </x:c>
      <x:c r="E3" s="180" t="s">
        <x:v>123</x:v>
      </x:c>
      <x:c r="F3" s="180" t="s">
        <x:v>140</x:v>
      </x:c>
      <x:c r="G3" s="180" t="s">
        <x:v>141</x:v>
      </x:c>
      <x:c r="H3" s="142"/>
      <x:c r="I3" s="142"/>
      <x:c r="J3" s="142"/>
      <x:c r="K3" s="142"/>
      <x:c r="L3" s="142"/>
      <x:c r="M3" s="142"/>
      <x:c r="N3" s="14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 ht="43" customHeight="1">
      <x:c r="A4" s="193" t="s">
        <x:v>142</x:v>
      </x:c>
      <x:c r="B4" s="194" t="str">
        <x:f>IF(NOT(ISNUMBER('Model_1X2'!C10)),"",'Model_1X2'!C10)</x:f>
      </x:c>
      <x:c r="C4" s="194" t="n">
        <x:f>'Parametri'!B8</x:f>
        <x:v>0.2</x:v>
      </x:c>
      <x:c r="D4" s="194" t="n">
        <x:f>'Parametri'!B9</x:f>
        <x:v>0.23</x:v>
      </x:c>
      <x:c r="E4" s="193" t="str">
        <x:f>'P0_Gates_v2'!K6</x:f>
        <x:v>INPUT</x:v>
      </x:c>
      <x:c r="F4" s="193"/>
      <x:c r="G4" s="193" t="str">
        <x:v>Statusul folosește Pdraw ajustat din rândul 14, nu numai probabilitatea brută.</x:v>
      </x:c>
      <x:c r="H4" s="142"/>
      <x:c r="I4" s="142"/>
      <x:c r="J4" s="142"/>
      <x:c r="K4" s="142"/>
      <x:c r="L4" s="142"/>
      <x:c r="M4" s="142"/>
      <x:c r="N4" s="14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43" customHeight="1">
      <x:c r="A5" s="193" t="s">
        <x:v>143</x:v>
      </x:c>
      <x:c r="B5" s="194"/>
      <x:c r="C5" s="194"/>
      <x:c r="D5" s="194"/>
      <x:c r="E5" s="193"/>
      <x:c r="F5" s="193"/>
      <x:c r="G5" s="193" t="str">
        <x:v>Diagnostic low-score opțional; fără hard gate suplimentar.</x:v>
      </x:c>
      <x:c r="H5" s="142"/>
      <x:c r="I5" s="142"/>
      <x:c r="J5" s="142"/>
      <x:c r="K5" s="142"/>
      <x:c r="L5" s="142"/>
      <x:c r="M5" s="142"/>
      <x:c r="N5" s="14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 ht="43" customHeight="1">
      <x:c r="A6" s="193" t="s">
        <x:v>144</x:v>
      </x:c>
      <x:c r="B6" s="194"/>
      <x:c r="C6" s="194"/>
      <x:c r="D6" s="194"/>
      <x:c r="E6" s="193"/>
      <x:c r="F6" s="193"/>
      <x:c r="G6" s="193" t="str">
        <x:v>Diagnostic low-score opțional; fără hard gate suplimentar.</x:v>
      </x:c>
      <x:c r="H6" s="142"/>
      <x:c r="I6" s="142"/>
      <x:c r="J6" s="142"/>
      <x:c r="K6" s="142"/>
      <x:c r="L6" s="142"/>
      <x:c r="M6" s="142"/>
      <x:c r="N6" s="142"/>
      <x:c r="O6" s="2"/>
      <x:c r="P6" s="2"/>
      <x:c r="Q6" s="2"/>
      <x:c r="R6" s="2"/>
      <x:c r="S6" s="2"/>
      <x:c r="T6" s="2"/>
      <x:c r="U6" s="2"/>
      <x:c r="V6" s="2"/>
      <x:c r="W6" s="2"/>
      <x:c r="X6" s="2"/>
    </x:row>
    <x:row r="7" ht="43" customHeight="1">
      <x:c r="A7" s="193" t="s">
        <x:v>145</x:v>
      </x:c>
      <x:c r="B7" s="194" t="str">
        <x:f>IF(OR(NOT(ISNUMBER(B5)),NOT(ISNUMBER(B6)),NOT(ISNUMBER(B4))),"",IF(B4=0,"",(B5+B6)/B4))</x:f>
      </x:c>
      <x:c r="C7" s="194"/>
      <x:c r="D7" s="194">
        <x:v>0.65</x:v>
      </x:c>
      <x:c r="E7" s="193" t="str">
        <x:f>IF(NOT(ISNUMBER(B7)),"",IF(B7&lt;='Parametri'!B16,"CONCENTRAȚIE MICĂ","CONCENTRAȚIE DE ANALIZAT"))</x:f>
      </x:c>
      <x:c r="F7" s="193"/>
      <x:c r="G7" s="193" t="str">
        <x:v>Diagnostic 0–0/1–1; nu este hard gate suplimentar.</x:v>
      </x:c>
      <x:c r="H7" s="142"/>
      <x:c r="I7" s="142"/>
      <x:c r="J7" s="142"/>
      <x:c r="K7" s="142"/>
      <x:c r="L7" s="142"/>
      <x:c r="M7" s="142"/>
      <x:c r="N7" s="142"/>
      <x:c r="O7" s="2"/>
      <x:c r="P7" s="2"/>
      <x:c r="Q7" s="2"/>
      <x:c r="R7" s="2"/>
      <x:c r="S7" s="2"/>
      <x:c r="T7" s="2"/>
      <x:c r="U7" s="2"/>
      <x:c r="V7" s="2"/>
      <x:c r="W7" s="2"/>
      <x:c r="X7" s="2"/>
    </x:row>
    <x:row r="8" ht="43" customHeight="1">
      <x:c r="A8" s="193" t="s">
        <x:v>146</x:v>
      </x:c>
      <x:c r="B8" s="194"/>
      <x:c r="C8" s="194"/>
      <x:c r="D8" s="194"/>
      <x:c r="E8" s="193"/>
      <x:c r="F8" s="193"/>
      <x:c r="G8" s="193" t="s">
        <x:v>147</x:v>
      </x:c>
      <x:c r="H8" s="142"/>
      <x:c r="I8" s="142"/>
      <x:c r="J8" s="142"/>
      <x:c r="K8" s="142"/>
      <x:c r="L8" s="142"/>
      <x:c r="M8" s="142"/>
      <x:c r="N8" s="142"/>
      <x:c r="O8" s="2"/>
      <x:c r="P8" s="2"/>
      <x:c r="Q8" s="2"/>
      <x:c r="R8" s="2"/>
      <x:c r="S8" s="2"/>
      <x:c r="T8" s="2"/>
      <x:c r="U8" s="2"/>
      <x:c r="V8" s="2"/>
      <x:c r="W8" s="2"/>
      <x:c r="X8" s="2"/>
    </x:row>
    <x:row r="9" ht="43" customHeight="1">
      <x:c r="A9" s="193" t="s">
        <x:v>148</x:v>
      </x:c>
      <x:c r="B9" s="194"/>
      <x:c r="C9" s="194"/>
      <x:c r="D9" s="194"/>
      <x:c r="E9" s="193"/>
      <x:c r="F9" s="193"/>
      <x:c r="G9" s="193" t="s">
        <x:v>149</x:v>
      </x:c>
      <x:c r="H9" s="142"/>
      <x:c r="I9" s="142"/>
      <x:c r="J9" s="142"/>
      <x:c r="K9" s="142"/>
      <x:c r="L9" s="142"/>
      <x:c r="M9" s="142"/>
      <x:c r="N9" s="142"/>
      <x:c r="O9" s="2"/>
      <x:c r="P9" s="2"/>
      <x:c r="Q9" s="2"/>
      <x:c r="R9" s="2"/>
      <x:c r="S9" s="2"/>
      <x:c r="T9" s="2"/>
      <x:c r="U9" s="2"/>
      <x:c r="V9" s="2"/>
      <x:c r="W9" s="2"/>
      <x:c r="X9" s="2"/>
    </x:row>
    <x:row r="10" ht="43" customHeight="1">
      <x:c r="A10" s="193" t="s">
        <x:v>150</x:v>
      </x:c>
      <x:c r="B10" s="194" t="str">
        <x:f>IF(OR(NOT(ISNUMBER(B4)),NOT(ISNUMBER('Model_1X2'!K8))),"",ABS(B4-'Model_1X2'!K8))</x:f>
      </x:c>
      <x:c r="C10" s="194"/>
      <x:c r="D10" s="194">
        <x:v>7.0000000000000007E-2</x:v>
      </x:c>
      <x:c r="E10" s="193" t="str">
        <x:f>IF(NOT(ISNUMBER(B10)),"",IF(B10&lt;='Parametri'!B10,"DIFERENȚĂ MICĂ","DIFERENȚĂ DE ANALIZAT"))</x:f>
      </x:c>
      <x:c r="F10" s="193"/>
      <x:c r="G10" s="193" t="s">
        <x:v>151</x:v>
      </x:c>
      <x:c r="H10" s="142"/>
      <x:c r="I10" s="142"/>
      <x:c r="J10" s="142"/>
      <x:c r="K10" s="142"/>
      <x:c r="L10" s="142"/>
      <x:c r="M10" s="142"/>
      <x:c r="N10" s="142"/>
      <x:c r="O10" s="2"/>
      <x:c r="P10" s="2"/>
      <x:c r="Q10" s="2"/>
      <x:c r="R10" s="2"/>
      <x:c r="S10" s="2"/>
      <x:c r="T10" s="2"/>
      <x:c r="U10" s="2"/>
      <x:c r="V10" s="2"/>
      <x:c r="W10" s="2"/>
      <x:c r="X10" s="2"/>
    </x:row>
    <x:row r="11" ht="43" customHeight="1">
      <x:c r="A11" s="193" t="s">
        <x:v>152</x:v>
      </x:c>
      <x:c r="B11" s="193" t="s">
        <x:v>79</x:v>
      </x:c>
      <x:c r="C11" s="193"/>
      <x:c r="D11" s="193"/>
      <x:c r="E11" s="193" t="str">
        <x:f>IF(B11="","NECOMPLETAT",IF(B11="NU","FĂRĂ SEMNAL","DE ANALIZAT"))</x:f>
        <x:v>FĂRĂ SEMNAL</x:v>
      </x:c>
      <x:c r="F11" s="193"/>
      <x:c r="G11" s="193" t="str">
        <x:v>Context informativ; impactul material se documentează în modelele externe.</x:v>
      </x:c>
      <x:c r="H11" s="142"/>
      <x:c r="I11" s="142"/>
      <x:c r="J11" s="142"/>
      <x:c r="K11" s="142"/>
      <x:c r="L11" s="142"/>
      <x:c r="M11" s="142"/>
      <x:c r="N11" s="142"/>
      <x:c r="O11" s="2"/>
      <x:c r="P11" s="2"/>
      <x:c r="Q11" s="2"/>
      <x:c r="R11" s="2"/>
      <x:c r="S11" s="2"/>
      <x:c r="T11" s="2"/>
      <x:c r="U11" s="2"/>
      <x:c r="V11" s="2"/>
      <x:c r="W11" s="2"/>
      <x:c r="X11" s="2"/>
    </x:row>
    <x:row r="12" ht="43" customHeight="1">
      <x:c r="A12" s="193" t="s">
        <x:v>153</x:v>
      </x:c>
      <x:c r="B12" s="194" t="str">
        <x:f>IF(NOT(ISNUMBER('P0_Gates_v2'!I6)),"",'P0_Gates_v2'!I6)</x:f>
      </x:c>
      <x:c r="C12" s="193"/>
      <x:c r="D12" s="193"/>
      <x:c r="E12" s="193"/>
      <x:c r="F12" s="193"/>
      <x:c r="G12" s="193" t="s">
        <x:v>154</x:v>
      </x:c>
      <x:c r="H12" s="142"/>
      <x:c r="I12" s="142"/>
      <x:c r="J12" s="142"/>
      <x:c r="K12" s="142"/>
      <x:c r="L12" s="142"/>
      <x:c r="M12" s="142"/>
      <x:c r="N12" s="142"/>
      <x:c r="O12" s="2"/>
      <x:c r="P12" s="2"/>
      <x:c r="Q12" s="2"/>
      <x:c r="R12" s="2"/>
      <x:c r="S12" s="2"/>
      <x:c r="T12" s="2"/>
      <x:c r="U12" s="2"/>
      <x:c r="V12" s="2"/>
      <x:c r="W12" s="2"/>
      <x:c r="X12" s="2"/>
    </x:row>
    <x:row r="13" ht="43" customHeight="1">
      <x:c r="A13" s="193" t="s">
        <x:v>155</x:v>
      </x:c>
      <x:c r="B13" s="194" t="str">
        <x:f>IF(NOT(ISNUMBER('P0_Gates_v2'!J6)),"",'P0_Gates_v2'!J6)</x:f>
      </x:c>
      <x:c r="C13" s="193"/>
      <x:c r="D13" s="193"/>
      <x:c r="E13" s="193"/>
      <x:c r="F13" s="193"/>
      <x:c r="G13" s="193" t="s">
        <x:v>131</x:v>
      </x:c>
      <x:c r="H13" s="142"/>
      <x:c r="I13" s="142"/>
      <x:c r="J13" s="142"/>
      <x:c r="K13" s="142"/>
      <x:c r="L13" s="142"/>
      <x:c r="M13" s="142"/>
      <x:c r="N13" s="142"/>
      <x:c r="O13" s="2"/>
      <x:c r="P13" s="2"/>
      <x:c r="Q13" s="2"/>
      <x:c r="R13" s="2"/>
      <x:c r="S13" s="2"/>
      <x:c r="T13" s="2"/>
      <x:c r="U13" s="2"/>
      <x:c r="V13" s="2"/>
      <x:c r="W13" s="2"/>
      <x:c r="X13" s="2"/>
    </x:row>
    <x:row r="14" ht="43" customHeight="1">
      <x:c r="A14" s="193" t="s">
        <x:v>156</x:v>
      </x:c>
      <x:c r="B14" s="194" t="str">
        <x:f>IF(OR(NOT(ISNUMBER(B12)),NOT(ISNUMBER(B13))),"",MAX(B12,B13))</x:f>
      </x:c>
      <x:c r="C14" s="193"/>
      <x:c r="D14" s="193"/>
      <x:c r="E14" s="193"/>
      <x:c r="F14" s="193"/>
      <x:c r="G14" s="193" t="s">
        <x:v>157</x:v>
      </x:c>
      <x:c r="H14" s="142"/>
      <x:c r="I14" s="142"/>
      <x:c r="J14" s="142"/>
      <x:c r="K14" s="142"/>
      <x:c r="L14" s="142"/>
      <x:c r="M14" s="142"/>
      <x:c r="N14" s="142"/>
      <x:c r="O14" s="2"/>
      <x:c r="P14" s="2"/>
      <x:c r="Q14" s="2"/>
      <x:c r="R14" s="2"/>
      <x:c r="S14" s="2"/>
      <x:c r="T14" s="2"/>
      <x:c r="U14" s="2"/>
      <x:c r="V14" s="2"/>
      <x:c r="W14" s="2"/>
      <x:c r="X14" s="2"/>
    </x:row>
    <x:row r="15" ht="43" customHeight="1">
      <x:c r="A15" s="193" t="s">
        <x:v>158</x:v>
      </x:c>
      <x:c r="B15" s="193"/>
      <x:c r="C15" s="193"/>
      <x:c r="D15" s="193"/>
      <x:c r="E15" s="193" t="str">
        <x:f>P0_Gates_v2!K6</x:f>
        <x:v>INPUT</x:v>
      </x:c>
      <x:c r="F15" s="193"/>
      <x:c r="G15" s="193" t="s">
        <x:v>159</x:v>
      </x:c>
      <x:c r="H15" s="142"/>
      <x:c r="I15" s="142"/>
      <x:c r="J15" s="142"/>
      <x:c r="K15" s="142"/>
      <x:c r="L15" s="142"/>
      <x:c r="M15" s="142"/>
      <x:c r="N15" s="142"/>
      <x:c r="O15" s="2"/>
      <x:c r="P15" s="2"/>
      <x:c r="Q15" s="2"/>
      <x:c r="R15" s="2"/>
      <x:c r="S15" s="2"/>
      <x:c r="T15" s="2"/>
      <x:c r="U15" s="2"/>
      <x:c r="V15" s="2"/>
      <x:c r="W15" s="2"/>
      <x:c r="X15" s="2"/>
    </x:row>
    <x:row r="16" ht="43" customHeight="1">
      <x:c r="A16" s="193" t="s">
        <x:v>160</x:v>
      </x:c>
      <x:c r="B16" s="193"/>
      <x:c r="C16" s="193"/>
      <x:c r="D16" s="193"/>
      <x:c r="E16" s="193" t="str">
        <x:f>P0_Gates_v2!L6</x:f>
        <x:v>INPUT</x:v>
      </x:c>
      <x:c r="F16" s="193"/>
      <x:c r="G16" s="193" t="s">
        <x:v>161</x:v>
      </x:c>
      <x:c r="H16" s="142"/>
      <x:c r="I16" s="142"/>
      <x:c r="J16" s="142"/>
      <x:c r="K16" s="142"/>
      <x:c r="L16" s="142"/>
      <x:c r="M16" s="142"/>
      <x:c r="N16" s="142"/>
      <x:c r="O16" s="2"/>
      <x:c r="P16" s="2"/>
      <x:c r="Q16" s="2"/>
      <x:c r="R16" s="2"/>
      <x:c r="S16" s="2"/>
      <x:c r="T16" s="2"/>
      <x:c r="U16" s="2"/>
      <x:c r="V16" s="2"/>
      <x:c r="W16" s="2"/>
      <x:c r="X16" s="2"/>
    </x:row>
    <x:row r="17" ht="43" customHeight="1">
      <x:c r="A17" s="142"/>
      <x:c r="B17" s="142"/>
      <x:c r="C17" s="142"/>
      <x:c r="D17" s="142"/>
      <x:c r="E17" s="142"/>
      <x:c r="F17" s="142"/>
      <x:c r="G17" s="142"/>
      <x:c r="H17" s="142"/>
      <x:c r="I17" s="142"/>
      <x:c r="J17" s="142"/>
      <x:c r="K17" s="142"/>
      <x:c r="L17" s="142"/>
      <x:c r="M17" s="142"/>
      <x:c r="N17" s="142"/>
      <x:c r="O17" s="2"/>
      <x:c r="P17" s="2"/>
      <x:c r="Q17" s="2"/>
      <x:c r="R17" s="2"/>
      <x:c r="S17" s="2"/>
      <x:c r="T17" s="2"/>
      <x:c r="U17" s="2"/>
      <x:c r="V17" s="2"/>
      <x:c r="W17" s="2"/>
      <x:c r="X17" s="2"/>
    </x:row>
    <x:row r="18" ht="43" customHeight="1">
      <x:c r="A18" s="142"/>
      <x:c r="B18" s="142"/>
      <x:c r="C18" s="142"/>
      <x:c r="D18" s="142"/>
      <x:c r="E18" s="142"/>
      <x:c r="F18" s="142"/>
      <x:c r="G18" s="142"/>
      <x:c r="H18" s="142"/>
      <x:c r="I18" s="142"/>
      <x:c r="J18" s="142"/>
      <x:c r="K18" s="142"/>
      <x:c r="L18" s="142"/>
      <x:c r="M18" s="142"/>
      <x:c r="N18" s="142"/>
      <x:c r="O18" s="2"/>
      <x:c r="P18" s="2"/>
      <x:c r="Q18" s="2"/>
      <x:c r="R18" s="2"/>
      <x:c r="S18" s="2"/>
      <x:c r="T18" s="2"/>
      <x:c r="U18" s="2"/>
      <x:c r="V18" s="2"/>
      <x:c r="W18" s="2"/>
      <x:c r="X18" s="2"/>
    </x:row>
    <x:row r="19" ht="43" customHeight="1">
      <x:c r="A19" s="142"/>
      <x:c r="B19" s="142"/>
      <x:c r="C19" s="142"/>
      <x:c r="D19" s="142"/>
      <x:c r="E19" s="142"/>
      <x:c r="F19" s="142"/>
      <x:c r="G19" s="142"/>
      <x:c r="H19" s="142"/>
      <x:c r="I19" s="142"/>
      <x:c r="J19" s="142"/>
      <x:c r="K19" s="142"/>
      <x:c r="L19" s="142"/>
      <x:c r="M19" s="142"/>
      <x:c r="N19" s="142"/>
      <x:c r="O19" s="2"/>
      <x:c r="P19" s="2"/>
      <x:c r="Q19" s="2"/>
      <x:c r="R19" s="2"/>
      <x:c r="S19" s="2"/>
      <x:c r="T19" s="2"/>
      <x:c r="U19" s="2"/>
      <x:c r="V19" s="2"/>
      <x:c r="W19" s="2"/>
      <x:c r="X19" s="2"/>
    </x:row>
    <x:row r="20" ht="43" customHeight="1">
      <x:c r="A20" s="142"/>
      <x:c r="B20" s="142"/>
      <x:c r="C20" s="142"/>
      <x:c r="D20" s="142"/>
      <x:c r="E20" s="142"/>
      <x:c r="F20" s="142"/>
      <x:c r="G20" s="142"/>
      <x:c r="H20" s="142"/>
      <x:c r="I20" s="142"/>
      <x:c r="J20" s="142"/>
      <x:c r="K20" s="142"/>
      <x:c r="L20" s="142"/>
      <x:c r="M20" s="142"/>
      <x:c r="N20" s="142"/>
      <x:c r="O20" s="2"/>
      <x:c r="P20" s="2"/>
      <x:c r="Q20" s="2"/>
      <x:c r="R20" s="2"/>
      <x:c r="S20" s="2"/>
      <x:c r="T20" s="2"/>
      <x:c r="U20" s="2"/>
      <x:c r="V20" s="2"/>
      <x:c r="W20" s="2"/>
      <x:c r="X20" s="2"/>
    </x:row>
    <x:row r="21" ht="15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</x:row>
    <x:row r="22" ht="15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</x:row>
    <x:row r="23" ht="15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</x:row>
    <x:row r="24" ht="15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</x:row>
    <x:row r="25" ht="1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</x:row>
    <x:row r="26" ht="15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</x:row>
    <x:row r="27" ht="15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</x:row>
    <x:row r="28" ht="15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</x:row>
    <x:row r="29" ht="15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</x:row>
    <x:row r="30" ht="15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</x:row>
    <x:row r="31" ht="15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</x:row>
    <x:row r="32" ht="15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</x:row>
    <x:row r="33" ht="15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</x:row>
    <x:row r="34" ht="15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</x:row>
    <x:row r="35" ht="1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</x:row>
    <x:row r="36" ht="15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</x:row>
    <x:row r="37" ht="15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</x:row>
    <x:row r="38" ht="15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</x:row>
    <x:row r="39" ht="15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</x:row>
    <x:row r="40" ht="15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</x:row>
    <x:row r="41" ht="15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</x:row>
    <x:row r="42" ht="15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</x:row>
    <x:row r="43" ht="15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</x:row>
    <x:row r="44" ht="15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</x:row>
    <x:row r="45" ht="1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</x:row>
    <x:row r="46" ht="15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</x:row>
    <x:row r="47" ht="15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</x:row>
    <x:row r="48" ht="15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</x:row>
    <x:row r="49" ht="15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</x:row>
    <x:row r="50" ht="15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</x:row>
    <x:row r="51" ht="15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</x:row>
    <x:row r="52" ht="15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</x:row>
    <x:row r="53" ht="15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</x:row>
    <x:row r="54" ht="15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</x:row>
    <x:row r="55" ht="1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</x:row>
    <x:row r="56" ht="15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</x:row>
    <x:row r="57" ht="15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</x:row>
    <x:row r="58" ht="15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</x:row>
    <x:row r="59" ht="15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</x:row>
    <x:row r="60" ht="15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</x:row>
    <x:row r="61" ht="15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</x:row>
    <x:row r="62" ht="15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</x:row>
    <x:row r="63" ht="15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</x:row>
    <x:row r="64" ht="15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</x:row>
    <x:row r="65" ht="1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</x:row>
    <x:row r="66" ht="15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</x:row>
    <x:row r="67" ht="15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</x:row>
    <x:row r="68" ht="15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</x:row>
    <x:row r="69" ht="15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</x:row>
    <x:row r="70" ht="15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</x:row>
    <x:row r="71" ht="15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</x:row>
    <x:row r="72" ht="15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</x:row>
    <x:row r="73" ht="15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</x:row>
    <x:row r="74" ht="15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</x:row>
    <x:row r="75" ht="1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</x:row>
    <x:row r="76" ht="15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</x:row>
    <x:row r="77" ht="15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</x:row>
    <x:row r="78" ht="15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</x:row>
    <x:row r="79" ht="15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</x:row>
    <x:row r="80" ht="15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</x:row>
    <x:row r="81" ht="15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</x:row>
    <x:row r="82" ht="15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</x:row>
    <x:row r="83" ht="15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</x:row>
    <x:row r="84" ht="15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</x:row>
    <x:row r="85" ht="1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</x:row>
    <x:row r="86" ht="15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</x:row>
    <x:row r="87" ht="15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</x:row>
    <x:row r="88" ht="15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</x:row>
    <x:row r="89" ht="15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</x:row>
    <x:row r="90" ht="15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</x:row>
    <x:row r="91" ht="15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</x:row>
    <x:row r="92" ht="15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</x:row>
    <x:row r="93" ht="15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</x:row>
    <x:row r="94" ht="15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</x:row>
    <x:row r="95" ht="1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</x:row>
    <x:row r="96" ht="15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</x:row>
    <x:row r="97" ht="15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</x:row>
    <x:row r="98" ht="15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</x:row>
    <x:row r="99" ht="15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</x:row>
    <x:row r="100" ht="15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</x:row>
    <x:row r="101" ht="15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</x:row>
    <x:row r="102" ht="15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</x:row>
    <x:row r="103" ht="15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</x:row>
    <x:row r="104" ht="15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</x:row>
    <x:row r="105" ht="1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</x:row>
    <x:row r="106" ht="15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</x:row>
    <x:row r="107" ht="15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</x:row>
    <x:row r="108" ht="15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</x:row>
    <x:row r="109" ht="15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</x:row>
    <x:row r="110" ht="15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</x:row>
    <x:row r="111" ht="15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</x:row>
    <x:row r="112" ht="15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</x:row>
    <x:row r="113" ht="15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</x:row>
    <x:row r="114" ht="15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</x:row>
    <x:row r="115" ht="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</x:row>
    <x:row r="116" ht="15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</x:row>
    <x:row r="117" ht="15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</x:row>
    <x:row r="118" ht="15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</x:row>
    <x:row r="119" ht="15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</x:row>
    <x:row r="120" ht="15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</x:row>
    <x:row r="121" ht="15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</x:row>
    <x:row r="122" ht="15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</x:row>
    <x:row r="123" ht="15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</x:row>
    <x:row r="124" ht="15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</x:row>
    <x:row r="125" ht="1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</x:row>
    <x:row r="126" ht="15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</x:row>
    <x:row r="127" ht="15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</x:row>
    <x:row r="128" ht="15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</x:row>
    <x:row r="129" ht="15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</x:row>
    <x:row r="130" ht="15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</x:row>
    <x:row r="131" ht="15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</x:row>
    <x:row r="132" ht="15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</x:row>
    <x:row r="133" ht="15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</x:row>
    <x:row r="134" ht="15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</x:row>
    <x:row r="135" ht="1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</x:row>
    <x:row r="136" ht="15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</x:row>
    <x:row r="137" ht="15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</x:row>
    <x:row r="138" ht="15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</x:row>
    <x:row r="139" ht="15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</x:row>
    <x:row r="140" ht="15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</x:row>
    <x:row r="141" ht="15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</x:row>
    <x:row r="142" ht="15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</x:row>
    <x:row r="143" ht="15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</x:row>
    <x:row r="144" ht="15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</x:row>
    <x:row r="145" ht="1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</x:row>
    <x:row r="146" ht="15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</x:row>
    <x:row r="147" ht="15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</x:row>
    <x:row r="148" ht="15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</x:row>
    <x:row r="149" ht="15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</x:row>
    <x:row r="150" ht="15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</x:row>
    <x:row r="151" ht="15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</x:row>
    <x:row r="152" ht="15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</x:row>
    <x:row r="153" ht="15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</x:row>
    <x:row r="154" ht="15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</x:row>
    <x:row r="155" ht="1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</x:row>
    <x:row r="156" ht="15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</x:row>
    <x:row r="157" ht="15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</x:row>
    <x:row r="158" ht="15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</x:row>
    <x:row r="159" ht="15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</x:row>
    <x:row r="160" ht="15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</x:row>
    <x:row r="161" ht="15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</x:row>
    <x:row r="162" ht="15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</x:row>
    <x:row r="163" ht="15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</x:row>
    <x:row r="164" ht="15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</x:row>
    <x:row r="165" ht="1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</x:row>
    <x:row r="166" ht="15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</x:row>
    <x:row r="167" ht="15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</x:row>
    <x:row r="168" ht="15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</x:row>
    <x:row r="169" ht="15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</x:row>
    <x:row r="170" ht="15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</x:row>
    <x:row r="171" ht="15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</x:row>
    <x:row r="172" ht="15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</x:row>
    <x:row r="173" ht="15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</x:row>
    <x:row r="174" ht="15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</x:row>
    <x:row r="175" ht="1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</x:row>
    <x:row r="176" ht="15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</x:row>
    <x:row r="177" ht="15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</x:row>
    <x:row r="178" ht="15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</x:row>
    <x:row r="179" ht="15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</x:row>
    <x:row r="180" ht="15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</x:row>
    <x:row r="181" ht="15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</x:row>
    <x:row r="182" ht="15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</x:row>
    <x:row r="183" ht="15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</x:row>
    <x:row r="184" ht="15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</x:row>
    <x:row r="185" ht="1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</x:row>
    <x:row r="186" ht="15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</x:row>
    <x:row r="187" ht="15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</x:row>
    <x:row r="188" ht="15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</x:row>
    <x:row r="189" ht="15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</x:row>
    <x:row r="190" ht="15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</x:row>
    <x:row r="191" ht="15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</x:row>
    <x:row r="192" ht="15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</x:row>
    <x:row r="193" ht="15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</x:row>
    <x:row r="194" ht="15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</x:row>
    <x:row r="195" ht="1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</x:row>
    <x:row r="196" ht="15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</x:row>
    <x:row r="197" ht="15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</x:row>
    <x:row r="198" ht="15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</x:row>
    <x:row r="199" ht="15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</x:row>
    <x:row r="200" ht="15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</x:row>
    <x:row r="201" ht="15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</x:row>
    <x:row r="202" ht="15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</x:row>
    <x:row r="203" ht="15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</x:row>
    <x:row r="204" ht="15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</x:row>
    <x:row r="205" ht="1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</x:row>
    <x:row r="206" ht="15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</x:row>
    <x:row r="207" ht="15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</x:row>
    <x:row r="208" ht="15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</x:row>
    <x:row r="209" ht="15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</x:row>
    <x:row r="210" ht="15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</x:row>
    <x:row r="211" ht="15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</x:row>
    <x:row r="212" ht="15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</x:row>
    <x:row r="213" ht="15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</x:row>
    <x:row r="214" ht="15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</x:row>
    <x:row r="215" ht="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</x:row>
    <x:row r="216" ht="15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</x:row>
    <x:row r="217" ht="15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</x:row>
    <x:row r="218" ht="15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</x:row>
    <x:row r="219" ht="15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</x:row>
    <x:row r="220" ht="15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5" customWidth="1"/>
    <x:col min="2" max="7" width="19" customWidth="1"/>
    <x:col min="8" max="8" width="55" customWidth="1"/>
    <x:col min="6" max="6" width="25" hidden="0" customWidth="1"/>
    <x:col min="7" max="7" width="25" hidden="0" customWidth="1"/>
  </x:cols>
  <x:sheetData>
    <x:row r="1" ht="27.950000762939453" customHeight="1">
      <x:c r="A1" s="171" t="str">
        <x:v>RISC DE PIERDERE – CONTROALE ACTIVE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15">
      <x:c r="A2" s="141"/>
      <x:c r="B2" s="141"/>
      <x:c r="C2" s="141"/>
      <x:c r="D2" s="141"/>
      <x:c r="E2" s="141"/>
      <x:c r="F2" s="141"/>
      <x:c r="G2" s="141"/>
      <x:c r="H2" s="141"/>
      <x:c r="I2" s="141"/>
      <x:c r="J2" s="141"/>
      <x:c r="K2" s="141"/>
      <x:c r="L2" s="141"/>
      <x:c r="M2" s="141"/>
      <x:c r="N2" s="141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 ht="15">
      <x:c r="A3" s="180" t="s">
        <x:v>137</x:v>
      </x:c>
      <x:c r="B3" s="180" t="s">
        <x:v>162</x:v>
      </x:c>
      <x:c r="C3" s="180" t="s">
        <x:v>163</x:v>
      </x:c>
      <x:c r="D3" s="180" t="str">
        <x:v>Market PASS</x:v>
      </x:c>
      <x:c r="E3" s="180" t="str">
        <x:v>Market PRUDENT</x:v>
      </x:c>
      <x:c r="F3" s="180" t="s">
        <x:v>164</x:v>
      </x:c>
      <x:c r="G3" s="180" t="s">
        <x:v>165</x:v>
      </x:c>
      <x:c r="H3" s="180" t="s">
        <x:v>141</x:v>
      </x:c>
      <x:c r="I3" s="142"/>
      <x:c r="J3" s="142"/>
      <x:c r="K3" s="142"/>
      <x:c r="L3" s="142"/>
      <x:c r="M3" s="142"/>
      <x:c r="N3" s="14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 ht="43" customHeight="1">
      <x:c r="A4" s="193" t="s">
        <x:v>166</x:v>
      </x:c>
      <x:c r="B4" s="193" t="s">
        <x:v>167</x:v>
      </x:c>
      <x:c r="C4" s="193" t="s">
        <x:v>168</x:v>
      </x:c>
      <x:c r="D4" s="194" t="n">
        <x:f>'Parametri'!B20</x:f>
        <x:v>0.3</x:v>
      </x:c>
      <x:c r="E4" s="194" t="n">
        <x:f>'Parametri'!B21</x:f>
        <x:v>0.35</x:v>
      </x:c>
      <x:c r="F4" s="193"/>
      <x:c r="G4" s="193"/>
      <x:c r="H4" s="193" t="s">
        <x:v>169</x:v>
      </x:c>
      <x:c r="I4" s="142"/>
      <x:c r="J4" s="142"/>
      <x:c r="K4" s="142"/>
      <x:c r="L4" s="142"/>
      <x:c r="M4" s="142"/>
      <x:c r="N4" s="14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43" customHeight="1">
      <x:c r="A5" s="193" t="s">
        <x:v>170</x:v>
      </x:c>
      <x:c r="B5" s="194" t="str">
        <x:f>IF(NOT(ISNUMBER('Model_1X2'!D10)),"",'Model_1X2'!D10)</x:f>
      </x:c>
      <x:c r="C5" s="194" t="str">
        <x:f>IF(NOT(ISNUMBER('Model_1X2'!B10)),"",'Model_1X2'!B10)</x:f>
      </x:c>
      <x:c r="D5" s="194"/>
      <x:c r="E5" s="194"/>
      <x:c r="F5" s="193" t="str">
        <x:f>'P0_Gates_v2'!L4</x:f>
        <x:v>INPUT</x:v>
      </x:c>
      <x:c r="G5" s="193" t="str">
        <x:f>'P0_Gates_v2'!L5</x:f>
        <x:v>INPUT</x:v>
      </x:c>
      <x:c r="H5" s="193" t="str">
        <x:v>Statusul controlului activ; riscul modelului nu are un prag hard suplimentar de 18/24%.</x:v>
      </x:c>
      <x:c r="I5" s="142"/>
      <x:c r="J5" s="142"/>
      <x:c r="K5" s="142"/>
      <x:c r="L5" s="142"/>
      <x:c r="M5" s="142"/>
      <x:c r="N5" s="14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 ht="43" customHeight="1">
      <x:c r="A6" s="193" t="s">
        <x:v>171</x:v>
      </x:c>
      <x:c r="B6" s="194" t="str">
        <x:f>IF(NOT(ISNUMBER('Model_1X2'!L8)),"",'Model_1X2'!L8)</x:f>
      </x:c>
      <x:c r="C6" s="194" t="str">
        <x:f>IF(NOT(ISNUMBER('Model_1X2'!J8)),"",'Model_1X2'!J8)</x:f>
      </x:c>
      <x:c r="D6" s="194"/>
      <x:c r="E6" s="194"/>
      <x:c r="F6" s="193"/>
      <x:c r="G6" s="193"/>
      <x:c r="H6" s="193" t="s">
        <x:v>131</x:v>
      </x:c>
      <x:c r="I6" s="142"/>
      <x:c r="J6" s="142"/>
      <x:c r="K6" s="142"/>
      <x:c r="L6" s="142"/>
      <x:c r="M6" s="142"/>
      <x:c r="N6" s="142"/>
      <x:c r="O6" s="2"/>
      <x:c r="P6" s="2"/>
      <x:c r="Q6" s="2"/>
      <x:c r="R6" s="2"/>
      <x:c r="S6" s="2"/>
      <x:c r="T6" s="2"/>
      <x:c r="U6" s="2"/>
      <x:c r="V6" s="2"/>
      <x:c r="W6" s="2"/>
      <x:c r="X6" s="2"/>
    </x:row>
    <x:row r="7" ht="43" customHeight="1">
      <x:c r="A7" s="193" t="s">
        <x:v>172</x:v>
      </x:c>
      <x:c r="B7" s="194" t="str">
        <x:f>IF(OR(NOT(ISNUMBER(B5)),NOT(ISNUMBER(B6))),"",ABS(B5-B6))</x:f>
      </x:c>
      <x:c r="C7" s="194" t="str">
        <x:f>IF(OR(NOT(ISNUMBER(C5)),NOT(ISNUMBER(C6))),"",ABS(C5-C6))</x:f>
      </x:c>
      <x:c r="D7" s="194">
        <x:v>7.0000000000000007E-2</x:v>
      </x:c>
      <x:c r="E7" s="194">
        <x:v>7.0000000000000007E-2</x:v>
      </x:c>
      <x:c r="F7" s="193" t="str">
        <x:f>IF(NOT(ISNUMBER(B7)),"",IF(B7&lt;='Parametri'!B10,"DIFERENȚĂ MICĂ","DIFERENȚĂ DE ANALIZAT"))</x:f>
      </x:c>
      <x:c r="G7" s="193" t="str">
        <x:f>IF(NOT(ISNUMBER(C7)),"",IF(C7&lt;='Parametri'!B10,"DIFERENȚĂ MICĂ","DIFERENȚĂ DE ANALIZAT"))</x:f>
      </x:c>
      <x:c r="H7" s="193" t="str">
        <x:v>Diagnostic; nu impune singur WATCH/NO BET.</x:v>
      </x:c>
      <x:c r="I7" s="142"/>
      <x:c r="J7" s="142"/>
      <x:c r="K7" s="142"/>
      <x:c r="L7" s="142"/>
      <x:c r="M7" s="142"/>
      <x:c r="N7" s="142"/>
      <x:c r="O7" s="2"/>
      <x:c r="P7" s="2"/>
      <x:c r="Q7" s="2"/>
      <x:c r="R7" s="2"/>
      <x:c r="S7" s="2"/>
      <x:c r="T7" s="2"/>
      <x:c r="U7" s="2"/>
      <x:c r="V7" s="2"/>
      <x:c r="W7" s="2"/>
      <x:c r="X7" s="2"/>
    </x:row>
    <x:row r="8" ht="43" customHeight="1">
      <x:c r="A8" s="193" t="s">
        <x:v>173</x:v>
      </x:c>
      <x:c r="B8" s="193" t="s">
        <x:v>79</x:v>
      </x:c>
      <x:c r="C8" s="193" t="s">
        <x:v>79</x:v>
      </x:c>
      <x:c r="D8" s="193"/>
      <x:c r="E8" s="193"/>
      <x:c r="F8" s="193" t="str">
        <x:f>IF(B8="","NECOMPLETAT",IF(B8="NU","FĂRĂ SEMNAL","DE ANALIZAT"))</x:f>
        <x:v>FĂRĂ SEMNAL</x:v>
      </x:c>
      <x:c r="G8" s="193" t="str">
        <x:f>IF(C8="","NECOMPLETAT",IF(C8="NU","FĂRĂ SEMNAL","DE ANALIZAT"))</x:f>
        <x:v>FĂRĂ SEMNAL</x:v>
      </x:c>
      <x:c r="H8" s="193" t="str">
        <x:v>Context informativ; impactul se integrează în modelele externe și Surse_Date.</x:v>
      </x:c>
      <x:c r="I8" s="142"/>
      <x:c r="J8" s="142"/>
      <x:c r="K8" s="142"/>
      <x:c r="L8" s="142"/>
      <x:c r="M8" s="142"/>
      <x:c r="N8" s="142"/>
      <x:c r="O8" s="2"/>
      <x:c r="P8" s="2"/>
      <x:c r="Q8" s="2"/>
      <x:c r="R8" s="2"/>
      <x:c r="S8" s="2"/>
      <x:c r="T8" s="2"/>
      <x:c r="U8" s="2"/>
      <x:c r="V8" s="2"/>
      <x:c r="W8" s="2"/>
      <x:c r="X8" s="2"/>
    </x:row>
    <x:row r="9" ht="43" customHeight="1">
      <x:c r="A9" s="193" t="s">
        <x:v>174</x:v>
      </x:c>
      <x:c r="B9" s="193" t="s">
        <x:v>79</x:v>
      </x:c>
      <x:c r="C9" s="193" t="s">
        <x:v>79</x:v>
      </x:c>
      <x:c r="D9" s="193"/>
      <x:c r="E9" s="193"/>
      <x:c r="F9" s="193" t="str">
        <x:f>IF(B9="","NECOMPLETAT",IF(B9="NU","FĂRĂ SEMNAL","DE ANALIZAT"))</x:f>
        <x:v>FĂRĂ SEMNAL</x:v>
      </x:c>
      <x:c r="G9" s="193" t="str">
        <x:f>IF(C9="","NECOMPLETAT",IF(C9="NU","FĂRĂ SEMNAL","DE ANALIZAT"))</x:f>
        <x:v>FĂRĂ SEMNAL</x:v>
      </x:c>
      <x:c r="H9" s="193" t="str">
        <x:v>Diagnostic H/A; nu este un selector paralel.</x:v>
      </x:c>
      <x:c r="I9" s="142"/>
      <x:c r="J9" s="142"/>
      <x:c r="K9" s="142"/>
      <x:c r="L9" s="142"/>
      <x:c r="M9" s="142"/>
      <x:c r="N9" s="142"/>
      <x:c r="O9" s="2"/>
      <x:c r="P9" s="2"/>
      <x:c r="Q9" s="2"/>
      <x:c r="R9" s="2"/>
      <x:c r="S9" s="2"/>
      <x:c r="T9" s="2"/>
      <x:c r="U9" s="2"/>
      <x:c r="V9" s="2"/>
      <x:c r="W9" s="2"/>
      <x:c r="X9" s="2"/>
    </x:row>
    <x:row r="10" ht="43" customHeight="1">
      <x:c r="A10" s="193" t="s">
        <x:v>175</x:v>
      </x:c>
      <x:c r="B10" s="193" t="str">
        <x:f>P0_Gates_v2!C4</x:f>
        <x:v>INPUT</x:v>
      </x:c>
      <x:c r="C10" s="193" t="str">
        <x:f>P0_Gates_v2!C5</x:f>
        <x:v>INPUT</x:v>
      </x:c>
      <x:c r="D10" s="193"/>
      <x:c r="E10" s="193"/>
      <x:c r="F10" s="193"/>
      <x:c r="G10" s="193"/>
      <x:c r="H10" s="193" t="s">
        <x:v>176</x:v>
      </x:c>
      <x:c r="I10" s="142"/>
      <x:c r="J10" s="142"/>
      <x:c r="K10" s="142"/>
      <x:c r="L10" s="142"/>
      <x:c r="M10" s="142"/>
      <x:c r="N10" s="142"/>
      <x:c r="O10" s="2"/>
      <x:c r="P10" s="2"/>
      <x:c r="Q10" s="2"/>
      <x:c r="R10" s="2"/>
      <x:c r="S10" s="2"/>
      <x:c r="T10" s="2"/>
      <x:c r="U10" s="2"/>
      <x:c r="V10" s="2"/>
      <x:c r="W10" s="2"/>
      <x:c r="X10" s="2"/>
    </x:row>
    <x:row r="11" ht="43" customHeight="1">
      <x:c r="A11" s="193" t="s">
        <x:v>177</x:v>
      </x:c>
      <x:c r="B11" s="193" t="str">
        <x:f>P0_Gates_v2!H4</x:f>
        <x:v>INPUT</x:v>
      </x:c>
      <x:c r="C11" s="193" t="str">
        <x:f>P0_Gates_v2!H5</x:f>
        <x:v>INPUT</x:v>
      </x:c>
      <x:c r="D11" s="193"/>
      <x:c r="E11" s="193"/>
      <x:c r="F11" s="193"/>
      <x:c r="G11" s="193"/>
      <x:c r="H11" s="193" t="s">
        <x:v>178</x:v>
      </x:c>
      <x:c r="I11" s="142"/>
      <x:c r="J11" s="142"/>
      <x:c r="K11" s="142"/>
      <x:c r="L11" s="142"/>
      <x:c r="M11" s="142"/>
      <x:c r="N11" s="142"/>
      <x:c r="O11" s="2"/>
      <x:c r="P11" s="2"/>
      <x:c r="Q11" s="2"/>
      <x:c r="R11" s="2"/>
      <x:c r="S11" s="2"/>
      <x:c r="T11" s="2"/>
      <x:c r="U11" s="2"/>
      <x:c r="V11" s="2"/>
      <x:c r="W11" s="2"/>
      <x:c r="X11" s="2"/>
    </x:row>
    <x:row r="12" ht="43" customHeight="1">
      <x:c r="A12" s="193" t="s">
        <x:v>179</x:v>
      </x:c>
      <x:c r="B12" s="193" t="str">
        <x:f>P0_Gates_v2!L4</x:f>
        <x:v>INPUT</x:v>
      </x:c>
      <x:c r="C12" s="193" t="str">
        <x:f>P0_Gates_v2!L5</x:f>
        <x:v>INPUT</x:v>
      </x:c>
      <x:c r="D12" s="193"/>
      <x:c r="E12" s="193"/>
      <x:c r="F12" s="193"/>
      <x:c r="G12" s="193"/>
      <x:c r="H12" s="193" t="s">
        <x:v>180</x:v>
      </x:c>
      <x:c r="I12" s="142"/>
      <x:c r="J12" s="142"/>
      <x:c r="K12" s="142"/>
      <x:c r="L12" s="142"/>
      <x:c r="M12" s="142"/>
      <x:c r="N12" s="142"/>
      <x:c r="O12" s="2"/>
      <x:c r="P12" s="2"/>
      <x:c r="Q12" s="2"/>
      <x:c r="R12" s="2"/>
      <x:c r="S12" s="2"/>
      <x:c r="T12" s="2"/>
      <x:c r="U12" s="2"/>
      <x:c r="V12" s="2"/>
      <x:c r="W12" s="2"/>
      <x:c r="X12" s="2"/>
    </x:row>
    <x:row r="13" ht="43" customHeight="1">
      <x:c r="A13" s="193" t="s">
        <x:v>181</x:v>
      </x:c>
      <x:c r="B13" s="193"/>
      <x:c r="C13" s="193"/>
      <x:c r="D13" s="193"/>
      <x:c r="E13" s="193"/>
      <x:c r="F13" s="193"/>
      <x:c r="G13" s="193"/>
      <x:c r="H13" s="193" t="s">
        <x:v>182</x:v>
      </x:c>
      <x:c r="I13" s="142"/>
      <x:c r="J13" s="142"/>
      <x:c r="K13" s="142"/>
      <x:c r="L13" s="142"/>
      <x:c r="M13" s="142"/>
      <x:c r="N13" s="142"/>
      <x:c r="O13" s="2"/>
      <x:c r="P13" s="2"/>
      <x:c r="Q13" s="2"/>
      <x:c r="R13" s="2"/>
      <x:c r="S13" s="2"/>
      <x:c r="T13" s="2"/>
      <x:c r="U13" s="2"/>
      <x:c r="V13" s="2"/>
      <x:c r="W13" s="2"/>
      <x:c r="X13" s="2"/>
    </x:row>
    <x:row r="14" ht="43" customHeight="1">
      <x:c r="A14" s="142"/>
      <x:c r="B14" s="142"/>
      <x:c r="C14" s="142"/>
      <x:c r="D14" s="142"/>
      <x:c r="E14" s="142"/>
      <x:c r="F14" s="142"/>
      <x:c r="G14" s="142"/>
      <x:c r="H14" s="142"/>
      <x:c r="I14" s="142"/>
      <x:c r="J14" s="142"/>
      <x:c r="K14" s="142"/>
      <x:c r="L14" s="142"/>
      <x:c r="M14" s="142"/>
      <x:c r="N14" s="142"/>
      <x:c r="O14" s="2"/>
      <x:c r="P14" s="2"/>
      <x:c r="Q14" s="2"/>
      <x:c r="R14" s="2"/>
      <x:c r="S14" s="2"/>
      <x:c r="T14" s="2"/>
      <x:c r="U14" s="2"/>
      <x:c r="V14" s="2"/>
      <x:c r="W14" s="2"/>
      <x:c r="X14" s="2"/>
    </x:row>
    <x:row r="15" ht="43" customHeight="1">
      <x:c r="A15" s="142"/>
      <x:c r="B15" s="142"/>
      <x:c r="C15" s="142"/>
      <x:c r="D15" s="142"/>
      <x:c r="E15" s="142"/>
      <x:c r="F15" s="142"/>
      <x:c r="G15" s="142"/>
      <x:c r="H15" s="142"/>
      <x:c r="I15" s="142"/>
      <x:c r="J15" s="142"/>
      <x:c r="K15" s="142"/>
      <x:c r="L15" s="142"/>
      <x:c r="M15" s="142"/>
      <x:c r="N15" s="142"/>
      <x:c r="O15" s="2"/>
      <x:c r="P15" s="2"/>
      <x:c r="Q15" s="2"/>
      <x:c r="R15" s="2"/>
      <x:c r="S15" s="2"/>
      <x:c r="T15" s="2"/>
      <x:c r="U15" s="2"/>
      <x:c r="V15" s="2"/>
      <x:c r="W15" s="2"/>
      <x:c r="X15" s="2"/>
    </x:row>
    <x:row r="16" ht="43" customHeight="1">
      <x:c r="A16" s="142"/>
      <x:c r="B16" s="142"/>
      <x:c r="C16" s="142"/>
      <x:c r="D16" s="142"/>
      <x:c r="E16" s="142"/>
      <x:c r="F16" s="142"/>
      <x:c r="G16" s="142"/>
      <x:c r="H16" s="142"/>
      <x:c r="I16" s="142"/>
      <x:c r="J16" s="142"/>
      <x:c r="K16" s="142"/>
      <x:c r="L16" s="142"/>
      <x:c r="M16" s="142"/>
      <x:c r="N16" s="142"/>
      <x:c r="O16" s="2"/>
      <x:c r="P16" s="2"/>
      <x:c r="Q16" s="2"/>
      <x:c r="R16" s="2"/>
      <x:c r="S16" s="2"/>
      <x:c r="T16" s="2"/>
      <x:c r="U16" s="2"/>
      <x:c r="V16" s="2"/>
      <x:c r="W16" s="2"/>
      <x:c r="X16" s="2"/>
    </x:row>
    <x:row r="17" ht="43" customHeight="1">
      <x:c r="A17" s="142"/>
      <x:c r="B17" s="142"/>
      <x:c r="C17" s="142"/>
      <x:c r="D17" s="142"/>
      <x:c r="E17" s="142"/>
      <x:c r="F17" s="142"/>
      <x:c r="G17" s="142"/>
      <x:c r="H17" s="142"/>
      <x:c r="I17" s="142"/>
      <x:c r="J17" s="142"/>
      <x:c r="K17" s="142"/>
      <x:c r="L17" s="142"/>
      <x:c r="M17" s="142"/>
      <x:c r="N17" s="142"/>
      <x:c r="O17" s="2"/>
      <x:c r="P17" s="2"/>
      <x:c r="Q17" s="2"/>
      <x:c r="R17" s="2"/>
      <x:c r="S17" s="2"/>
      <x:c r="T17" s="2"/>
      <x:c r="U17" s="2"/>
      <x:c r="V17" s="2"/>
      <x:c r="W17" s="2"/>
      <x:c r="X17" s="2"/>
    </x:row>
    <x:row r="18" ht="43" customHeight="1">
      <x:c r="A18" s="142"/>
      <x:c r="B18" s="142"/>
      <x:c r="C18" s="142"/>
      <x:c r="D18" s="142"/>
      <x:c r="E18" s="142"/>
      <x:c r="F18" s="142"/>
      <x:c r="G18" s="142"/>
      <x:c r="H18" s="142"/>
      <x:c r="I18" s="142"/>
      <x:c r="J18" s="142"/>
      <x:c r="K18" s="142"/>
      <x:c r="L18" s="142"/>
      <x:c r="M18" s="142"/>
      <x:c r="N18" s="142"/>
      <x:c r="O18" s="2"/>
      <x:c r="P18" s="2"/>
      <x:c r="Q18" s="2"/>
      <x:c r="R18" s="2"/>
      <x:c r="S18" s="2"/>
      <x:c r="T18" s="2"/>
      <x:c r="U18" s="2"/>
      <x:c r="V18" s="2"/>
      <x:c r="W18" s="2"/>
      <x:c r="X18" s="2"/>
    </x:row>
    <x:row r="19" ht="43" customHeight="1">
      <x:c r="A19" s="142"/>
      <x:c r="B19" s="142"/>
      <x:c r="C19" s="142"/>
      <x:c r="D19" s="142"/>
      <x:c r="E19" s="142"/>
      <x:c r="F19" s="142"/>
      <x:c r="G19" s="142"/>
      <x:c r="H19" s="142"/>
      <x:c r="I19" s="142"/>
      <x:c r="J19" s="142"/>
      <x:c r="K19" s="142"/>
      <x:c r="L19" s="142"/>
      <x:c r="M19" s="142"/>
      <x:c r="N19" s="142"/>
      <x:c r="O19" s="2"/>
      <x:c r="P19" s="2"/>
      <x:c r="Q19" s="2"/>
      <x:c r="R19" s="2"/>
      <x:c r="S19" s="2"/>
      <x:c r="T19" s="2"/>
      <x:c r="U19" s="2"/>
      <x:c r="V19" s="2"/>
      <x:c r="W19" s="2"/>
      <x:c r="X19" s="2"/>
    </x:row>
    <x:row r="20" ht="43" customHeight="1">
      <x:c r="A20" s="142"/>
      <x:c r="B20" s="142"/>
      <x:c r="C20" s="142"/>
      <x:c r="D20" s="142"/>
      <x:c r="E20" s="142"/>
      <x:c r="F20" s="142"/>
      <x:c r="G20" s="142"/>
      <x:c r="H20" s="142"/>
      <x:c r="I20" s="142"/>
      <x:c r="J20" s="142"/>
      <x:c r="K20" s="142"/>
      <x:c r="L20" s="142"/>
      <x:c r="M20" s="142"/>
      <x:c r="N20" s="142"/>
      <x:c r="O20" s="2"/>
      <x:c r="P20" s="2"/>
      <x:c r="Q20" s="2"/>
      <x:c r="R20" s="2"/>
      <x:c r="S20" s="2"/>
      <x:c r="T20" s="2"/>
      <x:c r="U20" s="2"/>
      <x:c r="V20" s="2"/>
      <x:c r="W20" s="2"/>
      <x:c r="X20" s="2"/>
    </x:row>
    <x:row r="21" ht="15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</x:row>
    <x:row r="22" ht="15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</x:row>
    <x:row r="23" ht="15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</x:row>
    <x:row r="24" ht="15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</x:row>
    <x:row r="25" ht="1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</x:row>
    <x:row r="26" ht="15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</x:row>
    <x:row r="27" ht="15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</x:row>
    <x:row r="28" ht="15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</x:row>
    <x:row r="29" ht="15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</x:row>
    <x:row r="30" ht="15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</x:row>
    <x:row r="31" ht="15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</x:row>
    <x:row r="32" ht="15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</x:row>
    <x:row r="33" ht="15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</x:row>
    <x:row r="34" ht="15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</x:row>
    <x:row r="35" ht="1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</x:row>
    <x:row r="36" ht="15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</x:row>
    <x:row r="37" ht="15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</x:row>
    <x:row r="38" ht="15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</x:row>
    <x:row r="39" ht="15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</x:row>
    <x:row r="40" ht="15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</x:row>
    <x:row r="41" ht="15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</x:row>
    <x:row r="42" ht="15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</x:row>
    <x:row r="43" ht="15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</x:row>
    <x:row r="44" ht="15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</x:row>
    <x:row r="45" ht="1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</x:row>
    <x:row r="46" ht="15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</x:row>
    <x:row r="47" ht="15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</x:row>
    <x:row r="48" ht="15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</x:row>
    <x:row r="49" ht="15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</x:row>
    <x:row r="50" ht="15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</x:row>
    <x:row r="51" ht="15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</x:row>
    <x:row r="52" ht="15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</x:row>
    <x:row r="53" ht="15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</x:row>
    <x:row r="54" ht="15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</x:row>
    <x:row r="55" ht="1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</x:row>
    <x:row r="56" ht="15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</x:row>
    <x:row r="57" ht="15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</x:row>
    <x:row r="58" ht="15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</x:row>
    <x:row r="59" ht="15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</x:row>
    <x:row r="60" ht="15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</x:row>
    <x:row r="61" ht="15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</x:row>
    <x:row r="62" ht="15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</x:row>
    <x:row r="63" ht="15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</x:row>
    <x:row r="64" ht="15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</x:row>
    <x:row r="65" ht="1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</x:row>
    <x:row r="66" ht="15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</x:row>
    <x:row r="67" ht="15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</x:row>
    <x:row r="68" ht="15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</x:row>
    <x:row r="69" ht="15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</x:row>
    <x:row r="70" ht="15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</x:row>
    <x:row r="71" ht="15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</x:row>
    <x:row r="72" ht="15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</x:row>
    <x:row r="73" ht="15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</x:row>
    <x:row r="74" ht="15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</x:row>
    <x:row r="75" ht="1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</x:row>
    <x:row r="76" ht="15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</x:row>
    <x:row r="77" ht="15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</x:row>
    <x:row r="78" ht="15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</x:row>
    <x:row r="79" ht="15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</x:row>
    <x:row r="80" ht="15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</x:row>
    <x:row r="81" ht="15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</x:row>
    <x:row r="82" ht="15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</x:row>
    <x:row r="83" ht="15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</x:row>
    <x:row r="84" ht="15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</x:row>
    <x:row r="85" ht="1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</x:row>
    <x:row r="86" ht="15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</x:row>
    <x:row r="87" ht="15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</x:row>
    <x:row r="88" ht="15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</x:row>
    <x:row r="89" ht="15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</x:row>
    <x:row r="90" ht="15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</x:row>
    <x:row r="91" ht="15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</x:row>
    <x:row r="92" ht="15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</x:row>
    <x:row r="93" ht="15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</x:row>
    <x:row r="94" ht="15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</x:row>
    <x:row r="95" ht="1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</x:row>
    <x:row r="96" ht="15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</x:row>
    <x:row r="97" ht="15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</x:row>
    <x:row r="98" ht="15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</x:row>
    <x:row r="99" ht="15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</x:row>
    <x:row r="100" ht="15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</x:row>
    <x:row r="101" ht="15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</x:row>
    <x:row r="102" ht="15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</x:row>
    <x:row r="103" ht="15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</x:row>
    <x:row r="104" ht="15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</x:row>
    <x:row r="105" ht="1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</x:row>
    <x:row r="106" ht="15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</x:row>
    <x:row r="107" ht="15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</x:row>
    <x:row r="108" ht="15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</x:row>
    <x:row r="109" ht="15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</x:row>
    <x:row r="110" ht="15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</x:row>
    <x:row r="111" ht="15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</x:row>
    <x:row r="112" ht="15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</x:row>
    <x:row r="113" ht="15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</x:row>
    <x:row r="114" ht="15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</x:row>
    <x:row r="115" ht="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</x:row>
    <x:row r="116" ht="15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</x:row>
    <x:row r="117" ht="15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</x:row>
    <x:row r="118" ht="15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</x:row>
    <x:row r="119" ht="15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</x:row>
    <x:row r="120" ht="15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</x:row>
    <x:row r="121" ht="15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</x:row>
    <x:row r="122" ht="15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</x:row>
    <x:row r="123" ht="15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</x:row>
    <x:row r="124" ht="15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</x:row>
    <x:row r="125" ht="1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</x:row>
    <x:row r="126" ht="15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</x:row>
    <x:row r="127" ht="15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</x:row>
    <x:row r="128" ht="15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</x:row>
    <x:row r="129" ht="15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</x:row>
    <x:row r="130" ht="15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</x:row>
    <x:row r="131" ht="15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</x:row>
    <x:row r="132" ht="15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</x:row>
    <x:row r="133" ht="15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</x:row>
    <x:row r="134" ht="15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</x:row>
    <x:row r="135" ht="1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</x:row>
    <x:row r="136" ht="15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</x:row>
    <x:row r="137" ht="15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</x:row>
    <x:row r="138" ht="15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</x:row>
    <x:row r="139" ht="15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</x:row>
    <x:row r="140" ht="15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</x:row>
    <x:row r="141" ht="15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</x:row>
    <x:row r="142" ht="15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</x:row>
    <x:row r="143" ht="15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</x:row>
    <x:row r="144" ht="15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</x:row>
    <x:row r="145" ht="1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</x:row>
    <x:row r="146" ht="15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</x:row>
    <x:row r="147" ht="15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</x:row>
    <x:row r="148" ht="15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</x:row>
    <x:row r="149" ht="15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</x:row>
    <x:row r="150" ht="15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</x:row>
    <x:row r="151" ht="15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</x:row>
    <x:row r="152" ht="15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</x:row>
    <x:row r="153" ht="15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</x:row>
    <x:row r="154" ht="15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</x:row>
    <x:row r="155" ht="1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</x:row>
    <x:row r="156" ht="15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</x:row>
    <x:row r="157" ht="15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</x:row>
    <x:row r="158" ht="15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</x:row>
    <x:row r="159" ht="15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</x:row>
    <x:row r="160" ht="15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</x:row>
    <x:row r="161" ht="15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</x:row>
    <x:row r="162" ht="15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</x:row>
    <x:row r="163" ht="15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</x:row>
    <x:row r="164" ht="15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</x:row>
    <x:row r="165" ht="1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</x:row>
    <x:row r="166" ht="15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</x:row>
    <x:row r="167" ht="15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</x:row>
    <x:row r="168" ht="15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</x:row>
    <x:row r="169" ht="15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</x:row>
    <x:row r="170" ht="15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</x:row>
    <x:row r="171" ht="15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</x:row>
    <x:row r="172" ht="15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</x:row>
    <x:row r="173" ht="15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</x:row>
    <x:row r="174" ht="15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</x:row>
    <x:row r="175" ht="1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</x:row>
    <x:row r="176" ht="15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</x:row>
    <x:row r="177" ht="15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</x:row>
    <x:row r="178" ht="15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</x:row>
    <x:row r="179" ht="15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</x:row>
    <x:row r="180" ht="15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</x:row>
    <x:row r="181" ht="15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</x:row>
    <x:row r="182" ht="15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</x:row>
    <x:row r="183" ht="15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</x:row>
    <x:row r="184" ht="15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</x:row>
    <x:row r="185" ht="1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</x:row>
    <x:row r="186" ht="15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</x:row>
    <x:row r="187" ht="15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</x:row>
    <x:row r="188" ht="15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</x:row>
    <x:row r="189" ht="15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</x:row>
    <x:row r="190" ht="15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</x:row>
    <x:row r="191" ht="15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</x:row>
    <x:row r="192" ht="15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</x:row>
    <x:row r="193" ht="15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</x:row>
    <x:row r="194" ht="15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</x:row>
    <x:row r="195" ht="1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</x:row>
    <x:row r="196" ht="15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</x:row>
    <x:row r="197" ht="15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</x:row>
    <x:row r="198" ht="15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</x:row>
    <x:row r="199" ht="15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</x:row>
    <x:row r="200" ht="15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</x:row>
    <x:row r="201" ht="15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</x:row>
    <x:row r="202" ht="15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</x:row>
    <x:row r="203" ht="15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</x:row>
    <x:row r="204" ht="15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</x:row>
    <x:row r="205" ht="1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</x:row>
    <x:row r="206" ht="15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</x:row>
    <x:row r="207" ht="15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</x:row>
    <x:row r="208" ht="15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</x:row>
    <x:row r="209" ht="15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</x:row>
    <x:row r="210" ht="15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</x:row>
    <x:row r="211" ht="15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</x:row>
    <x:row r="212" ht="15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</x:row>
    <x:row r="213" ht="15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</x:row>
    <x:row r="214" ht="15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</x:row>
    <x:row r="215" ht="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</x:row>
    <x:row r="216" ht="15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</x:row>
    <x:row r="217" ht="15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</x:row>
    <x:row r="218" ht="15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</x:row>
    <x:row r="219" ht="15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</x:row>
    <x:row r="220" ht="15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2" width="15" customWidth="1"/>
    <x:col min="3" max="3" width="24" customWidth="1"/>
    <x:col min="4" max="14" width="15" customWidth="1"/>
    <x:col min="15" max="17" width="18" customWidth="1"/>
    <x:col min="18" max="21" width="15" customWidth="1"/>
    <x:col min="22" max="22" width="48" customWidth="1"/>
    <x:col min="23" max="23" width="2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24" hidden="0" customWidth="1"/>
    <x:col min="31" max="31" width="22" hidden="0" customWidth="1"/>
    <x:col min="32" max="32" width="22" hidden="0" customWidth="1"/>
    <x:col min="14" max="14" width="40" hidden="0" customWidth="1"/>
  </x:cols>
  <x:sheetData>
    <x:row r="1" ht="27.950000762939453" customHeight="1">
      <x:c r="A1" s="45" t="str">
        <x:v>ȘANSĂ DUBLĂ – SELECTOR FINAL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7"/>
      <x:c r="Z1" s="47"/>
      <x:c r="AA1" s="47"/>
      <x:c r="AB1" s="47"/>
      <x:c r="AC1" s="47"/>
    </x:row>
    <x:row r="2" ht="15">
      <x:c r="A2" s="46"/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7"/>
      <x:c r="Z2" s="47"/>
      <x:c r="AA2" s="47"/>
      <x:c r="AB2" s="47"/>
      <x:c r="AC2" s="47"/>
    </x:row>
    <x:row r="3" ht="34" customHeight="1">
      <x:c r="A3" s="160" t="s">
        <x:v>183</x:v>
      </x:c>
      <x:c r="B3" s="160" t="s">
        <x:v>184</x:v>
      </x:c>
      <x:c r="C3" s="160" t="s">
        <x:v>185</x:v>
      </x:c>
      <x:c r="D3" s="160" t="s">
        <x:v>186</x:v>
      </x:c>
      <x:c r="E3" s="160" t="s">
        <x:v>187</x:v>
      </x:c>
      <x:c r="F3" s="160" t="s">
        <x:v>188</x:v>
      </x:c>
      <x:c r="G3" s="160" t="s">
        <x:v>189</x:v>
      </x:c>
      <x:c r="H3" s="160" t="s">
        <x:v>190</x:v>
      </x:c>
      <x:c r="I3" s="160" t="s">
        <x:v>191</x:v>
      </x:c>
      <x:c r="J3" s="160" t="str">
        <x:v>EV informativ neutilizat</x:v>
      </x:c>
      <x:c r="K3" s="160" t="str">
        <x:v>Control tehnic</x:v>
      </x:c>
      <x:c r="L3" s="160" t="s">
        <x:v>192</x:v>
      </x:c>
      <x:c r="M3" s="160" t="s">
        <x:v>193</x:v>
      </x:c>
      <x:c r="N3" s="160" t="s">
        <x:v>194</x:v>
      </x:c>
      <x:c r="O3" s="160" t="s">
        <x:v>195</x:v>
      </x:c>
      <x:c r="P3" s="160" t="s">
        <x:v>196</x:v>
      </x:c>
      <x:c r="Q3" s="160" t="s">
        <x:v>197</x:v>
      </x:c>
      <x:c r="R3" s="160" t="s">
        <x:v>198</x:v>
      </x:c>
      <x:c r="S3" s="160" t="s">
        <x:v>199</x:v>
      </x:c>
      <x:c r="T3" s="160" t="s">
        <x:v>200</x:v>
      </x:c>
      <x:c r="U3" s="160" t="s">
        <x:v>201</x:v>
      </x:c>
      <x:c r="V3" s="160" t="str">
        <x:v>Motivație v4</x:v>
      </x:c>
      <x:c r="W3" s="160" t="str">
        <x:v>P1X2 de-vig source</x:v>
      </x:c>
      <x:c r="X3" s="160" t="str">
        <x:v>P failure market</x:v>
      </x:c>
      <x:c r="Y3" s="160" t="str">
        <x:v>Pfail_DC=max(model,market)</x:v>
      </x:c>
      <x:c r="Z3" s="160" t="str">
        <x:v>Market Direction Gate</x:v>
      </x:c>
      <x:c r="AA3" s="160" t="str">
        <x:v>Ranking Eligible</x:v>
      </x:c>
      <x:c r="AB3" s="160" t="str">
        <x:v>Favorite Fragility</x:v>
      </x:c>
      <x:c r="AC3" s="160" t="str">
        <x:v>Fragility Risk +level</x:v>
      </x:c>
      <x:c r="AD3" s="188" t="str">
        <x:v>Stare date</x:v>
      </x:c>
      <x:c r="AE3" s="188" t="str">
        <x:v>Eligibil DEFENSIV</x:v>
      </x:c>
      <x:c r="AF3" s="188" t="str">
        <x:v>Calibrare familie</x:v>
      </x:c>
    </x:row>
    <x:row r="4" ht="62" customHeight="1">
      <x:c r="A4" s="189" t="s">
        <x:v>162</x:v>
      </x:c>
      <x:c r="B4" s="190" t="str">
        <x:f>IF(OR(NOT(ISNUMBER(Model_1X2!B10)),NOT(ISNUMBER(Model_1X2!C10))),"",Model_1X2!B10+Model_1X2!C10)</x:f>
      </x:c>
      <x:c r="C4" s="190" t="s">
        <x:v>202</x:v>
      </x:c>
      <x:c r="D4" s="190" t="str">
        <x:f>IF(NOT(ISNUMBER(Model_1X2!D10)),"",Model_1X2!D10)</x:f>
      </x:c>
      <x:c r="E4" s="190" t="str">
        <x:f>IF(NOT(ISNUMBER('Uncertainty_v2'!B10)),"",'Uncertainty_v2'!B10)</x:f>
      </x:c>
      <x:c r="F4" s="190" t="str">
        <x:f>IF(OR(NOT(ISNUMBER(B4)),NOT(ISNUMBER(E4))),"",MAX(0,B4-E4))</x:f>
      </x:c>
      <x:c r="G4" s="199" t="str">
        <x:f>IF(NOT(ISNUMBER(Input_Meci!B31)),"",Input_Meci!B31)</x:f>
      </x:c>
      <x:c r="H4" s="190" t="str">
        <x:f>IF(OR(NOT(ISNUMBER('Model_1X2'!J8)),NOT(ISNUMBER('Model_1X2'!K8))),"",'Model_1X2'!J8+'Model_1X2'!K8)</x:f>
      </x:c>
      <x:c r="I4" s="190" t="str">
        <x:f>IF(OR(NOT(ISNUMBER(F4)),NOT(ISNUMBER(H4))),"",F4-H4)</x:f>
      </x:c>
      <x:c r="J4" s="190" t="str">
        <x:f>""</x:f>
      </x:c>
      <x:c r="K4" s="189" t="str">
        <x:f>IF(AD4="CRITICAL MISSING","FAIL",IF(AD4&lt;&gt;"READY","INPUT",U4))</x:f>
        <x:v>INPUT</x:v>
      </x:c>
      <x:c r="L4" s="200" t="str">
        <x:f>IF(OR(AD4&lt;&gt;"READY",NOT(ISNUMBER(B4)),NOT(ISNUMBER(Y4)),NOT(ISNUMBER(E4))),"",MIN('Parametri'!B43,ROUND(Y4*'Parametri'!B35+E4*'Parametri'!B36+IF(O4="PRUDENT",'Parametri'!B44,0)+IF(P4="PRUDENT",'Parametri'!B44,0)+IF(U4="FAIL",'Parametri'!B46,0),0)))</x:f>
      </x:c>
      <x:c r="M4" s="200" t="str">
        <x:f>IF(AD4="CRITICAL MISSING",5,IF(OR(AD4&lt;&gt;"READY",NOT(ISNUMBER(B4))),"",IF(OR(U4="FAIL",U4="WATCH"),5,IF(U4="INPUT","",MIN(5,IF(L4&lt;='Parametri'!B39,1,IF(L4&lt;='Parametri'!B40,2,IF(L4&lt;='Parametri'!B41,3,IF(L4&lt;='Parametri'!B42,4,5))))+AC4)))))</x:f>
      </x:c>
      <x:c r="N4" s="189" t="str">
        <x:f>IF(AD4="CRITICAL MISSING","NO BET",IF(AD4="INVALID","INPUT INVALID – NO RANK",IF(AD4&lt;&gt;"READY","VERIFICARE NECESARĂ – NO RANK",IF(U4="FAIL","NO BET",IF(U4="WATCH","WATCH",IF(OR(U4="INPUT",NOT(ISNUMBER(M4))),"NO RANK",IF(M4&gt;=5,"WATCH",IF(AA4&lt;&gt;"YES","NO RANK",IF(M4=4,"RIDICAT",IF(M4=3,"MODERAT",IF(AND(M4=1,U4="PASS",F4&gt;='Parametri'!B4),"DEFENSIV",IF(F4&gt;='Parametri'!B5,"PRUDENT","MODERAT"))))))))))))</x:f>
        <x:v>VERIFICARE NECESARĂ – NO RANK</x:v>
      </x:c>
      <x:c r="O4" s="189" t="str">
        <x:f>P0_Gates_v2!C4</x:f>
        <x:v>INPUT</x:v>
      </x:c>
      <x:c r="P4" s="189" t="str">
        <x:f>P0_Gates_v2!H4</x:f>
        <x:v>INPUT</x:v>
      </x:c>
      <x:c r="Q4" s="189" t="s">
        <x:v>203</x:v>
      </x:c>
      <x:c r="R4" s="189" t="str">
        <x:f>Uncertainty_v2!B5</x:f>
        <x:v>INPUT</x:v>
      </x:c>
      <x:c r="S4" s="189" t="str">
        <x:f>Uncertainty_v2!B7</x:f>
      </x:c>
      <x:c r="T4" s="200">
        <x:v>0</x:v>
      </x:c>
      <x:c r="U4" s="189" t="str">
        <x:f>P0_Gates_v2!L4</x:f>
        <x:v>INPUT</x:v>
      </x:c>
      <x:c r="V4" s="189" t="str">
        <x:f>IF(AD4&lt;&gt;"READY","Date: "&amp;AD4,"Control="&amp;U4&amp;"; nivel="&amp;TEXT(M4,"0")&amp;"; Pfail="&amp;TEXT(Y4,"0.0%")&amp;"; haircut="&amp;TEXT(E4,"0.0%")&amp;"; fragilitate="&amp;AB4)</x:f>
        <x:v>Date: PENDING</x:v>
      </x:c>
      <x:c r="W4" s="189" t="str">
        <x:f>IF(Input_Meci!B42="","",Input_Meci!B42)</x:f>
      </x:c>
      <x:c r="X4" s="190" t="str">
        <x:f>IF(NOT(ISNUMBER('Model_1X2'!L8)),"",'Model_1X2'!L8)</x:f>
      </x:c>
      <x:c r="Y4" s="201" t="str">
        <x:f>IF(OR(NOT(ISNUMBER(D4)),NOT(ISNUMBER(X4))),"",MAX(D4,X4))</x:f>
      </x:c>
      <x:c r="Z4" s="202" t="str">
        <x:f>P0_Gates_v2!C4</x:f>
        <x:v>INPUT</x:v>
      </x:c>
      <x:c r="AA4" s="202" t="str">
        <x:f>IF(AND(AD4="READY",OR(U4="PASS",U4="PRUDENT"),ISNUMBER(M4),M4&lt;5),"YES","NO")</x:f>
        <x:v>NO</x:v>
      </x:c>
      <x:c r="AB4" s="202" t="str">
        <x:f>Favorite_Fragility_v4!B12</x:f>
        <x:v>PENDING</x:v>
      </x:c>
      <x:c r="AC4" s="202" t="n">
        <x:f>Favorite_Fragility_v4!B13</x:f>
        <x:v>0</x:v>
      </x:c>
      <x:c r="AD4" s="202" t="str">
        <x:f>IF('Model_1X2'!F14&lt;&gt;"READY",'Model_1X2'!F14,IF('Favorite_Fragility_v4'!B14="OPEN","PENDING","READY"))</x:f>
        <x:v>PENDING</x:v>
      </x:c>
      <x:c r="AE4" s="202" t="str">
        <x:f>IF(AND(AA4="YES",N4="DEFENSIV"),"YES","NO")</x:f>
        <x:v>NO</x:v>
      </x:c>
      <x:c r="AF4" s="202" t="str">
        <x:f>IF('WalkForward_Calibration'!B4=0,"FĂRĂ ISTORIC",IF('WalkForward_Calibration'!J4&lt;&gt;"PASS","N INSUFICIENT",'WalkForward_Calibration'!K4))</x:f>
        <x:v>FĂRĂ ISTORIC</x:v>
      </x:c>
    </x:row>
    <x:row r="5" ht="62" customHeight="1">
      <x:c r="A5" s="189" t="s">
        <x:v>163</x:v>
      </x:c>
      <x:c r="B5" s="190" t="str">
        <x:f>IF(OR(NOT(ISNUMBER(Model_1X2!C10)),NOT(ISNUMBER(Model_1X2!D10))),"",Model_1X2!C10+Model_1X2!D10)</x:f>
      </x:c>
      <x:c r="C5" s="190" t="s">
        <x:v>204</x:v>
      </x:c>
      <x:c r="D5" s="190" t="str">
        <x:f>IF(NOT(ISNUMBER(Model_1X2!B10)),"",Model_1X2!B10)</x:f>
      </x:c>
      <x:c r="E5" s="190" t="str">
        <x:f>IF(NOT(ISNUMBER('Uncertainty_v2'!B10)),"",'Uncertainty_v2'!B10)</x:f>
      </x:c>
      <x:c r="F5" s="190" t="str">
        <x:f>IF(OR(NOT(ISNUMBER(B5)),NOT(ISNUMBER(E5))),"",MAX(0,B5-E5))</x:f>
      </x:c>
      <x:c r="G5" s="199" t="str">
        <x:f>IF(NOT(ISNUMBER(Input_Meci!B32)),"",Input_Meci!B32)</x:f>
      </x:c>
      <x:c r="H5" s="190" t="str">
        <x:f>IF(OR(NOT(ISNUMBER('Model_1X2'!K8)),NOT(ISNUMBER('Model_1X2'!L8))),"",'Model_1X2'!K8+'Model_1X2'!L8)</x:f>
      </x:c>
      <x:c r="I5" s="190" t="str">
        <x:f>IF(OR(NOT(ISNUMBER(F5)),NOT(ISNUMBER(H5))),"",F5-H5)</x:f>
      </x:c>
      <x:c r="J5" s="190" t="str">
        <x:f>""</x:f>
      </x:c>
      <x:c r="K5" s="189" t="str">
        <x:f>IF(AD5="CRITICAL MISSING","FAIL",IF(AD5&lt;&gt;"READY","INPUT",U5))</x:f>
        <x:v>INPUT</x:v>
      </x:c>
      <x:c r="L5" s="200" t="str">
        <x:f>IF(OR(AD5&lt;&gt;"READY",NOT(ISNUMBER(B5)),NOT(ISNUMBER(Y5)),NOT(ISNUMBER(E5))),"",MIN('Parametri'!B43,ROUND(Y5*'Parametri'!B35+E5*'Parametri'!B36+IF(O5="PRUDENT",'Parametri'!B44,0)+IF(P5="PRUDENT",'Parametri'!B44,0)+T5+IF(U5="FAIL",'Parametri'!B46,0),0)))</x:f>
      </x:c>
      <x:c r="M5" s="200" t="str">
        <x:f>IF(AD5="CRITICAL MISSING",5,IF(OR(AD5&lt;&gt;"READY",NOT(ISNUMBER(B5))),"",IF(OR(U5="FAIL",U5="WATCH"),5,IF(U5="INPUT","",MIN(5,IF(L5&lt;='Parametri'!B39,1,IF(L5&lt;='Parametri'!B40,2,IF(L5&lt;='Parametri'!B41,3,IF(L5&lt;='Parametri'!B42,4,5))))+AC5)))))</x:f>
      </x:c>
      <x:c r="N5" s="189" t="str">
        <x:f>IF(AD5="CRITICAL MISSING","NO BET",IF(AD5="INVALID","INPUT INVALID – NO RANK",IF(AD5&lt;&gt;"READY","VERIFICARE NECESARĂ – NO RANK",IF(U5="FAIL","NO BET",IF(U5="WATCH","WATCH",IF(OR(U5="INPUT",NOT(ISNUMBER(M5))),"NO RANK",IF(M5&gt;=5,"WATCH",IF(AA5&lt;&gt;"YES","NO RANK",IF(M5=4,"RIDICAT",IF(M5=3,"MODERAT",IF(AND(M5=1,U5="PASS",F5&gt;='Parametri'!B4),"DEFENSIV",IF(F5&gt;='Parametri'!B5,"PRUDENT","MODERAT"))))))))))))</x:f>
        <x:v>VERIFICARE NECESARĂ – NO RANK</x:v>
      </x:c>
      <x:c r="O5" s="189" t="str">
        <x:f>P0_Gates_v2!C5</x:f>
        <x:v>INPUT</x:v>
      </x:c>
      <x:c r="P5" s="189" t="str">
        <x:f>P0_Gates_v2!H5</x:f>
        <x:v>INPUT</x:v>
      </x:c>
      <x:c r="Q5" s="189" t="s">
        <x:v>203</x:v>
      </x:c>
      <x:c r="R5" s="189" t="str">
        <x:f>Uncertainty_v2!B5</x:f>
        <x:v>INPUT</x:v>
      </x:c>
      <x:c r="S5" s="189" t="str">
        <x:f>Uncertainty_v2!B7</x:f>
      </x:c>
      <x:c r="T5" s="200" t="n">
        <x:f>Uncertainty_v2!D13</x:f>
        <x:v>0</x:v>
      </x:c>
      <x:c r="U5" s="189" t="str">
        <x:f>P0_Gates_v2!L5</x:f>
        <x:v>INPUT</x:v>
      </x:c>
      <x:c r="V5" s="189" t="str">
        <x:f>IF(AD5&lt;&gt;"READY","Date: "&amp;AD5,"Control="&amp;U5&amp;"; nivel="&amp;TEXT(M5,"0")&amp;"; Pfail="&amp;TEXT(Y5,"0.0%")&amp;"; haircut="&amp;TEXT(E5,"0.0%"))</x:f>
        <x:v>Date: PENDING</x:v>
      </x:c>
      <x:c r="W5" s="189" t="str">
        <x:f>IF(Input_Meci!B42="","",Input_Meci!B42)</x:f>
      </x:c>
      <x:c r="X5" s="190" t="str">
        <x:f>IF(NOT(ISNUMBER('Model_1X2'!J8)),"",'Model_1X2'!J8)</x:f>
      </x:c>
      <x:c r="Y5" s="201" t="str">
        <x:f>IF(OR(NOT(ISNUMBER(D5)),NOT(ISNUMBER(X5))),"",MAX(D5,X5))</x:f>
      </x:c>
      <x:c r="Z5" s="202" t="str">
        <x:f>P0_Gates_v2!C5</x:f>
        <x:v>INPUT</x:v>
      </x:c>
      <x:c r="AA5" s="202" t="str">
        <x:f>IF(AND(AD5="READY",OR(U5="PASS",U5="PRUDENT"),ISNUMBER(M5),M5&lt;5),"YES","NO")</x:f>
        <x:v>NO</x:v>
      </x:c>
      <x:c r="AB5" s="202" t="str">
        <x:v>N/A</x:v>
      </x:c>
      <x:c r="AC5" s="202" t="n">
        <x:v>0</x:v>
      </x:c>
      <x:c r="AD5" s="202" t="str">
        <x:f>IF('Model_1X2'!F14&lt;&gt;"READY",'Model_1X2'!F14,IF(AND(ISNUMBER('Input_Meci'!C41),OR('Input_Meci'!C41=0,'Input_Meci'!C41=1,'Input_Meci'!C41=2)),"READY","PENDING"))</x:f>
        <x:v>PENDING</x:v>
      </x:c>
      <x:c r="AE5" s="202" t="str">
        <x:f>IF(AND(AA5="YES",N5="DEFENSIV"),"YES","NO")</x:f>
        <x:v>NO</x:v>
      </x:c>
      <x:c r="AF5" s="202" t="str">
        <x:f>IF('WalkForward_Calibration'!B5=0,"FĂRĂ ISTORIC",IF('WalkForward_Calibration'!J5&lt;&gt;"PASS","N INSUFICIENT",'WalkForward_Calibration'!K5))</x:f>
        <x:v>FĂRĂ ISTORIC</x:v>
      </x:c>
    </x:row>
    <x:row r="6" ht="62" customHeight="1">
      <x:c r="A6" s="189" t="s">
        <x:v>205</x:v>
      </x:c>
      <x:c r="B6" s="190" t="str">
        <x:f>IF(OR(NOT(ISNUMBER(Model_1X2!B10)),NOT(ISNUMBER(Model_1X2!D10))),"",Model_1X2!B10+Model_1X2!D10)</x:f>
      </x:c>
      <x:c r="C6" s="190" t="s">
        <x:v>206</x:v>
      </x:c>
      <x:c r="D6" s="190" t="str">
        <x:f>IF(NOT(ISNUMBER(Model_1X2!C10)),"",Model_1X2!C10)</x:f>
      </x:c>
      <x:c r="E6" s="190" t="str">
        <x:f>IF(NOT(ISNUMBER('Uncertainty_v2'!B10)),"",'Uncertainty_v2'!B10)</x:f>
      </x:c>
      <x:c r="F6" s="190" t="str">
        <x:f>IF(OR(NOT(ISNUMBER(B6)),NOT(ISNUMBER(E6))),"",MAX(0,B6-E6))</x:f>
      </x:c>
      <x:c r="G6" s="199" t="str">
        <x:f>IF(NOT(ISNUMBER(Input_Meci!B33)),"",Input_Meci!B33)</x:f>
      </x:c>
      <x:c r="H6" s="190" t="str">
        <x:f>IF(OR(NOT(ISNUMBER('Model_1X2'!J8)),NOT(ISNUMBER('Model_1X2'!L8))),"",'Model_1X2'!J8+'Model_1X2'!L8)</x:f>
      </x:c>
      <x:c r="I6" s="190" t="str">
        <x:f>IF(OR(NOT(ISNUMBER(F6)),NOT(ISNUMBER(H6))),"",F6-H6)</x:f>
      </x:c>
      <x:c r="J6" s="190" t="str">
        <x:f>""</x:f>
      </x:c>
      <x:c r="K6" s="189" t="str">
        <x:f>IF(AD6="CRITICAL MISSING","FAIL",IF(AD6&lt;&gt;"READY","INPUT",U6))</x:f>
        <x:v>INPUT</x:v>
      </x:c>
      <x:c r="L6" s="200" t="str">
        <x:f>IF(OR(AD6&lt;&gt;"READY",NOT(ISNUMBER(B6)),NOT(ISNUMBER(Y6)),NOT(ISNUMBER(E6))),"",MIN('Parametri'!B43,ROUND(Y6*'Parametri'!B37+E6*'Parametri'!B38+IF(Q6="PRUDENT",'Parametri'!B44,0)+IF(Q6="WATCH",'Parametri'!B45,0)+IF(Q6="FAIL",'Parametri'!B46,0),0)))</x:f>
      </x:c>
      <x:c r="M6" s="200" t="str">
        <x:f>IF(AD6="CRITICAL MISSING",5,IF(OR(AD6&lt;&gt;"READY",NOT(ISNUMBER(B6))),"",IF(OR(U6="FAIL",U6="WATCH"),5,IF(U6="INPUT","",MIN(5,IF(L6&lt;='Parametri'!B39,1,IF(L6&lt;='Parametri'!B40,2,IF(L6&lt;='Parametri'!B41,3,IF(L6&lt;='Parametri'!B42,4,5))))+AC6)))))</x:f>
      </x:c>
      <x:c r="N6" s="189" t="str">
        <x:f>IF(AD6="CRITICAL MISSING","NO BET",IF(AD6="INVALID","INPUT INVALID – NO RANK",IF(AD6&lt;&gt;"READY","VERIFICARE NECESARĂ – NO RANK",IF(U6="FAIL","NO BET",IF(U6="WATCH","WATCH",IF(OR(U6="INPUT",NOT(ISNUMBER(M6))),"NO RANK",IF(M6&gt;=5,"WATCH",IF(AA6&lt;&gt;"YES","NO RANK",IF(M6=4,"RIDICAT",IF(M6=3,"MODERAT",IF(OR(U6="PRUDENT",M6=2),"PRUDENT","DEFENSIV")))))))))))</x:f>
        <x:v>VERIFICARE NECESARĂ – NO RANK</x:v>
      </x:c>
      <x:c r="O6" s="189" t="s">
        <x:v>203</x:v>
      </x:c>
      <x:c r="P6" s="189" t="s">
        <x:v>203</x:v>
      </x:c>
      <x:c r="Q6" s="189" t="str">
        <x:f>P0_Gates_v2!K6</x:f>
        <x:v>INPUT</x:v>
      </x:c>
      <x:c r="R6" s="189" t="str">
        <x:f>Uncertainty_v2!B5</x:f>
        <x:v>INPUT</x:v>
      </x:c>
      <x:c r="S6" s="189" t="str">
        <x:f>Uncertainty_v2!B7</x:f>
      </x:c>
      <x:c r="T6" s="200">
        <x:v>0</x:v>
      </x:c>
      <x:c r="U6" s="189" t="str">
        <x:f>P0_Gates_v2!L6</x:f>
        <x:v>INPUT</x:v>
      </x:c>
      <x:c r="V6" s="189" t="str">
        <x:f>IF(AD6&lt;&gt;"READY","Date: "&amp;AD6,"Control="&amp;U6&amp;"; nivel="&amp;TEXT(M6,"0")&amp;"; Pfail="&amp;TEXT(Y6,"0.0%")&amp;"; haircut="&amp;TEXT(E6,"0.0%")&amp;"; Pdraw ajustat="&amp;TEXT(MAX('P0_Gates_v2'!I6,'P0_Gates_v2'!J6),"0.0%"))</x:f>
        <x:v>Date: PENDING</x:v>
      </x:c>
      <x:c r="W6" s="189" t="str">
        <x:f>IF(Input_Meci!B42="","",Input_Meci!B42)</x:f>
      </x:c>
      <x:c r="X6" s="190" t="str">
        <x:f>IF(NOT(ISNUMBER('Model_1X2'!K8)),"",'Model_1X2'!K8)</x:f>
      </x:c>
      <x:c r="Y6" s="201" t="str">
        <x:f>IF(OR(NOT(ISNUMBER(D6)),NOT(ISNUMBER(X6))),"",MAX(D6,X6))</x:f>
      </x:c>
      <x:c r="Z6" s="202" t="str">
        <x:f>P0_Gates_v2!K6</x:f>
        <x:v>INPUT</x:v>
      </x:c>
      <x:c r="AA6" s="202" t="str">
        <x:f>IF(AND(AD6="READY",OR(U6="PASS",U6="PRUDENT"),ISNUMBER(M6),M6&lt;5),"YES","NO")</x:f>
        <x:v>NO</x:v>
      </x:c>
      <x:c r="AB6" s="202" t="str">
        <x:v>N/A</x:v>
      </x:c>
      <x:c r="AC6" s="202" t="n">
        <x:v>0</x:v>
      </x:c>
      <x:c r="AD6" s="202" t="str">
        <x:f>IF('Model_1X2'!F14&lt;&gt;"READY",'Model_1X2'!F14,"READY")</x:f>
        <x:v>PENDING</x:v>
      </x:c>
      <x:c r="AE6" s="202" t="str">
        <x:f>IF(AND(AA6="YES",N6="DEFENSIV"),"YES","NO")</x:f>
        <x:v>NO</x:v>
      </x:c>
      <x:c r="AF6" s="202" t="str">
        <x:f>IF('WalkForward_Calibration'!B6=0,"FĂRĂ ISTORIC",IF('WalkForward_Calibration'!J6&lt;&gt;"PASS","N INSUFICIENT",'WalkForward_Calibration'!K6))</x:f>
        <x:v>FĂRĂ ISTORIC</x:v>
      </x:c>
    </x:row>
    <x:row r="7" ht="15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</x:row>
    <x:row r="8" ht="15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</x:row>
    <x:row r="9" ht="15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</x:row>
    <x:row r="10" ht="15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</x:row>
    <x:row r="11" ht="15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</x:row>
    <x:row r="12" ht="15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</x:row>
    <x:row r="13" ht="15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</x:row>
    <x:row r="14" ht="15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</x:row>
    <x:row r="15" ht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</x:row>
    <x:row r="16" ht="15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</x:row>
    <x:row r="17" ht="15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</x:row>
    <x:row r="18" ht="15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</x:row>
    <x:row r="19" ht="15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</x:row>
    <x:row r="20" ht="15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</x:row>
    <x:row r="21" ht="15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</x:row>
    <x:row r="22" ht="15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</x:row>
    <x:row r="23" ht="15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</x:row>
    <x:row r="24" ht="15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</x:row>
    <x:row r="25" ht="1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</x:row>
    <x:row r="26" ht="15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</x:row>
    <x:row r="27" ht="15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</x:row>
    <x:row r="28" ht="15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</x:row>
    <x:row r="29" ht="15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</x:row>
    <x:row r="30" ht="15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</x:row>
    <x:row r="31" ht="15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</x:row>
    <x:row r="32" ht="15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</x:row>
    <x:row r="33" ht="15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</x:row>
    <x:row r="34" ht="15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</x:row>
    <x:row r="35" ht="1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</x:row>
    <x:row r="36" ht="15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</x:row>
    <x:row r="37" ht="15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</x:row>
    <x:row r="38" ht="15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</x:row>
    <x:row r="39" ht="15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</x:row>
    <x:row r="40" ht="15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</x:row>
    <x:row r="41" ht="15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</x:row>
    <x:row r="42" ht="15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</x:row>
    <x:row r="43" ht="15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</x:row>
    <x:row r="44" ht="15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</x:row>
    <x:row r="45" ht="1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</x:row>
    <x:row r="46" ht="15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</x:row>
    <x:row r="47" ht="15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</x:row>
    <x:row r="48" ht="15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</x:row>
    <x:row r="49" ht="15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</x:row>
    <x:row r="50" ht="15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</x:row>
    <x:row r="51" ht="15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</x:row>
    <x:row r="52" ht="15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</x:row>
    <x:row r="53" ht="15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</x:row>
    <x:row r="54" ht="15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</x:row>
    <x:row r="55" ht="1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</x:row>
    <x:row r="56" ht="15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</x:row>
    <x:row r="57" ht="15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</x:row>
    <x:row r="58" ht="15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</x:row>
    <x:row r="59" ht="15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</x:row>
    <x:row r="60" ht="15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</x:row>
    <x:row r="61" ht="15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</x:row>
    <x:row r="62" ht="15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</x:row>
    <x:row r="63" ht="15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</x:row>
    <x:row r="64" ht="15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</x:row>
    <x:row r="65" ht="1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</x:row>
    <x:row r="66" ht="15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</x:row>
    <x:row r="67" ht="15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</x:row>
    <x:row r="68" ht="15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</x:row>
    <x:row r="69" ht="15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</x:row>
    <x:row r="70" ht="15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</x:row>
    <x:row r="71" ht="15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</x:row>
    <x:row r="72" ht="15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</x:row>
    <x:row r="73" ht="15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</x:row>
    <x:row r="74" ht="15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</x:row>
    <x:row r="75" ht="1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</x:row>
    <x:row r="76" ht="15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</x:row>
    <x:row r="77" ht="15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</x:row>
    <x:row r="78" ht="15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</x:row>
    <x:row r="79" ht="15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</x:row>
    <x:row r="80" ht="15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</x:row>
    <x:row r="81" ht="15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</x:row>
    <x:row r="82" ht="15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</x:row>
    <x:row r="83" ht="15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</x:row>
    <x:row r="84" ht="15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</x:row>
    <x:row r="85" ht="1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</x:row>
    <x:row r="86" ht="15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</x:row>
    <x:row r="87" ht="15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</x:row>
    <x:row r="88" ht="15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</x:row>
    <x:row r="89" ht="15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</x:row>
    <x:row r="90" ht="15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</x:row>
    <x:row r="91" ht="15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</x:row>
    <x:row r="92" ht="15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</x:row>
    <x:row r="93" ht="15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</x:row>
    <x:row r="94" ht="15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</x:row>
    <x:row r="95" ht="1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</x:row>
    <x:row r="96" ht="15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</x:row>
    <x:row r="97" ht="15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</x:row>
    <x:row r="98" ht="15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</x:row>
    <x:row r="99" ht="15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</x:row>
    <x:row r="100" ht="15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</x:row>
    <x:row r="101" ht="15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</x:row>
    <x:row r="102" ht="15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</x:row>
    <x:row r="103" ht="15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</x:row>
    <x:row r="104" ht="15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</x:row>
    <x:row r="105" ht="1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</x:row>
    <x:row r="106" ht="15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</x:row>
    <x:row r="107" ht="15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</x:row>
    <x:row r="108" ht="15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</x:row>
    <x:row r="109" ht="15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</x:row>
    <x:row r="110" ht="15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</x:row>
    <x:row r="111" ht="15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</x:row>
    <x:row r="112" ht="15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</x:row>
    <x:row r="113" ht="15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</x:row>
    <x:row r="114" ht="15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</x:row>
    <x:row r="115" ht="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</x:row>
    <x:row r="116" ht="15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</x:row>
    <x:row r="117" ht="15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</x:row>
    <x:row r="118" ht="15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</x:row>
    <x:row r="119" ht="15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</x:row>
    <x:row r="120" ht="15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</x:row>
    <x:row r="121" ht="15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</x:row>
    <x:row r="122" ht="15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</x:row>
    <x:row r="123" ht="15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</x:row>
    <x:row r="124" ht="15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</x:row>
    <x:row r="125" ht="1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</x:row>
    <x:row r="126" ht="15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</x:row>
    <x:row r="127" ht="15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</x:row>
    <x:row r="128" ht="15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</x:row>
    <x:row r="129" ht="15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</x:row>
    <x:row r="130" ht="15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</x:row>
    <x:row r="131" ht="15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</x:row>
    <x:row r="132" ht="15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</x:row>
    <x:row r="133" ht="15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</x:row>
    <x:row r="134" ht="15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</x:row>
    <x:row r="135" ht="1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</x:row>
    <x:row r="136" ht="15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</x:row>
    <x:row r="137" ht="15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</x:row>
    <x:row r="138" ht="15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</x:row>
    <x:row r="139" ht="15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</x:row>
    <x:row r="140" ht="15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</x:row>
    <x:row r="141" ht="15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</x:row>
    <x:row r="142" ht="15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</x:row>
    <x:row r="143" ht="15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</x:row>
    <x:row r="144" ht="15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</x:row>
    <x:row r="145" ht="1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</x:row>
    <x:row r="146" ht="15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</x:row>
    <x:row r="147" ht="15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</x:row>
    <x:row r="148" ht="15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</x:row>
    <x:row r="149" ht="15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</x:row>
    <x:row r="150" ht="15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</x:row>
    <x:row r="151" ht="15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</x:row>
    <x:row r="152" ht="15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</x:row>
    <x:row r="153" ht="15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</x:row>
    <x:row r="154" ht="15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</x:row>
    <x:row r="155" ht="1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</x:row>
    <x:row r="156" ht="15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</x:row>
    <x:row r="157" ht="15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</x:row>
    <x:row r="158" ht="15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</x:row>
    <x:row r="159" ht="15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</x:row>
    <x:row r="160" ht="15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</x:row>
    <x:row r="161" ht="15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</x:row>
    <x:row r="162" ht="15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</x:row>
    <x:row r="163" ht="15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</x:row>
    <x:row r="164" ht="15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</x:row>
    <x:row r="165" ht="1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</x:row>
    <x:row r="166" ht="15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</x:row>
    <x:row r="167" ht="15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</x:row>
    <x:row r="168" ht="15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</x:row>
    <x:row r="169" ht="15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</x:row>
    <x:row r="170" ht="15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</x:row>
    <x:row r="171" ht="15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</x:row>
    <x:row r="172" ht="15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</x:row>
    <x:row r="173" ht="15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</x:row>
    <x:row r="174" ht="15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</x:row>
    <x:row r="175" ht="1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</x:row>
    <x:row r="176" ht="15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</x:row>
    <x:row r="177" ht="15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</x:row>
    <x:row r="178" ht="15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</x:row>
    <x:row r="179" ht="15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</x:row>
    <x:row r="180" ht="15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</x:row>
    <x:row r="181" ht="15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</x:row>
    <x:row r="182" ht="15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</x:row>
    <x:row r="183" ht="15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</x:row>
    <x:row r="184" ht="15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</x:row>
    <x:row r="185" ht="1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</x:row>
    <x:row r="186" ht="15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</x:row>
    <x:row r="187" ht="15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</x:row>
    <x:row r="188" ht="15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</x:row>
    <x:row r="189" ht="15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</x:row>
    <x:row r="190" ht="15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</x:row>
    <x:row r="191" ht="15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</x:row>
    <x:row r="192" ht="15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</x:row>
    <x:row r="193" ht="15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</x:row>
    <x:row r="194" ht="15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</x:row>
    <x:row r="195" ht="1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</x:row>
    <x:row r="196" ht="15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</x:row>
    <x:row r="197" ht="15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</x:row>
    <x:row r="198" ht="15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</x:row>
    <x:row r="199" ht="15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</x:row>
    <x:row r="200" ht="15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</x:row>
    <x:row r="201" ht="15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</x:row>
    <x:row r="202" ht="15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</x:row>
    <x:row r="203" ht="15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</x:row>
    <x:row r="204" ht="15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</x:row>
    <x:row r="205" ht="1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</x:row>
    <x:row r="206" ht="15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</x:row>
    <x:row r="207" ht="15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</x:row>
    <x:row r="208" ht="15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</x:row>
    <x:row r="209" ht="15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</x:row>
    <x:row r="210" ht="15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</x:row>
    <x:row r="211" ht="15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</x:row>
    <x:row r="212" ht="15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</x:row>
    <x:row r="213" ht="15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</x:row>
    <x:row r="214" ht="15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</x:row>
    <x:row r="215" ht="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</x:row>
    <x:row r="216" ht="15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</x:row>
    <x:row r="217" ht="15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</x:row>
    <x:row r="218" ht="15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</x:row>
    <x:row r="219" ht="15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</x:row>
    <x:row r="220" ht="15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</x:row>
  </x:sheetData>
  <x:mergeCells>
    <x:mergeCell ref="A1:N1"/>
  </x:mergeCells>
  <x:conditionalFormatting sqref="N4:N6">
    <x:cfRule type="expression" dxfId="14" priority="1">
      <x:formula>N4="BET"</x:formula>
    </x:cfRule>
    <x:cfRule type="expression" dxfId="13" priority="2">
      <x:formula>N4="PRUDENT"</x:formula>
    </x:cfRule>
    <x:cfRule type="expression" dxfId="12" priority="3">
      <x:formula>OR(N4="WATCH",N4="NO BET")</x:formula>
    </x:cfRule>
    <x:cfRule type="containsText" dxfId="15" priority="4" operator="containsText" text="NO BET"/>
    <x:cfRule type="containsText" dxfId="16" priority="5" operator="containsText" text="NO RANK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4.25"/>
  <x:cols>
    <x:col min="1" max="1" width="14" customWidth="1"/>
    <x:col min="2" max="4" width="20" customWidth="1"/>
    <x:col min="5" max="17" width="14" customWidth="1"/>
    <x:col min="18" max="20" width="20" customWidth="1"/>
    <x:col min="21" max="24" width="14" customWidth="1"/>
    <x:col min="25" max="25" width="23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</x:cols>
  <x:sheetData>
    <x:row r="1" ht="27.950000762939453" customHeight="1">
      <x:c r="A1" s="18" t="str">
        <x:v>BACKTEST – PREDICȚII ÎNREGISTRATE ÎNAINTEA MECIULUI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2"/>
      <x:c r="S1" s="2"/>
      <x:c r="T1" s="2"/>
      <x:c r="U1" s="2"/>
      <x:c r="V1" s="2"/>
      <x:c r="W1" s="2"/>
      <x:c r="X1" s="2"/>
    </x:row>
    <x:row r="2" ht="15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 ht="34" customHeight="1">
      <x:c r="A3" s="160" t="s">
        <x:v>207</x:v>
      </x:c>
      <x:c r="B3" s="160" t="s">
        <x:v>76</x:v>
      </x:c>
      <x:c r="C3" s="160" t="s">
        <x:v>72</x:v>
      </x:c>
      <x:c r="D3" s="160" t="s">
        <x:v>73</x:v>
      </x:c>
      <x:c r="E3" s="160" t="s">
        <x:v>183</x:v>
      </x:c>
      <x:c r="F3" s="160" t="s">
        <x:v>184</x:v>
      </x:c>
      <x:c r="G3" s="160" t="s">
        <x:v>188</x:v>
      </x:c>
      <x:c r="H3" s="160" t="s">
        <x:v>189</x:v>
      </x:c>
      <x:c r="I3" s="160" t="s">
        <x:v>190</x:v>
      </x:c>
      <x:c r="J3" s="160" t="s">
        <x:v>191</x:v>
      </x:c>
      <x:c r="K3" s="160" t="s">
        <x:v>208</x:v>
      </x:c>
      <x:c r="L3" s="160" t="s">
        <x:v>193</x:v>
      </x:c>
      <x:c r="M3" s="160" t="s">
        <x:v>209</x:v>
      </x:c>
      <x:c r="N3" s="160" t="s">
        <x:v>210</x:v>
      </x:c>
      <x:c r="O3" s="160" t="s">
        <x:v>211</x:v>
      </x:c>
      <x:c r="P3" s="160" t="s">
        <x:v>212</x:v>
      </x:c>
      <x:c r="Q3" s="160" t="s">
        <x:v>213</x:v>
      </x:c>
      <x:c r="R3" s="160" t="s">
        <x:v>214</x:v>
      </x:c>
      <x:c r="S3" s="160" t="s">
        <x:v>215</x:v>
      </x:c>
      <x:c r="T3" s="160" t="s">
        <x:v>216</x:v>
      </x:c>
      <x:c r="U3" s="160" t="s">
        <x:v>198</x:v>
      </x:c>
      <x:c r="V3" s="160" t="s">
        <x:v>217</x:v>
      </x:c>
      <x:c r="W3" s="160" t="s">
        <x:v>218</x:v>
      </x:c>
      <x:c r="X3" s="160" t="str">
        <x:v>Eligibil calibrare</x:v>
      </x:c>
      <x:c r="Y3" s="152" t="str">
        <x:v>Timestamp predicție</x:v>
      </x:c>
      <x:c r="Z3" s="152" t="str">
        <x:v>Evaluare recomandare</x:v>
      </x:c>
      <x:c r="AA3" s="152" t="str">
        <x:v>Cotă validă</x:v>
      </x:c>
      <x:c r="AB3" s="152" t="str">
        <x:v>Sursă snapshot</x:v>
      </x:c>
      <x:c r="AC3" s="152" t="str">
        <x:v>Validitate rând</x:v>
      </x:c>
      <x:c r="AD3" s="152" t="str">
        <x:v>Hit calibrare</x:v>
      </x:c>
      <x:c r="AE3" s="152" t="str">
        <x:v>Brier calibrare</x:v>
      </x:c>
      <x:c r="AF3" s="152" t="str">
        <x:v>P ajustată calibrare</x:v>
      </x:c>
      <x:c r="AG3" s="152" t="str">
        <x:v>Profit recomandări</x:v>
      </x:c>
      <x:c r="AH3" s="152" t="str">
        <x:v>Eligibil ROI</x:v>
      </x:c>
    </x:row>
    <x:row r="4" ht="15">
      <x:c r="A4" s="161"/>
      <x:c r="B4" s="2"/>
      <x:c r="C4" s="2"/>
      <x:c r="D4" s="2"/>
      <x:c r="E4" s="2"/>
      <x:c r="F4" s="8"/>
      <x:c r="G4" s="8"/>
      <x:c r="H4" s="9"/>
      <x:c r="I4" s="8"/>
      <x:c r="J4" s="8" t="str">
        <x:f t="shared" ref="J4:J35" si="0">IF(OR(NOT(ISNUMBER(G4)),NOT(ISNUMBER(I4))),"",G4-I4)</x:f>
      </x:c>
      <x:c r="K4" s="8" t="str">
        <x:f t="shared" ref="K4:K35" si="1">IF(OR(NOT(ISNUMBER(G4)),NOT(ISNUMBER(H4)),H4&lt;=1),"",G4*H4-1)</x:f>
      </x:c>
      <x:c r="L4" s="2"/>
      <x:c r="M4" s="2"/>
      <x:c r="N4" s="2"/>
      <x:c r="O4" s="2"/>
      <x:c r="P4" s="2" t="str">
        <x:f>IF(OR(E4="",O4=""),"",IF(NOT(OR(O4="1",O4=1,O4="X",O4="2",O4=2)),"",IF(E4="1X",IF(OR(O4="1",O4=1,O4="X"),1,0),IF(E4="X2",IF(OR(O4="X",O4="2",O4=2),1,0),IF(OR(E4="12",E4=12),IF(OR(O4="1",O4=1,O4="2",O4=2),1,0),"")))))</x:f>
      </x:c>
      <x:c r="Q4" s="9" t="str">
        <x:f t="shared" ref="Q4:Q35" si="2">IF(OR(NOT(ISNUMBER(P4)),NOT(ISNUMBER(H4)),H4&lt;=1),"",IF(P4=1,H4-1,-1))</x:f>
      </x:c>
      <x:c r="R4" s="2"/>
      <x:c r="S4" s="2"/>
      <x:c r="T4" s="2"/>
      <x:c r="U4" s="2"/>
      <x:c r="V4" s="2"/>
      <x:c r="W4" s="14" t="str">
        <x:f t="shared" ref="W4:W35" si="3">IF(OR(NOT(ISNUMBER(G4)),G4&lt;0,G4&gt;1,NOT(ISNUMBER(P4))),"",(G4-P4)^2)</x:f>
      </x:c>
      <x:c r="X4" s="2" t="str">
        <x:f t="shared" ref="X4:X35" si="4">IF(AND(ISNUMBER(A4),ISNUMBER(Y4),Y4&lt;A4,AB4&lt;&gt;"",ISNUMBER(P4),ISNUMBER(G4),G4&gt;=0,G4&lt;=1,OR(M4="DEFENSIV",M4="PRUDENT",M4="MODERAT",M4="RIDICAT",M4="WATCH",M4="NO BET")),"YES","NO")</x:f>
        <x:v>NO</x:v>
      </x:c>
      <x:c r="Y4" s="146"/>
      <x:c r="Z4" t="str">
        <x:f>IF(AND(X4="YES",OR(M4="DEFENSIV",M4="PRUDENT",M4="MODERAT",M4="RIDICAT")),"YES","NO")</x:f>
        <x:v>NO</x:v>
      </x:c>
      <x:c r="AA4" t="str">
        <x:f>IF(NOT(ISNUMBER(H4)),"MISSING",IF(AND(ISNUMBER(H4),H4&gt;1),"VALID","INVALID"))</x:f>
        <x:v>MISSING</x:v>
      </x:c>
      <x:c r="AB4" s="144"/>
      <x:c r="AC4" t="str">
        <x:f>IF(AND(NOT(ISNUMBER(A4)),E4="",NOT(ISNUMBER(G4)),M4="",O4=""),"INPUT",IF(X4="YES","VALID","INCOMPLETE / INVALID"))</x:f>
        <x:v>INPUT</x:v>
      </x:c>
      <x:c r="AD4" t="str">
        <x:f>IF(X4="YES",P4,"")</x:f>
      </x:c>
      <x:c r="AE4" t="str">
        <x:f>IF(X4="YES",W4,"")</x:f>
      </x:c>
      <x:c r="AF4" t="str">
        <x:f>IF(X4="YES",G4,"")</x:f>
      </x:c>
      <x:c r="AG4" t="str">
        <x:f>IF(AND(Z4="YES",AA4="VALID"),Q4,"")</x:f>
      </x:c>
      <x:c r="AH4" t="str">
        <x:f>IF(AND(Z4="YES",AA4="VALID"),"YES","NO")</x:f>
        <x:v>NO</x:v>
      </x:c>
    </x:row>
    <x:row r="5" ht="15">
      <x:c r="A5" s="161"/>
      <x:c r="B5" s="2"/>
      <x:c r="C5" s="2"/>
      <x:c r="D5" s="2"/>
      <x:c r="E5" s="2"/>
      <x:c r="F5" s="8"/>
      <x:c r="G5" s="8"/>
      <x:c r="H5" s="9"/>
      <x:c r="I5" s="8"/>
      <x:c r="J5" s="8" t="str">
        <x:f t="shared" si="0">IF(OR(NOT(ISNUMBER(G5)),NOT(ISNUMBER(I5))),"",G5-I5)</x:f>
      </x:c>
      <x:c r="K5" s="8" t="str">
        <x:f t="shared" si="1">IF(OR(NOT(ISNUMBER(G5)),NOT(ISNUMBER(H5)),H5&lt;=1),"",G5*H5-1)</x:f>
      </x:c>
      <x:c r="L5" s="2"/>
      <x:c r="M5" s="2"/>
      <x:c r="N5" s="2"/>
      <x:c r="O5" s="2"/>
      <x:c r="P5" s="2" t="str">
        <x:f>IF(OR(E5="",O5=""),"",IF(NOT(OR(O5="1",O5=1,O5="X",O5="2",O5=2)),"",IF(E5="1X",IF(OR(O5="1",O5=1,O5="X"),1,0),IF(E5="X2",IF(OR(O5="X",O5="2",O5=2),1,0),IF(OR(E5="12",E5=12),IF(OR(O5="1",O5=1,O5="2",O5=2),1,0),"")))))</x:f>
      </x:c>
      <x:c r="Q5" s="9" t="str">
        <x:f t="shared" si="2">IF(OR(NOT(ISNUMBER(P5)),NOT(ISNUMBER(H5)),H5&lt;=1),"",IF(P5=1,H5-1,-1))</x:f>
      </x:c>
      <x:c r="R5" s="2"/>
      <x:c r="S5" s="2"/>
      <x:c r="T5" s="2"/>
      <x:c r="U5" s="2"/>
      <x:c r="V5" s="2"/>
      <x:c r="W5" s="14" t="str">
        <x:f t="shared" si="3">IF(OR(NOT(ISNUMBER(G5)),G5&lt;0,G5&gt;1,NOT(ISNUMBER(P5))),"",(G5-P5)^2)</x:f>
      </x:c>
      <x:c r="X5" s="2" t="str">
        <x:f t="shared" si="4">IF(AND(ISNUMBER(A5),ISNUMBER(Y5),Y5&lt;A5,AB5&lt;&gt;"",ISNUMBER(P5),ISNUMBER(G5),G5&gt;=0,G5&lt;=1,OR(M5="DEFENSIV",M5="PRUDENT",M5="MODERAT",M5="RIDICAT",M5="WATCH",M5="NO BET")),"YES","NO")</x:f>
        <x:v>NO</x:v>
      </x:c>
      <x:c r="Y5" s="146"/>
      <x:c r="Z5" t="str">
        <x:f>IF(AND(X5="YES",OR(M5="DEFENSIV",M5="PRUDENT",M5="MODERAT",M5="RIDICAT")),"YES","NO")</x:f>
        <x:v>NO</x:v>
      </x:c>
      <x:c r="AA5" t="str">
        <x:f>IF(NOT(ISNUMBER(H5)),"MISSING",IF(AND(ISNUMBER(H5),H5&gt;1),"VALID","INVALID"))</x:f>
        <x:v>MISSING</x:v>
      </x:c>
      <x:c r="AB5" s="144"/>
      <x:c r="AC5" t="str">
        <x:f>IF(AND(NOT(ISNUMBER(A5)),E5="",NOT(ISNUMBER(G5)),M5="",O5=""),"INPUT",IF(X5="YES","VALID","INCOMPLETE / INVALID"))</x:f>
        <x:v>INPUT</x:v>
      </x:c>
      <x:c r="AD5" t="str">
        <x:f>IF(X5="YES",P5,"")</x:f>
      </x:c>
      <x:c r="AE5" t="str">
        <x:f>IF(X5="YES",W5,"")</x:f>
      </x:c>
      <x:c r="AF5" t="str">
        <x:f>IF(X5="YES",G5,"")</x:f>
      </x:c>
      <x:c r="AG5" t="str">
        <x:f>IF(AND(Z5="YES",AA5="VALID"),Q5,"")</x:f>
      </x:c>
      <x:c r="AH5" t="str">
        <x:f>IF(AND(Z5="YES",AA5="VALID"),"YES","NO")</x:f>
        <x:v>NO</x:v>
      </x:c>
    </x:row>
    <x:row r="6" ht="15">
      <x:c r="A6" s="161"/>
      <x:c r="B6" s="2"/>
      <x:c r="C6" s="2"/>
      <x:c r="D6" s="2"/>
      <x:c r="E6" s="2"/>
      <x:c r="F6" s="8"/>
      <x:c r="G6" s="8"/>
      <x:c r="H6" s="9"/>
      <x:c r="I6" s="8"/>
      <x:c r="J6" s="8" t="str">
        <x:f t="shared" si="0">IF(OR(NOT(ISNUMBER(G6)),NOT(ISNUMBER(I6))),"",G6-I6)</x:f>
      </x:c>
      <x:c r="K6" s="8" t="str">
        <x:f t="shared" si="1">IF(OR(NOT(ISNUMBER(G6)),NOT(ISNUMBER(H6)),H6&lt;=1),"",G6*H6-1)</x:f>
      </x:c>
      <x:c r="L6" s="2"/>
      <x:c r="M6" s="2"/>
      <x:c r="N6" s="2"/>
      <x:c r="O6" s="2"/>
      <x:c r="P6" s="2" t="str">
        <x:f>IF(OR(E6="",O6=""),"",IF(NOT(OR(O6="1",O6=1,O6="X",O6="2",O6=2)),"",IF(E6="1X",IF(OR(O6="1",O6=1,O6="X"),1,0),IF(E6="X2",IF(OR(O6="X",O6="2",O6=2),1,0),IF(OR(E6="12",E6=12),IF(OR(O6="1",O6=1,O6="2",O6=2),1,0),"")))))</x:f>
      </x:c>
      <x:c r="Q6" s="9" t="str">
        <x:f t="shared" si="2">IF(OR(NOT(ISNUMBER(P6)),NOT(ISNUMBER(H6)),H6&lt;=1),"",IF(P6=1,H6-1,-1))</x:f>
      </x:c>
      <x:c r="R6" s="2"/>
      <x:c r="S6" s="2"/>
      <x:c r="T6" s="2"/>
      <x:c r="U6" s="2"/>
      <x:c r="V6" s="2"/>
      <x:c r="W6" s="14" t="str">
        <x:f t="shared" si="3">IF(OR(NOT(ISNUMBER(G6)),G6&lt;0,G6&gt;1,NOT(ISNUMBER(P6))),"",(G6-P6)^2)</x:f>
      </x:c>
      <x:c r="X6" s="2" t="str">
        <x:f t="shared" si="4">IF(AND(ISNUMBER(A6),ISNUMBER(Y6),Y6&lt;A6,AB6&lt;&gt;"",ISNUMBER(P6),ISNUMBER(G6),G6&gt;=0,G6&lt;=1,OR(M6="DEFENSIV",M6="PRUDENT",M6="MODERAT",M6="RIDICAT",M6="WATCH",M6="NO BET")),"YES","NO")</x:f>
        <x:v>NO</x:v>
      </x:c>
      <x:c r="Y6" s="146"/>
      <x:c r="Z6" t="str">
        <x:f>IF(AND(X6="YES",OR(M6="DEFENSIV",M6="PRUDENT",M6="MODERAT",M6="RIDICAT")),"YES","NO")</x:f>
        <x:v>NO</x:v>
      </x:c>
      <x:c r="AA6" t="str">
        <x:f>IF(NOT(ISNUMBER(H6)),"MISSING",IF(AND(ISNUMBER(H6),H6&gt;1),"VALID","INVALID"))</x:f>
        <x:v>MISSING</x:v>
      </x:c>
      <x:c r="AB6" s="144"/>
      <x:c r="AC6" t="str">
        <x:f>IF(AND(NOT(ISNUMBER(A6)),E6="",NOT(ISNUMBER(G6)),M6="",O6=""),"INPUT",IF(X6="YES","VALID","INCOMPLETE / INVALID"))</x:f>
        <x:v>INPUT</x:v>
      </x:c>
      <x:c r="AD6" t="str">
        <x:f>IF(X6="YES",P6,"")</x:f>
      </x:c>
      <x:c r="AE6" t="str">
        <x:f>IF(X6="YES",W6,"")</x:f>
      </x:c>
      <x:c r="AF6" t="str">
        <x:f>IF(X6="YES",G6,"")</x:f>
      </x:c>
      <x:c r="AG6" t="str">
        <x:f>IF(AND(Z6="YES",AA6="VALID"),Q6,"")</x:f>
      </x:c>
      <x:c r="AH6" t="str">
        <x:f>IF(AND(Z6="YES",AA6="VALID"),"YES","NO")</x:f>
        <x:v>NO</x:v>
      </x:c>
    </x:row>
    <x:row r="7" ht="15">
      <x:c r="A7" s="161"/>
      <x:c r="B7" s="2"/>
      <x:c r="C7" s="2"/>
      <x:c r="D7" s="2"/>
      <x:c r="E7" s="2"/>
      <x:c r="F7" s="8"/>
      <x:c r="G7" s="8"/>
      <x:c r="H7" s="9"/>
      <x:c r="I7" s="8"/>
      <x:c r="J7" s="8" t="str">
        <x:f t="shared" si="0">IF(OR(NOT(ISNUMBER(G7)),NOT(ISNUMBER(I7))),"",G7-I7)</x:f>
      </x:c>
      <x:c r="K7" s="8" t="str">
        <x:f t="shared" si="1">IF(OR(NOT(ISNUMBER(G7)),NOT(ISNUMBER(H7)),H7&lt;=1),"",G7*H7-1)</x:f>
      </x:c>
      <x:c r="L7" s="2"/>
      <x:c r="M7" s="2"/>
      <x:c r="N7" s="2"/>
      <x:c r="O7" s="2"/>
      <x:c r="P7" s="2" t="str">
        <x:f>IF(OR(E7="",O7=""),"",IF(NOT(OR(O7="1",O7=1,O7="X",O7="2",O7=2)),"",IF(E7="1X",IF(OR(O7="1",O7=1,O7="X"),1,0),IF(E7="X2",IF(OR(O7="X",O7="2",O7=2),1,0),IF(OR(E7="12",E7=12),IF(OR(O7="1",O7=1,O7="2",O7=2),1,0),"")))))</x:f>
      </x:c>
      <x:c r="Q7" s="9" t="str">
        <x:f t="shared" si="2">IF(OR(NOT(ISNUMBER(P7)),NOT(ISNUMBER(H7)),H7&lt;=1),"",IF(P7=1,H7-1,-1))</x:f>
      </x:c>
      <x:c r="R7" s="2"/>
      <x:c r="S7" s="2"/>
      <x:c r="T7" s="2"/>
      <x:c r="U7" s="2"/>
      <x:c r="V7" s="2"/>
      <x:c r="W7" s="14" t="str">
        <x:f t="shared" si="3">IF(OR(NOT(ISNUMBER(G7)),G7&lt;0,G7&gt;1,NOT(ISNUMBER(P7))),"",(G7-P7)^2)</x:f>
      </x:c>
      <x:c r="X7" s="2" t="str">
        <x:f t="shared" si="4">IF(AND(ISNUMBER(A7),ISNUMBER(Y7),Y7&lt;A7,AB7&lt;&gt;"",ISNUMBER(P7),ISNUMBER(G7),G7&gt;=0,G7&lt;=1,OR(M7="DEFENSIV",M7="PRUDENT",M7="MODERAT",M7="RIDICAT",M7="WATCH",M7="NO BET")),"YES","NO")</x:f>
        <x:v>NO</x:v>
      </x:c>
      <x:c r="Y7" s="146"/>
      <x:c r="Z7" t="str">
        <x:f>IF(AND(X7="YES",OR(M7="DEFENSIV",M7="PRUDENT",M7="MODERAT",M7="RIDICAT")),"YES","NO")</x:f>
        <x:v>NO</x:v>
      </x:c>
      <x:c r="AA7" t="str">
        <x:f>IF(NOT(ISNUMBER(H7)),"MISSING",IF(AND(ISNUMBER(H7),H7&gt;1),"VALID","INVALID"))</x:f>
        <x:v>MISSING</x:v>
      </x:c>
      <x:c r="AB7" s="144"/>
      <x:c r="AC7" t="str">
        <x:f>IF(AND(NOT(ISNUMBER(A7)),E7="",NOT(ISNUMBER(G7)),M7="",O7=""),"INPUT",IF(X7="YES","VALID","INCOMPLETE / INVALID"))</x:f>
        <x:v>INPUT</x:v>
      </x:c>
      <x:c r="AD7" t="str">
        <x:f>IF(X7="YES",P7,"")</x:f>
      </x:c>
      <x:c r="AE7" t="str">
        <x:f>IF(X7="YES",W7,"")</x:f>
      </x:c>
      <x:c r="AF7" t="str">
        <x:f>IF(X7="YES",G7,"")</x:f>
      </x:c>
      <x:c r="AG7" t="str">
        <x:f>IF(AND(Z7="YES",AA7="VALID"),Q7,"")</x:f>
      </x:c>
      <x:c r="AH7" t="str">
        <x:f>IF(AND(Z7="YES",AA7="VALID"),"YES","NO")</x:f>
        <x:v>NO</x:v>
      </x:c>
    </x:row>
    <x:row r="8" ht="15">
      <x:c r="A8" s="161"/>
      <x:c r="B8" s="2"/>
      <x:c r="C8" s="2"/>
      <x:c r="D8" s="2"/>
      <x:c r="E8" s="2"/>
      <x:c r="F8" s="8"/>
      <x:c r="G8" s="8"/>
      <x:c r="H8" s="9"/>
      <x:c r="I8" s="8"/>
      <x:c r="J8" s="8" t="str">
        <x:f t="shared" si="0">IF(OR(NOT(ISNUMBER(G8)),NOT(ISNUMBER(I8))),"",G8-I8)</x:f>
      </x:c>
      <x:c r="K8" s="8" t="str">
        <x:f t="shared" si="1">IF(OR(NOT(ISNUMBER(G8)),NOT(ISNUMBER(H8)),H8&lt;=1),"",G8*H8-1)</x:f>
      </x:c>
      <x:c r="L8" s="2"/>
      <x:c r="M8" s="2"/>
      <x:c r="N8" s="2"/>
      <x:c r="O8" s="2"/>
      <x:c r="P8" s="2" t="str">
        <x:f>IF(OR(E8="",O8=""),"",IF(NOT(OR(O8="1",O8=1,O8="X",O8="2",O8=2)),"",IF(E8="1X",IF(OR(O8="1",O8=1,O8="X"),1,0),IF(E8="X2",IF(OR(O8="X",O8="2",O8=2),1,0),IF(OR(E8="12",E8=12),IF(OR(O8="1",O8=1,O8="2",O8=2),1,0),"")))))</x:f>
      </x:c>
      <x:c r="Q8" s="9" t="str">
        <x:f t="shared" si="2">IF(OR(NOT(ISNUMBER(P8)),NOT(ISNUMBER(H8)),H8&lt;=1),"",IF(P8=1,H8-1,-1))</x:f>
      </x:c>
      <x:c r="R8" s="2"/>
      <x:c r="S8" s="2"/>
      <x:c r="T8" s="2"/>
      <x:c r="U8" s="2"/>
      <x:c r="V8" s="2"/>
      <x:c r="W8" s="14" t="str">
        <x:f t="shared" si="3">IF(OR(NOT(ISNUMBER(G8)),G8&lt;0,G8&gt;1,NOT(ISNUMBER(P8))),"",(G8-P8)^2)</x:f>
      </x:c>
      <x:c r="X8" s="2" t="str">
        <x:f t="shared" si="4">IF(AND(ISNUMBER(A8),ISNUMBER(Y8),Y8&lt;A8,AB8&lt;&gt;"",ISNUMBER(P8),ISNUMBER(G8),G8&gt;=0,G8&lt;=1,OR(M8="DEFENSIV",M8="PRUDENT",M8="MODERAT",M8="RIDICAT",M8="WATCH",M8="NO BET")),"YES","NO")</x:f>
        <x:v>NO</x:v>
      </x:c>
      <x:c r="Y8" s="146"/>
      <x:c r="Z8" t="str">
        <x:f>IF(AND(X8="YES",OR(M8="DEFENSIV",M8="PRUDENT",M8="MODERAT",M8="RIDICAT")),"YES","NO")</x:f>
        <x:v>NO</x:v>
      </x:c>
      <x:c r="AA8" t="str">
        <x:f>IF(NOT(ISNUMBER(H8)),"MISSING",IF(AND(ISNUMBER(H8),H8&gt;1),"VALID","INVALID"))</x:f>
        <x:v>MISSING</x:v>
      </x:c>
      <x:c r="AB8" s="144"/>
      <x:c r="AC8" t="str">
        <x:f>IF(AND(NOT(ISNUMBER(A8)),E8="",NOT(ISNUMBER(G8)),M8="",O8=""),"INPUT",IF(X8="YES","VALID","INCOMPLETE / INVALID"))</x:f>
        <x:v>INPUT</x:v>
      </x:c>
      <x:c r="AD8" t="str">
        <x:f>IF(X8="YES",P8,"")</x:f>
      </x:c>
      <x:c r="AE8" t="str">
        <x:f>IF(X8="YES",W8,"")</x:f>
      </x:c>
      <x:c r="AF8" t="str">
        <x:f>IF(X8="YES",G8,"")</x:f>
      </x:c>
      <x:c r="AG8" t="str">
        <x:f>IF(AND(Z8="YES",AA8="VALID"),Q8,"")</x:f>
      </x:c>
      <x:c r="AH8" t="str">
        <x:f>IF(AND(Z8="YES",AA8="VALID"),"YES","NO")</x:f>
        <x:v>NO</x:v>
      </x:c>
    </x:row>
    <x:row r="9" ht="15">
      <x:c r="A9" s="161"/>
      <x:c r="B9" s="2"/>
      <x:c r="C9" s="2"/>
      <x:c r="D9" s="2"/>
      <x:c r="E9" s="2"/>
      <x:c r="F9" s="8"/>
      <x:c r="G9" s="8"/>
      <x:c r="H9" s="9"/>
      <x:c r="I9" s="8"/>
      <x:c r="J9" s="8" t="str">
        <x:f t="shared" si="0">IF(OR(NOT(ISNUMBER(G9)),NOT(ISNUMBER(I9))),"",G9-I9)</x:f>
      </x:c>
      <x:c r="K9" s="8" t="str">
        <x:f t="shared" si="1">IF(OR(NOT(ISNUMBER(G9)),NOT(ISNUMBER(H9)),H9&lt;=1),"",G9*H9-1)</x:f>
      </x:c>
      <x:c r="L9" s="2"/>
      <x:c r="M9" s="2"/>
      <x:c r="N9" s="2"/>
      <x:c r="O9" s="2"/>
      <x:c r="P9" s="2" t="str">
        <x:f>IF(OR(E9="",O9=""),"",IF(NOT(OR(O9="1",O9=1,O9="X",O9="2",O9=2)),"",IF(E9="1X",IF(OR(O9="1",O9=1,O9="X"),1,0),IF(E9="X2",IF(OR(O9="X",O9="2",O9=2),1,0),IF(OR(E9="12",E9=12),IF(OR(O9="1",O9=1,O9="2",O9=2),1,0),"")))))</x:f>
      </x:c>
      <x:c r="Q9" s="9" t="str">
        <x:f t="shared" si="2">IF(OR(NOT(ISNUMBER(P9)),NOT(ISNUMBER(H9)),H9&lt;=1),"",IF(P9=1,H9-1,-1))</x:f>
      </x:c>
      <x:c r="R9" s="2"/>
      <x:c r="S9" s="2"/>
      <x:c r="T9" s="2"/>
      <x:c r="U9" s="2"/>
      <x:c r="V9" s="2"/>
      <x:c r="W9" s="14" t="str">
        <x:f t="shared" si="3">IF(OR(NOT(ISNUMBER(G9)),G9&lt;0,G9&gt;1,NOT(ISNUMBER(P9))),"",(G9-P9)^2)</x:f>
      </x:c>
      <x:c r="X9" s="2" t="str">
        <x:f t="shared" si="4">IF(AND(ISNUMBER(A9),ISNUMBER(Y9),Y9&lt;A9,AB9&lt;&gt;"",ISNUMBER(P9),ISNUMBER(G9),G9&gt;=0,G9&lt;=1,OR(M9="DEFENSIV",M9="PRUDENT",M9="MODERAT",M9="RIDICAT",M9="WATCH",M9="NO BET")),"YES","NO")</x:f>
        <x:v>NO</x:v>
      </x:c>
      <x:c r="Y9" s="146"/>
      <x:c r="Z9" t="str">
        <x:f>IF(AND(X9="YES",OR(M9="DEFENSIV",M9="PRUDENT",M9="MODERAT",M9="RIDICAT")),"YES","NO")</x:f>
        <x:v>NO</x:v>
      </x:c>
      <x:c r="AA9" t="str">
        <x:f>IF(NOT(ISNUMBER(H9)),"MISSING",IF(AND(ISNUMBER(H9),H9&gt;1),"VALID","INVALID"))</x:f>
        <x:v>MISSING</x:v>
      </x:c>
      <x:c r="AB9" s="144"/>
      <x:c r="AC9" t="str">
        <x:f>IF(AND(NOT(ISNUMBER(A9)),E9="",NOT(ISNUMBER(G9)),M9="",O9=""),"INPUT",IF(X9="YES","VALID","INCOMPLETE / INVALID"))</x:f>
        <x:v>INPUT</x:v>
      </x:c>
      <x:c r="AD9" t="str">
        <x:f>IF(X9="YES",P9,"")</x:f>
      </x:c>
      <x:c r="AE9" t="str">
        <x:f>IF(X9="YES",W9,"")</x:f>
      </x:c>
      <x:c r="AF9" t="str">
        <x:f>IF(X9="YES",G9,"")</x:f>
      </x:c>
      <x:c r="AG9" t="str">
        <x:f>IF(AND(Z9="YES",AA9="VALID"),Q9,"")</x:f>
      </x:c>
      <x:c r="AH9" t="str">
        <x:f>IF(AND(Z9="YES",AA9="VALID"),"YES","NO")</x:f>
        <x:v>NO</x:v>
      </x:c>
    </x:row>
    <x:row r="10" ht="15">
      <x:c r="A10" s="161"/>
      <x:c r="B10" s="2"/>
      <x:c r="C10" s="2"/>
      <x:c r="D10" s="2"/>
      <x:c r="E10" s="2"/>
      <x:c r="F10" s="8"/>
      <x:c r="G10" s="8"/>
      <x:c r="H10" s="9"/>
      <x:c r="I10" s="8"/>
      <x:c r="J10" s="8" t="str">
        <x:f t="shared" si="0">IF(OR(NOT(ISNUMBER(G10)),NOT(ISNUMBER(I10))),"",G10-I10)</x:f>
      </x:c>
      <x:c r="K10" s="8" t="str">
        <x:f t="shared" si="1">IF(OR(NOT(ISNUMBER(G10)),NOT(ISNUMBER(H10)),H10&lt;=1),"",G10*H10-1)</x:f>
      </x:c>
      <x:c r="L10" s="2"/>
      <x:c r="M10" s="2"/>
      <x:c r="N10" s="2"/>
      <x:c r="O10" s="2"/>
      <x:c r="P10" s="2" t="str">
        <x:f>IF(OR(E10="",O10=""),"",IF(NOT(OR(O10="1",O10=1,O10="X",O10="2",O10=2)),"",IF(E10="1X",IF(OR(O10="1",O10=1,O10="X"),1,0),IF(E10="X2",IF(OR(O10="X",O10="2",O10=2),1,0),IF(OR(E10="12",E10=12),IF(OR(O10="1",O10=1,O10="2",O10=2),1,0),"")))))</x:f>
      </x:c>
      <x:c r="Q10" s="9" t="str">
        <x:f t="shared" si="2">IF(OR(NOT(ISNUMBER(P10)),NOT(ISNUMBER(H10)),H10&lt;=1),"",IF(P10=1,H10-1,-1))</x:f>
      </x:c>
      <x:c r="R10" s="2"/>
      <x:c r="S10" s="2"/>
      <x:c r="T10" s="2"/>
      <x:c r="U10" s="2"/>
      <x:c r="V10" s="2"/>
      <x:c r="W10" s="14" t="str">
        <x:f t="shared" si="3">IF(OR(NOT(ISNUMBER(G10)),G10&lt;0,G10&gt;1,NOT(ISNUMBER(P10))),"",(G10-P10)^2)</x:f>
      </x:c>
      <x:c r="X10" s="2" t="str">
        <x:f t="shared" si="4">IF(AND(ISNUMBER(A10),ISNUMBER(Y10),Y10&lt;A10,AB10&lt;&gt;"",ISNUMBER(P10),ISNUMBER(G10),G10&gt;=0,G10&lt;=1,OR(M10="DEFENSIV",M10="PRUDENT",M10="MODERAT",M10="RIDICAT",M10="WATCH",M10="NO BET")),"YES","NO")</x:f>
        <x:v>NO</x:v>
      </x:c>
      <x:c r="Y10" s="146"/>
      <x:c r="Z10" t="str">
        <x:f>IF(AND(X10="YES",OR(M10="DEFENSIV",M10="PRUDENT",M10="MODERAT",M10="RIDICAT")),"YES","NO")</x:f>
        <x:v>NO</x:v>
      </x:c>
      <x:c r="AA10" t="str">
        <x:f>IF(NOT(ISNUMBER(H10)),"MISSING",IF(AND(ISNUMBER(H10),H10&gt;1),"VALID","INVALID"))</x:f>
        <x:v>MISSING</x:v>
      </x:c>
      <x:c r="AB10" s="144"/>
      <x:c r="AC10" t="str">
        <x:f>IF(AND(NOT(ISNUMBER(A10)),E10="",NOT(ISNUMBER(G10)),M10="",O10=""),"INPUT",IF(X10="YES","VALID","INCOMPLETE / INVALID"))</x:f>
        <x:v>INPUT</x:v>
      </x:c>
      <x:c r="AD10" t="str">
        <x:f>IF(X10="YES",P10,"")</x:f>
      </x:c>
      <x:c r="AE10" t="str">
        <x:f>IF(X10="YES",W10,"")</x:f>
      </x:c>
      <x:c r="AF10" t="str">
        <x:f>IF(X10="YES",G10,"")</x:f>
      </x:c>
      <x:c r="AG10" t="str">
        <x:f>IF(AND(Z10="YES",AA10="VALID"),Q10,"")</x:f>
      </x:c>
      <x:c r="AH10" t="str">
        <x:f>IF(AND(Z10="YES",AA10="VALID"),"YES","NO")</x:f>
        <x:v>NO</x:v>
      </x:c>
    </x:row>
    <x:row r="11" ht="15">
      <x:c r="A11" s="161"/>
      <x:c r="B11" s="2"/>
      <x:c r="C11" s="2"/>
      <x:c r="D11" s="2"/>
      <x:c r="E11" s="2"/>
      <x:c r="F11" s="8"/>
      <x:c r="G11" s="8"/>
      <x:c r="H11" s="9"/>
      <x:c r="I11" s="8"/>
      <x:c r="J11" s="8" t="str">
        <x:f t="shared" si="0">IF(OR(NOT(ISNUMBER(G11)),NOT(ISNUMBER(I11))),"",G11-I11)</x:f>
      </x:c>
      <x:c r="K11" s="8" t="str">
        <x:f t="shared" si="1">IF(OR(NOT(ISNUMBER(G11)),NOT(ISNUMBER(H11)),H11&lt;=1),"",G11*H11-1)</x:f>
      </x:c>
      <x:c r="L11" s="2"/>
      <x:c r="M11" s="2"/>
      <x:c r="N11" s="2"/>
      <x:c r="O11" s="2"/>
      <x:c r="P11" s="2" t="str">
        <x:f>IF(OR(E11="",O11=""),"",IF(NOT(OR(O11="1",O11=1,O11="X",O11="2",O11=2)),"",IF(E11="1X",IF(OR(O11="1",O11=1,O11="X"),1,0),IF(E11="X2",IF(OR(O11="X",O11="2",O11=2),1,0),IF(OR(E11="12",E11=12),IF(OR(O11="1",O11=1,O11="2",O11=2),1,0),"")))))</x:f>
      </x:c>
      <x:c r="Q11" s="9" t="str">
        <x:f t="shared" si="2">IF(OR(NOT(ISNUMBER(P11)),NOT(ISNUMBER(H11)),H11&lt;=1),"",IF(P11=1,H11-1,-1))</x:f>
      </x:c>
      <x:c r="R11" s="2"/>
      <x:c r="S11" s="2"/>
      <x:c r="T11" s="2"/>
      <x:c r="U11" s="2"/>
      <x:c r="V11" s="2"/>
      <x:c r="W11" s="14" t="str">
        <x:f t="shared" si="3">IF(OR(NOT(ISNUMBER(G11)),G11&lt;0,G11&gt;1,NOT(ISNUMBER(P11))),"",(G11-P11)^2)</x:f>
      </x:c>
      <x:c r="X11" s="2" t="str">
        <x:f t="shared" si="4">IF(AND(ISNUMBER(A11),ISNUMBER(Y11),Y11&lt;A11,AB11&lt;&gt;"",ISNUMBER(P11),ISNUMBER(G11),G11&gt;=0,G11&lt;=1,OR(M11="DEFENSIV",M11="PRUDENT",M11="MODERAT",M11="RIDICAT",M11="WATCH",M11="NO BET")),"YES","NO")</x:f>
        <x:v>NO</x:v>
      </x:c>
      <x:c r="Y11" s="146"/>
      <x:c r="Z11" t="str">
        <x:f>IF(AND(X11="YES",OR(M11="DEFENSIV",M11="PRUDENT",M11="MODERAT",M11="RIDICAT")),"YES","NO")</x:f>
        <x:v>NO</x:v>
      </x:c>
      <x:c r="AA11" t="str">
        <x:f>IF(NOT(ISNUMBER(H11)),"MISSING",IF(AND(ISNUMBER(H11),H11&gt;1),"VALID","INVALID"))</x:f>
        <x:v>MISSING</x:v>
      </x:c>
      <x:c r="AB11" s="144"/>
      <x:c r="AC11" t="str">
        <x:f>IF(AND(NOT(ISNUMBER(A11)),E11="",NOT(ISNUMBER(G11)),M11="",O11=""),"INPUT",IF(X11="YES","VALID","INCOMPLETE / INVALID"))</x:f>
        <x:v>INPUT</x:v>
      </x:c>
      <x:c r="AD11" t="str">
        <x:f>IF(X11="YES",P11,"")</x:f>
      </x:c>
      <x:c r="AE11" t="str">
        <x:f>IF(X11="YES",W11,"")</x:f>
      </x:c>
      <x:c r="AF11" t="str">
        <x:f>IF(X11="YES",G11,"")</x:f>
      </x:c>
      <x:c r="AG11" t="str">
        <x:f>IF(AND(Z11="YES",AA11="VALID"),Q11,"")</x:f>
      </x:c>
      <x:c r="AH11" t="str">
        <x:f>IF(AND(Z11="YES",AA11="VALID"),"YES","NO")</x:f>
        <x:v>NO</x:v>
      </x:c>
    </x:row>
    <x:row r="12" ht="15">
      <x:c r="A12" s="161"/>
      <x:c r="B12" s="2"/>
      <x:c r="C12" s="2"/>
      <x:c r="D12" s="2"/>
      <x:c r="E12" s="2"/>
      <x:c r="F12" s="8"/>
      <x:c r="G12" s="8"/>
      <x:c r="H12" s="9"/>
      <x:c r="I12" s="8"/>
      <x:c r="J12" s="8" t="str">
        <x:f t="shared" si="0">IF(OR(NOT(ISNUMBER(G12)),NOT(ISNUMBER(I12))),"",G12-I12)</x:f>
      </x:c>
      <x:c r="K12" s="8" t="str">
        <x:f t="shared" si="1">IF(OR(NOT(ISNUMBER(G12)),NOT(ISNUMBER(H12)),H12&lt;=1),"",G12*H12-1)</x:f>
      </x:c>
      <x:c r="L12" s="2"/>
      <x:c r="M12" s="2"/>
      <x:c r="N12" s="2"/>
      <x:c r="O12" s="2"/>
      <x:c r="P12" s="2" t="str">
        <x:f>IF(OR(E12="",O12=""),"",IF(NOT(OR(O12="1",O12=1,O12="X",O12="2",O12=2)),"",IF(E12="1X",IF(OR(O12="1",O12=1,O12="X"),1,0),IF(E12="X2",IF(OR(O12="X",O12="2",O12=2),1,0),IF(OR(E12="12",E12=12),IF(OR(O12="1",O12=1,O12="2",O12=2),1,0),"")))))</x:f>
      </x:c>
      <x:c r="Q12" s="9" t="str">
        <x:f t="shared" si="2">IF(OR(NOT(ISNUMBER(P12)),NOT(ISNUMBER(H12)),H12&lt;=1),"",IF(P12=1,H12-1,-1))</x:f>
      </x:c>
      <x:c r="R12" s="2"/>
      <x:c r="S12" s="2"/>
      <x:c r="T12" s="2"/>
      <x:c r="U12" s="2"/>
      <x:c r="V12" s="2"/>
      <x:c r="W12" s="14" t="str">
        <x:f t="shared" si="3">IF(OR(NOT(ISNUMBER(G12)),G12&lt;0,G12&gt;1,NOT(ISNUMBER(P12))),"",(G12-P12)^2)</x:f>
      </x:c>
      <x:c r="X12" s="2" t="str">
        <x:f t="shared" si="4">IF(AND(ISNUMBER(A12),ISNUMBER(Y12),Y12&lt;A12,AB12&lt;&gt;"",ISNUMBER(P12),ISNUMBER(G12),G12&gt;=0,G12&lt;=1,OR(M12="DEFENSIV",M12="PRUDENT",M12="MODERAT",M12="RIDICAT",M12="WATCH",M12="NO BET")),"YES","NO")</x:f>
        <x:v>NO</x:v>
      </x:c>
      <x:c r="Y12" s="146"/>
      <x:c r="Z12" t="str">
        <x:f>IF(AND(X12="YES",OR(M12="DEFENSIV",M12="PRUDENT",M12="MODERAT",M12="RIDICAT")),"YES","NO")</x:f>
        <x:v>NO</x:v>
      </x:c>
      <x:c r="AA12" t="str">
        <x:f>IF(NOT(ISNUMBER(H12)),"MISSING",IF(AND(ISNUMBER(H12),H12&gt;1),"VALID","INVALID"))</x:f>
        <x:v>MISSING</x:v>
      </x:c>
      <x:c r="AB12" s="144"/>
      <x:c r="AC12" t="str">
        <x:f>IF(AND(NOT(ISNUMBER(A12)),E12="",NOT(ISNUMBER(G12)),M12="",O12=""),"INPUT",IF(X12="YES","VALID","INCOMPLETE / INVALID"))</x:f>
        <x:v>INPUT</x:v>
      </x:c>
      <x:c r="AD12" t="str">
        <x:f>IF(X12="YES",P12,"")</x:f>
      </x:c>
      <x:c r="AE12" t="str">
        <x:f>IF(X12="YES",W12,"")</x:f>
      </x:c>
      <x:c r="AF12" t="str">
        <x:f>IF(X12="YES",G12,"")</x:f>
      </x:c>
      <x:c r="AG12" t="str">
        <x:f>IF(AND(Z12="YES",AA12="VALID"),Q12,"")</x:f>
      </x:c>
      <x:c r="AH12" t="str">
        <x:f>IF(AND(Z12="YES",AA12="VALID"),"YES","NO")</x:f>
        <x:v>NO</x:v>
      </x:c>
    </x:row>
    <x:row r="13" ht="15">
      <x:c r="A13" s="161"/>
      <x:c r="B13" s="2"/>
      <x:c r="C13" s="2"/>
      <x:c r="D13" s="2"/>
      <x:c r="E13" s="2"/>
      <x:c r="F13" s="8"/>
      <x:c r="G13" s="8"/>
      <x:c r="H13" s="9"/>
      <x:c r="I13" s="8"/>
      <x:c r="J13" s="8" t="str">
        <x:f t="shared" si="0">IF(OR(NOT(ISNUMBER(G13)),NOT(ISNUMBER(I13))),"",G13-I13)</x:f>
      </x:c>
      <x:c r="K13" s="8" t="str">
        <x:f t="shared" si="1">IF(OR(NOT(ISNUMBER(G13)),NOT(ISNUMBER(H13)),H13&lt;=1),"",G13*H13-1)</x:f>
      </x:c>
      <x:c r="L13" s="2"/>
      <x:c r="M13" s="2"/>
      <x:c r="N13" s="2"/>
      <x:c r="O13" s="2"/>
      <x:c r="P13" s="2" t="str">
        <x:f>IF(OR(E13="",O13=""),"",IF(NOT(OR(O13="1",O13=1,O13="X",O13="2",O13=2)),"",IF(E13="1X",IF(OR(O13="1",O13=1,O13="X"),1,0),IF(E13="X2",IF(OR(O13="X",O13="2",O13=2),1,0),IF(OR(E13="12",E13=12),IF(OR(O13="1",O13=1,O13="2",O13=2),1,0),"")))))</x:f>
      </x:c>
      <x:c r="Q13" s="9" t="str">
        <x:f t="shared" si="2">IF(OR(NOT(ISNUMBER(P13)),NOT(ISNUMBER(H13)),H13&lt;=1),"",IF(P13=1,H13-1,-1))</x:f>
      </x:c>
      <x:c r="R13" s="2"/>
      <x:c r="S13" s="2"/>
      <x:c r="T13" s="2"/>
      <x:c r="U13" s="2"/>
      <x:c r="V13" s="2"/>
      <x:c r="W13" s="14" t="str">
        <x:f t="shared" si="3">IF(OR(NOT(ISNUMBER(G13)),G13&lt;0,G13&gt;1,NOT(ISNUMBER(P13))),"",(G13-P13)^2)</x:f>
      </x:c>
      <x:c r="X13" s="2" t="str">
        <x:f t="shared" si="4">IF(AND(ISNUMBER(A13),ISNUMBER(Y13),Y13&lt;A13,AB13&lt;&gt;"",ISNUMBER(P13),ISNUMBER(G13),G13&gt;=0,G13&lt;=1,OR(M13="DEFENSIV",M13="PRUDENT",M13="MODERAT",M13="RIDICAT",M13="WATCH",M13="NO BET")),"YES","NO")</x:f>
        <x:v>NO</x:v>
      </x:c>
      <x:c r="Y13" s="146"/>
      <x:c r="Z13" t="str">
        <x:f>IF(AND(X13="YES",OR(M13="DEFENSIV",M13="PRUDENT",M13="MODERAT",M13="RIDICAT")),"YES","NO")</x:f>
        <x:v>NO</x:v>
      </x:c>
      <x:c r="AA13" t="str">
        <x:f>IF(NOT(ISNUMBER(H13)),"MISSING",IF(AND(ISNUMBER(H13),H13&gt;1),"VALID","INVALID"))</x:f>
        <x:v>MISSING</x:v>
      </x:c>
      <x:c r="AB13" s="144"/>
      <x:c r="AC13" t="str">
        <x:f>IF(AND(NOT(ISNUMBER(A13)),E13="",NOT(ISNUMBER(G13)),M13="",O13=""),"INPUT",IF(X13="YES","VALID","INCOMPLETE / INVALID"))</x:f>
        <x:v>INPUT</x:v>
      </x:c>
      <x:c r="AD13" t="str">
        <x:f>IF(X13="YES",P13,"")</x:f>
      </x:c>
      <x:c r="AE13" t="str">
        <x:f>IF(X13="YES",W13,"")</x:f>
      </x:c>
      <x:c r="AF13" t="str">
        <x:f>IF(X13="YES",G13,"")</x:f>
      </x:c>
      <x:c r="AG13" t="str">
        <x:f>IF(AND(Z13="YES",AA13="VALID"),Q13,"")</x:f>
      </x:c>
      <x:c r="AH13" t="str">
        <x:f>IF(AND(Z13="YES",AA13="VALID"),"YES","NO")</x:f>
        <x:v>NO</x:v>
      </x:c>
    </x:row>
    <x:row r="14" ht="15">
      <x:c r="A14" s="161"/>
      <x:c r="B14" s="2"/>
      <x:c r="C14" s="2"/>
      <x:c r="D14" s="2"/>
      <x:c r="E14" s="2"/>
      <x:c r="F14" s="8"/>
      <x:c r="G14" s="8"/>
      <x:c r="H14" s="9"/>
      <x:c r="I14" s="8"/>
      <x:c r="J14" s="8" t="str">
        <x:f t="shared" si="0">IF(OR(NOT(ISNUMBER(G14)),NOT(ISNUMBER(I14))),"",G14-I14)</x:f>
      </x:c>
      <x:c r="K14" s="8" t="str">
        <x:f t="shared" si="1">IF(OR(NOT(ISNUMBER(G14)),NOT(ISNUMBER(H14)),H14&lt;=1),"",G14*H14-1)</x:f>
      </x:c>
      <x:c r="L14" s="2"/>
      <x:c r="M14" s="2"/>
      <x:c r="N14" s="2"/>
      <x:c r="O14" s="2"/>
      <x:c r="P14" s="2" t="str">
        <x:f>IF(OR(E14="",O14=""),"",IF(NOT(OR(O14="1",O14=1,O14="X",O14="2",O14=2)),"",IF(E14="1X",IF(OR(O14="1",O14=1,O14="X"),1,0),IF(E14="X2",IF(OR(O14="X",O14="2",O14=2),1,0),IF(OR(E14="12",E14=12),IF(OR(O14="1",O14=1,O14="2",O14=2),1,0),"")))))</x:f>
      </x:c>
      <x:c r="Q14" s="9" t="str">
        <x:f t="shared" si="2">IF(OR(NOT(ISNUMBER(P14)),NOT(ISNUMBER(H14)),H14&lt;=1),"",IF(P14=1,H14-1,-1))</x:f>
      </x:c>
      <x:c r="R14" s="2"/>
      <x:c r="S14" s="2"/>
      <x:c r="T14" s="2"/>
      <x:c r="U14" s="2"/>
      <x:c r="V14" s="2"/>
      <x:c r="W14" s="14" t="str">
        <x:f t="shared" si="3">IF(OR(NOT(ISNUMBER(G14)),G14&lt;0,G14&gt;1,NOT(ISNUMBER(P14))),"",(G14-P14)^2)</x:f>
      </x:c>
      <x:c r="X14" s="2" t="str">
        <x:f t="shared" si="4">IF(AND(ISNUMBER(A14),ISNUMBER(Y14),Y14&lt;A14,AB14&lt;&gt;"",ISNUMBER(P14),ISNUMBER(G14),G14&gt;=0,G14&lt;=1,OR(M14="DEFENSIV",M14="PRUDENT",M14="MODERAT",M14="RIDICAT",M14="WATCH",M14="NO BET")),"YES","NO")</x:f>
        <x:v>NO</x:v>
      </x:c>
      <x:c r="Y14" s="146"/>
      <x:c r="Z14" t="str">
        <x:f>IF(AND(X14="YES",OR(M14="DEFENSIV",M14="PRUDENT",M14="MODERAT",M14="RIDICAT")),"YES","NO")</x:f>
        <x:v>NO</x:v>
      </x:c>
      <x:c r="AA14" t="str">
        <x:f>IF(NOT(ISNUMBER(H14)),"MISSING",IF(AND(ISNUMBER(H14),H14&gt;1),"VALID","INVALID"))</x:f>
        <x:v>MISSING</x:v>
      </x:c>
      <x:c r="AB14" s="144"/>
      <x:c r="AC14" t="str">
        <x:f>IF(AND(NOT(ISNUMBER(A14)),E14="",NOT(ISNUMBER(G14)),M14="",O14=""),"INPUT",IF(X14="YES","VALID","INCOMPLETE / INVALID"))</x:f>
        <x:v>INPUT</x:v>
      </x:c>
      <x:c r="AD14" t="str">
        <x:f>IF(X14="YES",P14,"")</x:f>
      </x:c>
      <x:c r="AE14" t="str">
        <x:f>IF(X14="YES",W14,"")</x:f>
      </x:c>
      <x:c r="AF14" t="str">
        <x:f>IF(X14="YES",G14,"")</x:f>
      </x:c>
      <x:c r="AG14" t="str">
        <x:f>IF(AND(Z14="YES",AA14="VALID"),Q14,"")</x:f>
      </x:c>
      <x:c r="AH14" t="str">
        <x:f>IF(AND(Z14="YES",AA14="VALID"),"YES","NO")</x:f>
        <x:v>NO</x:v>
      </x:c>
    </x:row>
    <x:row r="15" ht="15">
      <x:c r="A15" s="161"/>
      <x:c r="B15" s="2"/>
      <x:c r="C15" s="2"/>
      <x:c r="D15" s="2"/>
      <x:c r="E15" s="2"/>
      <x:c r="F15" s="8"/>
      <x:c r="G15" s="8"/>
      <x:c r="H15" s="9"/>
      <x:c r="I15" s="8"/>
      <x:c r="J15" s="8" t="str">
        <x:f t="shared" si="0">IF(OR(NOT(ISNUMBER(G15)),NOT(ISNUMBER(I15))),"",G15-I15)</x:f>
      </x:c>
      <x:c r="K15" s="8" t="str">
        <x:f t="shared" si="1">IF(OR(NOT(ISNUMBER(G15)),NOT(ISNUMBER(H15)),H15&lt;=1),"",G15*H15-1)</x:f>
      </x:c>
      <x:c r="L15" s="2"/>
      <x:c r="M15" s="2"/>
      <x:c r="N15" s="2"/>
      <x:c r="O15" s="2"/>
      <x:c r="P15" s="2" t="str">
        <x:f>IF(OR(E15="",O15=""),"",IF(NOT(OR(O15="1",O15=1,O15="X",O15="2",O15=2)),"",IF(E15="1X",IF(OR(O15="1",O15=1,O15="X"),1,0),IF(E15="X2",IF(OR(O15="X",O15="2",O15=2),1,0),IF(OR(E15="12",E15=12),IF(OR(O15="1",O15=1,O15="2",O15=2),1,0),"")))))</x:f>
      </x:c>
      <x:c r="Q15" s="9" t="str">
        <x:f t="shared" si="2">IF(OR(NOT(ISNUMBER(P15)),NOT(ISNUMBER(H15)),H15&lt;=1),"",IF(P15=1,H15-1,-1))</x:f>
      </x:c>
      <x:c r="R15" s="2"/>
      <x:c r="S15" s="2"/>
      <x:c r="T15" s="2"/>
      <x:c r="U15" s="2"/>
      <x:c r="V15" s="2"/>
      <x:c r="W15" s="14" t="str">
        <x:f t="shared" si="3">IF(OR(NOT(ISNUMBER(G15)),G15&lt;0,G15&gt;1,NOT(ISNUMBER(P15))),"",(G15-P15)^2)</x:f>
      </x:c>
      <x:c r="X15" s="2" t="str">
        <x:f t="shared" si="4">IF(AND(ISNUMBER(A15),ISNUMBER(Y15),Y15&lt;A15,AB15&lt;&gt;"",ISNUMBER(P15),ISNUMBER(G15),G15&gt;=0,G15&lt;=1,OR(M15="DEFENSIV",M15="PRUDENT",M15="MODERAT",M15="RIDICAT",M15="WATCH",M15="NO BET")),"YES","NO")</x:f>
        <x:v>NO</x:v>
      </x:c>
      <x:c r="Y15" s="146"/>
      <x:c r="Z15" t="str">
        <x:f>IF(AND(X15="YES",OR(M15="DEFENSIV",M15="PRUDENT",M15="MODERAT",M15="RIDICAT")),"YES","NO")</x:f>
        <x:v>NO</x:v>
      </x:c>
      <x:c r="AA15" t="str">
        <x:f>IF(NOT(ISNUMBER(H15)),"MISSING",IF(AND(ISNUMBER(H15),H15&gt;1),"VALID","INVALID"))</x:f>
        <x:v>MISSING</x:v>
      </x:c>
      <x:c r="AB15" s="144"/>
      <x:c r="AC15" t="str">
        <x:f>IF(AND(NOT(ISNUMBER(A15)),E15="",NOT(ISNUMBER(G15)),M15="",O15=""),"INPUT",IF(X15="YES","VALID","INCOMPLETE / INVALID"))</x:f>
        <x:v>INPUT</x:v>
      </x:c>
      <x:c r="AD15" t="str">
        <x:f>IF(X15="YES",P15,"")</x:f>
      </x:c>
      <x:c r="AE15" t="str">
        <x:f>IF(X15="YES",W15,"")</x:f>
      </x:c>
      <x:c r="AF15" t="str">
        <x:f>IF(X15="YES",G15,"")</x:f>
      </x:c>
      <x:c r="AG15" t="str">
        <x:f>IF(AND(Z15="YES",AA15="VALID"),Q15,"")</x:f>
      </x:c>
      <x:c r="AH15" t="str">
        <x:f>IF(AND(Z15="YES",AA15="VALID"),"YES","NO")</x:f>
        <x:v>NO</x:v>
      </x:c>
    </x:row>
    <x:row r="16" ht="15">
      <x:c r="A16" s="161"/>
      <x:c r="B16" s="2"/>
      <x:c r="C16" s="2"/>
      <x:c r="D16" s="2"/>
      <x:c r="E16" s="2"/>
      <x:c r="F16" s="8"/>
      <x:c r="G16" s="8"/>
      <x:c r="H16" s="9"/>
      <x:c r="I16" s="8"/>
      <x:c r="J16" s="8" t="str">
        <x:f t="shared" si="0">IF(OR(NOT(ISNUMBER(G16)),NOT(ISNUMBER(I16))),"",G16-I16)</x:f>
      </x:c>
      <x:c r="K16" s="8" t="str">
        <x:f t="shared" si="1">IF(OR(NOT(ISNUMBER(G16)),NOT(ISNUMBER(H16)),H16&lt;=1),"",G16*H16-1)</x:f>
      </x:c>
      <x:c r="L16" s="2"/>
      <x:c r="M16" s="2"/>
      <x:c r="N16" s="2"/>
      <x:c r="O16" s="2"/>
      <x:c r="P16" s="2" t="str">
        <x:f>IF(OR(E16="",O16=""),"",IF(NOT(OR(O16="1",O16=1,O16="X",O16="2",O16=2)),"",IF(E16="1X",IF(OR(O16="1",O16=1,O16="X"),1,0),IF(E16="X2",IF(OR(O16="X",O16="2",O16=2),1,0),IF(OR(E16="12",E16=12),IF(OR(O16="1",O16=1,O16="2",O16=2),1,0),"")))))</x:f>
      </x:c>
      <x:c r="Q16" s="9" t="str">
        <x:f t="shared" si="2">IF(OR(NOT(ISNUMBER(P16)),NOT(ISNUMBER(H16)),H16&lt;=1),"",IF(P16=1,H16-1,-1))</x:f>
      </x:c>
      <x:c r="R16" s="2"/>
      <x:c r="S16" s="2"/>
      <x:c r="T16" s="2"/>
      <x:c r="U16" s="2"/>
      <x:c r="V16" s="2"/>
      <x:c r="W16" s="14" t="str">
        <x:f t="shared" si="3">IF(OR(NOT(ISNUMBER(G16)),G16&lt;0,G16&gt;1,NOT(ISNUMBER(P16))),"",(G16-P16)^2)</x:f>
      </x:c>
      <x:c r="X16" s="2" t="str">
        <x:f t="shared" si="4">IF(AND(ISNUMBER(A16),ISNUMBER(Y16),Y16&lt;A16,AB16&lt;&gt;"",ISNUMBER(P16),ISNUMBER(G16),G16&gt;=0,G16&lt;=1,OR(M16="DEFENSIV",M16="PRUDENT",M16="MODERAT",M16="RIDICAT",M16="WATCH",M16="NO BET")),"YES","NO")</x:f>
        <x:v>NO</x:v>
      </x:c>
      <x:c r="Y16" s="146"/>
      <x:c r="Z16" t="str">
        <x:f>IF(AND(X16="YES",OR(M16="DEFENSIV",M16="PRUDENT",M16="MODERAT",M16="RIDICAT")),"YES","NO")</x:f>
        <x:v>NO</x:v>
      </x:c>
      <x:c r="AA16" t="str">
        <x:f>IF(NOT(ISNUMBER(H16)),"MISSING",IF(AND(ISNUMBER(H16),H16&gt;1),"VALID","INVALID"))</x:f>
        <x:v>MISSING</x:v>
      </x:c>
      <x:c r="AB16" s="144"/>
      <x:c r="AC16" t="str">
        <x:f>IF(AND(NOT(ISNUMBER(A16)),E16="",NOT(ISNUMBER(G16)),M16="",O16=""),"INPUT",IF(X16="YES","VALID","INCOMPLETE / INVALID"))</x:f>
        <x:v>INPUT</x:v>
      </x:c>
      <x:c r="AD16" t="str">
        <x:f>IF(X16="YES",P16,"")</x:f>
      </x:c>
      <x:c r="AE16" t="str">
        <x:f>IF(X16="YES",W16,"")</x:f>
      </x:c>
      <x:c r="AF16" t="str">
        <x:f>IF(X16="YES",G16,"")</x:f>
      </x:c>
      <x:c r="AG16" t="str">
        <x:f>IF(AND(Z16="YES",AA16="VALID"),Q16,"")</x:f>
      </x:c>
      <x:c r="AH16" t="str">
        <x:f>IF(AND(Z16="YES",AA16="VALID"),"YES","NO")</x:f>
        <x:v>NO</x:v>
      </x:c>
    </x:row>
    <x:row r="17" ht="15">
      <x:c r="A17" s="161"/>
      <x:c r="B17" s="2"/>
      <x:c r="C17" s="2"/>
      <x:c r="D17" s="2"/>
      <x:c r="E17" s="2"/>
      <x:c r="F17" s="8"/>
      <x:c r="G17" s="8"/>
      <x:c r="H17" s="9"/>
      <x:c r="I17" s="8"/>
      <x:c r="J17" s="8" t="str">
        <x:f t="shared" si="0">IF(OR(NOT(ISNUMBER(G17)),NOT(ISNUMBER(I17))),"",G17-I17)</x:f>
      </x:c>
      <x:c r="K17" s="8" t="str">
        <x:f t="shared" si="1">IF(OR(NOT(ISNUMBER(G17)),NOT(ISNUMBER(H17)),H17&lt;=1),"",G17*H17-1)</x:f>
      </x:c>
      <x:c r="L17" s="2"/>
      <x:c r="M17" s="2"/>
      <x:c r="N17" s="2"/>
      <x:c r="O17" s="2"/>
      <x:c r="P17" s="2" t="str">
        <x:f>IF(OR(E17="",O17=""),"",IF(NOT(OR(O17="1",O17=1,O17="X",O17="2",O17=2)),"",IF(E17="1X",IF(OR(O17="1",O17=1,O17="X"),1,0),IF(E17="X2",IF(OR(O17="X",O17="2",O17=2),1,0),IF(OR(E17="12",E17=12),IF(OR(O17="1",O17=1,O17="2",O17=2),1,0),"")))))</x:f>
      </x:c>
      <x:c r="Q17" s="9" t="str">
        <x:f t="shared" si="2">IF(OR(NOT(ISNUMBER(P17)),NOT(ISNUMBER(H17)),H17&lt;=1),"",IF(P17=1,H17-1,-1))</x:f>
      </x:c>
      <x:c r="R17" s="2"/>
      <x:c r="S17" s="2"/>
      <x:c r="T17" s="2"/>
      <x:c r="U17" s="2"/>
      <x:c r="V17" s="2"/>
      <x:c r="W17" s="14" t="str">
        <x:f t="shared" si="3">IF(OR(NOT(ISNUMBER(G17)),G17&lt;0,G17&gt;1,NOT(ISNUMBER(P17))),"",(G17-P17)^2)</x:f>
      </x:c>
      <x:c r="X17" s="2" t="str">
        <x:f t="shared" si="4">IF(AND(ISNUMBER(A17),ISNUMBER(Y17),Y17&lt;A17,AB17&lt;&gt;"",ISNUMBER(P17),ISNUMBER(G17),G17&gt;=0,G17&lt;=1,OR(M17="DEFENSIV",M17="PRUDENT",M17="MODERAT",M17="RIDICAT",M17="WATCH",M17="NO BET")),"YES","NO")</x:f>
        <x:v>NO</x:v>
      </x:c>
      <x:c r="Y17" s="146"/>
      <x:c r="Z17" t="str">
        <x:f>IF(AND(X17="YES",OR(M17="DEFENSIV",M17="PRUDENT",M17="MODERAT",M17="RIDICAT")),"YES","NO")</x:f>
        <x:v>NO</x:v>
      </x:c>
      <x:c r="AA17" t="str">
        <x:f>IF(NOT(ISNUMBER(H17)),"MISSING",IF(AND(ISNUMBER(H17),H17&gt;1),"VALID","INVALID"))</x:f>
        <x:v>MISSING</x:v>
      </x:c>
      <x:c r="AB17" s="144"/>
      <x:c r="AC17" t="str">
        <x:f>IF(AND(NOT(ISNUMBER(A17)),E17="",NOT(ISNUMBER(G17)),M17="",O17=""),"INPUT",IF(X17="YES","VALID","INCOMPLETE / INVALID"))</x:f>
        <x:v>INPUT</x:v>
      </x:c>
      <x:c r="AD17" t="str">
        <x:f>IF(X17="YES",P17,"")</x:f>
      </x:c>
      <x:c r="AE17" t="str">
        <x:f>IF(X17="YES",W17,"")</x:f>
      </x:c>
      <x:c r="AF17" t="str">
        <x:f>IF(X17="YES",G17,"")</x:f>
      </x:c>
      <x:c r="AG17" t="str">
        <x:f>IF(AND(Z17="YES",AA17="VALID"),Q17,"")</x:f>
      </x:c>
      <x:c r="AH17" t="str">
        <x:f>IF(AND(Z17="YES",AA17="VALID"),"YES","NO")</x:f>
        <x:v>NO</x:v>
      </x:c>
    </x:row>
    <x:row r="18" ht="15">
      <x:c r="A18" s="161"/>
      <x:c r="B18" s="2"/>
      <x:c r="C18" s="2"/>
      <x:c r="D18" s="2"/>
      <x:c r="E18" s="2"/>
      <x:c r="F18" s="8"/>
      <x:c r="G18" s="8"/>
      <x:c r="H18" s="9"/>
      <x:c r="I18" s="8"/>
      <x:c r="J18" s="8" t="str">
        <x:f t="shared" si="0">IF(OR(NOT(ISNUMBER(G18)),NOT(ISNUMBER(I18))),"",G18-I18)</x:f>
      </x:c>
      <x:c r="K18" s="8" t="str">
        <x:f t="shared" si="1">IF(OR(NOT(ISNUMBER(G18)),NOT(ISNUMBER(H18)),H18&lt;=1),"",G18*H18-1)</x:f>
      </x:c>
      <x:c r="L18" s="2"/>
      <x:c r="M18" s="2"/>
      <x:c r="N18" s="2"/>
      <x:c r="O18" s="2"/>
      <x:c r="P18" s="2" t="str">
        <x:f>IF(OR(E18="",O18=""),"",IF(NOT(OR(O18="1",O18=1,O18="X",O18="2",O18=2)),"",IF(E18="1X",IF(OR(O18="1",O18=1,O18="X"),1,0),IF(E18="X2",IF(OR(O18="X",O18="2",O18=2),1,0),IF(OR(E18="12",E18=12),IF(OR(O18="1",O18=1,O18="2",O18=2),1,0),"")))))</x:f>
      </x:c>
      <x:c r="Q18" s="9" t="str">
        <x:f t="shared" si="2">IF(OR(NOT(ISNUMBER(P18)),NOT(ISNUMBER(H18)),H18&lt;=1),"",IF(P18=1,H18-1,-1))</x:f>
      </x:c>
      <x:c r="R18" s="2"/>
      <x:c r="S18" s="2"/>
      <x:c r="T18" s="2"/>
      <x:c r="U18" s="2"/>
      <x:c r="V18" s="2"/>
      <x:c r="W18" s="14" t="str">
        <x:f t="shared" si="3">IF(OR(NOT(ISNUMBER(G18)),G18&lt;0,G18&gt;1,NOT(ISNUMBER(P18))),"",(G18-P18)^2)</x:f>
      </x:c>
      <x:c r="X18" s="2" t="str">
        <x:f t="shared" si="4">IF(AND(ISNUMBER(A18),ISNUMBER(Y18),Y18&lt;A18,AB18&lt;&gt;"",ISNUMBER(P18),ISNUMBER(G18),G18&gt;=0,G18&lt;=1,OR(M18="DEFENSIV",M18="PRUDENT",M18="MODERAT",M18="RIDICAT",M18="WATCH",M18="NO BET")),"YES","NO")</x:f>
        <x:v>NO</x:v>
      </x:c>
      <x:c r="Y18" s="146"/>
      <x:c r="Z18" t="str">
        <x:f>IF(AND(X18="YES",OR(M18="DEFENSIV",M18="PRUDENT",M18="MODERAT",M18="RIDICAT")),"YES","NO")</x:f>
        <x:v>NO</x:v>
      </x:c>
      <x:c r="AA18" t="str">
        <x:f>IF(NOT(ISNUMBER(H18)),"MISSING",IF(AND(ISNUMBER(H18),H18&gt;1),"VALID","INVALID"))</x:f>
        <x:v>MISSING</x:v>
      </x:c>
      <x:c r="AB18" s="144"/>
      <x:c r="AC18" t="str">
        <x:f>IF(AND(NOT(ISNUMBER(A18)),E18="",NOT(ISNUMBER(G18)),M18="",O18=""),"INPUT",IF(X18="YES","VALID","INCOMPLETE / INVALID"))</x:f>
        <x:v>INPUT</x:v>
      </x:c>
      <x:c r="AD18" t="str">
        <x:f>IF(X18="YES",P18,"")</x:f>
      </x:c>
      <x:c r="AE18" t="str">
        <x:f>IF(X18="YES",W18,"")</x:f>
      </x:c>
      <x:c r="AF18" t="str">
        <x:f>IF(X18="YES",G18,"")</x:f>
      </x:c>
      <x:c r="AG18" t="str">
        <x:f>IF(AND(Z18="YES",AA18="VALID"),Q18,"")</x:f>
      </x:c>
      <x:c r="AH18" t="str">
        <x:f>IF(AND(Z18="YES",AA18="VALID"),"YES","NO")</x:f>
        <x:v>NO</x:v>
      </x:c>
    </x:row>
    <x:row r="19" ht="15">
      <x:c r="A19" s="161"/>
      <x:c r="B19" s="2"/>
      <x:c r="C19" s="2"/>
      <x:c r="D19" s="2"/>
      <x:c r="E19" s="2"/>
      <x:c r="F19" s="8"/>
      <x:c r="G19" s="8"/>
      <x:c r="H19" s="9"/>
      <x:c r="I19" s="8"/>
      <x:c r="J19" s="8" t="str">
        <x:f t="shared" si="0">IF(OR(NOT(ISNUMBER(G19)),NOT(ISNUMBER(I19))),"",G19-I19)</x:f>
      </x:c>
      <x:c r="K19" s="8" t="str">
        <x:f t="shared" si="1">IF(OR(NOT(ISNUMBER(G19)),NOT(ISNUMBER(H19)),H19&lt;=1),"",G19*H19-1)</x:f>
      </x:c>
      <x:c r="L19" s="2"/>
      <x:c r="M19" s="2"/>
      <x:c r="N19" s="2"/>
      <x:c r="O19" s="2"/>
      <x:c r="P19" s="2" t="str">
        <x:f>IF(OR(E19="",O19=""),"",IF(NOT(OR(O19="1",O19=1,O19="X",O19="2",O19=2)),"",IF(E19="1X",IF(OR(O19="1",O19=1,O19="X"),1,0),IF(E19="X2",IF(OR(O19="X",O19="2",O19=2),1,0),IF(OR(E19="12",E19=12),IF(OR(O19="1",O19=1,O19="2",O19=2),1,0),"")))))</x:f>
      </x:c>
      <x:c r="Q19" s="9" t="str">
        <x:f t="shared" si="2">IF(OR(NOT(ISNUMBER(P19)),NOT(ISNUMBER(H19)),H19&lt;=1),"",IF(P19=1,H19-1,-1))</x:f>
      </x:c>
      <x:c r="R19" s="2"/>
      <x:c r="S19" s="2"/>
      <x:c r="T19" s="2"/>
      <x:c r="U19" s="2"/>
      <x:c r="V19" s="2"/>
      <x:c r="W19" s="14" t="str">
        <x:f t="shared" si="3">IF(OR(NOT(ISNUMBER(G19)),G19&lt;0,G19&gt;1,NOT(ISNUMBER(P19))),"",(G19-P19)^2)</x:f>
      </x:c>
      <x:c r="X19" s="2" t="str">
        <x:f t="shared" si="4">IF(AND(ISNUMBER(A19),ISNUMBER(Y19),Y19&lt;A19,AB19&lt;&gt;"",ISNUMBER(P19),ISNUMBER(G19),G19&gt;=0,G19&lt;=1,OR(M19="DEFENSIV",M19="PRUDENT",M19="MODERAT",M19="RIDICAT",M19="WATCH",M19="NO BET")),"YES","NO")</x:f>
        <x:v>NO</x:v>
      </x:c>
      <x:c r="Y19" s="146"/>
      <x:c r="Z19" t="str">
        <x:f>IF(AND(X19="YES",OR(M19="DEFENSIV",M19="PRUDENT",M19="MODERAT",M19="RIDICAT")),"YES","NO")</x:f>
        <x:v>NO</x:v>
      </x:c>
      <x:c r="AA19" t="str">
        <x:f>IF(NOT(ISNUMBER(H19)),"MISSING",IF(AND(ISNUMBER(H19),H19&gt;1),"VALID","INVALID"))</x:f>
        <x:v>MISSING</x:v>
      </x:c>
      <x:c r="AB19" s="144"/>
      <x:c r="AC19" t="str">
        <x:f>IF(AND(NOT(ISNUMBER(A19)),E19="",NOT(ISNUMBER(G19)),M19="",O19=""),"INPUT",IF(X19="YES","VALID","INCOMPLETE / INVALID"))</x:f>
        <x:v>INPUT</x:v>
      </x:c>
      <x:c r="AD19" t="str">
        <x:f>IF(X19="YES",P19,"")</x:f>
      </x:c>
      <x:c r="AE19" t="str">
        <x:f>IF(X19="YES",W19,"")</x:f>
      </x:c>
      <x:c r="AF19" t="str">
        <x:f>IF(X19="YES",G19,"")</x:f>
      </x:c>
      <x:c r="AG19" t="str">
        <x:f>IF(AND(Z19="YES",AA19="VALID"),Q19,"")</x:f>
      </x:c>
      <x:c r="AH19" t="str">
        <x:f>IF(AND(Z19="YES",AA19="VALID"),"YES","NO")</x:f>
        <x:v>NO</x:v>
      </x:c>
    </x:row>
    <x:row r="20" ht="15">
      <x:c r="A20" s="161"/>
      <x:c r="B20" s="2"/>
      <x:c r="C20" s="2"/>
      <x:c r="D20" s="2"/>
      <x:c r="E20" s="2"/>
      <x:c r="F20" s="8"/>
      <x:c r="G20" s="8"/>
      <x:c r="H20" s="9"/>
      <x:c r="I20" s="8"/>
      <x:c r="J20" s="8" t="str">
        <x:f t="shared" si="0">IF(OR(NOT(ISNUMBER(G20)),NOT(ISNUMBER(I20))),"",G20-I20)</x:f>
      </x:c>
      <x:c r="K20" s="8" t="str">
        <x:f t="shared" si="1">IF(OR(NOT(ISNUMBER(G20)),NOT(ISNUMBER(H20)),H20&lt;=1),"",G20*H20-1)</x:f>
      </x:c>
      <x:c r="L20" s="2"/>
      <x:c r="M20" s="2"/>
      <x:c r="N20" s="2"/>
      <x:c r="O20" s="2"/>
      <x:c r="P20" s="2" t="str">
        <x:f>IF(OR(E20="",O20=""),"",IF(NOT(OR(O20="1",O20=1,O20="X",O20="2",O20=2)),"",IF(E20="1X",IF(OR(O20="1",O20=1,O20="X"),1,0),IF(E20="X2",IF(OR(O20="X",O20="2",O20=2),1,0),IF(OR(E20="12",E20=12),IF(OR(O20="1",O20=1,O20="2",O20=2),1,0),"")))))</x:f>
      </x:c>
      <x:c r="Q20" s="9" t="str">
        <x:f t="shared" si="2">IF(OR(NOT(ISNUMBER(P20)),NOT(ISNUMBER(H20)),H20&lt;=1),"",IF(P20=1,H20-1,-1))</x:f>
      </x:c>
      <x:c r="R20" s="2"/>
      <x:c r="S20" s="2"/>
      <x:c r="T20" s="2"/>
      <x:c r="U20" s="2"/>
      <x:c r="V20" s="2"/>
      <x:c r="W20" s="14" t="str">
        <x:f t="shared" si="3">IF(OR(NOT(ISNUMBER(G20)),G20&lt;0,G20&gt;1,NOT(ISNUMBER(P20))),"",(G20-P20)^2)</x:f>
      </x:c>
      <x:c r="X20" s="2" t="str">
        <x:f t="shared" si="4">IF(AND(ISNUMBER(A20),ISNUMBER(Y20),Y20&lt;A20,AB20&lt;&gt;"",ISNUMBER(P20),ISNUMBER(G20),G20&gt;=0,G20&lt;=1,OR(M20="DEFENSIV",M20="PRUDENT",M20="MODERAT",M20="RIDICAT",M20="WATCH",M20="NO BET")),"YES","NO")</x:f>
        <x:v>NO</x:v>
      </x:c>
      <x:c r="Y20" s="146"/>
      <x:c r="Z20" t="str">
        <x:f>IF(AND(X20="YES",OR(M20="DEFENSIV",M20="PRUDENT",M20="MODERAT",M20="RIDICAT")),"YES","NO")</x:f>
        <x:v>NO</x:v>
      </x:c>
      <x:c r="AA20" t="str">
        <x:f>IF(NOT(ISNUMBER(H20)),"MISSING",IF(AND(ISNUMBER(H20),H20&gt;1),"VALID","INVALID"))</x:f>
        <x:v>MISSING</x:v>
      </x:c>
      <x:c r="AB20" s="144"/>
      <x:c r="AC20" t="str">
        <x:f>IF(AND(NOT(ISNUMBER(A20)),E20="",NOT(ISNUMBER(G20)),M20="",O20=""),"INPUT",IF(X20="YES","VALID","INCOMPLETE / INVALID"))</x:f>
        <x:v>INPUT</x:v>
      </x:c>
      <x:c r="AD20" t="str">
        <x:f>IF(X20="YES",P20,"")</x:f>
      </x:c>
      <x:c r="AE20" t="str">
        <x:f>IF(X20="YES",W20,"")</x:f>
      </x:c>
      <x:c r="AF20" t="str">
        <x:f>IF(X20="YES",G20,"")</x:f>
      </x:c>
      <x:c r="AG20" t="str">
        <x:f>IF(AND(Z20="YES",AA20="VALID"),Q20,"")</x:f>
      </x:c>
      <x:c r="AH20" t="str">
        <x:f>IF(AND(Z20="YES",AA20="VALID"),"YES","NO")</x:f>
        <x:v>NO</x:v>
      </x:c>
    </x:row>
    <x:row r="21" ht="15">
      <x:c r="A21" s="161"/>
      <x:c r="B21" s="2"/>
      <x:c r="C21" s="2"/>
      <x:c r="D21" s="2"/>
      <x:c r="E21" s="2"/>
      <x:c r="F21" s="8"/>
      <x:c r="G21" s="8"/>
      <x:c r="H21" s="9"/>
      <x:c r="I21" s="8"/>
      <x:c r="J21" s="8" t="str">
        <x:f t="shared" si="0">IF(OR(NOT(ISNUMBER(G21)),NOT(ISNUMBER(I21))),"",G21-I21)</x:f>
      </x:c>
      <x:c r="K21" s="8" t="str">
        <x:f t="shared" si="1">IF(OR(NOT(ISNUMBER(G21)),NOT(ISNUMBER(H21)),H21&lt;=1),"",G21*H21-1)</x:f>
      </x:c>
      <x:c r="L21" s="2"/>
      <x:c r="M21" s="2"/>
      <x:c r="N21" s="2"/>
      <x:c r="O21" s="2"/>
      <x:c r="P21" s="2" t="str">
        <x:f>IF(OR(E21="",O21=""),"",IF(NOT(OR(O21="1",O21=1,O21="X",O21="2",O21=2)),"",IF(E21="1X",IF(OR(O21="1",O21=1,O21="X"),1,0),IF(E21="X2",IF(OR(O21="X",O21="2",O21=2),1,0),IF(OR(E21="12",E21=12),IF(OR(O21="1",O21=1,O21="2",O21=2),1,0),"")))))</x:f>
      </x:c>
      <x:c r="Q21" s="9" t="str">
        <x:f t="shared" si="2">IF(OR(NOT(ISNUMBER(P21)),NOT(ISNUMBER(H21)),H21&lt;=1),"",IF(P21=1,H21-1,-1))</x:f>
      </x:c>
      <x:c r="R21" s="2"/>
      <x:c r="S21" s="2"/>
      <x:c r="T21" s="2"/>
      <x:c r="U21" s="2"/>
      <x:c r="V21" s="2"/>
      <x:c r="W21" s="14" t="str">
        <x:f t="shared" si="3">IF(OR(NOT(ISNUMBER(G21)),G21&lt;0,G21&gt;1,NOT(ISNUMBER(P21))),"",(G21-P21)^2)</x:f>
      </x:c>
      <x:c r="X21" s="2" t="str">
        <x:f t="shared" si="4">IF(AND(ISNUMBER(A21),ISNUMBER(Y21),Y21&lt;A21,AB21&lt;&gt;"",ISNUMBER(P21),ISNUMBER(G21),G21&gt;=0,G21&lt;=1,OR(M21="DEFENSIV",M21="PRUDENT",M21="MODERAT",M21="RIDICAT",M21="WATCH",M21="NO BET")),"YES","NO")</x:f>
        <x:v>NO</x:v>
      </x:c>
      <x:c r="Y21" s="146"/>
      <x:c r="Z21" t="str">
        <x:f>IF(AND(X21="YES",OR(M21="DEFENSIV",M21="PRUDENT",M21="MODERAT",M21="RIDICAT")),"YES","NO")</x:f>
        <x:v>NO</x:v>
      </x:c>
      <x:c r="AA21" t="str">
        <x:f>IF(NOT(ISNUMBER(H21)),"MISSING",IF(AND(ISNUMBER(H21),H21&gt;1),"VALID","INVALID"))</x:f>
        <x:v>MISSING</x:v>
      </x:c>
      <x:c r="AB21" s="144"/>
      <x:c r="AC21" t="str">
        <x:f>IF(AND(NOT(ISNUMBER(A21)),E21="",NOT(ISNUMBER(G21)),M21="",O21=""),"INPUT",IF(X21="YES","VALID","INCOMPLETE / INVALID"))</x:f>
        <x:v>INPUT</x:v>
      </x:c>
      <x:c r="AD21" t="str">
        <x:f>IF(X21="YES",P21,"")</x:f>
      </x:c>
      <x:c r="AE21" t="str">
        <x:f>IF(X21="YES",W21,"")</x:f>
      </x:c>
      <x:c r="AF21" t="str">
        <x:f>IF(X21="YES",G21,"")</x:f>
      </x:c>
      <x:c r="AG21" t="str">
        <x:f>IF(AND(Z21="YES",AA21="VALID"),Q21,"")</x:f>
      </x:c>
      <x:c r="AH21" t="str">
        <x:f>IF(AND(Z21="YES",AA21="VALID"),"YES","NO")</x:f>
        <x:v>NO</x:v>
      </x:c>
    </x:row>
    <x:row r="22" ht="15">
      <x:c r="A22" s="161"/>
      <x:c r="B22" s="2"/>
      <x:c r="C22" s="2"/>
      <x:c r="D22" s="2"/>
      <x:c r="E22" s="2"/>
      <x:c r="F22" s="8"/>
      <x:c r="G22" s="8"/>
      <x:c r="H22" s="9"/>
      <x:c r="I22" s="8"/>
      <x:c r="J22" s="8" t="str">
        <x:f t="shared" si="0">IF(OR(NOT(ISNUMBER(G22)),NOT(ISNUMBER(I22))),"",G22-I22)</x:f>
      </x:c>
      <x:c r="K22" s="8" t="str">
        <x:f t="shared" si="1">IF(OR(NOT(ISNUMBER(G22)),NOT(ISNUMBER(H22)),H22&lt;=1),"",G22*H22-1)</x:f>
      </x:c>
      <x:c r="L22" s="2"/>
      <x:c r="M22" s="2"/>
      <x:c r="N22" s="2"/>
      <x:c r="O22" s="2"/>
      <x:c r="P22" s="2" t="str">
        <x:f>IF(OR(E22="",O22=""),"",IF(NOT(OR(O22="1",O22=1,O22="X",O22="2",O22=2)),"",IF(E22="1X",IF(OR(O22="1",O22=1,O22="X"),1,0),IF(E22="X2",IF(OR(O22="X",O22="2",O22=2),1,0),IF(OR(E22="12",E22=12),IF(OR(O22="1",O22=1,O22="2",O22=2),1,0),"")))))</x:f>
      </x:c>
      <x:c r="Q22" s="9" t="str">
        <x:f t="shared" si="2">IF(OR(NOT(ISNUMBER(P22)),NOT(ISNUMBER(H22)),H22&lt;=1),"",IF(P22=1,H22-1,-1))</x:f>
      </x:c>
      <x:c r="R22" s="2"/>
      <x:c r="S22" s="2"/>
      <x:c r="T22" s="2"/>
      <x:c r="U22" s="2"/>
      <x:c r="V22" s="2"/>
      <x:c r="W22" s="14" t="str">
        <x:f t="shared" si="3">IF(OR(NOT(ISNUMBER(G22)),G22&lt;0,G22&gt;1,NOT(ISNUMBER(P22))),"",(G22-P22)^2)</x:f>
      </x:c>
      <x:c r="X22" s="2" t="str">
        <x:f t="shared" si="4">IF(AND(ISNUMBER(A22),ISNUMBER(Y22),Y22&lt;A22,AB22&lt;&gt;"",ISNUMBER(P22),ISNUMBER(G22),G22&gt;=0,G22&lt;=1,OR(M22="DEFENSIV",M22="PRUDENT",M22="MODERAT",M22="RIDICAT",M22="WATCH",M22="NO BET")),"YES","NO")</x:f>
        <x:v>NO</x:v>
      </x:c>
      <x:c r="Y22" s="146"/>
      <x:c r="Z22" t="str">
        <x:f>IF(AND(X22="YES",OR(M22="DEFENSIV",M22="PRUDENT",M22="MODERAT",M22="RIDICAT")),"YES","NO")</x:f>
        <x:v>NO</x:v>
      </x:c>
      <x:c r="AA22" t="str">
        <x:f>IF(NOT(ISNUMBER(H22)),"MISSING",IF(AND(ISNUMBER(H22),H22&gt;1),"VALID","INVALID"))</x:f>
        <x:v>MISSING</x:v>
      </x:c>
      <x:c r="AB22" s="144"/>
      <x:c r="AC22" t="str">
        <x:f>IF(AND(NOT(ISNUMBER(A22)),E22="",NOT(ISNUMBER(G22)),M22="",O22=""),"INPUT",IF(X22="YES","VALID","INCOMPLETE / INVALID"))</x:f>
        <x:v>INPUT</x:v>
      </x:c>
      <x:c r="AD22" t="str">
        <x:f>IF(X22="YES",P22,"")</x:f>
      </x:c>
      <x:c r="AE22" t="str">
        <x:f>IF(X22="YES",W22,"")</x:f>
      </x:c>
      <x:c r="AF22" t="str">
        <x:f>IF(X22="YES",G22,"")</x:f>
      </x:c>
      <x:c r="AG22" t="str">
        <x:f>IF(AND(Z22="YES",AA22="VALID"),Q22,"")</x:f>
      </x:c>
      <x:c r="AH22" t="str">
        <x:f>IF(AND(Z22="YES",AA22="VALID"),"YES","NO")</x:f>
        <x:v>NO</x:v>
      </x:c>
    </x:row>
    <x:row r="23" ht="15">
      <x:c r="A23" s="161"/>
      <x:c r="B23" s="2"/>
      <x:c r="C23" s="2"/>
      <x:c r="D23" s="2"/>
      <x:c r="E23" s="2"/>
      <x:c r="F23" s="8"/>
      <x:c r="G23" s="8"/>
      <x:c r="H23" s="9"/>
      <x:c r="I23" s="8"/>
      <x:c r="J23" s="8" t="str">
        <x:f t="shared" si="0">IF(OR(NOT(ISNUMBER(G23)),NOT(ISNUMBER(I23))),"",G23-I23)</x:f>
      </x:c>
      <x:c r="K23" s="8" t="str">
        <x:f t="shared" si="1">IF(OR(NOT(ISNUMBER(G23)),NOT(ISNUMBER(H23)),H23&lt;=1),"",G23*H23-1)</x:f>
      </x:c>
      <x:c r="L23" s="2"/>
      <x:c r="M23" s="2"/>
      <x:c r="N23" s="2"/>
      <x:c r="O23" s="2"/>
      <x:c r="P23" s="2" t="str">
        <x:f>IF(OR(E23="",O23=""),"",IF(NOT(OR(O23="1",O23=1,O23="X",O23="2",O23=2)),"",IF(E23="1X",IF(OR(O23="1",O23=1,O23="X"),1,0),IF(E23="X2",IF(OR(O23="X",O23="2",O23=2),1,0),IF(OR(E23="12",E23=12),IF(OR(O23="1",O23=1,O23="2",O23=2),1,0),"")))))</x:f>
      </x:c>
      <x:c r="Q23" s="9" t="str">
        <x:f t="shared" si="2">IF(OR(NOT(ISNUMBER(P23)),NOT(ISNUMBER(H23)),H23&lt;=1),"",IF(P23=1,H23-1,-1))</x:f>
      </x:c>
      <x:c r="R23" s="2"/>
      <x:c r="S23" s="2"/>
      <x:c r="T23" s="2"/>
      <x:c r="U23" s="2"/>
      <x:c r="V23" s="2"/>
      <x:c r="W23" s="14" t="str">
        <x:f t="shared" si="3">IF(OR(NOT(ISNUMBER(G23)),G23&lt;0,G23&gt;1,NOT(ISNUMBER(P23))),"",(G23-P23)^2)</x:f>
      </x:c>
      <x:c r="X23" s="2" t="str">
        <x:f t="shared" si="4">IF(AND(ISNUMBER(A23),ISNUMBER(Y23),Y23&lt;A23,AB23&lt;&gt;"",ISNUMBER(P23),ISNUMBER(G23),G23&gt;=0,G23&lt;=1,OR(M23="DEFENSIV",M23="PRUDENT",M23="MODERAT",M23="RIDICAT",M23="WATCH",M23="NO BET")),"YES","NO")</x:f>
        <x:v>NO</x:v>
      </x:c>
      <x:c r="Y23" s="146"/>
      <x:c r="Z23" t="str">
        <x:f>IF(AND(X23="YES",OR(M23="DEFENSIV",M23="PRUDENT",M23="MODERAT",M23="RIDICAT")),"YES","NO")</x:f>
        <x:v>NO</x:v>
      </x:c>
      <x:c r="AA23" t="str">
        <x:f>IF(NOT(ISNUMBER(H23)),"MISSING",IF(AND(ISNUMBER(H23),H23&gt;1),"VALID","INVALID"))</x:f>
        <x:v>MISSING</x:v>
      </x:c>
      <x:c r="AB23" s="144"/>
      <x:c r="AC23" t="str">
        <x:f>IF(AND(NOT(ISNUMBER(A23)),E23="",NOT(ISNUMBER(G23)),M23="",O23=""),"INPUT",IF(X23="YES","VALID","INCOMPLETE / INVALID"))</x:f>
        <x:v>INPUT</x:v>
      </x:c>
      <x:c r="AD23" t="str">
        <x:f>IF(X23="YES",P23,"")</x:f>
      </x:c>
      <x:c r="AE23" t="str">
        <x:f>IF(X23="YES",W23,"")</x:f>
      </x:c>
      <x:c r="AF23" t="str">
        <x:f>IF(X23="YES",G23,"")</x:f>
      </x:c>
      <x:c r="AG23" t="str">
        <x:f>IF(AND(Z23="YES",AA23="VALID"),Q23,"")</x:f>
      </x:c>
      <x:c r="AH23" t="str">
        <x:f>IF(AND(Z23="YES",AA23="VALID"),"YES","NO")</x:f>
        <x:v>NO</x:v>
      </x:c>
    </x:row>
    <x:row r="24" ht="15">
      <x:c r="A24" s="161"/>
      <x:c r="B24" s="2"/>
      <x:c r="C24" s="2"/>
      <x:c r="D24" s="2"/>
      <x:c r="E24" s="2"/>
      <x:c r="F24" s="8"/>
      <x:c r="G24" s="8"/>
      <x:c r="H24" s="9"/>
      <x:c r="I24" s="8"/>
      <x:c r="J24" s="8" t="str">
        <x:f t="shared" si="0">IF(OR(NOT(ISNUMBER(G24)),NOT(ISNUMBER(I24))),"",G24-I24)</x:f>
      </x:c>
      <x:c r="K24" s="8" t="str">
        <x:f t="shared" si="1">IF(OR(NOT(ISNUMBER(G24)),NOT(ISNUMBER(H24)),H24&lt;=1),"",G24*H24-1)</x:f>
      </x:c>
      <x:c r="L24" s="2"/>
      <x:c r="M24" s="2"/>
      <x:c r="N24" s="2"/>
      <x:c r="O24" s="2"/>
      <x:c r="P24" s="2" t="str">
        <x:f>IF(OR(E24="",O24=""),"",IF(NOT(OR(O24="1",O24=1,O24="X",O24="2",O24=2)),"",IF(E24="1X",IF(OR(O24="1",O24=1,O24="X"),1,0),IF(E24="X2",IF(OR(O24="X",O24="2",O24=2),1,0),IF(OR(E24="12",E24=12),IF(OR(O24="1",O24=1,O24="2",O24=2),1,0),"")))))</x:f>
      </x:c>
      <x:c r="Q24" s="9" t="str">
        <x:f t="shared" si="2">IF(OR(NOT(ISNUMBER(P24)),NOT(ISNUMBER(H24)),H24&lt;=1),"",IF(P24=1,H24-1,-1))</x:f>
      </x:c>
      <x:c r="R24" s="2"/>
      <x:c r="S24" s="2"/>
      <x:c r="T24" s="2"/>
      <x:c r="U24" s="2"/>
      <x:c r="V24" s="2"/>
      <x:c r="W24" s="14" t="str">
        <x:f t="shared" si="3">IF(OR(NOT(ISNUMBER(G24)),G24&lt;0,G24&gt;1,NOT(ISNUMBER(P24))),"",(G24-P24)^2)</x:f>
      </x:c>
      <x:c r="X24" s="2" t="str">
        <x:f t="shared" si="4">IF(AND(ISNUMBER(A24),ISNUMBER(Y24),Y24&lt;A24,AB24&lt;&gt;"",ISNUMBER(P24),ISNUMBER(G24),G24&gt;=0,G24&lt;=1,OR(M24="DEFENSIV",M24="PRUDENT",M24="MODERAT",M24="RIDICAT",M24="WATCH",M24="NO BET")),"YES","NO")</x:f>
        <x:v>NO</x:v>
      </x:c>
      <x:c r="Y24" s="146"/>
      <x:c r="Z24" t="str">
        <x:f>IF(AND(X24="YES",OR(M24="DEFENSIV",M24="PRUDENT",M24="MODERAT",M24="RIDICAT")),"YES","NO")</x:f>
        <x:v>NO</x:v>
      </x:c>
      <x:c r="AA24" t="str">
        <x:f>IF(NOT(ISNUMBER(H24)),"MISSING",IF(AND(ISNUMBER(H24),H24&gt;1),"VALID","INVALID"))</x:f>
        <x:v>MISSING</x:v>
      </x:c>
      <x:c r="AB24" s="144"/>
      <x:c r="AC24" t="str">
        <x:f>IF(AND(NOT(ISNUMBER(A24)),E24="",NOT(ISNUMBER(G24)),M24="",O24=""),"INPUT",IF(X24="YES","VALID","INCOMPLETE / INVALID"))</x:f>
        <x:v>INPUT</x:v>
      </x:c>
      <x:c r="AD24" t="str">
        <x:f>IF(X24="YES",P24,"")</x:f>
      </x:c>
      <x:c r="AE24" t="str">
        <x:f>IF(X24="YES",W24,"")</x:f>
      </x:c>
      <x:c r="AF24" t="str">
        <x:f>IF(X24="YES",G24,"")</x:f>
      </x:c>
      <x:c r="AG24" t="str">
        <x:f>IF(AND(Z24="YES",AA24="VALID"),Q24,"")</x:f>
      </x:c>
      <x:c r="AH24" t="str">
        <x:f>IF(AND(Z24="YES",AA24="VALID"),"YES","NO")</x:f>
        <x:v>NO</x:v>
      </x:c>
    </x:row>
    <x:row r="25" ht="15">
      <x:c r="A25" s="161"/>
      <x:c r="B25" s="2"/>
      <x:c r="C25" s="2"/>
      <x:c r="D25" s="2"/>
      <x:c r="E25" s="2"/>
      <x:c r="F25" s="8"/>
      <x:c r="G25" s="8"/>
      <x:c r="H25" s="9"/>
      <x:c r="I25" s="8"/>
      <x:c r="J25" s="8" t="str">
        <x:f t="shared" si="0">IF(OR(NOT(ISNUMBER(G25)),NOT(ISNUMBER(I25))),"",G25-I25)</x:f>
      </x:c>
      <x:c r="K25" s="8" t="str">
        <x:f t="shared" si="1">IF(OR(NOT(ISNUMBER(G25)),NOT(ISNUMBER(H25)),H25&lt;=1),"",G25*H25-1)</x:f>
      </x:c>
      <x:c r="L25" s="2"/>
      <x:c r="M25" s="2"/>
      <x:c r="N25" s="2"/>
      <x:c r="O25" s="2"/>
      <x:c r="P25" s="2" t="str">
        <x:f>IF(OR(E25="",O25=""),"",IF(NOT(OR(O25="1",O25=1,O25="X",O25="2",O25=2)),"",IF(E25="1X",IF(OR(O25="1",O25=1,O25="X"),1,0),IF(E25="X2",IF(OR(O25="X",O25="2",O25=2),1,0),IF(OR(E25="12",E25=12),IF(OR(O25="1",O25=1,O25="2",O25=2),1,0),"")))))</x:f>
      </x:c>
      <x:c r="Q25" s="9" t="str">
        <x:f t="shared" si="2">IF(OR(NOT(ISNUMBER(P25)),NOT(ISNUMBER(H25)),H25&lt;=1),"",IF(P25=1,H25-1,-1))</x:f>
      </x:c>
      <x:c r="R25" s="2"/>
      <x:c r="S25" s="2"/>
      <x:c r="T25" s="2"/>
      <x:c r="U25" s="2"/>
      <x:c r="V25" s="2"/>
      <x:c r="W25" s="14" t="str">
        <x:f t="shared" si="3">IF(OR(NOT(ISNUMBER(G25)),G25&lt;0,G25&gt;1,NOT(ISNUMBER(P25))),"",(G25-P25)^2)</x:f>
      </x:c>
      <x:c r="X25" s="2" t="str">
        <x:f t="shared" si="4">IF(AND(ISNUMBER(A25),ISNUMBER(Y25),Y25&lt;A25,AB25&lt;&gt;"",ISNUMBER(P25),ISNUMBER(G25),G25&gt;=0,G25&lt;=1,OR(M25="DEFENSIV",M25="PRUDENT",M25="MODERAT",M25="RIDICAT",M25="WATCH",M25="NO BET")),"YES","NO")</x:f>
        <x:v>NO</x:v>
      </x:c>
      <x:c r="Y25" s="146"/>
      <x:c r="Z25" t="str">
        <x:f>IF(AND(X25="YES",OR(M25="DEFENSIV",M25="PRUDENT",M25="MODERAT",M25="RIDICAT")),"YES","NO")</x:f>
        <x:v>NO</x:v>
      </x:c>
      <x:c r="AA25" t="str">
        <x:f>IF(NOT(ISNUMBER(H25)),"MISSING",IF(AND(ISNUMBER(H25),H25&gt;1),"VALID","INVALID"))</x:f>
        <x:v>MISSING</x:v>
      </x:c>
      <x:c r="AB25" s="144"/>
      <x:c r="AC25" t="str">
        <x:f>IF(AND(NOT(ISNUMBER(A25)),E25="",NOT(ISNUMBER(G25)),M25="",O25=""),"INPUT",IF(X25="YES","VALID","INCOMPLETE / INVALID"))</x:f>
        <x:v>INPUT</x:v>
      </x:c>
      <x:c r="AD25" t="str">
        <x:f>IF(X25="YES",P25,"")</x:f>
      </x:c>
      <x:c r="AE25" t="str">
        <x:f>IF(X25="YES",W25,"")</x:f>
      </x:c>
      <x:c r="AF25" t="str">
        <x:f>IF(X25="YES",G25,"")</x:f>
      </x:c>
      <x:c r="AG25" t="str">
        <x:f>IF(AND(Z25="YES",AA25="VALID"),Q25,"")</x:f>
      </x:c>
      <x:c r="AH25" t="str">
        <x:f>IF(AND(Z25="YES",AA25="VALID"),"YES","NO")</x:f>
        <x:v>NO</x:v>
      </x:c>
    </x:row>
    <x:row r="26" ht="15">
      <x:c r="A26" s="161"/>
      <x:c r="B26" s="2"/>
      <x:c r="C26" s="2"/>
      <x:c r="D26" s="2"/>
      <x:c r="E26" s="2"/>
      <x:c r="F26" s="8"/>
      <x:c r="G26" s="8"/>
      <x:c r="H26" s="9"/>
      <x:c r="I26" s="8"/>
      <x:c r="J26" s="8" t="str">
        <x:f t="shared" si="0">IF(OR(NOT(ISNUMBER(G26)),NOT(ISNUMBER(I26))),"",G26-I26)</x:f>
      </x:c>
      <x:c r="K26" s="8" t="str">
        <x:f t="shared" si="1">IF(OR(NOT(ISNUMBER(G26)),NOT(ISNUMBER(H26)),H26&lt;=1),"",G26*H26-1)</x:f>
      </x:c>
      <x:c r="L26" s="2"/>
      <x:c r="M26" s="2"/>
      <x:c r="N26" s="2"/>
      <x:c r="O26" s="2"/>
      <x:c r="P26" s="2" t="str">
        <x:f>IF(OR(E26="",O26=""),"",IF(NOT(OR(O26="1",O26=1,O26="X",O26="2",O26=2)),"",IF(E26="1X",IF(OR(O26="1",O26=1,O26="X"),1,0),IF(E26="X2",IF(OR(O26="X",O26="2",O26=2),1,0),IF(OR(E26="12",E26=12),IF(OR(O26="1",O26=1,O26="2",O26=2),1,0),"")))))</x:f>
      </x:c>
      <x:c r="Q26" s="9" t="str">
        <x:f t="shared" si="2">IF(OR(NOT(ISNUMBER(P26)),NOT(ISNUMBER(H26)),H26&lt;=1),"",IF(P26=1,H26-1,-1))</x:f>
      </x:c>
      <x:c r="R26" s="2"/>
      <x:c r="S26" s="2"/>
      <x:c r="T26" s="2"/>
      <x:c r="U26" s="2"/>
      <x:c r="V26" s="2"/>
      <x:c r="W26" s="14" t="str">
        <x:f t="shared" si="3">IF(OR(NOT(ISNUMBER(G26)),G26&lt;0,G26&gt;1,NOT(ISNUMBER(P26))),"",(G26-P26)^2)</x:f>
      </x:c>
      <x:c r="X26" s="2" t="str">
        <x:f t="shared" si="4">IF(AND(ISNUMBER(A26),ISNUMBER(Y26),Y26&lt;A26,AB26&lt;&gt;"",ISNUMBER(P26),ISNUMBER(G26),G26&gt;=0,G26&lt;=1,OR(M26="DEFENSIV",M26="PRUDENT",M26="MODERAT",M26="RIDICAT",M26="WATCH",M26="NO BET")),"YES","NO")</x:f>
        <x:v>NO</x:v>
      </x:c>
      <x:c r="Y26" s="146"/>
      <x:c r="Z26" t="str">
        <x:f>IF(AND(X26="YES",OR(M26="DEFENSIV",M26="PRUDENT",M26="MODERAT",M26="RIDICAT")),"YES","NO")</x:f>
        <x:v>NO</x:v>
      </x:c>
      <x:c r="AA26" t="str">
        <x:f>IF(NOT(ISNUMBER(H26)),"MISSING",IF(AND(ISNUMBER(H26),H26&gt;1),"VALID","INVALID"))</x:f>
        <x:v>MISSING</x:v>
      </x:c>
      <x:c r="AB26" s="144"/>
      <x:c r="AC26" t="str">
        <x:f>IF(AND(NOT(ISNUMBER(A26)),E26="",NOT(ISNUMBER(G26)),M26="",O26=""),"INPUT",IF(X26="YES","VALID","INCOMPLETE / INVALID"))</x:f>
        <x:v>INPUT</x:v>
      </x:c>
      <x:c r="AD26" t="str">
        <x:f>IF(X26="YES",P26,"")</x:f>
      </x:c>
      <x:c r="AE26" t="str">
        <x:f>IF(X26="YES",W26,"")</x:f>
      </x:c>
      <x:c r="AF26" t="str">
        <x:f>IF(X26="YES",G26,"")</x:f>
      </x:c>
      <x:c r="AG26" t="str">
        <x:f>IF(AND(Z26="YES",AA26="VALID"),Q26,"")</x:f>
      </x:c>
      <x:c r="AH26" t="str">
        <x:f>IF(AND(Z26="YES",AA26="VALID"),"YES","NO")</x:f>
        <x:v>NO</x:v>
      </x:c>
    </x:row>
    <x:row r="27" ht="15">
      <x:c r="A27" s="161"/>
      <x:c r="B27" s="2"/>
      <x:c r="C27" s="2"/>
      <x:c r="D27" s="2"/>
      <x:c r="E27" s="2"/>
      <x:c r="F27" s="8"/>
      <x:c r="G27" s="8"/>
      <x:c r="H27" s="9"/>
      <x:c r="I27" s="8"/>
      <x:c r="J27" s="8" t="str">
        <x:f t="shared" si="0">IF(OR(NOT(ISNUMBER(G27)),NOT(ISNUMBER(I27))),"",G27-I27)</x:f>
      </x:c>
      <x:c r="K27" s="8" t="str">
        <x:f t="shared" si="1">IF(OR(NOT(ISNUMBER(G27)),NOT(ISNUMBER(H27)),H27&lt;=1),"",G27*H27-1)</x:f>
      </x:c>
      <x:c r="L27" s="2"/>
      <x:c r="M27" s="2"/>
      <x:c r="N27" s="2"/>
      <x:c r="O27" s="2"/>
      <x:c r="P27" s="2" t="str">
        <x:f>IF(OR(E27="",O27=""),"",IF(NOT(OR(O27="1",O27=1,O27="X",O27="2",O27=2)),"",IF(E27="1X",IF(OR(O27="1",O27=1,O27="X"),1,0),IF(E27="X2",IF(OR(O27="X",O27="2",O27=2),1,0),IF(OR(E27="12",E27=12),IF(OR(O27="1",O27=1,O27="2",O27=2),1,0),"")))))</x:f>
      </x:c>
      <x:c r="Q27" s="9" t="str">
        <x:f t="shared" si="2">IF(OR(NOT(ISNUMBER(P27)),NOT(ISNUMBER(H27)),H27&lt;=1),"",IF(P27=1,H27-1,-1))</x:f>
      </x:c>
      <x:c r="R27" s="2"/>
      <x:c r="S27" s="2"/>
      <x:c r="T27" s="2"/>
      <x:c r="U27" s="2"/>
      <x:c r="V27" s="2"/>
      <x:c r="W27" s="14" t="str">
        <x:f t="shared" si="3">IF(OR(NOT(ISNUMBER(G27)),G27&lt;0,G27&gt;1,NOT(ISNUMBER(P27))),"",(G27-P27)^2)</x:f>
      </x:c>
      <x:c r="X27" s="2" t="str">
        <x:f t="shared" si="4">IF(AND(ISNUMBER(A27),ISNUMBER(Y27),Y27&lt;A27,AB27&lt;&gt;"",ISNUMBER(P27),ISNUMBER(G27),G27&gt;=0,G27&lt;=1,OR(M27="DEFENSIV",M27="PRUDENT",M27="MODERAT",M27="RIDICAT",M27="WATCH",M27="NO BET")),"YES","NO")</x:f>
        <x:v>NO</x:v>
      </x:c>
      <x:c r="Y27" s="146"/>
      <x:c r="Z27" t="str">
        <x:f>IF(AND(X27="YES",OR(M27="DEFENSIV",M27="PRUDENT",M27="MODERAT",M27="RIDICAT")),"YES","NO")</x:f>
        <x:v>NO</x:v>
      </x:c>
      <x:c r="AA27" t="str">
        <x:f>IF(NOT(ISNUMBER(H27)),"MISSING",IF(AND(ISNUMBER(H27),H27&gt;1),"VALID","INVALID"))</x:f>
        <x:v>MISSING</x:v>
      </x:c>
      <x:c r="AB27" s="144"/>
      <x:c r="AC27" t="str">
        <x:f>IF(AND(NOT(ISNUMBER(A27)),E27="",NOT(ISNUMBER(G27)),M27="",O27=""),"INPUT",IF(X27="YES","VALID","INCOMPLETE / INVALID"))</x:f>
        <x:v>INPUT</x:v>
      </x:c>
      <x:c r="AD27" t="str">
        <x:f>IF(X27="YES",P27,"")</x:f>
      </x:c>
      <x:c r="AE27" t="str">
        <x:f>IF(X27="YES",W27,"")</x:f>
      </x:c>
      <x:c r="AF27" t="str">
        <x:f>IF(X27="YES",G27,"")</x:f>
      </x:c>
      <x:c r="AG27" t="str">
        <x:f>IF(AND(Z27="YES",AA27="VALID"),Q27,"")</x:f>
      </x:c>
      <x:c r="AH27" t="str">
        <x:f>IF(AND(Z27="YES",AA27="VALID"),"YES","NO")</x:f>
        <x:v>NO</x:v>
      </x:c>
    </x:row>
    <x:row r="28" ht="15">
      <x:c r="A28" s="161"/>
      <x:c r="B28" s="2"/>
      <x:c r="C28" s="2"/>
      <x:c r="D28" s="2"/>
      <x:c r="E28" s="2"/>
      <x:c r="F28" s="8"/>
      <x:c r="G28" s="8"/>
      <x:c r="H28" s="9"/>
      <x:c r="I28" s="8"/>
      <x:c r="J28" s="8" t="str">
        <x:f t="shared" si="0">IF(OR(NOT(ISNUMBER(G28)),NOT(ISNUMBER(I28))),"",G28-I28)</x:f>
      </x:c>
      <x:c r="K28" s="8" t="str">
        <x:f t="shared" si="1">IF(OR(NOT(ISNUMBER(G28)),NOT(ISNUMBER(H28)),H28&lt;=1),"",G28*H28-1)</x:f>
      </x:c>
      <x:c r="L28" s="2"/>
      <x:c r="M28" s="2"/>
      <x:c r="N28" s="2"/>
      <x:c r="O28" s="2"/>
      <x:c r="P28" s="2" t="str">
        <x:f>IF(OR(E28="",O28=""),"",IF(NOT(OR(O28="1",O28=1,O28="X",O28="2",O28=2)),"",IF(E28="1X",IF(OR(O28="1",O28=1,O28="X"),1,0),IF(E28="X2",IF(OR(O28="X",O28="2",O28=2),1,0),IF(OR(E28="12",E28=12),IF(OR(O28="1",O28=1,O28="2",O28=2),1,0),"")))))</x:f>
      </x:c>
      <x:c r="Q28" s="9" t="str">
        <x:f t="shared" si="2">IF(OR(NOT(ISNUMBER(P28)),NOT(ISNUMBER(H28)),H28&lt;=1),"",IF(P28=1,H28-1,-1))</x:f>
      </x:c>
      <x:c r="R28" s="2"/>
      <x:c r="S28" s="2"/>
      <x:c r="T28" s="2"/>
      <x:c r="U28" s="2"/>
      <x:c r="V28" s="2"/>
      <x:c r="W28" s="14" t="str">
        <x:f t="shared" si="3">IF(OR(NOT(ISNUMBER(G28)),G28&lt;0,G28&gt;1,NOT(ISNUMBER(P28))),"",(G28-P28)^2)</x:f>
      </x:c>
      <x:c r="X28" s="2" t="str">
        <x:f t="shared" si="4">IF(AND(ISNUMBER(A28),ISNUMBER(Y28),Y28&lt;A28,AB28&lt;&gt;"",ISNUMBER(P28),ISNUMBER(G28),G28&gt;=0,G28&lt;=1,OR(M28="DEFENSIV",M28="PRUDENT",M28="MODERAT",M28="RIDICAT",M28="WATCH",M28="NO BET")),"YES","NO")</x:f>
        <x:v>NO</x:v>
      </x:c>
      <x:c r="Y28" s="146"/>
      <x:c r="Z28" t="str">
        <x:f>IF(AND(X28="YES",OR(M28="DEFENSIV",M28="PRUDENT",M28="MODERAT",M28="RIDICAT")),"YES","NO")</x:f>
        <x:v>NO</x:v>
      </x:c>
      <x:c r="AA28" t="str">
        <x:f>IF(NOT(ISNUMBER(H28)),"MISSING",IF(AND(ISNUMBER(H28),H28&gt;1),"VALID","INVALID"))</x:f>
        <x:v>MISSING</x:v>
      </x:c>
      <x:c r="AB28" s="144"/>
      <x:c r="AC28" t="str">
        <x:f>IF(AND(NOT(ISNUMBER(A28)),E28="",NOT(ISNUMBER(G28)),M28="",O28=""),"INPUT",IF(X28="YES","VALID","INCOMPLETE / INVALID"))</x:f>
        <x:v>INPUT</x:v>
      </x:c>
      <x:c r="AD28" t="str">
        <x:f>IF(X28="YES",P28,"")</x:f>
      </x:c>
      <x:c r="AE28" t="str">
        <x:f>IF(X28="YES",W28,"")</x:f>
      </x:c>
      <x:c r="AF28" t="str">
        <x:f>IF(X28="YES",G28,"")</x:f>
      </x:c>
      <x:c r="AG28" t="str">
        <x:f>IF(AND(Z28="YES",AA28="VALID"),Q28,"")</x:f>
      </x:c>
      <x:c r="AH28" t="str">
        <x:f>IF(AND(Z28="YES",AA28="VALID"),"YES","NO")</x:f>
        <x:v>NO</x:v>
      </x:c>
    </x:row>
    <x:row r="29" ht="15">
      <x:c r="A29" s="161"/>
      <x:c r="B29" s="2"/>
      <x:c r="C29" s="2"/>
      <x:c r="D29" s="2"/>
      <x:c r="E29" s="2"/>
      <x:c r="F29" s="8"/>
      <x:c r="G29" s="8"/>
      <x:c r="H29" s="9"/>
      <x:c r="I29" s="8"/>
      <x:c r="J29" s="8" t="str">
        <x:f t="shared" si="0">IF(OR(NOT(ISNUMBER(G29)),NOT(ISNUMBER(I29))),"",G29-I29)</x:f>
      </x:c>
      <x:c r="K29" s="8" t="str">
        <x:f t="shared" si="1">IF(OR(NOT(ISNUMBER(G29)),NOT(ISNUMBER(H29)),H29&lt;=1),"",G29*H29-1)</x:f>
      </x:c>
      <x:c r="L29" s="2"/>
      <x:c r="M29" s="2"/>
      <x:c r="N29" s="2"/>
      <x:c r="O29" s="2"/>
      <x:c r="P29" s="2" t="str">
        <x:f>IF(OR(E29="",O29=""),"",IF(NOT(OR(O29="1",O29=1,O29="X",O29="2",O29=2)),"",IF(E29="1X",IF(OR(O29="1",O29=1,O29="X"),1,0),IF(E29="X2",IF(OR(O29="X",O29="2",O29=2),1,0),IF(OR(E29="12",E29=12),IF(OR(O29="1",O29=1,O29="2",O29=2),1,0),"")))))</x:f>
      </x:c>
      <x:c r="Q29" s="9" t="str">
        <x:f t="shared" si="2">IF(OR(NOT(ISNUMBER(P29)),NOT(ISNUMBER(H29)),H29&lt;=1),"",IF(P29=1,H29-1,-1))</x:f>
      </x:c>
      <x:c r="R29" s="2"/>
      <x:c r="S29" s="2"/>
      <x:c r="T29" s="2"/>
      <x:c r="U29" s="2"/>
      <x:c r="V29" s="2"/>
      <x:c r="W29" s="14" t="str">
        <x:f t="shared" si="3">IF(OR(NOT(ISNUMBER(G29)),G29&lt;0,G29&gt;1,NOT(ISNUMBER(P29))),"",(G29-P29)^2)</x:f>
      </x:c>
      <x:c r="X29" s="2" t="str">
        <x:f t="shared" si="4">IF(AND(ISNUMBER(A29),ISNUMBER(Y29),Y29&lt;A29,AB29&lt;&gt;"",ISNUMBER(P29),ISNUMBER(G29),G29&gt;=0,G29&lt;=1,OR(M29="DEFENSIV",M29="PRUDENT",M29="MODERAT",M29="RIDICAT",M29="WATCH",M29="NO BET")),"YES","NO")</x:f>
        <x:v>NO</x:v>
      </x:c>
      <x:c r="Y29" s="146"/>
      <x:c r="Z29" t="str">
        <x:f>IF(AND(X29="YES",OR(M29="DEFENSIV",M29="PRUDENT",M29="MODERAT",M29="RIDICAT")),"YES","NO")</x:f>
        <x:v>NO</x:v>
      </x:c>
      <x:c r="AA29" t="str">
        <x:f>IF(NOT(ISNUMBER(H29)),"MISSING",IF(AND(ISNUMBER(H29),H29&gt;1),"VALID","INVALID"))</x:f>
        <x:v>MISSING</x:v>
      </x:c>
      <x:c r="AB29" s="144"/>
      <x:c r="AC29" t="str">
        <x:f>IF(AND(NOT(ISNUMBER(A29)),E29="",NOT(ISNUMBER(G29)),M29="",O29=""),"INPUT",IF(X29="YES","VALID","INCOMPLETE / INVALID"))</x:f>
        <x:v>INPUT</x:v>
      </x:c>
      <x:c r="AD29" t="str">
        <x:f>IF(X29="YES",P29,"")</x:f>
      </x:c>
      <x:c r="AE29" t="str">
        <x:f>IF(X29="YES",W29,"")</x:f>
      </x:c>
      <x:c r="AF29" t="str">
        <x:f>IF(X29="YES",G29,"")</x:f>
      </x:c>
      <x:c r="AG29" t="str">
        <x:f>IF(AND(Z29="YES",AA29="VALID"),Q29,"")</x:f>
      </x:c>
      <x:c r="AH29" t="str">
        <x:f>IF(AND(Z29="YES",AA29="VALID"),"YES","NO")</x:f>
        <x:v>NO</x:v>
      </x:c>
    </x:row>
    <x:row r="30" ht="15">
      <x:c r="A30" s="161"/>
      <x:c r="B30" s="2"/>
      <x:c r="C30" s="2"/>
      <x:c r="D30" s="2"/>
      <x:c r="E30" s="2"/>
      <x:c r="F30" s="8"/>
      <x:c r="G30" s="8"/>
      <x:c r="H30" s="9"/>
      <x:c r="I30" s="8"/>
      <x:c r="J30" s="8" t="str">
        <x:f t="shared" si="0">IF(OR(NOT(ISNUMBER(G30)),NOT(ISNUMBER(I30))),"",G30-I30)</x:f>
      </x:c>
      <x:c r="K30" s="8" t="str">
        <x:f t="shared" si="1">IF(OR(NOT(ISNUMBER(G30)),NOT(ISNUMBER(H30)),H30&lt;=1),"",G30*H30-1)</x:f>
      </x:c>
      <x:c r="L30" s="2"/>
      <x:c r="M30" s="2"/>
      <x:c r="N30" s="2"/>
      <x:c r="O30" s="2"/>
      <x:c r="P30" s="2" t="str">
        <x:f>IF(OR(E30="",O30=""),"",IF(NOT(OR(O30="1",O30=1,O30="X",O30="2",O30=2)),"",IF(E30="1X",IF(OR(O30="1",O30=1,O30="X"),1,0),IF(E30="X2",IF(OR(O30="X",O30="2",O30=2),1,0),IF(OR(E30="12",E30=12),IF(OR(O30="1",O30=1,O30="2",O30=2),1,0),"")))))</x:f>
      </x:c>
      <x:c r="Q30" s="9" t="str">
        <x:f t="shared" si="2">IF(OR(NOT(ISNUMBER(P30)),NOT(ISNUMBER(H30)),H30&lt;=1),"",IF(P30=1,H30-1,-1))</x:f>
      </x:c>
      <x:c r="R30" s="2"/>
      <x:c r="S30" s="2"/>
      <x:c r="T30" s="2"/>
      <x:c r="U30" s="2"/>
      <x:c r="V30" s="2"/>
      <x:c r="W30" s="14" t="str">
        <x:f t="shared" si="3">IF(OR(NOT(ISNUMBER(G30)),G30&lt;0,G30&gt;1,NOT(ISNUMBER(P30))),"",(G30-P30)^2)</x:f>
      </x:c>
      <x:c r="X30" s="2" t="str">
        <x:f t="shared" si="4">IF(AND(ISNUMBER(A30),ISNUMBER(Y30),Y30&lt;A30,AB30&lt;&gt;"",ISNUMBER(P30),ISNUMBER(G30),G30&gt;=0,G30&lt;=1,OR(M30="DEFENSIV",M30="PRUDENT",M30="MODERAT",M30="RIDICAT",M30="WATCH",M30="NO BET")),"YES","NO")</x:f>
        <x:v>NO</x:v>
      </x:c>
      <x:c r="Y30" s="146"/>
      <x:c r="Z30" t="str">
        <x:f>IF(AND(X30="YES",OR(M30="DEFENSIV",M30="PRUDENT",M30="MODERAT",M30="RIDICAT")),"YES","NO")</x:f>
        <x:v>NO</x:v>
      </x:c>
      <x:c r="AA30" t="str">
        <x:f>IF(NOT(ISNUMBER(H30)),"MISSING",IF(AND(ISNUMBER(H30),H30&gt;1),"VALID","INVALID"))</x:f>
        <x:v>MISSING</x:v>
      </x:c>
      <x:c r="AB30" s="144"/>
      <x:c r="AC30" t="str">
        <x:f>IF(AND(NOT(ISNUMBER(A30)),E30="",NOT(ISNUMBER(G30)),M30="",O30=""),"INPUT",IF(X30="YES","VALID","INCOMPLETE / INVALID"))</x:f>
        <x:v>INPUT</x:v>
      </x:c>
      <x:c r="AD30" t="str">
        <x:f>IF(X30="YES",P30,"")</x:f>
      </x:c>
      <x:c r="AE30" t="str">
        <x:f>IF(X30="YES",W30,"")</x:f>
      </x:c>
      <x:c r="AF30" t="str">
        <x:f>IF(X30="YES",G30,"")</x:f>
      </x:c>
      <x:c r="AG30" t="str">
        <x:f>IF(AND(Z30="YES",AA30="VALID"),Q30,"")</x:f>
      </x:c>
      <x:c r="AH30" t="str">
        <x:f>IF(AND(Z30="YES",AA30="VALID"),"YES","NO")</x:f>
        <x:v>NO</x:v>
      </x:c>
    </x:row>
    <x:row r="31" ht="15">
      <x:c r="A31" s="161"/>
      <x:c r="B31" s="2"/>
      <x:c r="C31" s="2"/>
      <x:c r="D31" s="2"/>
      <x:c r="E31" s="2"/>
      <x:c r="F31" s="8"/>
      <x:c r="G31" s="8"/>
      <x:c r="H31" s="9"/>
      <x:c r="I31" s="8"/>
      <x:c r="J31" s="8" t="str">
        <x:f t="shared" si="0">IF(OR(NOT(ISNUMBER(G31)),NOT(ISNUMBER(I31))),"",G31-I31)</x:f>
      </x:c>
      <x:c r="K31" s="8" t="str">
        <x:f t="shared" si="1">IF(OR(NOT(ISNUMBER(G31)),NOT(ISNUMBER(H31)),H31&lt;=1),"",G31*H31-1)</x:f>
      </x:c>
      <x:c r="L31" s="2"/>
      <x:c r="M31" s="2"/>
      <x:c r="N31" s="2"/>
      <x:c r="O31" s="2"/>
      <x:c r="P31" s="2" t="str">
        <x:f>IF(OR(E31="",O31=""),"",IF(NOT(OR(O31="1",O31=1,O31="X",O31="2",O31=2)),"",IF(E31="1X",IF(OR(O31="1",O31=1,O31="X"),1,0),IF(E31="X2",IF(OR(O31="X",O31="2",O31=2),1,0),IF(OR(E31="12",E31=12),IF(OR(O31="1",O31=1,O31="2",O31=2),1,0),"")))))</x:f>
      </x:c>
      <x:c r="Q31" s="9" t="str">
        <x:f t="shared" si="2">IF(OR(NOT(ISNUMBER(P31)),NOT(ISNUMBER(H31)),H31&lt;=1),"",IF(P31=1,H31-1,-1))</x:f>
      </x:c>
      <x:c r="R31" s="2"/>
      <x:c r="S31" s="2"/>
      <x:c r="T31" s="2"/>
      <x:c r="U31" s="2"/>
      <x:c r="V31" s="2"/>
      <x:c r="W31" s="14" t="str">
        <x:f t="shared" si="3">IF(OR(NOT(ISNUMBER(G31)),G31&lt;0,G31&gt;1,NOT(ISNUMBER(P31))),"",(G31-P31)^2)</x:f>
      </x:c>
      <x:c r="X31" s="2" t="str">
        <x:f t="shared" si="4">IF(AND(ISNUMBER(A31),ISNUMBER(Y31),Y31&lt;A31,AB31&lt;&gt;"",ISNUMBER(P31),ISNUMBER(G31),G31&gt;=0,G31&lt;=1,OR(M31="DEFENSIV",M31="PRUDENT",M31="MODERAT",M31="RIDICAT",M31="WATCH",M31="NO BET")),"YES","NO")</x:f>
        <x:v>NO</x:v>
      </x:c>
      <x:c r="Y31" s="146"/>
      <x:c r="Z31" t="str">
        <x:f>IF(AND(X31="YES",OR(M31="DEFENSIV",M31="PRUDENT",M31="MODERAT",M31="RIDICAT")),"YES","NO")</x:f>
        <x:v>NO</x:v>
      </x:c>
      <x:c r="AA31" t="str">
        <x:f>IF(NOT(ISNUMBER(H31)),"MISSING",IF(AND(ISNUMBER(H31),H31&gt;1),"VALID","INVALID"))</x:f>
        <x:v>MISSING</x:v>
      </x:c>
      <x:c r="AB31" s="144"/>
      <x:c r="AC31" t="str">
        <x:f>IF(AND(NOT(ISNUMBER(A31)),E31="",NOT(ISNUMBER(G31)),M31="",O31=""),"INPUT",IF(X31="YES","VALID","INCOMPLETE / INVALID"))</x:f>
        <x:v>INPUT</x:v>
      </x:c>
      <x:c r="AD31" t="str">
        <x:f>IF(X31="YES",P31,"")</x:f>
      </x:c>
      <x:c r="AE31" t="str">
        <x:f>IF(X31="YES",W31,"")</x:f>
      </x:c>
      <x:c r="AF31" t="str">
        <x:f>IF(X31="YES",G31,"")</x:f>
      </x:c>
      <x:c r="AG31" t="str">
        <x:f>IF(AND(Z31="YES",AA31="VALID"),Q31,"")</x:f>
      </x:c>
      <x:c r="AH31" t="str">
        <x:f>IF(AND(Z31="YES",AA31="VALID"),"YES","NO")</x:f>
        <x:v>NO</x:v>
      </x:c>
    </x:row>
    <x:row r="32" ht="15">
      <x:c r="A32" s="161"/>
      <x:c r="B32" s="2"/>
      <x:c r="C32" s="2"/>
      <x:c r="D32" s="2"/>
      <x:c r="E32" s="2"/>
      <x:c r="F32" s="8"/>
      <x:c r="G32" s="8"/>
      <x:c r="H32" s="9"/>
      <x:c r="I32" s="8"/>
      <x:c r="J32" s="8" t="str">
        <x:f t="shared" si="0">IF(OR(NOT(ISNUMBER(G32)),NOT(ISNUMBER(I32))),"",G32-I32)</x:f>
      </x:c>
      <x:c r="K32" s="8" t="str">
        <x:f t="shared" si="1">IF(OR(NOT(ISNUMBER(G32)),NOT(ISNUMBER(H32)),H32&lt;=1),"",G32*H32-1)</x:f>
      </x:c>
      <x:c r="L32" s="2"/>
      <x:c r="M32" s="2"/>
      <x:c r="N32" s="2"/>
      <x:c r="O32" s="2"/>
      <x:c r="P32" s="2" t="str">
        <x:f>IF(OR(E32="",O32=""),"",IF(NOT(OR(O32="1",O32=1,O32="X",O32="2",O32=2)),"",IF(E32="1X",IF(OR(O32="1",O32=1,O32="X"),1,0),IF(E32="X2",IF(OR(O32="X",O32="2",O32=2),1,0),IF(OR(E32="12",E32=12),IF(OR(O32="1",O32=1,O32="2",O32=2),1,0),"")))))</x:f>
      </x:c>
      <x:c r="Q32" s="9" t="str">
        <x:f t="shared" si="2">IF(OR(NOT(ISNUMBER(P32)),NOT(ISNUMBER(H32)),H32&lt;=1),"",IF(P32=1,H32-1,-1))</x:f>
      </x:c>
      <x:c r="R32" s="2"/>
      <x:c r="S32" s="2"/>
      <x:c r="T32" s="2"/>
      <x:c r="U32" s="2"/>
      <x:c r="V32" s="2"/>
      <x:c r="W32" s="14" t="str">
        <x:f t="shared" si="3">IF(OR(NOT(ISNUMBER(G32)),G32&lt;0,G32&gt;1,NOT(ISNUMBER(P32))),"",(G32-P32)^2)</x:f>
      </x:c>
      <x:c r="X32" s="2" t="str">
        <x:f t="shared" si="4">IF(AND(ISNUMBER(A32),ISNUMBER(Y32),Y32&lt;A32,AB32&lt;&gt;"",ISNUMBER(P32),ISNUMBER(G32),G32&gt;=0,G32&lt;=1,OR(M32="DEFENSIV",M32="PRUDENT",M32="MODERAT",M32="RIDICAT",M32="WATCH",M32="NO BET")),"YES","NO")</x:f>
        <x:v>NO</x:v>
      </x:c>
      <x:c r="Y32" s="146"/>
      <x:c r="Z32" t="str">
        <x:f>IF(AND(X32="YES",OR(M32="DEFENSIV",M32="PRUDENT",M32="MODERAT",M32="RIDICAT")),"YES","NO")</x:f>
        <x:v>NO</x:v>
      </x:c>
      <x:c r="AA32" t="str">
        <x:f>IF(NOT(ISNUMBER(H32)),"MISSING",IF(AND(ISNUMBER(H32),H32&gt;1),"VALID","INVALID"))</x:f>
        <x:v>MISSING</x:v>
      </x:c>
      <x:c r="AB32" s="144"/>
      <x:c r="AC32" t="str">
        <x:f>IF(AND(NOT(ISNUMBER(A32)),E32="",NOT(ISNUMBER(G32)),M32="",O32=""),"INPUT",IF(X32="YES","VALID","INCOMPLETE / INVALID"))</x:f>
        <x:v>INPUT</x:v>
      </x:c>
      <x:c r="AD32" t="str">
        <x:f>IF(X32="YES",P32,"")</x:f>
      </x:c>
      <x:c r="AE32" t="str">
        <x:f>IF(X32="YES",W32,"")</x:f>
      </x:c>
      <x:c r="AF32" t="str">
        <x:f>IF(X32="YES",G32,"")</x:f>
      </x:c>
      <x:c r="AG32" t="str">
        <x:f>IF(AND(Z32="YES",AA32="VALID"),Q32,"")</x:f>
      </x:c>
      <x:c r="AH32" t="str">
        <x:f>IF(AND(Z32="YES",AA32="VALID"),"YES","NO")</x:f>
        <x:v>NO</x:v>
      </x:c>
    </x:row>
    <x:row r="33" ht="15">
      <x:c r="A33" s="161"/>
      <x:c r="B33" s="2"/>
      <x:c r="C33" s="2"/>
      <x:c r="D33" s="2"/>
      <x:c r="E33" s="2"/>
      <x:c r="F33" s="8"/>
      <x:c r="G33" s="8"/>
      <x:c r="H33" s="9"/>
      <x:c r="I33" s="8"/>
      <x:c r="J33" s="8" t="str">
        <x:f t="shared" si="0">IF(OR(NOT(ISNUMBER(G33)),NOT(ISNUMBER(I33))),"",G33-I33)</x:f>
      </x:c>
      <x:c r="K33" s="8" t="str">
        <x:f t="shared" si="1">IF(OR(NOT(ISNUMBER(G33)),NOT(ISNUMBER(H33)),H33&lt;=1),"",G33*H33-1)</x:f>
      </x:c>
      <x:c r="L33" s="2"/>
      <x:c r="M33" s="2"/>
      <x:c r="N33" s="2"/>
      <x:c r="O33" s="2"/>
      <x:c r="P33" s="2" t="str">
        <x:f>IF(OR(E33="",O33=""),"",IF(NOT(OR(O33="1",O33=1,O33="X",O33="2",O33=2)),"",IF(E33="1X",IF(OR(O33="1",O33=1,O33="X"),1,0),IF(E33="X2",IF(OR(O33="X",O33="2",O33=2),1,0),IF(OR(E33="12",E33=12),IF(OR(O33="1",O33=1,O33="2",O33=2),1,0),"")))))</x:f>
      </x:c>
      <x:c r="Q33" s="9" t="str">
        <x:f t="shared" si="2">IF(OR(NOT(ISNUMBER(P33)),NOT(ISNUMBER(H33)),H33&lt;=1),"",IF(P33=1,H33-1,-1))</x:f>
      </x:c>
      <x:c r="R33" s="2"/>
      <x:c r="S33" s="2"/>
      <x:c r="T33" s="2"/>
      <x:c r="U33" s="2"/>
      <x:c r="V33" s="2"/>
      <x:c r="W33" s="14" t="str">
        <x:f t="shared" si="3">IF(OR(NOT(ISNUMBER(G33)),G33&lt;0,G33&gt;1,NOT(ISNUMBER(P33))),"",(G33-P33)^2)</x:f>
      </x:c>
      <x:c r="X33" s="2" t="str">
        <x:f t="shared" si="4">IF(AND(ISNUMBER(A33),ISNUMBER(Y33),Y33&lt;A33,AB33&lt;&gt;"",ISNUMBER(P33),ISNUMBER(G33),G33&gt;=0,G33&lt;=1,OR(M33="DEFENSIV",M33="PRUDENT",M33="MODERAT",M33="RIDICAT",M33="WATCH",M33="NO BET")),"YES","NO")</x:f>
        <x:v>NO</x:v>
      </x:c>
      <x:c r="Y33" s="146"/>
      <x:c r="Z33" t="str">
        <x:f>IF(AND(X33="YES",OR(M33="DEFENSIV",M33="PRUDENT",M33="MODERAT",M33="RIDICAT")),"YES","NO")</x:f>
        <x:v>NO</x:v>
      </x:c>
      <x:c r="AA33" t="str">
        <x:f>IF(NOT(ISNUMBER(H33)),"MISSING",IF(AND(ISNUMBER(H33),H33&gt;1),"VALID","INVALID"))</x:f>
        <x:v>MISSING</x:v>
      </x:c>
      <x:c r="AB33" s="144"/>
      <x:c r="AC33" t="str">
        <x:f>IF(AND(NOT(ISNUMBER(A33)),E33="",NOT(ISNUMBER(G33)),M33="",O33=""),"INPUT",IF(X33="YES","VALID","INCOMPLETE / INVALID"))</x:f>
        <x:v>INPUT</x:v>
      </x:c>
      <x:c r="AD33" t="str">
        <x:f>IF(X33="YES",P33,"")</x:f>
      </x:c>
      <x:c r="AE33" t="str">
        <x:f>IF(X33="YES",W33,"")</x:f>
      </x:c>
      <x:c r="AF33" t="str">
        <x:f>IF(X33="YES",G33,"")</x:f>
      </x:c>
      <x:c r="AG33" t="str">
        <x:f>IF(AND(Z33="YES",AA33="VALID"),Q33,"")</x:f>
      </x:c>
      <x:c r="AH33" t="str">
        <x:f>IF(AND(Z33="YES",AA33="VALID"),"YES","NO")</x:f>
        <x:v>NO</x:v>
      </x:c>
    </x:row>
    <x:row r="34" ht="15">
      <x:c r="A34" s="161"/>
      <x:c r="B34" s="2"/>
      <x:c r="C34" s="2"/>
      <x:c r="D34" s="2"/>
      <x:c r="E34" s="2"/>
      <x:c r="F34" s="8"/>
      <x:c r="G34" s="8"/>
      <x:c r="H34" s="9"/>
      <x:c r="I34" s="8"/>
      <x:c r="J34" s="8" t="str">
        <x:f t="shared" si="0">IF(OR(NOT(ISNUMBER(G34)),NOT(ISNUMBER(I34))),"",G34-I34)</x:f>
      </x:c>
      <x:c r="K34" s="8" t="str">
        <x:f t="shared" si="1">IF(OR(NOT(ISNUMBER(G34)),NOT(ISNUMBER(H34)),H34&lt;=1),"",G34*H34-1)</x:f>
      </x:c>
      <x:c r="L34" s="2"/>
      <x:c r="M34" s="2"/>
      <x:c r="N34" s="2"/>
      <x:c r="O34" s="2"/>
      <x:c r="P34" s="2" t="str">
        <x:f>IF(OR(E34="",O34=""),"",IF(NOT(OR(O34="1",O34=1,O34="X",O34="2",O34=2)),"",IF(E34="1X",IF(OR(O34="1",O34=1,O34="X"),1,0),IF(E34="X2",IF(OR(O34="X",O34="2",O34=2),1,0),IF(OR(E34="12",E34=12),IF(OR(O34="1",O34=1,O34="2",O34=2),1,0),"")))))</x:f>
      </x:c>
      <x:c r="Q34" s="9" t="str">
        <x:f t="shared" si="2">IF(OR(NOT(ISNUMBER(P34)),NOT(ISNUMBER(H34)),H34&lt;=1),"",IF(P34=1,H34-1,-1))</x:f>
      </x:c>
      <x:c r="R34" s="2"/>
      <x:c r="S34" s="2"/>
      <x:c r="T34" s="2"/>
      <x:c r="U34" s="2"/>
      <x:c r="V34" s="2"/>
      <x:c r="W34" s="14" t="str">
        <x:f t="shared" si="3">IF(OR(NOT(ISNUMBER(G34)),G34&lt;0,G34&gt;1,NOT(ISNUMBER(P34))),"",(G34-P34)^2)</x:f>
      </x:c>
      <x:c r="X34" s="2" t="str">
        <x:f t="shared" si="4">IF(AND(ISNUMBER(A34),ISNUMBER(Y34),Y34&lt;A34,AB34&lt;&gt;"",ISNUMBER(P34),ISNUMBER(G34),G34&gt;=0,G34&lt;=1,OR(M34="DEFENSIV",M34="PRUDENT",M34="MODERAT",M34="RIDICAT",M34="WATCH",M34="NO BET")),"YES","NO")</x:f>
        <x:v>NO</x:v>
      </x:c>
      <x:c r="Y34" s="146"/>
      <x:c r="Z34" t="str">
        <x:f>IF(AND(X34="YES",OR(M34="DEFENSIV",M34="PRUDENT",M34="MODERAT",M34="RIDICAT")),"YES","NO")</x:f>
        <x:v>NO</x:v>
      </x:c>
      <x:c r="AA34" t="str">
        <x:f>IF(NOT(ISNUMBER(H34)),"MISSING",IF(AND(ISNUMBER(H34),H34&gt;1),"VALID","INVALID"))</x:f>
        <x:v>MISSING</x:v>
      </x:c>
      <x:c r="AB34" s="144"/>
      <x:c r="AC34" t="str">
        <x:f>IF(AND(NOT(ISNUMBER(A34)),E34="",NOT(ISNUMBER(G34)),M34="",O34=""),"INPUT",IF(X34="YES","VALID","INCOMPLETE / INVALID"))</x:f>
        <x:v>INPUT</x:v>
      </x:c>
      <x:c r="AD34" t="str">
        <x:f>IF(X34="YES",P34,"")</x:f>
      </x:c>
      <x:c r="AE34" t="str">
        <x:f>IF(X34="YES",W34,"")</x:f>
      </x:c>
      <x:c r="AF34" t="str">
        <x:f>IF(X34="YES",G34,"")</x:f>
      </x:c>
      <x:c r="AG34" t="str">
        <x:f>IF(AND(Z34="YES",AA34="VALID"),Q34,"")</x:f>
      </x:c>
      <x:c r="AH34" t="str">
        <x:f>IF(AND(Z34="YES",AA34="VALID"),"YES","NO")</x:f>
        <x:v>NO</x:v>
      </x:c>
    </x:row>
    <x:row r="35" ht="15">
      <x:c r="A35" s="161"/>
      <x:c r="B35" s="2"/>
      <x:c r="C35" s="2"/>
      <x:c r="D35" s="2"/>
      <x:c r="E35" s="2"/>
      <x:c r="F35" s="8"/>
      <x:c r="G35" s="8"/>
      <x:c r="H35" s="9"/>
      <x:c r="I35" s="8"/>
      <x:c r="J35" s="8" t="str">
        <x:f t="shared" si="0">IF(OR(NOT(ISNUMBER(G35)),NOT(ISNUMBER(I35))),"",G35-I35)</x:f>
      </x:c>
      <x:c r="K35" s="8" t="str">
        <x:f t="shared" si="1">IF(OR(NOT(ISNUMBER(G35)),NOT(ISNUMBER(H35)),H35&lt;=1),"",G35*H35-1)</x:f>
      </x:c>
      <x:c r="L35" s="2"/>
      <x:c r="M35" s="2"/>
      <x:c r="N35" s="2"/>
      <x:c r="O35" s="2"/>
      <x:c r="P35" s="2" t="str">
        <x:f>IF(OR(E35="",O35=""),"",IF(NOT(OR(O35="1",O35=1,O35="X",O35="2",O35=2)),"",IF(E35="1X",IF(OR(O35="1",O35=1,O35="X"),1,0),IF(E35="X2",IF(OR(O35="X",O35="2",O35=2),1,0),IF(OR(E35="12",E35=12),IF(OR(O35="1",O35=1,O35="2",O35=2),1,0),"")))))</x:f>
      </x:c>
      <x:c r="Q35" s="9" t="str">
        <x:f t="shared" si="2">IF(OR(NOT(ISNUMBER(P35)),NOT(ISNUMBER(H35)),H35&lt;=1),"",IF(P35=1,H35-1,-1))</x:f>
      </x:c>
      <x:c r="R35" s="2"/>
      <x:c r="S35" s="2"/>
      <x:c r="T35" s="2"/>
      <x:c r="U35" s="2"/>
      <x:c r="V35" s="2"/>
      <x:c r="W35" s="14" t="str">
        <x:f t="shared" si="3">IF(OR(NOT(ISNUMBER(G35)),G35&lt;0,G35&gt;1,NOT(ISNUMBER(P35))),"",(G35-P35)^2)</x:f>
      </x:c>
      <x:c r="X35" s="2" t="str">
        <x:f t="shared" si="4">IF(AND(ISNUMBER(A35),ISNUMBER(Y35),Y35&lt;A35,AB35&lt;&gt;"",ISNUMBER(P35),ISNUMBER(G35),G35&gt;=0,G35&lt;=1,OR(M35="DEFENSIV",M35="PRUDENT",M35="MODERAT",M35="RIDICAT",M35="WATCH",M35="NO BET")),"YES","NO")</x:f>
        <x:v>NO</x:v>
      </x:c>
      <x:c r="Y35" s="146"/>
      <x:c r="Z35" t="str">
        <x:f>IF(AND(X35="YES",OR(M35="DEFENSIV",M35="PRUDENT",M35="MODERAT",M35="RIDICAT")),"YES","NO")</x:f>
        <x:v>NO</x:v>
      </x:c>
      <x:c r="AA35" t="str">
        <x:f>IF(NOT(ISNUMBER(H35)),"MISSING",IF(AND(ISNUMBER(H35),H35&gt;1),"VALID","INVALID"))</x:f>
        <x:v>MISSING</x:v>
      </x:c>
      <x:c r="AB35" s="144"/>
      <x:c r="AC35" t="str">
        <x:f>IF(AND(NOT(ISNUMBER(A35)),E35="",NOT(ISNUMBER(G35)),M35="",O35=""),"INPUT",IF(X35="YES","VALID","INCOMPLETE / INVALID"))</x:f>
        <x:v>INPUT</x:v>
      </x:c>
      <x:c r="AD35" t="str">
        <x:f>IF(X35="YES",P35,"")</x:f>
      </x:c>
      <x:c r="AE35" t="str">
        <x:f>IF(X35="YES",W35,"")</x:f>
      </x:c>
      <x:c r="AF35" t="str">
        <x:f>IF(X35="YES",G35,"")</x:f>
      </x:c>
      <x:c r="AG35" t="str">
        <x:f>IF(AND(Z35="YES",AA35="VALID"),Q35,"")</x:f>
      </x:c>
      <x:c r="AH35" t="str">
        <x:f>IF(AND(Z35="YES",AA35="VALID"),"YES","NO")</x:f>
        <x:v>NO</x:v>
      </x:c>
    </x:row>
    <x:row r="36" ht="15">
      <x:c r="A36" s="161"/>
      <x:c r="B36" s="2"/>
      <x:c r="C36" s="2"/>
      <x:c r="D36" s="2"/>
      <x:c r="E36" s="2"/>
      <x:c r="F36" s="8"/>
      <x:c r="G36" s="8"/>
      <x:c r="H36" s="9"/>
      <x:c r="I36" s="8"/>
      <x:c r="J36" s="8" t="str">
        <x:f t="shared" ref="J36:J67" si="5">IF(OR(NOT(ISNUMBER(G36)),NOT(ISNUMBER(I36))),"",G36-I36)</x:f>
      </x:c>
      <x:c r="K36" s="8" t="str">
        <x:f t="shared" ref="K36:K67" si="6">IF(OR(NOT(ISNUMBER(G36)),NOT(ISNUMBER(H36)),H36&lt;=1),"",G36*H36-1)</x:f>
      </x:c>
      <x:c r="L36" s="2"/>
      <x:c r="M36" s="2"/>
      <x:c r="N36" s="2"/>
      <x:c r="O36" s="2"/>
      <x:c r="P36" s="2" t="str">
        <x:f>IF(OR(E36="",O36=""),"",IF(NOT(OR(O36="1",O36=1,O36="X",O36="2",O36=2)),"",IF(E36="1X",IF(OR(O36="1",O36=1,O36="X"),1,0),IF(E36="X2",IF(OR(O36="X",O36="2",O36=2),1,0),IF(OR(E36="12",E36=12),IF(OR(O36="1",O36=1,O36="2",O36=2),1,0),"")))))</x:f>
      </x:c>
      <x:c r="Q36" s="9" t="str">
        <x:f t="shared" ref="Q36:Q67" si="7">IF(OR(NOT(ISNUMBER(P36)),NOT(ISNUMBER(H36)),H36&lt;=1),"",IF(P36=1,H36-1,-1))</x:f>
      </x:c>
      <x:c r="R36" s="2"/>
      <x:c r="S36" s="2"/>
      <x:c r="T36" s="2"/>
      <x:c r="U36" s="2"/>
      <x:c r="V36" s="2"/>
      <x:c r="W36" s="14" t="str">
        <x:f t="shared" ref="W36:W67" si="8">IF(OR(NOT(ISNUMBER(G36)),G36&lt;0,G36&gt;1,NOT(ISNUMBER(P36))),"",(G36-P36)^2)</x:f>
      </x:c>
      <x:c r="X36" s="2" t="str">
        <x:f t="shared" ref="X36:X67" si="9">IF(AND(ISNUMBER(A36),ISNUMBER(Y36),Y36&lt;A36,AB36&lt;&gt;"",ISNUMBER(P36),ISNUMBER(G36),G36&gt;=0,G36&lt;=1,OR(M36="DEFENSIV",M36="PRUDENT",M36="MODERAT",M36="RIDICAT",M36="WATCH",M36="NO BET")),"YES","NO")</x:f>
        <x:v>NO</x:v>
      </x:c>
      <x:c r="Y36" s="146"/>
      <x:c r="Z36" t="str">
        <x:f>IF(AND(X36="YES",OR(M36="DEFENSIV",M36="PRUDENT",M36="MODERAT",M36="RIDICAT")),"YES","NO")</x:f>
        <x:v>NO</x:v>
      </x:c>
      <x:c r="AA36" t="str">
        <x:f>IF(NOT(ISNUMBER(H36)),"MISSING",IF(AND(ISNUMBER(H36),H36&gt;1),"VALID","INVALID"))</x:f>
        <x:v>MISSING</x:v>
      </x:c>
      <x:c r="AB36" s="144"/>
      <x:c r="AC36" t="str">
        <x:f>IF(AND(NOT(ISNUMBER(A36)),E36="",NOT(ISNUMBER(G36)),M36="",O36=""),"INPUT",IF(X36="YES","VALID","INCOMPLETE / INVALID"))</x:f>
        <x:v>INPUT</x:v>
      </x:c>
      <x:c r="AD36" t="str">
        <x:f>IF(X36="YES",P36,"")</x:f>
      </x:c>
      <x:c r="AE36" t="str">
        <x:f>IF(X36="YES",W36,"")</x:f>
      </x:c>
      <x:c r="AF36" t="str">
        <x:f>IF(X36="YES",G36,"")</x:f>
      </x:c>
      <x:c r="AG36" t="str">
        <x:f>IF(AND(Z36="YES",AA36="VALID"),Q36,"")</x:f>
      </x:c>
      <x:c r="AH36" t="str">
        <x:f>IF(AND(Z36="YES",AA36="VALID"),"YES","NO")</x:f>
        <x:v>NO</x:v>
      </x:c>
    </x:row>
    <x:row r="37" ht="15">
      <x:c r="A37" s="161"/>
      <x:c r="B37" s="2"/>
      <x:c r="C37" s="2"/>
      <x:c r="D37" s="2"/>
      <x:c r="E37" s="2"/>
      <x:c r="F37" s="8"/>
      <x:c r="G37" s="8"/>
      <x:c r="H37" s="9"/>
      <x:c r="I37" s="8"/>
      <x:c r="J37" s="8" t="str">
        <x:f t="shared" si="5">IF(OR(NOT(ISNUMBER(G37)),NOT(ISNUMBER(I37))),"",G37-I37)</x:f>
      </x:c>
      <x:c r="K37" s="8" t="str">
        <x:f t="shared" si="6">IF(OR(NOT(ISNUMBER(G37)),NOT(ISNUMBER(H37)),H37&lt;=1),"",G37*H37-1)</x:f>
      </x:c>
      <x:c r="L37" s="2"/>
      <x:c r="M37" s="2"/>
      <x:c r="N37" s="2"/>
      <x:c r="O37" s="2"/>
      <x:c r="P37" s="2" t="str">
        <x:f>IF(OR(E37="",O37=""),"",IF(NOT(OR(O37="1",O37=1,O37="X",O37="2",O37=2)),"",IF(E37="1X",IF(OR(O37="1",O37=1,O37="X"),1,0),IF(E37="X2",IF(OR(O37="X",O37="2",O37=2),1,0),IF(OR(E37="12",E37=12),IF(OR(O37="1",O37=1,O37="2",O37=2),1,0),"")))))</x:f>
      </x:c>
      <x:c r="Q37" s="9" t="str">
        <x:f t="shared" si="7">IF(OR(NOT(ISNUMBER(P37)),NOT(ISNUMBER(H37)),H37&lt;=1),"",IF(P37=1,H37-1,-1))</x:f>
      </x:c>
      <x:c r="R37" s="2"/>
      <x:c r="S37" s="2"/>
      <x:c r="T37" s="2"/>
      <x:c r="U37" s="2"/>
      <x:c r="V37" s="2"/>
      <x:c r="W37" s="14" t="str">
        <x:f t="shared" si="8">IF(OR(NOT(ISNUMBER(G37)),G37&lt;0,G37&gt;1,NOT(ISNUMBER(P37))),"",(G37-P37)^2)</x:f>
      </x:c>
      <x:c r="X37" s="2" t="str">
        <x:f t="shared" si="9">IF(AND(ISNUMBER(A37),ISNUMBER(Y37),Y37&lt;A37,AB37&lt;&gt;"",ISNUMBER(P37),ISNUMBER(G37),G37&gt;=0,G37&lt;=1,OR(M37="DEFENSIV",M37="PRUDENT",M37="MODERAT",M37="RIDICAT",M37="WATCH",M37="NO BET")),"YES","NO")</x:f>
        <x:v>NO</x:v>
      </x:c>
      <x:c r="Y37" s="146"/>
      <x:c r="Z37" t="str">
        <x:f>IF(AND(X37="YES",OR(M37="DEFENSIV",M37="PRUDENT",M37="MODERAT",M37="RIDICAT")),"YES","NO")</x:f>
        <x:v>NO</x:v>
      </x:c>
      <x:c r="AA37" t="str">
        <x:f>IF(NOT(ISNUMBER(H37)),"MISSING",IF(AND(ISNUMBER(H37),H37&gt;1),"VALID","INVALID"))</x:f>
        <x:v>MISSING</x:v>
      </x:c>
      <x:c r="AB37" s="144"/>
      <x:c r="AC37" t="str">
        <x:f>IF(AND(NOT(ISNUMBER(A37)),E37="",NOT(ISNUMBER(G37)),M37="",O37=""),"INPUT",IF(X37="YES","VALID","INCOMPLETE / INVALID"))</x:f>
        <x:v>INPUT</x:v>
      </x:c>
      <x:c r="AD37" t="str">
        <x:f>IF(X37="YES",P37,"")</x:f>
      </x:c>
      <x:c r="AE37" t="str">
        <x:f>IF(X37="YES",W37,"")</x:f>
      </x:c>
      <x:c r="AF37" t="str">
        <x:f>IF(X37="YES",G37,"")</x:f>
      </x:c>
      <x:c r="AG37" t="str">
        <x:f>IF(AND(Z37="YES",AA37="VALID"),Q37,"")</x:f>
      </x:c>
      <x:c r="AH37" t="str">
        <x:f>IF(AND(Z37="YES",AA37="VALID"),"YES","NO")</x:f>
        <x:v>NO</x:v>
      </x:c>
    </x:row>
    <x:row r="38" ht="15">
      <x:c r="A38" s="161"/>
      <x:c r="B38" s="2"/>
      <x:c r="C38" s="2"/>
      <x:c r="D38" s="2"/>
      <x:c r="E38" s="2"/>
      <x:c r="F38" s="8"/>
      <x:c r="G38" s="8"/>
      <x:c r="H38" s="9"/>
      <x:c r="I38" s="8"/>
      <x:c r="J38" s="8" t="str">
        <x:f t="shared" si="5">IF(OR(NOT(ISNUMBER(G38)),NOT(ISNUMBER(I38))),"",G38-I38)</x:f>
      </x:c>
      <x:c r="K38" s="8" t="str">
        <x:f t="shared" si="6">IF(OR(NOT(ISNUMBER(G38)),NOT(ISNUMBER(H38)),H38&lt;=1),"",G38*H38-1)</x:f>
      </x:c>
      <x:c r="L38" s="2"/>
      <x:c r="M38" s="2"/>
      <x:c r="N38" s="2"/>
      <x:c r="O38" s="2"/>
      <x:c r="P38" s="2" t="str">
        <x:f>IF(OR(E38="",O38=""),"",IF(NOT(OR(O38="1",O38=1,O38="X",O38="2",O38=2)),"",IF(E38="1X",IF(OR(O38="1",O38=1,O38="X"),1,0),IF(E38="X2",IF(OR(O38="X",O38="2",O38=2),1,0),IF(OR(E38="12",E38=12),IF(OR(O38="1",O38=1,O38="2",O38=2),1,0),"")))))</x:f>
      </x:c>
      <x:c r="Q38" s="9" t="str">
        <x:f t="shared" si="7">IF(OR(NOT(ISNUMBER(P38)),NOT(ISNUMBER(H38)),H38&lt;=1),"",IF(P38=1,H38-1,-1))</x:f>
      </x:c>
      <x:c r="R38" s="2"/>
      <x:c r="S38" s="2"/>
      <x:c r="T38" s="2"/>
      <x:c r="U38" s="2"/>
      <x:c r="V38" s="2"/>
      <x:c r="W38" s="14" t="str">
        <x:f t="shared" si="8">IF(OR(NOT(ISNUMBER(G38)),G38&lt;0,G38&gt;1,NOT(ISNUMBER(P38))),"",(G38-P38)^2)</x:f>
      </x:c>
      <x:c r="X38" s="2" t="str">
        <x:f t="shared" si="9">IF(AND(ISNUMBER(A38),ISNUMBER(Y38),Y38&lt;A38,AB38&lt;&gt;"",ISNUMBER(P38),ISNUMBER(G38),G38&gt;=0,G38&lt;=1,OR(M38="DEFENSIV",M38="PRUDENT",M38="MODERAT",M38="RIDICAT",M38="WATCH",M38="NO BET")),"YES","NO")</x:f>
        <x:v>NO</x:v>
      </x:c>
      <x:c r="Y38" s="146"/>
      <x:c r="Z38" t="str">
        <x:f>IF(AND(X38="YES",OR(M38="DEFENSIV",M38="PRUDENT",M38="MODERAT",M38="RIDICAT")),"YES","NO")</x:f>
        <x:v>NO</x:v>
      </x:c>
      <x:c r="AA38" t="str">
        <x:f>IF(NOT(ISNUMBER(H38)),"MISSING",IF(AND(ISNUMBER(H38),H38&gt;1),"VALID","INVALID"))</x:f>
        <x:v>MISSING</x:v>
      </x:c>
      <x:c r="AB38" s="144"/>
      <x:c r="AC38" t="str">
        <x:f>IF(AND(NOT(ISNUMBER(A38)),E38="",NOT(ISNUMBER(G38)),M38="",O38=""),"INPUT",IF(X38="YES","VALID","INCOMPLETE / INVALID"))</x:f>
        <x:v>INPUT</x:v>
      </x:c>
      <x:c r="AD38" t="str">
        <x:f>IF(X38="YES",P38,"")</x:f>
      </x:c>
      <x:c r="AE38" t="str">
        <x:f>IF(X38="YES",W38,"")</x:f>
      </x:c>
      <x:c r="AF38" t="str">
        <x:f>IF(X38="YES",G38,"")</x:f>
      </x:c>
      <x:c r="AG38" t="str">
        <x:f>IF(AND(Z38="YES",AA38="VALID"),Q38,"")</x:f>
      </x:c>
      <x:c r="AH38" t="str">
        <x:f>IF(AND(Z38="YES",AA38="VALID"),"YES","NO")</x:f>
        <x:v>NO</x:v>
      </x:c>
    </x:row>
    <x:row r="39" ht="15">
      <x:c r="A39" s="161"/>
      <x:c r="B39" s="2"/>
      <x:c r="C39" s="2"/>
      <x:c r="D39" s="2"/>
      <x:c r="E39" s="2"/>
      <x:c r="F39" s="8"/>
      <x:c r="G39" s="8"/>
      <x:c r="H39" s="9"/>
      <x:c r="I39" s="8"/>
      <x:c r="J39" s="8" t="str">
        <x:f t="shared" si="5">IF(OR(NOT(ISNUMBER(G39)),NOT(ISNUMBER(I39))),"",G39-I39)</x:f>
      </x:c>
      <x:c r="K39" s="8" t="str">
        <x:f t="shared" si="6">IF(OR(NOT(ISNUMBER(G39)),NOT(ISNUMBER(H39)),H39&lt;=1),"",G39*H39-1)</x:f>
      </x:c>
      <x:c r="L39" s="2"/>
      <x:c r="M39" s="2"/>
      <x:c r="N39" s="2"/>
      <x:c r="O39" s="2"/>
      <x:c r="P39" s="2" t="str">
        <x:f>IF(OR(E39="",O39=""),"",IF(NOT(OR(O39="1",O39=1,O39="X",O39="2",O39=2)),"",IF(E39="1X",IF(OR(O39="1",O39=1,O39="X"),1,0),IF(E39="X2",IF(OR(O39="X",O39="2",O39=2),1,0),IF(OR(E39="12",E39=12),IF(OR(O39="1",O39=1,O39="2",O39=2),1,0),"")))))</x:f>
      </x:c>
      <x:c r="Q39" s="9" t="str">
        <x:f t="shared" si="7">IF(OR(NOT(ISNUMBER(P39)),NOT(ISNUMBER(H39)),H39&lt;=1),"",IF(P39=1,H39-1,-1))</x:f>
      </x:c>
      <x:c r="R39" s="2"/>
      <x:c r="S39" s="2"/>
      <x:c r="T39" s="2"/>
      <x:c r="U39" s="2"/>
      <x:c r="V39" s="2"/>
      <x:c r="W39" s="14" t="str">
        <x:f t="shared" si="8">IF(OR(NOT(ISNUMBER(G39)),G39&lt;0,G39&gt;1,NOT(ISNUMBER(P39))),"",(G39-P39)^2)</x:f>
      </x:c>
      <x:c r="X39" s="2" t="str">
        <x:f t="shared" si="9">IF(AND(ISNUMBER(A39),ISNUMBER(Y39),Y39&lt;A39,AB39&lt;&gt;"",ISNUMBER(P39),ISNUMBER(G39),G39&gt;=0,G39&lt;=1,OR(M39="DEFENSIV",M39="PRUDENT",M39="MODERAT",M39="RIDICAT",M39="WATCH",M39="NO BET")),"YES","NO")</x:f>
        <x:v>NO</x:v>
      </x:c>
      <x:c r="Y39" s="146"/>
      <x:c r="Z39" t="str">
        <x:f>IF(AND(X39="YES",OR(M39="DEFENSIV",M39="PRUDENT",M39="MODERAT",M39="RIDICAT")),"YES","NO")</x:f>
        <x:v>NO</x:v>
      </x:c>
      <x:c r="AA39" t="str">
        <x:f>IF(NOT(ISNUMBER(H39)),"MISSING",IF(AND(ISNUMBER(H39),H39&gt;1),"VALID","INVALID"))</x:f>
        <x:v>MISSING</x:v>
      </x:c>
      <x:c r="AB39" s="144"/>
      <x:c r="AC39" t="str">
        <x:f>IF(AND(NOT(ISNUMBER(A39)),E39="",NOT(ISNUMBER(G39)),M39="",O39=""),"INPUT",IF(X39="YES","VALID","INCOMPLETE / INVALID"))</x:f>
        <x:v>INPUT</x:v>
      </x:c>
      <x:c r="AD39" t="str">
        <x:f>IF(X39="YES",P39,"")</x:f>
      </x:c>
      <x:c r="AE39" t="str">
        <x:f>IF(X39="YES",W39,"")</x:f>
      </x:c>
      <x:c r="AF39" t="str">
        <x:f>IF(X39="YES",G39,"")</x:f>
      </x:c>
      <x:c r="AG39" t="str">
        <x:f>IF(AND(Z39="YES",AA39="VALID"),Q39,"")</x:f>
      </x:c>
      <x:c r="AH39" t="str">
        <x:f>IF(AND(Z39="YES",AA39="VALID"),"YES","NO")</x:f>
        <x:v>NO</x:v>
      </x:c>
    </x:row>
    <x:row r="40" ht="15">
      <x:c r="A40" s="161"/>
      <x:c r="B40" s="2"/>
      <x:c r="C40" s="2"/>
      <x:c r="D40" s="2"/>
      <x:c r="E40" s="2"/>
      <x:c r="F40" s="8"/>
      <x:c r="G40" s="8"/>
      <x:c r="H40" s="9"/>
      <x:c r="I40" s="8"/>
      <x:c r="J40" s="8" t="str">
        <x:f t="shared" si="5">IF(OR(NOT(ISNUMBER(G40)),NOT(ISNUMBER(I40))),"",G40-I40)</x:f>
      </x:c>
      <x:c r="K40" s="8" t="str">
        <x:f t="shared" si="6">IF(OR(NOT(ISNUMBER(G40)),NOT(ISNUMBER(H40)),H40&lt;=1),"",G40*H40-1)</x:f>
      </x:c>
      <x:c r="L40" s="2"/>
      <x:c r="M40" s="2"/>
      <x:c r="N40" s="2"/>
      <x:c r="O40" s="2"/>
      <x:c r="P40" s="2" t="str">
        <x:f>IF(OR(E40="",O40=""),"",IF(NOT(OR(O40="1",O40=1,O40="X",O40="2",O40=2)),"",IF(E40="1X",IF(OR(O40="1",O40=1,O40="X"),1,0),IF(E40="X2",IF(OR(O40="X",O40="2",O40=2),1,0),IF(OR(E40="12",E40=12),IF(OR(O40="1",O40=1,O40="2",O40=2),1,0),"")))))</x:f>
      </x:c>
      <x:c r="Q40" s="9" t="str">
        <x:f t="shared" si="7">IF(OR(NOT(ISNUMBER(P40)),NOT(ISNUMBER(H40)),H40&lt;=1),"",IF(P40=1,H40-1,-1))</x:f>
      </x:c>
      <x:c r="R40" s="2"/>
      <x:c r="S40" s="2"/>
      <x:c r="T40" s="2"/>
      <x:c r="U40" s="2"/>
      <x:c r="V40" s="2"/>
      <x:c r="W40" s="14" t="str">
        <x:f t="shared" si="8">IF(OR(NOT(ISNUMBER(G40)),G40&lt;0,G40&gt;1,NOT(ISNUMBER(P40))),"",(G40-P40)^2)</x:f>
      </x:c>
      <x:c r="X40" s="2" t="str">
        <x:f t="shared" si="9">IF(AND(ISNUMBER(A40),ISNUMBER(Y40),Y40&lt;A40,AB40&lt;&gt;"",ISNUMBER(P40),ISNUMBER(G40),G40&gt;=0,G40&lt;=1,OR(M40="DEFENSIV",M40="PRUDENT",M40="MODERAT",M40="RIDICAT",M40="WATCH",M40="NO BET")),"YES","NO")</x:f>
        <x:v>NO</x:v>
      </x:c>
      <x:c r="Y40" s="146"/>
      <x:c r="Z40" t="str">
        <x:f>IF(AND(X40="YES",OR(M40="DEFENSIV",M40="PRUDENT",M40="MODERAT",M40="RIDICAT")),"YES","NO")</x:f>
        <x:v>NO</x:v>
      </x:c>
      <x:c r="AA40" t="str">
        <x:f>IF(NOT(ISNUMBER(H40)),"MISSING",IF(AND(ISNUMBER(H40),H40&gt;1),"VALID","INVALID"))</x:f>
        <x:v>MISSING</x:v>
      </x:c>
      <x:c r="AB40" s="144"/>
      <x:c r="AC40" t="str">
        <x:f>IF(AND(NOT(ISNUMBER(A40)),E40="",NOT(ISNUMBER(G40)),M40="",O40=""),"INPUT",IF(X40="YES","VALID","INCOMPLETE / INVALID"))</x:f>
        <x:v>INPUT</x:v>
      </x:c>
      <x:c r="AD40" t="str">
        <x:f>IF(X40="YES",P40,"")</x:f>
      </x:c>
      <x:c r="AE40" t="str">
        <x:f>IF(X40="YES",W40,"")</x:f>
      </x:c>
      <x:c r="AF40" t="str">
        <x:f>IF(X40="YES",G40,"")</x:f>
      </x:c>
      <x:c r="AG40" t="str">
        <x:f>IF(AND(Z40="YES",AA40="VALID"),Q40,"")</x:f>
      </x:c>
      <x:c r="AH40" t="str">
        <x:f>IF(AND(Z40="YES",AA40="VALID"),"YES","NO")</x:f>
        <x:v>NO</x:v>
      </x:c>
    </x:row>
    <x:row r="41" ht="15">
      <x:c r="A41" s="161"/>
      <x:c r="B41" s="2"/>
      <x:c r="C41" s="2"/>
      <x:c r="D41" s="2"/>
      <x:c r="E41" s="2"/>
      <x:c r="F41" s="8"/>
      <x:c r="G41" s="8"/>
      <x:c r="H41" s="9"/>
      <x:c r="I41" s="8"/>
      <x:c r="J41" s="8" t="str">
        <x:f t="shared" si="5">IF(OR(NOT(ISNUMBER(G41)),NOT(ISNUMBER(I41))),"",G41-I41)</x:f>
      </x:c>
      <x:c r="K41" s="8" t="str">
        <x:f t="shared" si="6">IF(OR(NOT(ISNUMBER(G41)),NOT(ISNUMBER(H41)),H41&lt;=1),"",G41*H41-1)</x:f>
      </x:c>
      <x:c r="L41" s="2"/>
      <x:c r="M41" s="2"/>
      <x:c r="N41" s="2"/>
      <x:c r="O41" s="2"/>
      <x:c r="P41" s="2" t="str">
        <x:f>IF(OR(E41="",O41=""),"",IF(NOT(OR(O41="1",O41=1,O41="X",O41="2",O41=2)),"",IF(E41="1X",IF(OR(O41="1",O41=1,O41="X"),1,0),IF(E41="X2",IF(OR(O41="X",O41="2",O41=2),1,0),IF(OR(E41="12",E41=12),IF(OR(O41="1",O41=1,O41="2",O41=2),1,0),"")))))</x:f>
      </x:c>
      <x:c r="Q41" s="9" t="str">
        <x:f t="shared" si="7">IF(OR(NOT(ISNUMBER(P41)),NOT(ISNUMBER(H41)),H41&lt;=1),"",IF(P41=1,H41-1,-1))</x:f>
      </x:c>
      <x:c r="R41" s="2"/>
      <x:c r="S41" s="2"/>
      <x:c r="T41" s="2"/>
      <x:c r="U41" s="2"/>
      <x:c r="V41" s="2"/>
      <x:c r="W41" s="14" t="str">
        <x:f t="shared" si="8">IF(OR(NOT(ISNUMBER(G41)),G41&lt;0,G41&gt;1,NOT(ISNUMBER(P41))),"",(G41-P41)^2)</x:f>
      </x:c>
      <x:c r="X41" s="2" t="str">
        <x:f t="shared" si="9">IF(AND(ISNUMBER(A41),ISNUMBER(Y41),Y41&lt;A41,AB41&lt;&gt;"",ISNUMBER(P41),ISNUMBER(G41),G41&gt;=0,G41&lt;=1,OR(M41="DEFENSIV",M41="PRUDENT",M41="MODERAT",M41="RIDICAT",M41="WATCH",M41="NO BET")),"YES","NO")</x:f>
        <x:v>NO</x:v>
      </x:c>
      <x:c r="Y41" s="146"/>
      <x:c r="Z41" t="str">
        <x:f>IF(AND(X41="YES",OR(M41="DEFENSIV",M41="PRUDENT",M41="MODERAT",M41="RIDICAT")),"YES","NO")</x:f>
        <x:v>NO</x:v>
      </x:c>
      <x:c r="AA41" t="str">
        <x:f>IF(NOT(ISNUMBER(H41)),"MISSING",IF(AND(ISNUMBER(H41),H41&gt;1),"VALID","INVALID"))</x:f>
        <x:v>MISSING</x:v>
      </x:c>
      <x:c r="AB41" s="144"/>
      <x:c r="AC41" t="str">
        <x:f>IF(AND(NOT(ISNUMBER(A41)),E41="",NOT(ISNUMBER(G41)),M41="",O41=""),"INPUT",IF(X41="YES","VALID","INCOMPLETE / INVALID"))</x:f>
        <x:v>INPUT</x:v>
      </x:c>
      <x:c r="AD41" t="str">
        <x:f>IF(X41="YES",P41,"")</x:f>
      </x:c>
      <x:c r="AE41" t="str">
        <x:f>IF(X41="YES",W41,"")</x:f>
      </x:c>
      <x:c r="AF41" t="str">
        <x:f>IF(X41="YES",G41,"")</x:f>
      </x:c>
      <x:c r="AG41" t="str">
        <x:f>IF(AND(Z41="YES",AA41="VALID"),Q41,"")</x:f>
      </x:c>
      <x:c r="AH41" t="str">
        <x:f>IF(AND(Z41="YES",AA41="VALID"),"YES","NO")</x:f>
        <x:v>NO</x:v>
      </x:c>
    </x:row>
    <x:row r="42" ht="15">
      <x:c r="A42" s="161"/>
      <x:c r="B42" s="2"/>
      <x:c r="C42" s="2"/>
      <x:c r="D42" s="2"/>
      <x:c r="E42" s="2"/>
      <x:c r="F42" s="8"/>
      <x:c r="G42" s="8"/>
      <x:c r="H42" s="9"/>
      <x:c r="I42" s="8"/>
      <x:c r="J42" s="8" t="str">
        <x:f t="shared" si="5">IF(OR(NOT(ISNUMBER(G42)),NOT(ISNUMBER(I42))),"",G42-I42)</x:f>
      </x:c>
      <x:c r="K42" s="8" t="str">
        <x:f t="shared" si="6">IF(OR(NOT(ISNUMBER(G42)),NOT(ISNUMBER(H42)),H42&lt;=1),"",G42*H42-1)</x:f>
      </x:c>
      <x:c r="L42" s="2"/>
      <x:c r="M42" s="2"/>
      <x:c r="N42" s="2"/>
      <x:c r="O42" s="2"/>
      <x:c r="P42" s="2" t="str">
        <x:f>IF(OR(E42="",O42=""),"",IF(NOT(OR(O42="1",O42=1,O42="X",O42="2",O42=2)),"",IF(E42="1X",IF(OR(O42="1",O42=1,O42="X"),1,0),IF(E42="X2",IF(OR(O42="X",O42="2",O42=2),1,0),IF(OR(E42="12",E42=12),IF(OR(O42="1",O42=1,O42="2",O42=2),1,0),"")))))</x:f>
      </x:c>
      <x:c r="Q42" s="9" t="str">
        <x:f t="shared" si="7">IF(OR(NOT(ISNUMBER(P42)),NOT(ISNUMBER(H42)),H42&lt;=1),"",IF(P42=1,H42-1,-1))</x:f>
      </x:c>
      <x:c r="R42" s="2"/>
      <x:c r="S42" s="2"/>
      <x:c r="T42" s="2"/>
      <x:c r="U42" s="2"/>
      <x:c r="V42" s="2"/>
      <x:c r="W42" s="14" t="str">
        <x:f t="shared" si="8">IF(OR(NOT(ISNUMBER(G42)),G42&lt;0,G42&gt;1,NOT(ISNUMBER(P42))),"",(G42-P42)^2)</x:f>
      </x:c>
      <x:c r="X42" s="2" t="str">
        <x:f t="shared" si="9">IF(AND(ISNUMBER(A42),ISNUMBER(Y42),Y42&lt;A42,AB42&lt;&gt;"",ISNUMBER(P42),ISNUMBER(G42),G42&gt;=0,G42&lt;=1,OR(M42="DEFENSIV",M42="PRUDENT",M42="MODERAT",M42="RIDICAT",M42="WATCH",M42="NO BET")),"YES","NO")</x:f>
        <x:v>NO</x:v>
      </x:c>
      <x:c r="Y42" s="146"/>
      <x:c r="Z42" t="str">
        <x:f>IF(AND(X42="YES",OR(M42="DEFENSIV",M42="PRUDENT",M42="MODERAT",M42="RIDICAT")),"YES","NO")</x:f>
        <x:v>NO</x:v>
      </x:c>
      <x:c r="AA42" t="str">
        <x:f>IF(NOT(ISNUMBER(H42)),"MISSING",IF(AND(ISNUMBER(H42),H42&gt;1),"VALID","INVALID"))</x:f>
        <x:v>MISSING</x:v>
      </x:c>
      <x:c r="AB42" s="144"/>
      <x:c r="AC42" t="str">
        <x:f>IF(AND(NOT(ISNUMBER(A42)),E42="",NOT(ISNUMBER(G42)),M42="",O42=""),"INPUT",IF(X42="YES","VALID","INCOMPLETE / INVALID"))</x:f>
        <x:v>INPUT</x:v>
      </x:c>
      <x:c r="AD42" t="str">
        <x:f>IF(X42="YES",P42,"")</x:f>
      </x:c>
      <x:c r="AE42" t="str">
        <x:f>IF(X42="YES",W42,"")</x:f>
      </x:c>
      <x:c r="AF42" t="str">
        <x:f>IF(X42="YES",G42,"")</x:f>
      </x:c>
      <x:c r="AG42" t="str">
        <x:f>IF(AND(Z42="YES",AA42="VALID"),Q42,"")</x:f>
      </x:c>
      <x:c r="AH42" t="str">
        <x:f>IF(AND(Z42="YES",AA42="VALID"),"YES","NO")</x:f>
        <x:v>NO</x:v>
      </x:c>
    </x:row>
    <x:row r="43" ht="15">
      <x:c r="A43" s="161"/>
      <x:c r="B43" s="2"/>
      <x:c r="C43" s="2"/>
      <x:c r="D43" s="2"/>
      <x:c r="E43" s="2"/>
      <x:c r="F43" s="8"/>
      <x:c r="G43" s="8"/>
      <x:c r="H43" s="9"/>
      <x:c r="I43" s="8"/>
      <x:c r="J43" s="8" t="str">
        <x:f t="shared" si="5">IF(OR(NOT(ISNUMBER(G43)),NOT(ISNUMBER(I43))),"",G43-I43)</x:f>
      </x:c>
      <x:c r="K43" s="8" t="str">
        <x:f t="shared" si="6">IF(OR(NOT(ISNUMBER(G43)),NOT(ISNUMBER(H43)),H43&lt;=1),"",G43*H43-1)</x:f>
      </x:c>
      <x:c r="L43" s="2"/>
      <x:c r="M43" s="2"/>
      <x:c r="N43" s="2"/>
      <x:c r="O43" s="2"/>
      <x:c r="P43" s="2" t="str">
        <x:f>IF(OR(E43="",O43=""),"",IF(NOT(OR(O43="1",O43=1,O43="X",O43="2",O43=2)),"",IF(E43="1X",IF(OR(O43="1",O43=1,O43="X"),1,0),IF(E43="X2",IF(OR(O43="X",O43="2",O43=2),1,0),IF(OR(E43="12",E43=12),IF(OR(O43="1",O43=1,O43="2",O43=2),1,0),"")))))</x:f>
      </x:c>
      <x:c r="Q43" s="9" t="str">
        <x:f t="shared" si="7">IF(OR(NOT(ISNUMBER(P43)),NOT(ISNUMBER(H43)),H43&lt;=1),"",IF(P43=1,H43-1,-1))</x:f>
      </x:c>
      <x:c r="R43" s="2"/>
      <x:c r="S43" s="2"/>
      <x:c r="T43" s="2"/>
      <x:c r="U43" s="2"/>
      <x:c r="V43" s="2"/>
      <x:c r="W43" s="14" t="str">
        <x:f t="shared" si="8">IF(OR(NOT(ISNUMBER(G43)),G43&lt;0,G43&gt;1,NOT(ISNUMBER(P43))),"",(G43-P43)^2)</x:f>
      </x:c>
      <x:c r="X43" s="2" t="str">
        <x:f t="shared" si="9">IF(AND(ISNUMBER(A43),ISNUMBER(Y43),Y43&lt;A43,AB43&lt;&gt;"",ISNUMBER(P43),ISNUMBER(G43),G43&gt;=0,G43&lt;=1,OR(M43="DEFENSIV",M43="PRUDENT",M43="MODERAT",M43="RIDICAT",M43="WATCH",M43="NO BET")),"YES","NO")</x:f>
        <x:v>NO</x:v>
      </x:c>
      <x:c r="Y43" s="146"/>
      <x:c r="Z43" t="str">
        <x:f>IF(AND(X43="YES",OR(M43="DEFENSIV",M43="PRUDENT",M43="MODERAT",M43="RIDICAT")),"YES","NO")</x:f>
        <x:v>NO</x:v>
      </x:c>
      <x:c r="AA43" t="str">
        <x:f>IF(NOT(ISNUMBER(H43)),"MISSING",IF(AND(ISNUMBER(H43),H43&gt;1),"VALID","INVALID"))</x:f>
        <x:v>MISSING</x:v>
      </x:c>
      <x:c r="AB43" s="144"/>
      <x:c r="AC43" t="str">
        <x:f>IF(AND(NOT(ISNUMBER(A43)),E43="",NOT(ISNUMBER(G43)),M43="",O43=""),"INPUT",IF(X43="YES","VALID","INCOMPLETE / INVALID"))</x:f>
        <x:v>INPUT</x:v>
      </x:c>
      <x:c r="AD43" t="str">
        <x:f>IF(X43="YES",P43,"")</x:f>
      </x:c>
      <x:c r="AE43" t="str">
        <x:f>IF(X43="YES",W43,"")</x:f>
      </x:c>
      <x:c r="AF43" t="str">
        <x:f>IF(X43="YES",G43,"")</x:f>
      </x:c>
      <x:c r="AG43" t="str">
        <x:f>IF(AND(Z43="YES",AA43="VALID"),Q43,"")</x:f>
      </x:c>
      <x:c r="AH43" t="str">
        <x:f>IF(AND(Z43="YES",AA43="VALID"),"YES","NO")</x:f>
        <x:v>NO</x:v>
      </x:c>
    </x:row>
    <x:row r="44" ht="15">
      <x:c r="A44" s="161"/>
      <x:c r="B44" s="2"/>
      <x:c r="C44" s="2"/>
      <x:c r="D44" s="2"/>
      <x:c r="E44" s="2"/>
      <x:c r="F44" s="8"/>
      <x:c r="G44" s="8"/>
      <x:c r="H44" s="9"/>
      <x:c r="I44" s="8"/>
      <x:c r="J44" s="8" t="str">
        <x:f t="shared" si="5">IF(OR(NOT(ISNUMBER(G44)),NOT(ISNUMBER(I44))),"",G44-I44)</x:f>
      </x:c>
      <x:c r="K44" s="8" t="str">
        <x:f t="shared" si="6">IF(OR(NOT(ISNUMBER(G44)),NOT(ISNUMBER(H44)),H44&lt;=1),"",G44*H44-1)</x:f>
      </x:c>
      <x:c r="L44" s="2"/>
      <x:c r="M44" s="2"/>
      <x:c r="N44" s="2"/>
      <x:c r="O44" s="2"/>
      <x:c r="P44" s="2" t="str">
        <x:f>IF(OR(E44="",O44=""),"",IF(NOT(OR(O44="1",O44=1,O44="X",O44="2",O44=2)),"",IF(E44="1X",IF(OR(O44="1",O44=1,O44="X"),1,0),IF(E44="X2",IF(OR(O44="X",O44="2",O44=2),1,0),IF(OR(E44="12",E44=12),IF(OR(O44="1",O44=1,O44="2",O44=2),1,0),"")))))</x:f>
      </x:c>
      <x:c r="Q44" s="9" t="str">
        <x:f t="shared" si="7">IF(OR(NOT(ISNUMBER(P44)),NOT(ISNUMBER(H44)),H44&lt;=1),"",IF(P44=1,H44-1,-1))</x:f>
      </x:c>
      <x:c r="R44" s="2"/>
      <x:c r="S44" s="2"/>
      <x:c r="T44" s="2"/>
      <x:c r="U44" s="2"/>
      <x:c r="V44" s="2"/>
      <x:c r="W44" s="14" t="str">
        <x:f t="shared" si="8">IF(OR(NOT(ISNUMBER(G44)),G44&lt;0,G44&gt;1,NOT(ISNUMBER(P44))),"",(G44-P44)^2)</x:f>
      </x:c>
      <x:c r="X44" s="2" t="str">
        <x:f t="shared" si="9">IF(AND(ISNUMBER(A44),ISNUMBER(Y44),Y44&lt;A44,AB44&lt;&gt;"",ISNUMBER(P44),ISNUMBER(G44),G44&gt;=0,G44&lt;=1,OR(M44="DEFENSIV",M44="PRUDENT",M44="MODERAT",M44="RIDICAT",M44="WATCH",M44="NO BET")),"YES","NO")</x:f>
        <x:v>NO</x:v>
      </x:c>
      <x:c r="Y44" s="146"/>
      <x:c r="Z44" t="str">
        <x:f>IF(AND(X44="YES",OR(M44="DEFENSIV",M44="PRUDENT",M44="MODERAT",M44="RIDICAT")),"YES","NO")</x:f>
        <x:v>NO</x:v>
      </x:c>
      <x:c r="AA44" t="str">
        <x:f>IF(NOT(ISNUMBER(H44)),"MISSING",IF(AND(ISNUMBER(H44),H44&gt;1),"VALID","INVALID"))</x:f>
        <x:v>MISSING</x:v>
      </x:c>
      <x:c r="AB44" s="144"/>
      <x:c r="AC44" t="str">
        <x:f>IF(AND(NOT(ISNUMBER(A44)),E44="",NOT(ISNUMBER(G44)),M44="",O44=""),"INPUT",IF(X44="YES","VALID","INCOMPLETE / INVALID"))</x:f>
        <x:v>INPUT</x:v>
      </x:c>
      <x:c r="AD44" t="str">
        <x:f>IF(X44="YES",P44,"")</x:f>
      </x:c>
      <x:c r="AE44" t="str">
        <x:f>IF(X44="YES",W44,"")</x:f>
      </x:c>
      <x:c r="AF44" t="str">
        <x:f>IF(X44="YES",G44,"")</x:f>
      </x:c>
      <x:c r="AG44" t="str">
        <x:f>IF(AND(Z44="YES",AA44="VALID"),Q44,"")</x:f>
      </x:c>
      <x:c r="AH44" t="str">
        <x:f>IF(AND(Z44="YES",AA44="VALID"),"YES","NO")</x:f>
        <x:v>NO</x:v>
      </x:c>
    </x:row>
    <x:row r="45" ht="15">
      <x:c r="A45" s="161"/>
      <x:c r="B45" s="2"/>
      <x:c r="C45" s="2"/>
      <x:c r="D45" s="2"/>
      <x:c r="E45" s="2"/>
      <x:c r="F45" s="8"/>
      <x:c r="G45" s="8"/>
      <x:c r="H45" s="9"/>
      <x:c r="I45" s="8"/>
      <x:c r="J45" s="8" t="str">
        <x:f t="shared" si="5">IF(OR(NOT(ISNUMBER(G45)),NOT(ISNUMBER(I45))),"",G45-I45)</x:f>
      </x:c>
      <x:c r="K45" s="8" t="str">
        <x:f t="shared" si="6">IF(OR(NOT(ISNUMBER(G45)),NOT(ISNUMBER(H45)),H45&lt;=1),"",G45*H45-1)</x:f>
      </x:c>
      <x:c r="L45" s="2"/>
      <x:c r="M45" s="2"/>
      <x:c r="N45" s="2"/>
      <x:c r="O45" s="2"/>
      <x:c r="P45" s="2" t="str">
        <x:f>IF(OR(E45="",O45=""),"",IF(NOT(OR(O45="1",O45=1,O45="X",O45="2",O45=2)),"",IF(E45="1X",IF(OR(O45="1",O45=1,O45="X"),1,0),IF(E45="X2",IF(OR(O45="X",O45="2",O45=2),1,0),IF(OR(E45="12",E45=12),IF(OR(O45="1",O45=1,O45="2",O45=2),1,0),"")))))</x:f>
      </x:c>
      <x:c r="Q45" s="9" t="str">
        <x:f t="shared" si="7">IF(OR(NOT(ISNUMBER(P45)),NOT(ISNUMBER(H45)),H45&lt;=1),"",IF(P45=1,H45-1,-1))</x:f>
      </x:c>
      <x:c r="R45" s="2"/>
      <x:c r="S45" s="2"/>
      <x:c r="T45" s="2"/>
      <x:c r="U45" s="2"/>
      <x:c r="V45" s="2"/>
      <x:c r="W45" s="14" t="str">
        <x:f t="shared" si="8">IF(OR(NOT(ISNUMBER(G45)),G45&lt;0,G45&gt;1,NOT(ISNUMBER(P45))),"",(G45-P45)^2)</x:f>
      </x:c>
      <x:c r="X45" s="2" t="str">
        <x:f t="shared" si="9">IF(AND(ISNUMBER(A45),ISNUMBER(Y45),Y45&lt;A45,AB45&lt;&gt;"",ISNUMBER(P45),ISNUMBER(G45),G45&gt;=0,G45&lt;=1,OR(M45="DEFENSIV",M45="PRUDENT",M45="MODERAT",M45="RIDICAT",M45="WATCH",M45="NO BET")),"YES","NO")</x:f>
        <x:v>NO</x:v>
      </x:c>
      <x:c r="Y45" s="146"/>
      <x:c r="Z45" t="str">
        <x:f>IF(AND(X45="YES",OR(M45="DEFENSIV",M45="PRUDENT",M45="MODERAT",M45="RIDICAT")),"YES","NO")</x:f>
        <x:v>NO</x:v>
      </x:c>
      <x:c r="AA45" t="str">
        <x:f>IF(NOT(ISNUMBER(H45)),"MISSING",IF(AND(ISNUMBER(H45),H45&gt;1),"VALID","INVALID"))</x:f>
        <x:v>MISSING</x:v>
      </x:c>
      <x:c r="AB45" s="144"/>
      <x:c r="AC45" t="str">
        <x:f>IF(AND(NOT(ISNUMBER(A45)),E45="",NOT(ISNUMBER(G45)),M45="",O45=""),"INPUT",IF(X45="YES","VALID","INCOMPLETE / INVALID"))</x:f>
        <x:v>INPUT</x:v>
      </x:c>
      <x:c r="AD45" t="str">
        <x:f>IF(X45="YES",P45,"")</x:f>
      </x:c>
      <x:c r="AE45" t="str">
        <x:f>IF(X45="YES",W45,"")</x:f>
      </x:c>
      <x:c r="AF45" t="str">
        <x:f>IF(X45="YES",G45,"")</x:f>
      </x:c>
      <x:c r="AG45" t="str">
        <x:f>IF(AND(Z45="YES",AA45="VALID"),Q45,"")</x:f>
      </x:c>
      <x:c r="AH45" t="str">
        <x:f>IF(AND(Z45="YES",AA45="VALID"),"YES","NO")</x:f>
        <x:v>NO</x:v>
      </x:c>
    </x:row>
    <x:row r="46" ht="15">
      <x:c r="A46" s="161"/>
      <x:c r="B46" s="2"/>
      <x:c r="C46" s="2"/>
      <x:c r="D46" s="2"/>
      <x:c r="E46" s="2"/>
      <x:c r="F46" s="8"/>
      <x:c r="G46" s="8"/>
      <x:c r="H46" s="9"/>
      <x:c r="I46" s="8"/>
      <x:c r="J46" s="8" t="str">
        <x:f t="shared" si="5">IF(OR(NOT(ISNUMBER(G46)),NOT(ISNUMBER(I46))),"",G46-I46)</x:f>
      </x:c>
      <x:c r="K46" s="8" t="str">
        <x:f t="shared" si="6">IF(OR(NOT(ISNUMBER(G46)),NOT(ISNUMBER(H46)),H46&lt;=1),"",G46*H46-1)</x:f>
      </x:c>
      <x:c r="L46" s="2"/>
      <x:c r="M46" s="2"/>
      <x:c r="N46" s="2"/>
      <x:c r="O46" s="2"/>
      <x:c r="P46" s="2" t="str">
        <x:f>IF(OR(E46="",O46=""),"",IF(NOT(OR(O46="1",O46=1,O46="X",O46="2",O46=2)),"",IF(E46="1X",IF(OR(O46="1",O46=1,O46="X"),1,0),IF(E46="X2",IF(OR(O46="X",O46="2",O46=2),1,0),IF(OR(E46="12",E46=12),IF(OR(O46="1",O46=1,O46="2",O46=2),1,0),"")))))</x:f>
      </x:c>
      <x:c r="Q46" s="9" t="str">
        <x:f t="shared" si="7">IF(OR(NOT(ISNUMBER(P46)),NOT(ISNUMBER(H46)),H46&lt;=1),"",IF(P46=1,H46-1,-1))</x:f>
      </x:c>
      <x:c r="R46" s="2"/>
      <x:c r="S46" s="2"/>
      <x:c r="T46" s="2"/>
      <x:c r="U46" s="2"/>
      <x:c r="V46" s="2"/>
      <x:c r="W46" s="14" t="str">
        <x:f t="shared" si="8">IF(OR(NOT(ISNUMBER(G46)),G46&lt;0,G46&gt;1,NOT(ISNUMBER(P46))),"",(G46-P46)^2)</x:f>
      </x:c>
      <x:c r="X46" s="2" t="str">
        <x:f t="shared" si="9">IF(AND(ISNUMBER(A46),ISNUMBER(Y46),Y46&lt;A46,AB46&lt;&gt;"",ISNUMBER(P46),ISNUMBER(G46),G46&gt;=0,G46&lt;=1,OR(M46="DEFENSIV",M46="PRUDENT",M46="MODERAT",M46="RIDICAT",M46="WATCH",M46="NO BET")),"YES","NO")</x:f>
        <x:v>NO</x:v>
      </x:c>
      <x:c r="Y46" s="146"/>
      <x:c r="Z46" t="str">
        <x:f>IF(AND(X46="YES",OR(M46="DEFENSIV",M46="PRUDENT",M46="MODERAT",M46="RIDICAT")),"YES","NO")</x:f>
        <x:v>NO</x:v>
      </x:c>
      <x:c r="AA46" t="str">
        <x:f>IF(NOT(ISNUMBER(H46)),"MISSING",IF(AND(ISNUMBER(H46),H46&gt;1),"VALID","INVALID"))</x:f>
        <x:v>MISSING</x:v>
      </x:c>
      <x:c r="AB46" s="144"/>
      <x:c r="AC46" t="str">
        <x:f>IF(AND(NOT(ISNUMBER(A46)),E46="",NOT(ISNUMBER(G46)),M46="",O46=""),"INPUT",IF(X46="YES","VALID","INCOMPLETE / INVALID"))</x:f>
        <x:v>INPUT</x:v>
      </x:c>
      <x:c r="AD46" t="str">
        <x:f>IF(X46="YES",P46,"")</x:f>
      </x:c>
      <x:c r="AE46" t="str">
        <x:f>IF(X46="YES",W46,"")</x:f>
      </x:c>
      <x:c r="AF46" t="str">
        <x:f>IF(X46="YES",G46,"")</x:f>
      </x:c>
      <x:c r="AG46" t="str">
        <x:f>IF(AND(Z46="YES",AA46="VALID"),Q46,"")</x:f>
      </x:c>
      <x:c r="AH46" t="str">
        <x:f>IF(AND(Z46="YES",AA46="VALID"),"YES","NO")</x:f>
        <x:v>NO</x:v>
      </x:c>
    </x:row>
    <x:row r="47" ht="15">
      <x:c r="A47" s="161"/>
      <x:c r="B47" s="2"/>
      <x:c r="C47" s="2"/>
      <x:c r="D47" s="2"/>
      <x:c r="E47" s="2"/>
      <x:c r="F47" s="8"/>
      <x:c r="G47" s="8"/>
      <x:c r="H47" s="9"/>
      <x:c r="I47" s="8"/>
      <x:c r="J47" s="8" t="str">
        <x:f t="shared" si="5">IF(OR(NOT(ISNUMBER(G47)),NOT(ISNUMBER(I47))),"",G47-I47)</x:f>
      </x:c>
      <x:c r="K47" s="8" t="str">
        <x:f t="shared" si="6">IF(OR(NOT(ISNUMBER(G47)),NOT(ISNUMBER(H47)),H47&lt;=1),"",G47*H47-1)</x:f>
      </x:c>
      <x:c r="L47" s="2"/>
      <x:c r="M47" s="2"/>
      <x:c r="N47" s="2"/>
      <x:c r="O47" s="2"/>
      <x:c r="P47" s="2" t="str">
        <x:f>IF(OR(E47="",O47=""),"",IF(NOT(OR(O47="1",O47=1,O47="X",O47="2",O47=2)),"",IF(E47="1X",IF(OR(O47="1",O47=1,O47="X"),1,0),IF(E47="X2",IF(OR(O47="X",O47="2",O47=2),1,0),IF(OR(E47="12",E47=12),IF(OR(O47="1",O47=1,O47="2",O47=2),1,0),"")))))</x:f>
      </x:c>
      <x:c r="Q47" s="9" t="str">
        <x:f t="shared" si="7">IF(OR(NOT(ISNUMBER(P47)),NOT(ISNUMBER(H47)),H47&lt;=1),"",IF(P47=1,H47-1,-1))</x:f>
      </x:c>
      <x:c r="R47" s="2"/>
      <x:c r="S47" s="2"/>
      <x:c r="T47" s="2"/>
      <x:c r="U47" s="2"/>
      <x:c r="V47" s="2"/>
      <x:c r="W47" s="14" t="str">
        <x:f t="shared" si="8">IF(OR(NOT(ISNUMBER(G47)),G47&lt;0,G47&gt;1,NOT(ISNUMBER(P47))),"",(G47-P47)^2)</x:f>
      </x:c>
      <x:c r="X47" s="2" t="str">
        <x:f t="shared" si="9">IF(AND(ISNUMBER(A47),ISNUMBER(Y47),Y47&lt;A47,AB47&lt;&gt;"",ISNUMBER(P47),ISNUMBER(G47),G47&gt;=0,G47&lt;=1,OR(M47="DEFENSIV",M47="PRUDENT",M47="MODERAT",M47="RIDICAT",M47="WATCH",M47="NO BET")),"YES","NO")</x:f>
        <x:v>NO</x:v>
      </x:c>
      <x:c r="Y47" s="146"/>
      <x:c r="Z47" t="str">
        <x:f>IF(AND(X47="YES",OR(M47="DEFENSIV",M47="PRUDENT",M47="MODERAT",M47="RIDICAT")),"YES","NO")</x:f>
        <x:v>NO</x:v>
      </x:c>
      <x:c r="AA47" t="str">
        <x:f>IF(NOT(ISNUMBER(H47)),"MISSING",IF(AND(ISNUMBER(H47),H47&gt;1),"VALID","INVALID"))</x:f>
        <x:v>MISSING</x:v>
      </x:c>
      <x:c r="AB47" s="144"/>
      <x:c r="AC47" t="str">
        <x:f>IF(AND(NOT(ISNUMBER(A47)),E47="",NOT(ISNUMBER(G47)),M47="",O47=""),"INPUT",IF(X47="YES","VALID","INCOMPLETE / INVALID"))</x:f>
        <x:v>INPUT</x:v>
      </x:c>
      <x:c r="AD47" t="str">
        <x:f>IF(X47="YES",P47,"")</x:f>
      </x:c>
      <x:c r="AE47" t="str">
        <x:f>IF(X47="YES",W47,"")</x:f>
      </x:c>
      <x:c r="AF47" t="str">
        <x:f>IF(X47="YES",G47,"")</x:f>
      </x:c>
      <x:c r="AG47" t="str">
        <x:f>IF(AND(Z47="YES",AA47="VALID"),Q47,"")</x:f>
      </x:c>
      <x:c r="AH47" t="str">
        <x:f>IF(AND(Z47="YES",AA47="VALID"),"YES","NO")</x:f>
        <x:v>NO</x:v>
      </x:c>
    </x:row>
    <x:row r="48" ht="15">
      <x:c r="A48" s="161"/>
      <x:c r="B48" s="2"/>
      <x:c r="C48" s="2"/>
      <x:c r="D48" s="2"/>
      <x:c r="E48" s="2"/>
      <x:c r="F48" s="8"/>
      <x:c r="G48" s="8"/>
      <x:c r="H48" s="9"/>
      <x:c r="I48" s="8"/>
      <x:c r="J48" s="8" t="str">
        <x:f t="shared" si="5">IF(OR(NOT(ISNUMBER(G48)),NOT(ISNUMBER(I48))),"",G48-I48)</x:f>
      </x:c>
      <x:c r="K48" s="8" t="str">
        <x:f t="shared" si="6">IF(OR(NOT(ISNUMBER(G48)),NOT(ISNUMBER(H48)),H48&lt;=1),"",G48*H48-1)</x:f>
      </x:c>
      <x:c r="L48" s="2"/>
      <x:c r="M48" s="2"/>
      <x:c r="N48" s="2"/>
      <x:c r="O48" s="2"/>
      <x:c r="P48" s="2" t="str">
        <x:f>IF(OR(E48="",O48=""),"",IF(NOT(OR(O48="1",O48=1,O48="X",O48="2",O48=2)),"",IF(E48="1X",IF(OR(O48="1",O48=1,O48="X"),1,0),IF(E48="X2",IF(OR(O48="X",O48="2",O48=2),1,0),IF(OR(E48="12",E48=12),IF(OR(O48="1",O48=1,O48="2",O48=2),1,0),"")))))</x:f>
      </x:c>
      <x:c r="Q48" s="9" t="str">
        <x:f t="shared" si="7">IF(OR(NOT(ISNUMBER(P48)),NOT(ISNUMBER(H48)),H48&lt;=1),"",IF(P48=1,H48-1,-1))</x:f>
      </x:c>
      <x:c r="R48" s="2"/>
      <x:c r="S48" s="2"/>
      <x:c r="T48" s="2"/>
      <x:c r="U48" s="2"/>
      <x:c r="V48" s="2"/>
      <x:c r="W48" s="14" t="str">
        <x:f t="shared" si="8">IF(OR(NOT(ISNUMBER(G48)),G48&lt;0,G48&gt;1,NOT(ISNUMBER(P48))),"",(G48-P48)^2)</x:f>
      </x:c>
      <x:c r="X48" s="2" t="str">
        <x:f t="shared" si="9">IF(AND(ISNUMBER(A48),ISNUMBER(Y48),Y48&lt;A48,AB48&lt;&gt;"",ISNUMBER(P48),ISNUMBER(G48),G48&gt;=0,G48&lt;=1,OR(M48="DEFENSIV",M48="PRUDENT",M48="MODERAT",M48="RIDICAT",M48="WATCH",M48="NO BET")),"YES","NO")</x:f>
        <x:v>NO</x:v>
      </x:c>
      <x:c r="Y48" s="146"/>
      <x:c r="Z48" t="str">
        <x:f>IF(AND(X48="YES",OR(M48="DEFENSIV",M48="PRUDENT",M48="MODERAT",M48="RIDICAT")),"YES","NO")</x:f>
        <x:v>NO</x:v>
      </x:c>
      <x:c r="AA48" t="str">
        <x:f>IF(NOT(ISNUMBER(H48)),"MISSING",IF(AND(ISNUMBER(H48),H48&gt;1),"VALID","INVALID"))</x:f>
        <x:v>MISSING</x:v>
      </x:c>
      <x:c r="AB48" s="144"/>
      <x:c r="AC48" t="str">
        <x:f>IF(AND(NOT(ISNUMBER(A48)),E48="",NOT(ISNUMBER(G48)),M48="",O48=""),"INPUT",IF(X48="YES","VALID","INCOMPLETE / INVALID"))</x:f>
        <x:v>INPUT</x:v>
      </x:c>
      <x:c r="AD48" t="str">
        <x:f>IF(X48="YES",P48,"")</x:f>
      </x:c>
      <x:c r="AE48" t="str">
        <x:f>IF(X48="YES",W48,"")</x:f>
      </x:c>
      <x:c r="AF48" t="str">
        <x:f>IF(X48="YES",G48,"")</x:f>
      </x:c>
      <x:c r="AG48" t="str">
        <x:f>IF(AND(Z48="YES",AA48="VALID"),Q48,"")</x:f>
      </x:c>
      <x:c r="AH48" t="str">
        <x:f>IF(AND(Z48="YES",AA48="VALID"),"YES","NO")</x:f>
        <x:v>NO</x:v>
      </x:c>
    </x:row>
    <x:row r="49" ht="15">
      <x:c r="A49" s="161"/>
      <x:c r="B49" s="2"/>
      <x:c r="C49" s="2"/>
      <x:c r="D49" s="2"/>
      <x:c r="E49" s="2"/>
      <x:c r="F49" s="8"/>
      <x:c r="G49" s="8"/>
      <x:c r="H49" s="9"/>
      <x:c r="I49" s="8"/>
      <x:c r="J49" s="8" t="str">
        <x:f t="shared" si="5">IF(OR(NOT(ISNUMBER(G49)),NOT(ISNUMBER(I49))),"",G49-I49)</x:f>
      </x:c>
      <x:c r="K49" s="8" t="str">
        <x:f t="shared" si="6">IF(OR(NOT(ISNUMBER(G49)),NOT(ISNUMBER(H49)),H49&lt;=1),"",G49*H49-1)</x:f>
      </x:c>
      <x:c r="L49" s="2"/>
      <x:c r="M49" s="2"/>
      <x:c r="N49" s="2"/>
      <x:c r="O49" s="2"/>
      <x:c r="P49" s="2" t="str">
        <x:f>IF(OR(E49="",O49=""),"",IF(NOT(OR(O49="1",O49=1,O49="X",O49="2",O49=2)),"",IF(E49="1X",IF(OR(O49="1",O49=1,O49="X"),1,0),IF(E49="X2",IF(OR(O49="X",O49="2",O49=2),1,0),IF(OR(E49="12",E49=12),IF(OR(O49="1",O49=1,O49="2",O49=2),1,0),"")))))</x:f>
      </x:c>
      <x:c r="Q49" s="9" t="str">
        <x:f t="shared" si="7">IF(OR(NOT(ISNUMBER(P49)),NOT(ISNUMBER(H49)),H49&lt;=1),"",IF(P49=1,H49-1,-1))</x:f>
      </x:c>
      <x:c r="R49" s="2"/>
      <x:c r="S49" s="2"/>
      <x:c r="T49" s="2"/>
      <x:c r="U49" s="2"/>
      <x:c r="V49" s="2"/>
      <x:c r="W49" s="14" t="str">
        <x:f t="shared" si="8">IF(OR(NOT(ISNUMBER(G49)),G49&lt;0,G49&gt;1,NOT(ISNUMBER(P49))),"",(G49-P49)^2)</x:f>
      </x:c>
      <x:c r="X49" s="2" t="str">
        <x:f t="shared" si="9">IF(AND(ISNUMBER(A49),ISNUMBER(Y49),Y49&lt;A49,AB49&lt;&gt;"",ISNUMBER(P49),ISNUMBER(G49),G49&gt;=0,G49&lt;=1,OR(M49="DEFENSIV",M49="PRUDENT",M49="MODERAT",M49="RIDICAT",M49="WATCH",M49="NO BET")),"YES","NO")</x:f>
        <x:v>NO</x:v>
      </x:c>
      <x:c r="Y49" s="146"/>
      <x:c r="Z49" t="str">
        <x:f>IF(AND(X49="YES",OR(M49="DEFENSIV",M49="PRUDENT",M49="MODERAT",M49="RIDICAT")),"YES","NO")</x:f>
        <x:v>NO</x:v>
      </x:c>
      <x:c r="AA49" t="str">
        <x:f>IF(NOT(ISNUMBER(H49)),"MISSING",IF(AND(ISNUMBER(H49),H49&gt;1),"VALID","INVALID"))</x:f>
        <x:v>MISSING</x:v>
      </x:c>
      <x:c r="AB49" s="144"/>
      <x:c r="AC49" t="str">
        <x:f>IF(AND(NOT(ISNUMBER(A49)),E49="",NOT(ISNUMBER(G49)),M49="",O49=""),"INPUT",IF(X49="YES","VALID","INCOMPLETE / INVALID"))</x:f>
        <x:v>INPUT</x:v>
      </x:c>
      <x:c r="AD49" t="str">
        <x:f>IF(X49="YES",P49,"")</x:f>
      </x:c>
      <x:c r="AE49" t="str">
        <x:f>IF(X49="YES",W49,"")</x:f>
      </x:c>
      <x:c r="AF49" t="str">
        <x:f>IF(X49="YES",G49,"")</x:f>
      </x:c>
      <x:c r="AG49" t="str">
        <x:f>IF(AND(Z49="YES",AA49="VALID"),Q49,"")</x:f>
      </x:c>
      <x:c r="AH49" t="str">
        <x:f>IF(AND(Z49="YES",AA49="VALID"),"YES","NO")</x:f>
        <x:v>NO</x:v>
      </x:c>
    </x:row>
    <x:row r="50" ht="15">
      <x:c r="A50" s="161"/>
      <x:c r="B50" s="2"/>
      <x:c r="C50" s="2"/>
      <x:c r="D50" s="2"/>
      <x:c r="E50" s="2"/>
      <x:c r="F50" s="8"/>
      <x:c r="G50" s="8"/>
      <x:c r="H50" s="9"/>
      <x:c r="I50" s="8"/>
      <x:c r="J50" s="8" t="str">
        <x:f t="shared" si="5">IF(OR(NOT(ISNUMBER(G50)),NOT(ISNUMBER(I50))),"",G50-I50)</x:f>
      </x:c>
      <x:c r="K50" s="8" t="str">
        <x:f t="shared" si="6">IF(OR(NOT(ISNUMBER(G50)),NOT(ISNUMBER(H50)),H50&lt;=1),"",G50*H50-1)</x:f>
      </x:c>
      <x:c r="L50" s="2"/>
      <x:c r="M50" s="2"/>
      <x:c r="N50" s="2"/>
      <x:c r="O50" s="2"/>
      <x:c r="P50" s="2" t="str">
        <x:f>IF(OR(E50="",O50=""),"",IF(NOT(OR(O50="1",O50=1,O50="X",O50="2",O50=2)),"",IF(E50="1X",IF(OR(O50="1",O50=1,O50="X"),1,0),IF(E50="X2",IF(OR(O50="X",O50="2",O50=2),1,0),IF(OR(E50="12",E50=12),IF(OR(O50="1",O50=1,O50="2",O50=2),1,0),"")))))</x:f>
      </x:c>
      <x:c r="Q50" s="9" t="str">
        <x:f t="shared" si="7">IF(OR(NOT(ISNUMBER(P50)),NOT(ISNUMBER(H50)),H50&lt;=1),"",IF(P50=1,H50-1,-1))</x:f>
      </x:c>
      <x:c r="R50" s="2"/>
      <x:c r="S50" s="2"/>
      <x:c r="T50" s="2"/>
      <x:c r="U50" s="2"/>
      <x:c r="V50" s="2"/>
      <x:c r="W50" s="14" t="str">
        <x:f t="shared" si="8">IF(OR(NOT(ISNUMBER(G50)),G50&lt;0,G50&gt;1,NOT(ISNUMBER(P50))),"",(G50-P50)^2)</x:f>
      </x:c>
      <x:c r="X50" s="2" t="str">
        <x:f t="shared" si="9">IF(AND(ISNUMBER(A50),ISNUMBER(Y50),Y50&lt;A50,AB50&lt;&gt;"",ISNUMBER(P50),ISNUMBER(G50),G50&gt;=0,G50&lt;=1,OR(M50="DEFENSIV",M50="PRUDENT",M50="MODERAT",M50="RIDICAT",M50="WATCH",M50="NO BET")),"YES","NO")</x:f>
        <x:v>NO</x:v>
      </x:c>
      <x:c r="Y50" s="146"/>
      <x:c r="Z50" t="str">
        <x:f>IF(AND(X50="YES",OR(M50="DEFENSIV",M50="PRUDENT",M50="MODERAT",M50="RIDICAT")),"YES","NO")</x:f>
        <x:v>NO</x:v>
      </x:c>
      <x:c r="AA50" t="str">
        <x:f>IF(NOT(ISNUMBER(H50)),"MISSING",IF(AND(ISNUMBER(H50),H50&gt;1),"VALID","INVALID"))</x:f>
        <x:v>MISSING</x:v>
      </x:c>
      <x:c r="AB50" s="144"/>
      <x:c r="AC50" t="str">
        <x:f>IF(AND(NOT(ISNUMBER(A50)),E50="",NOT(ISNUMBER(G50)),M50="",O50=""),"INPUT",IF(X50="YES","VALID","INCOMPLETE / INVALID"))</x:f>
        <x:v>INPUT</x:v>
      </x:c>
      <x:c r="AD50" t="str">
        <x:f>IF(X50="YES",P50,"")</x:f>
      </x:c>
      <x:c r="AE50" t="str">
        <x:f>IF(X50="YES",W50,"")</x:f>
      </x:c>
      <x:c r="AF50" t="str">
        <x:f>IF(X50="YES",G50,"")</x:f>
      </x:c>
      <x:c r="AG50" t="str">
        <x:f>IF(AND(Z50="YES",AA50="VALID"),Q50,"")</x:f>
      </x:c>
      <x:c r="AH50" t="str">
        <x:f>IF(AND(Z50="YES",AA50="VALID"),"YES","NO")</x:f>
        <x:v>NO</x:v>
      </x:c>
    </x:row>
    <x:row r="51" ht="15">
      <x:c r="A51" s="161"/>
      <x:c r="B51" s="2"/>
      <x:c r="C51" s="2"/>
      <x:c r="D51" s="2"/>
      <x:c r="E51" s="2"/>
      <x:c r="F51" s="8"/>
      <x:c r="G51" s="8"/>
      <x:c r="H51" s="9"/>
      <x:c r="I51" s="8"/>
      <x:c r="J51" s="8" t="str">
        <x:f t="shared" si="5">IF(OR(NOT(ISNUMBER(G51)),NOT(ISNUMBER(I51))),"",G51-I51)</x:f>
      </x:c>
      <x:c r="K51" s="8" t="str">
        <x:f t="shared" si="6">IF(OR(NOT(ISNUMBER(G51)),NOT(ISNUMBER(H51)),H51&lt;=1),"",G51*H51-1)</x:f>
      </x:c>
      <x:c r="L51" s="2"/>
      <x:c r="M51" s="2"/>
      <x:c r="N51" s="2"/>
      <x:c r="O51" s="2"/>
      <x:c r="P51" s="2" t="str">
        <x:f>IF(OR(E51="",O51=""),"",IF(NOT(OR(O51="1",O51=1,O51="X",O51="2",O51=2)),"",IF(E51="1X",IF(OR(O51="1",O51=1,O51="X"),1,0),IF(E51="X2",IF(OR(O51="X",O51="2",O51=2),1,0),IF(OR(E51="12",E51=12),IF(OR(O51="1",O51=1,O51="2",O51=2),1,0),"")))))</x:f>
      </x:c>
      <x:c r="Q51" s="9" t="str">
        <x:f t="shared" si="7">IF(OR(NOT(ISNUMBER(P51)),NOT(ISNUMBER(H51)),H51&lt;=1),"",IF(P51=1,H51-1,-1))</x:f>
      </x:c>
      <x:c r="R51" s="2"/>
      <x:c r="S51" s="2"/>
      <x:c r="T51" s="2"/>
      <x:c r="U51" s="2"/>
      <x:c r="V51" s="2"/>
      <x:c r="W51" s="14" t="str">
        <x:f t="shared" si="8">IF(OR(NOT(ISNUMBER(G51)),G51&lt;0,G51&gt;1,NOT(ISNUMBER(P51))),"",(G51-P51)^2)</x:f>
      </x:c>
      <x:c r="X51" s="2" t="str">
        <x:f t="shared" si="9">IF(AND(ISNUMBER(A51),ISNUMBER(Y51),Y51&lt;A51,AB51&lt;&gt;"",ISNUMBER(P51),ISNUMBER(G51),G51&gt;=0,G51&lt;=1,OR(M51="DEFENSIV",M51="PRUDENT",M51="MODERAT",M51="RIDICAT",M51="WATCH",M51="NO BET")),"YES","NO")</x:f>
        <x:v>NO</x:v>
      </x:c>
      <x:c r="Y51" s="146"/>
      <x:c r="Z51" t="str">
        <x:f>IF(AND(X51="YES",OR(M51="DEFENSIV",M51="PRUDENT",M51="MODERAT",M51="RIDICAT")),"YES","NO")</x:f>
        <x:v>NO</x:v>
      </x:c>
      <x:c r="AA51" t="str">
        <x:f>IF(NOT(ISNUMBER(H51)),"MISSING",IF(AND(ISNUMBER(H51),H51&gt;1),"VALID","INVALID"))</x:f>
        <x:v>MISSING</x:v>
      </x:c>
      <x:c r="AB51" s="144"/>
      <x:c r="AC51" t="str">
        <x:f>IF(AND(NOT(ISNUMBER(A51)),E51="",NOT(ISNUMBER(G51)),M51="",O51=""),"INPUT",IF(X51="YES","VALID","INCOMPLETE / INVALID"))</x:f>
        <x:v>INPUT</x:v>
      </x:c>
      <x:c r="AD51" t="str">
        <x:f>IF(X51="YES",P51,"")</x:f>
      </x:c>
      <x:c r="AE51" t="str">
        <x:f>IF(X51="YES",W51,"")</x:f>
      </x:c>
      <x:c r="AF51" t="str">
        <x:f>IF(X51="YES",G51,"")</x:f>
      </x:c>
      <x:c r="AG51" t="str">
        <x:f>IF(AND(Z51="YES",AA51="VALID"),Q51,"")</x:f>
      </x:c>
      <x:c r="AH51" t="str">
        <x:f>IF(AND(Z51="YES",AA51="VALID"),"YES","NO")</x:f>
        <x:v>NO</x:v>
      </x:c>
    </x:row>
    <x:row r="52" ht="15">
      <x:c r="A52" s="161"/>
      <x:c r="B52" s="2"/>
      <x:c r="C52" s="2"/>
      <x:c r="D52" s="2"/>
      <x:c r="E52" s="2"/>
      <x:c r="F52" s="8"/>
      <x:c r="G52" s="8"/>
      <x:c r="H52" s="9"/>
      <x:c r="I52" s="8"/>
      <x:c r="J52" s="8" t="str">
        <x:f t="shared" si="5">IF(OR(NOT(ISNUMBER(G52)),NOT(ISNUMBER(I52))),"",G52-I52)</x:f>
      </x:c>
      <x:c r="K52" s="8" t="str">
        <x:f t="shared" si="6">IF(OR(NOT(ISNUMBER(G52)),NOT(ISNUMBER(H52)),H52&lt;=1),"",G52*H52-1)</x:f>
      </x:c>
      <x:c r="L52" s="2"/>
      <x:c r="M52" s="2"/>
      <x:c r="N52" s="2"/>
      <x:c r="O52" s="2"/>
      <x:c r="P52" s="2" t="str">
        <x:f>IF(OR(E52="",O52=""),"",IF(NOT(OR(O52="1",O52=1,O52="X",O52="2",O52=2)),"",IF(E52="1X",IF(OR(O52="1",O52=1,O52="X"),1,0),IF(E52="X2",IF(OR(O52="X",O52="2",O52=2),1,0),IF(OR(E52="12",E52=12),IF(OR(O52="1",O52=1,O52="2",O52=2),1,0),"")))))</x:f>
      </x:c>
      <x:c r="Q52" s="9" t="str">
        <x:f t="shared" si="7">IF(OR(NOT(ISNUMBER(P52)),NOT(ISNUMBER(H52)),H52&lt;=1),"",IF(P52=1,H52-1,-1))</x:f>
      </x:c>
      <x:c r="R52" s="2"/>
      <x:c r="S52" s="2"/>
      <x:c r="T52" s="2"/>
      <x:c r="U52" s="2"/>
      <x:c r="V52" s="2"/>
      <x:c r="W52" s="14" t="str">
        <x:f t="shared" si="8">IF(OR(NOT(ISNUMBER(G52)),G52&lt;0,G52&gt;1,NOT(ISNUMBER(P52))),"",(G52-P52)^2)</x:f>
      </x:c>
      <x:c r="X52" s="2" t="str">
        <x:f t="shared" si="9">IF(AND(ISNUMBER(A52),ISNUMBER(Y52),Y52&lt;A52,AB52&lt;&gt;"",ISNUMBER(P52),ISNUMBER(G52),G52&gt;=0,G52&lt;=1,OR(M52="DEFENSIV",M52="PRUDENT",M52="MODERAT",M52="RIDICAT",M52="WATCH",M52="NO BET")),"YES","NO")</x:f>
        <x:v>NO</x:v>
      </x:c>
      <x:c r="Y52" s="146"/>
      <x:c r="Z52" t="str">
        <x:f>IF(AND(X52="YES",OR(M52="DEFENSIV",M52="PRUDENT",M52="MODERAT",M52="RIDICAT")),"YES","NO")</x:f>
        <x:v>NO</x:v>
      </x:c>
      <x:c r="AA52" t="str">
        <x:f>IF(NOT(ISNUMBER(H52)),"MISSING",IF(AND(ISNUMBER(H52),H52&gt;1),"VALID","INVALID"))</x:f>
        <x:v>MISSING</x:v>
      </x:c>
      <x:c r="AB52" s="144"/>
      <x:c r="AC52" t="str">
        <x:f>IF(AND(NOT(ISNUMBER(A52)),E52="",NOT(ISNUMBER(G52)),M52="",O52=""),"INPUT",IF(X52="YES","VALID","INCOMPLETE / INVALID"))</x:f>
        <x:v>INPUT</x:v>
      </x:c>
      <x:c r="AD52" t="str">
        <x:f>IF(X52="YES",P52,"")</x:f>
      </x:c>
      <x:c r="AE52" t="str">
        <x:f>IF(X52="YES",W52,"")</x:f>
      </x:c>
      <x:c r="AF52" t="str">
        <x:f>IF(X52="YES",G52,"")</x:f>
      </x:c>
      <x:c r="AG52" t="str">
        <x:f>IF(AND(Z52="YES",AA52="VALID"),Q52,"")</x:f>
      </x:c>
      <x:c r="AH52" t="str">
        <x:f>IF(AND(Z52="YES",AA52="VALID"),"YES","NO")</x:f>
        <x:v>NO</x:v>
      </x:c>
    </x:row>
    <x:row r="53" ht="15">
      <x:c r="A53" s="161"/>
      <x:c r="B53" s="2"/>
      <x:c r="C53" s="2"/>
      <x:c r="D53" s="2"/>
      <x:c r="E53" s="2"/>
      <x:c r="F53" s="8"/>
      <x:c r="G53" s="8"/>
      <x:c r="H53" s="9"/>
      <x:c r="I53" s="8"/>
      <x:c r="J53" s="8" t="str">
        <x:f t="shared" si="5">IF(OR(NOT(ISNUMBER(G53)),NOT(ISNUMBER(I53))),"",G53-I53)</x:f>
      </x:c>
      <x:c r="K53" s="8" t="str">
        <x:f t="shared" si="6">IF(OR(NOT(ISNUMBER(G53)),NOT(ISNUMBER(H53)),H53&lt;=1),"",G53*H53-1)</x:f>
      </x:c>
      <x:c r="L53" s="2"/>
      <x:c r="M53" s="2"/>
      <x:c r="N53" s="2"/>
      <x:c r="O53" s="2"/>
      <x:c r="P53" s="2" t="str">
        <x:f>IF(OR(E53="",O53=""),"",IF(NOT(OR(O53="1",O53=1,O53="X",O53="2",O53=2)),"",IF(E53="1X",IF(OR(O53="1",O53=1,O53="X"),1,0),IF(E53="X2",IF(OR(O53="X",O53="2",O53=2),1,0),IF(OR(E53="12",E53=12),IF(OR(O53="1",O53=1,O53="2",O53=2),1,0),"")))))</x:f>
      </x:c>
      <x:c r="Q53" s="9" t="str">
        <x:f t="shared" si="7">IF(OR(NOT(ISNUMBER(P53)),NOT(ISNUMBER(H53)),H53&lt;=1),"",IF(P53=1,H53-1,-1))</x:f>
      </x:c>
      <x:c r="R53" s="2"/>
      <x:c r="S53" s="2"/>
      <x:c r="T53" s="2"/>
      <x:c r="U53" s="2"/>
      <x:c r="V53" s="2"/>
      <x:c r="W53" s="14" t="str">
        <x:f t="shared" si="8">IF(OR(NOT(ISNUMBER(G53)),G53&lt;0,G53&gt;1,NOT(ISNUMBER(P53))),"",(G53-P53)^2)</x:f>
      </x:c>
      <x:c r="X53" s="2" t="str">
        <x:f t="shared" si="9">IF(AND(ISNUMBER(A53),ISNUMBER(Y53),Y53&lt;A53,AB53&lt;&gt;"",ISNUMBER(P53),ISNUMBER(G53),G53&gt;=0,G53&lt;=1,OR(M53="DEFENSIV",M53="PRUDENT",M53="MODERAT",M53="RIDICAT",M53="WATCH",M53="NO BET")),"YES","NO")</x:f>
        <x:v>NO</x:v>
      </x:c>
      <x:c r="Y53" s="146"/>
      <x:c r="Z53" t="str">
        <x:f>IF(AND(X53="YES",OR(M53="DEFENSIV",M53="PRUDENT",M53="MODERAT",M53="RIDICAT")),"YES","NO")</x:f>
        <x:v>NO</x:v>
      </x:c>
      <x:c r="AA53" t="str">
        <x:f>IF(NOT(ISNUMBER(H53)),"MISSING",IF(AND(ISNUMBER(H53),H53&gt;1),"VALID","INVALID"))</x:f>
        <x:v>MISSING</x:v>
      </x:c>
      <x:c r="AB53" s="144"/>
      <x:c r="AC53" t="str">
        <x:f>IF(AND(NOT(ISNUMBER(A53)),E53="",NOT(ISNUMBER(G53)),M53="",O53=""),"INPUT",IF(X53="YES","VALID","INCOMPLETE / INVALID"))</x:f>
        <x:v>INPUT</x:v>
      </x:c>
      <x:c r="AD53" t="str">
        <x:f>IF(X53="YES",P53,"")</x:f>
      </x:c>
      <x:c r="AE53" t="str">
        <x:f>IF(X53="YES",W53,"")</x:f>
      </x:c>
      <x:c r="AF53" t="str">
        <x:f>IF(X53="YES",G53,"")</x:f>
      </x:c>
      <x:c r="AG53" t="str">
        <x:f>IF(AND(Z53="YES",AA53="VALID"),Q53,"")</x:f>
      </x:c>
      <x:c r="AH53" t="str">
        <x:f>IF(AND(Z53="YES",AA53="VALID"),"YES","NO")</x:f>
        <x:v>NO</x:v>
      </x:c>
    </x:row>
    <x:row r="54" ht="15">
      <x:c r="A54" s="161"/>
      <x:c r="B54" s="2"/>
      <x:c r="C54" s="2"/>
      <x:c r="D54" s="2"/>
      <x:c r="E54" s="2"/>
      <x:c r="F54" s="8"/>
      <x:c r="G54" s="8"/>
      <x:c r="H54" s="9"/>
      <x:c r="I54" s="8"/>
      <x:c r="J54" s="8" t="str">
        <x:f t="shared" si="5">IF(OR(NOT(ISNUMBER(G54)),NOT(ISNUMBER(I54))),"",G54-I54)</x:f>
      </x:c>
      <x:c r="K54" s="8" t="str">
        <x:f t="shared" si="6">IF(OR(NOT(ISNUMBER(G54)),NOT(ISNUMBER(H54)),H54&lt;=1),"",G54*H54-1)</x:f>
      </x:c>
      <x:c r="L54" s="2"/>
      <x:c r="M54" s="2"/>
      <x:c r="N54" s="2"/>
      <x:c r="O54" s="2"/>
      <x:c r="P54" s="2" t="str">
        <x:f>IF(OR(E54="",O54=""),"",IF(NOT(OR(O54="1",O54=1,O54="X",O54="2",O54=2)),"",IF(E54="1X",IF(OR(O54="1",O54=1,O54="X"),1,0),IF(E54="X2",IF(OR(O54="X",O54="2",O54=2),1,0),IF(OR(E54="12",E54=12),IF(OR(O54="1",O54=1,O54="2",O54=2),1,0),"")))))</x:f>
      </x:c>
      <x:c r="Q54" s="9" t="str">
        <x:f t="shared" si="7">IF(OR(NOT(ISNUMBER(P54)),NOT(ISNUMBER(H54)),H54&lt;=1),"",IF(P54=1,H54-1,-1))</x:f>
      </x:c>
      <x:c r="R54" s="2"/>
      <x:c r="S54" s="2"/>
      <x:c r="T54" s="2"/>
      <x:c r="U54" s="2"/>
      <x:c r="V54" s="2"/>
      <x:c r="W54" s="14" t="str">
        <x:f t="shared" si="8">IF(OR(NOT(ISNUMBER(G54)),G54&lt;0,G54&gt;1,NOT(ISNUMBER(P54))),"",(G54-P54)^2)</x:f>
      </x:c>
      <x:c r="X54" s="2" t="str">
        <x:f t="shared" si="9">IF(AND(ISNUMBER(A54),ISNUMBER(Y54),Y54&lt;A54,AB54&lt;&gt;"",ISNUMBER(P54),ISNUMBER(G54),G54&gt;=0,G54&lt;=1,OR(M54="DEFENSIV",M54="PRUDENT",M54="MODERAT",M54="RIDICAT",M54="WATCH",M54="NO BET")),"YES","NO")</x:f>
        <x:v>NO</x:v>
      </x:c>
      <x:c r="Y54" s="146"/>
      <x:c r="Z54" t="str">
        <x:f>IF(AND(X54="YES",OR(M54="DEFENSIV",M54="PRUDENT",M54="MODERAT",M54="RIDICAT")),"YES","NO")</x:f>
        <x:v>NO</x:v>
      </x:c>
      <x:c r="AA54" t="str">
        <x:f>IF(NOT(ISNUMBER(H54)),"MISSING",IF(AND(ISNUMBER(H54),H54&gt;1),"VALID","INVALID"))</x:f>
        <x:v>MISSING</x:v>
      </x:c>
      <x:c r="AB54" s="144"/>
      <x:c r="AC54" t="str">
        <x:f>IF(AND(NOT(ISNUMBER(A54)),E54="",NOT(ISNUMBER(G54)),M54="",O54=""),"INPUT",IF(X54="YES","VALID","INCOMPLETE / INVALID"))</x:f>
        <x:v>INPUT</x:v>
      </x:c>
      <x:c r="AD54" t="str">
        <x:f>IF(X54="YES",P54,"")</x:f>
      </x:c>
      <x:c r="AE54" t="str">
        <x:f>IF(X54="YES",W54,"")</x:f>
      </x:c>
      <x:c r="AF54" t="str">
        <x:f>IF(X54="YES",G54,"")</x:f>
      </x:c>
      <x:c r="AG54" t="str">
        <x:f>IF(AND(Z54="YES",AA54="VALID"),Q54,"")</x:f>
      </x:c>
      <x:c r="AH54" t="str">
        <x:f>IF(AND(Z54="YES",AA54="VALID"),"YES","NO")</x:f>
        <x:v>NO</x:v>
      </x:c>
    </x:row>
    <x:row r="55" ht="15">
      <x:c r="A55" s="161"/>
      <x:c r="B55" s="2"/>
      <x:c r="C55" s="2"/>
      <x:c r="D55" s="2"/>
      <x:c r="E55" s="2"/>
      <x:c r="F55" s="8"/>
      <x:c r="G55" s="8"/>
      <x:c r="H55" s="9"/>
      <x:c r="I55" s="8"/>
      <x:c r="J55" s="8" t="str">
        <x:f t="shared" si="5">IF(OR(NOT(ISNUMBER(G55)),NOT(ISNUMBER(I55))),"",G55-I55)</x:f>
      </x:c>
      <x:c r="K55" s="8" t="str">
        <x:f t="shared" si="6">IF(OR(NOT(ISNUMBER(G55)),NOT(ISNUMBER(H55)),H55&lt;=1),"",G55*H55-1)</x:f>
      </x:c>
      <x:c r="L55" s="2"/>
      <x:c r="M55" s="2"/>
      <x:c r="N55" s="2"/>
      <x:c r="O55" s="2"/>
      <x:c r="P55" s="2" t="str">
        <x:f>IF(OR(E55="",O55=""),"",IF(NOT(OR(O55="1",O55=1,O55="X",O55="2",O55=2)),"",IF(E55="1X",IF(OR(O55="1",O55=1,O55="X"),1,0),IF(E55="X2",IF(OR(O55="X",O55="2",O55=2),1,0),IF(OR(E55="12",E55=12),IF(OR(O55="1",O55=1,O55="2",O55=2),1,0),"")))))</x:f>
      </x:c>
      <x:c r="Q55" s="9" t="str">
        <x:f t="shared" si="7">IF(OR(NOT(ISNUMBER(P55)),NOT(ISNUMBER(H55)),H55&lt;=1),"",IF(P55=1,H55-1,-1))</x:f>
      </x:c>
      <x:c r="R55" s="2"/>
      <x:c r="S55" s="2"/>
      <x:c r="T55" s="2"/>
      <x:c r="U55" s="2"/>
      <x:c r="V55" s="2"/>
      <x:c r="W55" s="14" t="str">
        <x:f t="shared" si="8">IF(OR(NOT(ISNUMBER(G55)),G55&lt;0,G55&gt;1,NOT(ISNUMBER(P55))),"",(G55-P55)^2)</x:f>
      </x:c>
      <x:c r="X55" s="2" t="str">
        <x:f t="shared" si="9">IF(AND(ISNUMBER(A55),ISNUMBER(Y55),Y55&lt;A55,AB55&lt;&gt;"",ISNUMBER(P55),ISNUMBER(G55),G55&gt;=0,G55&lt;=1,OR(M55="DEFENSIV",M55="PRUDENT",M55="MODERAT",M55="RIDICAT",M55="WATCH",M55="NO BET")),"YES","NO")</x:f>
        <x:v>NO</x:v>
      </x:c>
      <x:c r="Y55" s="146"/>
      <x:c r="Z55" t="str">
        <x:f>IF(AND(X55="YES",OR(M55="DEFENSIV",M55="PRUDENT",M55="MODERAT",M55="RIDICAT")),"YES","NO")</x:f>
        <x:v>NO</x:v>
      </x:c>
      <x:c r="AA55" t="str">
        <x:f>IF(NOT(ISNUMBER(H55)),"MISSING",IF(AND(ISNUMBER(H55),H55&gt;1),"VALID","INVALID"))</x:f>
        <x:v>MISSING</x:v>
      </x:c>
      <x:c r="AB55" s="144"/>
      <x:c r="AC55" t="str">
        <x:f>IF(AND(NOT(ISNUMBER(A55)),E55="",NOT(ISNUMBER(G55)),M55="",O55=""),"INPUT",IF(X55="YES","VALID","INCOMPLETE / INVALID"))</x:f>
        <x:v>INPUT</x:v>
      </x:c>
      <x:c r="AD55" t="str">
        <x:f>IF(X55="YES",P55,"")</x:f>
      </x:c>
      <x:c r="AE55" t="str">
        <x:f>IF(X55="YES",W55,"")</x:f>
      </x:c>
      <x:c r="AF55" t="str">
        <x:f>IF(X55="YES",G55,"")</x:f>
      </x:c>
      <x:c r="AG55" t="str">
        <x:f>IF(AND(Z55="YES",AA55="VALID"),Q55,"")</x:f>
      </x:c>
      <x:c r="AH55" t="str">
        <x:f>IF(AND(Z55="YES",AA55="VALID"),"YES","NO")</x:f>
        <x:v>NO</x:v>
      </x:c>
    </x:row>
    <x:row r="56" ht="15">
      <x:c r="A56" s="161"/>
      <x:c r="B56" s="2"/>
      <x:c r="C56" s="2"/>
      <x:c r="D56" s="2"/>
      <x:c r="E56" s="2"/>
      <x:c r="F56" s="8"/>
      <x:c r="G56" s="8"/>
      <x:c r="H56" s="9"/>
      <x:c r="I56" s="8"/>
      <x:c r="J56" s="8" t="str">
        <x:f t="shared" si="5">IF(OR(NOT(ISNUMBER(G56)),NOT(ISNUMBER(I56))),"",G56-I56)</x:f>
      </x:c>
      <x:c r="K56" s="8" t="str">
        <x:f t="shared" si="6">IF(OR(NOT(ISNUMBER(G56)),NOT(ISNUMBER(H56)),H56&lt;=1),"",G56*H56-1)</x:f>
      </x:c>
      <x:c r="L56" s="2"/>
      <x:c r="M56" s="2"/>
      <x:c r="N56" s="2"/>
      <x:c r="O56" s="2"/>
      <x:c r="P56" s="2" t="str">
        <x:f>IF(OR(E56="",O56=""),"",IF(NOT(OR(O56="1",O56=1,O56="X",O56="2",O56=2)),"",IF(E56="1X",IF(OR(O56="1",O56=1,O56="X"),1,0),IF(E56="X2",IF(OR(O56="X",O56="2",O56=2),1,0),IF(OR(E56="12",E56=12),IF(OR(O56="1",O56=1,O56="2",O56=2),1,0),"")))))</x:f>
      </x:c>
      <x:c r="Q56" s="9" t="str">
        <x:f t="shared" si="7">IF(OR(NOT(ISNUMBER(P56)),NOT(ISNUMBER(H56)),H56&lt;=1),"",IF(P56=1,H56-1,-1))</x:f>
      </x:c>
      <x:c r="R56" s="2"/>
      <x:c r="S56" s="2"/>
      <x:c r="T56" s="2"/>
      <x:c r="U56" s="2"/>
      <x:c r="V56" s="2"/>
      <x:c r="W56" s="14" t="str">
        <x:f t="shared" si="8">IF(OR(NOT(ISNUMBER(G56)),G56&lt;0,G56&gt;1,NOT(ISNUMBER(P56))),"",(G56-P56)^2)</x:f>
      </x:c>
      <x:c r="X56" s="2" t="str">
        <x:f t="shared" si="9">IF(AND(ISNUMBER(A56),ISNUMBER(Y56),Y56&lt;A56,AB56&lt;&gt;"",ISNUMBER(P56),ISNUMBER(G56),G56&gt;=0,G56&lt;=1,OR(M56="DEFENSIV",M56="PRUDENT",M56="MODERAT",M56="RIDICAT",M56="WATCH",M56="NO BET")),"YES","NO")</x:f>
        <x:v>NO</x:v>
      </x:c>
      <x:c r="Y56" s="146"/>
      <x:c r="Z56" t="str">
        <x:f>IF(AND(X56="YES",OR(M56="DEFENSIV",M56="PRUDENT",M56="MODERAT",M56="RIDICAT")),"YES","NO")</x:f>
        <x:v>NO</x:v>
      </x:c>
      <x:c r="AA56" t="str">
        <x:f>IF(NOT(ISNUMBER(H56)),"MISSING",IF(AND(ISNUMBER(H56),H56&gt;1),"VALID","INVALID"))</x:f>
        <x:v>MISSING</x:v>
      </x:c>
      <x:c r="AB56" s="144"/>
      <x:c r="AC56" t="str">
        <x:f>IF(AND(NOT(ISNUMBER(A56)),E56="",NOT(ISNUMBER(G56)),M56="",O56=""),"INPUT",IF(X56="YES","VALID","INCOMPLETE / INVALID"))</x:f>
        <x:v>INPUT</x:v>
      </x:c>
      <x:c r="AD56" t="str">
        <x:f>IF(X56="YES",P56,"")</x:f>
      </x:c>
      <x:c r="AE56" t="str">
        <x:f>IF(X56="YES",W56,"")</x:f>
      </x:c>
      <x:c r="AF56" t="str">
        <x:f>IF(X56="YES",G56,"")</x:f>
      </x:c>
      <x:c r="AG56" t="str">
        <x:f>IF(AND(Z56="YES",AA56="VALID"),Q56,"")</x:f>
      </x:c>
      <x:c r="AH56" t="str">
        <x:f>IF(AND(Z56="YES",AA56="VALID"),"YES","NO")</x:f>
        <x:v>NO</x:v>
      </x:c>
    </x:row>
    <x:row r="57" ht="15">
      <x:c r="A57" s="161"/>
      <x:c r="B57" s="2"/>
      <x:c r="C57" s="2"/>
      <x:c r="D57" s="2"/>
      <x:c r="E57" s="2"/>
      <x:c r="F57" s="8"/>
      <x:c r="G57" s="8"/>
      <x:c r="H57" s="9"/>
      <x:c r="I57" s="8"/>
      <x:c r="J57" s="8" t="str">
        <x:f t="shared" si="5">IF(OR(NOT(ISNUMBER(G57)),NOT(ISNUMBER(I57))),"",G57-I57)</x:f>
      </x:c>
      <x:c r="K57" s="8" t="str">
        <x:f t="shared" si="6">IF(OR(NOT(ISNUMBER(G57)),NOT(ISNUMBER(H57)),H57&lt;=1),"",G57*H57-1)</x:f>
      </x:c>
      <x:c r="L57" s="2"/>
      <x:c r="M57" s="2"/>
      <x:c r="N57" s="2"/>
      <x:c r="O57" s="2"/>
      <x:c r="P57" s="2" t="str">
        <x:f>IF(OR(E57="",O57=""),"",IF(NOT(OR(O57="1",O57=1,O57="X",O57="2",O57=2)),"",IF(E57="1X",IF(OR(O57="1",O57=1,O57="X"),1,0),IF(E57="X2",IF(OR(O57="X",O57="2",O57=2),1,0),IF(OR(E57="12",E57=12),IF(OR(O57="1",O57=1,O57="2",O57=2),1,0),"")))))</x:f>
      </x:c>
      <x:c r="Q57" s="9" t="str">
        <x:f t="shared" si="7">IF(OR(NOT(ISNUMBER(P57)),NOT(ISNUMBER(H57)),H57&lt;=1),"",IF(P57=1,H57-1,-1))</x:f>
      </x:c>
      <x:c r="R57" s="2"/>
      <x:c r="S57" s="2"/>
      <x:c r="T57" s="2"/>
      <x:c r="U57" s="2"/>
      <x:c r="V57" s="2"/>
      <x:c r="W57" s="14" t="str">
        <x:f t="shared" si="8">IF(OR(NOT(ISNUMBER(G57)),G57&lt;0,G57&gt;1,NOT(ISNUMBER(P57))),"",(G57-P57)^2)</x:f>
      </x:c>
      <x:c r="X57" s="2" t="str">
        <x:f t="shared" si="9">IF(AND(ISNUMBER(A57),ISNUMBER(Y57),Y57&lt;A57,AB57&lt;&gt;"",ISNUMBER(P57),ISNUMBER(G57),G57&gt;=0,G57&lt;=1,OR(M57="DEFENSIV",M57="PRUDENT",M57="MODERAT",M57="RIDICAT",M57="WATCH",M57="NO BET")),"YES","NO")</x:f>
        <x:v>NO</x:v>
      </x:c>
      <x:c r="Y57" s="146"/>
      <x:c r="Z57" t="str">
        <x:f>IF(AND(X57="YES",OR(M57="DEFENSIV",M57="PRUDENT",M57="MODERAT",M57="RIDICAT")),"YES","NO")</x:f>
        <x:v>NO</x:v>
      </x:c>
      <x:c r="AA57" t="str">
        <x:f>IF(NOT(ISNUMBER(H57)),"MISSING",IF(AND(ISNUMBER(H57),H57&gt;1),"VALID","INVALID"))</x:f>
        <x:v>MISSING</x:v>
      </x:c>
      <x:c r="AB57" s="144"/>
      <x:c r="AC57" t="str">
        <x:f>IF(AND(NOT(ISNUMBER(A57)),E57="",NOT(ISNUMBER(G57)),M57="",O57=""),"INPUT",IF(X57="YES","VALID","INCOMPLETE / INVALID"))</x:f>
        <x:v>INPUT</x:v>
      </x:c>
      <x:c r="AD57" t="str">
        <x:f>IF(X57="YES",P57,"")</x:f>
      </x:c>
      <x:c r="AE57" t="str">
        <x:f>IF(X57="YES",W57,"")</x:f>
      </x:c>
      <x:c r="AF57" t="str">
        <x:f>IF(X57="YES",G57,"")</x:f>
      </x:c>
      <x:c r="AG57" t="str">
        <x:f>IF(AND(Z57="YES",AA57="VALID"),Q57,"")</x:f>
      </x:c>
      <x:c r="AH57" t="str">
        <x:f>IF(AND(Z57="YES",AA57="VALID"),"YES","NO")</x:f>
        <x:v>NO</x:v>
      </x:c>
    </x:row>
    <x:row r="58" ht="15">
      <x:c r="A58" s="161"/>
      <x:c r="B58" s="2"/>
      <x:c r="C58" s="2"/>
      <x:c r="D58" s="2"/>
      <x:c r="E58" s="2"/>
      <x:c r="F58" s="8"/>
      <x:c r="G58" s="8"/>
      <x:c r="H58" s="9"/>
      <x:c r="I58" s="8"/>
      <x:c r="J58" s="8" t="str">
        <x:f t="shared" si="5">IF(OR(NOT(ISNUMBER(G58)),NOT(ISNUMBER(I58))),"",G58-I58)</x:f>
      </x:c>
      <x:c r="K58" s="8" t="str">
        <x:f t="shared" si="6">IF(OR(NOT(ISNUMBER(G58)),NOT(ISNUMBER(H58)),H58&lt;=1),"",G58*H58-1)</x:f>
      </x:c>
      <x:c r="L58" s="2"/>
      <x:c r="M58" s="2"/>
      <x:c r="N58" s="2"/>
      <x:c r="O58" s="2"/>
      <x:c r="P58" s="2" t="str">
        <x:f>IF(OR(E58="",O58=""),"",IF(NOT(OR(O58="1",O58=1,O58="X",O58="2",O58=2)),"",IF(E58="1X",IF(OR(O58="1",O58=1,O58="X"),1,0),IF(E58="X2",IF(OR(O58="X",O58="2",O58=2),1,0),IF(OR(E58="12",E58=12),IF(OR(O58="1",O58=1,O58="2",O58=2),1,0),"")))))</x:f>
      </x:c>
      <x:c r="Q58" s="9" t="str">
        <x:f t="shared" si="7">IF(OR(NOT(ISNUMBER(P58)),NOT(ISNUMBER(H58)),H58&lt;=1),"",IF(P58=1,H58-1,-1))</x:f>
      </x:c>
      <x:c r="R58" s="2"/>
      <x:c r="S58" s="2"/>
      <x:c r="T58" s="2"/>
      <x:c r="U58" s="2"/>
      <x:c r="V58" s="2"/>
      <x:c r="W58" s="14" t="str">
        <x:f t="shared" si="8">IF(OR(NOT(ISNUMBER(G58)),G58&lt;0,G58&gt;1,NOT(ISNUMBER(P58))),"",(G58-P58)^2)</x:f>
      </x:c>
      <x:c r="X58" s="2" t="str">
        <x:f t="shared" si="9">IF(AND(ISNUMBER(A58),ISNUMBER(Y58),Y58&lt;A58,AB58&lt;&gt;"",ISNUMBER(P58),ISNUMBER(G58),G58&gt;=0,G58&lt;=1,OR(M58="DEFENSIV",M58="PRUDENT",M58="MODERAT",M58="RIDICAT",M58="WATCH",M58="NO BET")),"YES","NO")</x:f>
        <x:v>NO</x:v>
      </x:c>
      <x:c r="Y58" s="146"/>
      <x:c r="Z58" t="str">
        <x:f>IF(AND(X58="YES",OR(M58="DEFENSIV",M58="PRUDENT",M58="MODERAT",M58="RIDICAT")),"YES","NO")</x:f>
        <x:v>NO</x:v>
      </x:c>
      <x:c r="AA58" t="str">
        <x:f>IF(NOT(ISNUMBER(H58)),"MISSING",IF(AND(ISNUMBER(H58),H58&gt;1),"VALID","INVALID"))</x:f>
        <x:v>MISSING</x:v>
      </x:c>
      <x:c r="AB58" s="144"/>
      <x:c r="AC58" t="str">
        <x:f>IF(AND(NOT(ISNUMBER(A58)),E58="",NOT(ISNUMBER(G58)),M58="",O58=""),"INPUT",IF(X58="YES","VALID","INCOMPLETE / INVALID"))</x:f>
        <x:v>INPUT</x:v>
      </x:c>
      <x:c r="AD58" t="str">
        <x:f>IF(X58="YES",P58,"")</x:f>
      </x:c>
      <x:c r="AE58" t="str">
        <x:f>IF(X58="YES",W58,"")</x:f>
      </x:c>
      <x:c r="AF58" t="str">
        <x:f>IF(X58="YES",G58,"")</x:f>
      </x:c>
      <x:c r="AG58" t="str">
        <x:f>IF(AND(Z58="YES",AA58="VALID"),Q58,"")</x:f>
      </x:c>
      <x:c r="AH58" t="str">
        <x:f>IF(AND(Z58="YES",AA58="VALID"),"YES","NO")</x:f>
        <x:v>NO</x:v>
      </x:c>
    </x:row>
    <x:row r="59" ht="15">
      <x:c r="A59" s="161"/>
      <x:c r="B59" s="2"/>
      <x:c r="C59" s="2"/>
      <x:c r="D59" s="2"/>
      <x:c r="E59" s="2"/>
      <x:c r="F59" s="8"/>
      <x:c r="G59" s="8"/>
      <x:c r="H59" s="9"/>
      <x:c r="I59" s="8"/>
      <x:c r="J59" s="8" t="str">
        <x:f t="shared" si="5">IF(OR(NOT(ISNUMBER(G59)),NOT(ISNUMBER(I59))),"",G59-I59)</x:f>
      </x:c>
      <x:c r="K59" s="8" t="str">
        <x:f t="shared" si="6">IF(OR(NOT(ISNUMBER(G59)),NOT(ISNUMBER(H59)),H59&lt;=1),"",G59*H59-1)</x:f>
      </x:c>
      <x:c r="L59" s="2"/>
      <x:c r="M59" s="2"/>
      <x:c r="N59" s="2"/>
      <x:c r="O59" s="2"/>
      <x:c r="P59" s="2" t="str">
        <x:f>IF(OR(E59="",O59=""),"",IF(NOT(OR(O59="1",O59=1,O59="X",O59="2",O59=2)),"",IF(E59="1X",IF(OR(O59="1",O59=1,O59="X"),1,0),IF(E59="X2",IF(OR(O59="X",O59="2",O59=2),1,0),IF(OR(E59="12",E59=12),IF(OR(O59="1",O59=1,O59="2",O59=2),1,0),"")))))</x:f>
      </x:c>
      <x:c r="Q59" s="9" t="str">
        <x:f t="shared" si="7">IF(OR(NOT(ISNUMBER(P59)),NOT(ISNUMBER(H59)),H59&lt;=1),"",IF(P59=1,H59-1,-1))</x:f>
      </x:c>
      <x:c r="R59" s="2"/>
      <x:c r="S59" s="2"/>
      <x:c r="T59" s="2"/>
      <x:c r="U59" s="2"/>
      <x:c r="V59" s="2"/>
      <x:c r="W59" s="14" t="str">
        <x:f t="shared" si="8">IF(OR(NOT(ISNUMBER(G59)),G59&lt;0,G59&gt;1,NOT(ISNUMBER(P59))),"",(G59-P59)^2)</x:f>
      </x:c>
      <x:c r="X59" s="2" t="str">
        <x:f t="shared" si="9">IF(AND(ISNUMBER(A59),ISNUMBER(Y59),Y59&lt;A59,AB59&lt;&gt;"",ISNUMBER(P59),ISNUMBER(G59),G59&gt;=0,G59&lt;=1,OR(M59="DEFENSIV",M59="PRUDENT",M59="MODERAT",M59="RIDICAT",M59="WATCH",M59="NO BET")),"YES","NO")</x:f>
        <x:v>NO</x:v>
      </x:c>
      <x:c r="Y59" s="146"/>
      <x:c r="Z59" t="str">
        <x:f>IF(AND(X59="YES",OR(M59="DEFENSIV",M59="PRUDENT",M59="MODERAT",M59="RIDICAT")),"YES","NO")</x:f>
        <x:v>NO</x:v>
      </x:c>
      <x:c r="AA59" t="str">
        <x:f>IF(NOT(ISNUMBER(H59)),"MISSING",IF(AND(ISNUMBER(H59),H59&gt;1),"VALID","INVALID"))</x:f>
        <x:v>MISSING</x:v>
      </x:c>
      <x:c r="AB59" s="144"/>
      <x:c r="AC59" t="str">
        <x:f>IF(AND(NOT(ISNUMBER(A59)),E59="",NOT(ISNUMBER(G59)),M59="",O59=""),"INPUT",IF(X59="YES","VALID","INCOMPLETE / INVALID"))</x:f>
        <x:v>INPUT</x:v>
      </x:c>
      <x:c r="AD59" t="str">
        <x:f>IF(X59="YES",P59,"")</x:f>
      </x:c>
      <x:c r="AE59" t="str">
        <x:f>IF(X59="YES",W59,"")</x:f>
      </x:c>
      <x:c r="AF59" t="str">
        <x:f>IF(X59="YES",G59,"")</x:f>
      </x:c>
      <x:c r="AG59" t="str">
        <x:f>IF(AND(Z59="YES",AA59="VALID"),Q59,"")</x:f>
      </x:c>
      <x:c r="AH59" t="str">
        <x:f>IF(AND(Z59="YES",AA59="VALID"),"YES","NO")</x:f>
        <x:v>NO</x:v>
      </x:c>
    </x:row>
    <x:row r="60" ht="15">
      <x:c r="A60" s="161"/>
      <x:c r="B60" s="2"/>
      <x:c r="C60" s="2"/>
      <x:c r="D60" s="2"/>
      <x:c r="E60" s="2"/>
      <x:c r="F60" s="8"/>
      <x:c r="G60" s="8"/>
      <x:c r="H60" s="9"/>
      <x:c r="I60" s="8"/>
      <x:c r="J60" s="8" t="str">
        <x:f t="shared" si="5">IF(OR(NOT(ISNUMBER(G60)),NOT(ISNUMBER(I60))),"",G60-I60)</x:f>
      </x:c>
      <x:c r="K60" s="8" t="str">
        <x:f t="shared" si="6">IF(OR(NOT(ISNUMBER(G60)),NOT(ISNUMBER(H60)),H60&lt;=1),"",G60*H60-1)</x:f>
      </x:c>
      <x:c r="L60" s="2"/>
      <x:c r="M60" s="2"/>
      <x:c r="N60" s="2"/>
      <x:c r="O60" s="2"/>
      <x:c r="P60" s="2" t="str">
        <x:f>IF(OR(E60="",O60=""),"",IF(NOT(OR(O60="1",O60=1,O60="X",O60="2",O60=2)),"",IF(E60="1X",IF(OR(O60="1",O60=1,O60="X"),1,0),IF(E60="X2",IF(OR(O60="X",O60="2",O60=2),1,0),IF(OR(E60="12",E60=12),IF(OR(O60="1",O60=1,O60="2",O60=2),1,0),"")))))</x:f>
      </x:c>
      <x:c r="Q60" s="9" t="str">
        <x:f t="shared" si="7">IF(OR(NOT(ISNUMBER(P60)),NOT(ISNUMBER(H60)),H60&lt;=1),"",IF(P60=1,H60-1,-1))</x:f>
      </x:c>
      <x:c r="R60" s="2"/>
      <x:c r="S60" s="2"/>
      <x:c r="T60" s="2"/>
      <x:c r="U60" s="2"/>
      <x:c r="V60" s="2"/>
      <x:c r="W60" s="14" t="str">
        <x:f t="shared" si="8">IF(OR(NOT(ISNUMBER(G60)),G60&lt;0,G60&gt;1,NOT(ISNUMBER(P60))),"",(G60-P60)^2)</x:f>
      </x:c>
      <x:c r="X60" s="2" t="str">
        <x:f t="shared" si="9">IF(AND(ISNUMBER(A60),ISNUMBER(Y60),Y60&lt;A60,AB60&lt;&gt;"",ISNUMBER(P60),ISNUMBER(G60),G60&gt;=0,G60&lt;=1,OR(M60="DEFENSIV",M60="PRUDENT",M60="MODERAT",M60="RIDICAT",M60="WATCH",M60="NO BET")),"YES","NO")</x:f>
        <x:v>NO</x:v>
      </x:c>
      <x:c r="Y60" s="146"/>
      <x:c r="Z60" t="str">
        <x:f>IF(AND(X60="YES",OR(M60="DEFENSIV",M60="PRUDENT",M60="MODERAT",M60="RIDICAT")),"YES","NO")</x:f>
        <x:v>NO</x:v>
      </x:c>
      <x:c r="AA60" t="str">
        <x:f>IF(NOT(ISNUMBER(H60)),"MISSING",IF(AND(ISNUMBER(H60),H60&gt;1),"VALID","INVALID"))</x:f>
        <x:v>MISSING</x:v>
      </x:c>
      <x:c r="AB60" s="144"/>
      <x:c r="AC60" t="str">
        <x:f>IF(AND(NOT(ISNUMBER(A60)),E60="",NOT(ISNUMBER(G60)),M60="",O60=""),"INPUT",IF(X60="YES","VALID","INCOMPLETE / INVALID"))</x:f>
        <x:v>INPUT</x:v>
      </x:c>
      <x:c r="AD60" t="str">
        <x:f>IF(X60="YES",P60,"")</x:f>
      </x:c>
      <x:c r="AE60" t="str">
        <x:f>IF(X60="YES",W60,"")</x:f>
      </x:c>
      <x:c r="AF60" t="str">
        <x:f>IF(X60="YES",G60,"")</x:f>
      </x:c>
      <x:c r="AG60" t="str">
        <x:f>IF(AND(Z60="YES",AA60="VALID"),Q60,"")</x:f>
      </x:c>
      <x:c r="AH60" t="str">
        <x:f>IF(AND(Z60="YES",AA60="VALID"),"YES","NO")</x:f>
        <x:v>NO</x:v>
      </x:c>
    </x:row>
    <x:row r="61" ht="15">
      <x:c r="A61" s="161"/>
      <x:c r="B61" s="2"/>
      <x:c r="C61" s="2"/>
      <x:c r="D61" s="2"/>
      <x:c r="E61" s="2"/>
      <x:c r="F61" s="8"/>
      <x:c r="G61" s="8"/>
      <x:c r="H61" s="9"/>
      <x:c r="I61" s="8"/>
      <x:c r="J61" s="8" t="str">
        <x:f t="shared" si="5">IF(OR(NOT(ISNUMBER(G61)),NOT(ISNUMBER(I61))),"",G61-I61)</x:f>
      </x:c>
      <x:c r="K61" s="8" t="str">
        <x:f t="shared" si="6">IF(OR(NOT(ISNUMBER(G61)),NOT(ISNUMBER(H61)),H61&lt;=1),"",G61*H61-1)</x:f>
      </x:c>
      <x:c r="L61" s="2"/>
      <x:c r="M61" s="2"/>
      <x:c r="N61" s="2"/>
      <x:c r="O61" s="2"/>
      <x:c r="P61" s="2" t="str">
        <x:f>IF(OR(E61="",O61=""),"",IF(NOT(OR(O61="1",O61=1,O61="X",O61="2",O61=2)),"",IF(E61="1X",IF(OR(O61="1",O61=1,O61="X"),1,0),IF(E61="X2",IF(OR(O61="X",O61="2",O61=2),1,0),IF(OR(E61="12",E61=12),IF(OR(O61="1",O61=1,O61="2",O61=2),1,0),"")))))</x:f>
      </x:c>
      <x:c r="Q61" s="9" t="str">
        <x:f t="shared" si="7">IF(OR(NOT(ISNUMBER(P61)),NOT(ISNUMBER(H61)),H61&lt;=1),"",IF(P61=1,H61-1,-1))</x:f>
      </x:c>
      <x:c r="R61" s="2"/>
      <x:c r="S61" s="2"/>
      <x:c r="T61" s="2"/>
      <x:c r="U61" s="2"/>
      <x:c r="V61" s="2"/>
      <x:c r="W61" s="14" t="str">
        <x:f t="shared" si="8">IF(OR(NOT(ISNUMBER(G61)),G61&lt;0,G61&gt;1,NOT(ISNUMBER(P61))),"",(G61-P61)^2)</x:f>
      </x:c>
      <x:c r="X61" s="2" t="str">
        <x:f t="shared" si="9">IF(AND(ISNUMBER(A61),ISNUMBER(Y61),Y61&lt;A61,AB61&lt;&gt;"",ISNUMBER(P61),ISNUMBER(G61),G61&gt;=0,G61&lt;=1,OR(M61="DEFENSIV",M61="PRUDENT",M61="MODERAT",M61="RIDICAT",M61="WATCH",M61="NO BET")),"YES","NO")</x:f>
        <x:v>NO</x:v>
      </x:c>
      <x:c r="Y61" s="146"/>
      <x:c r="Z61" t="str">
        <x:f>IF(AND(X61="YES",OR(M61="DEFENSIV",M61="PRUDENT",M61="MODERAT",M61="RIDICAT")),"YES","NO")</x:f>
        <x:v>NO</x:v>
      </x:c>
      <x:c r="AA61" t="str">
        <x:f>IF(NOT(ISNUMBER(H61)),"MISSING",IF(AND(ISNUMBER(H61),H61&gt;1),"VALID","INVALID"))</x:f>
        <x:v>MISSING</x:v>
      </x:c>
      <x:c r="AB61" s="144"/>
      <x:c r="AC61" t="str">
        <x:f>IF(AND(NOT(ISNUMBER(A61)),E61="",NOT(ISNUMBER(G61)),M61="",O61=""),"INPUT",IF(X61="YES","VALID","INCOMPLETE / INVALID"))</x:f>
        <x:v>INPUT</x:v>
      </x:c>
      <x:c r="AD61" t="str">
        <x:f>IF(X61="YES",P61,"")</x:f>
      </x:c>
      <x:c r="AE61" t="str">
        <x:f>IF(X61="YES",W61,"")</x:f>
      </x:c>
      <x:c r="AF61" t="str">
        <x:f>IF(X61="YES",G61,"")</x:f>
      </x:c>
      <x:c r="AG61" t="str">
        <x:f>IF(AND(Z61="YES",AA61="VALID"),Q61,"")</x:f>
      </x:c>
      <x:c r="AH61" t="str">
        <x:f>IF(AND(Z61="YES",AA61="VALID"),"YES","NO")</x:f>
        <x:v>NO</x:v>
      </x:c>
    </x:row>
    <x:row r="62" ht="15">
      <x:c r="A62" s="161"/>
      <x:c r="B62" s="2"/>
      <x:c r="C62" s="2"/>
      <x:c r="D62" s="2"/>
      <x:c r="E62" s="2"/>
      <x:c r="F62" s="8"/>
      <x:c r="G62" s="8"/>
      <x:c r="H62" s="9"/>
      <x:c r="I62" s="8"/>
      <x:c r="J62" s="8" t="str">
        <x:f t="shared" si="5">IF(OR(NOT(ISNUMBER(G62)),NOT(ISNUMBER(I62))),"",G62-I62)</x:f>
      </x:c>
      <x:c r="K62" s="8" t="str">
        <x:f t="shared" si="6">IF(OR(NOT(ISNUMBER(G62)),NOT(ISNUMBER(H62)),H62&lt;=1),"",G62*H62-1)</x:f>
      </x:c>
      <x:c r="L62" s="2"/>
      <x:c r="M62" s="2"/>
      <x:c r="N62" s="2"/>
      <x:c r="O62" s="2"/>
      <x:c r="P62" s="2" t="str">
        <x:f>IF(OR(E62="",O62=""),"",IF(NOT(OR(O62="1",O62=1,O62="X",O62="2",O62=2)),"",IF(E62="1X",IF(OR(O62="1",O62=1,O62="X"),1,0),IF(E62="X2",IF(OR(O62="X",O62="2",O62=2),1,0),IF(OR(E62="12",E62=12),IF(OR(O62="1",O62=1,O62="2",O62=2),1,0),"")))))</x:f>
      </x:c>
      <x:c r="Q62" s="9" t="str">
        <x:f t="shared" si="7">IF(OR(NOT(ISNUMBER(P62)),NOT(ISNUMBER(H62)),H62&lt;=1),"",IF(P62=1,H62-1,-1))</x:f>
      </x:c>
      <x:c r="R62" s="2"/>
      <x:c r="S62" s="2"/>
      <x:c r="T62" s="2"/>
      <x:c r="U62" s="2"/>
      <x:c r="V62" s="2"/>
      <x:c r="W62" s="14" t="str">
        <x:f t="shared" si="8">IF(OR(NOT(ISNUMBER(G62)),G62&lt;0,G62&gt;1,NOT(ISNUMBER(P62))),"",(G62-P62)^2)</x:f>
      </x:c>
      <x:c r="X62" s="2" t="str">
        <x:f t="shared" si="9">IF(AND(ISNUMBER(A62),ISNUMBER(Y62),Y62&lt;A62,AB62&lt;&gt;"",ISNUMBER(P62),ISNUMBER(G62),G62&gt;=0,G62&lt;=1,OR(M62="DEFENSIV",M62="PRUDENT",M62="MODERAT",M62="RIDICAT",M62="WATCH",M62="NO BET")),"YES","NO")</x:f>
        <x:v>NO</x:v>
      </x:c>
      <x:c r="Y62" s="146"/>
      <x:c r="Z62" t="str">
        <x:f>IF(AND(X62="YES",OR(M62="DEFENSIV",M62="PRUDENT",M62="MODERAT",M62="RIDICAT")),"YES","NO")</x:f>
        <x:v>NO</x:v>
      </x:c>
      <x:c r="AA62" t="str">
        <x:f>IF(NOT(ISNUMBER(H62)),"MISSING",IF(AND(ISNUMBER(H62),H62&gt;1),"VALID","INVALID"))</x:f>
        <x:v>MISSING</x:v>
      </x:c>
      <x:c r="AB62" s="144"/>
      <x:c r="AC62" t="str">
        <x:f>IF(AND(NOT(ISNUMBER(A62)),E62="",NOT(ISNUMBER(G62)),M62="",O62=""),"INPUT",IF(X62="YES","VALID","INCOMPLETE / INVALID"))</x:f>
        <x:v>INPUT</x:v>
      </x:c>
      <x:c r="AD62" t="str">
        <x:f>IF(X62="YES",P62,"")</x:f>
      </x:c>
      <x:c r="AE62" t="str">
        <x:f>IF(X62="YES",W62,"")</x:f>
      </x:c>
      <x:c r="AF62" t="str">
        <x:f>IF(X62="YES",G62,"")</x:f>
      </x:c>
      <x:c r="AG62" t="str">
        <x:f>IF(AND(Z62="YES",AA62="VALID"),Q62,"")</x:f>
      </x:c>
      <x:c r="AH62" t="str">
        <x:f>IF(AND(Z62="YES",AA62="VALID"),"YES","NO")</x:f>
        <x:v>NO</x:v>
      </x:c>
    </x:row>
    <x:row r="63" ht="15">
      <x:c r="A63" s="161"/>
      <x:c r="B63" s="2"/>
      <x:c r="C63" s="2"/>
      <x:c r="D63" s="2"/>
      <x:c r="E63" s="2"/>
      <x:c r="F63" s="8"/>
      <x:c r="G63" s="8"/>
      <x:c r="H63" s="9"/>
      <x:c r="I63" s="8"/>
      <x:c r="J63" s="8" t="str">
        <x:f t="shared" si="5">IF(OR(NOT(ISNUMBER(G63)),NOT(ISNUMBER(I63))),"",G63-I63)</x:f>
      </x:c>
      <x:c r="K63" s="8" t="str">
        <x:f t="shared" si="6">IF(OR(NOT(ISNUMBER(G63)),NOT(ISNUMBER(H63)),H63&lt;=1),"",G63*H63-1)</x:f>
      </x:c>
      <x:c r="L63" s="2"/>
      <x:c r="M63" s="2"/>
      <x:c r="N63" s="2"/>
      <x:c r="O63" s="2"/>
      <x:c r="P63" s="2" t="str">
        <x:f>IF(OR(E63="",O63=""),"",IF(NOT(OR(O63="1",O63=1,O63="X",O63="2",O63=2)),"",IF(E63="1X",IF(OR(O63="1",O63=1,O63="X"),1,0),IF(E63="X2",IF(OR(O63="X",O63="2",O63=2),1,0),IF(OR(E63="12",E63=12),IF(OR(O63="1",O63=1,O63="2",O63=2),1,0),"")))))</x:f>
      </x:c>
      <x:c r="Q63" s="9" t="str">
        <x:f t="shared" si="7">IF(OR(NOT(ISNUMBER(P63)),NOT(ISNUMBER(H63)),H63&lt;=1),"",IF(P63=1,H63-1,-1))</x:f>
      </x:c>
      <x:c r="R63" s="2"/>
      <x:c r="S63" s="2"/>
      <x:c r="T63" s="2"/>
      <x:c r="U63" s="2"/>
      <x:c r="V63" s="2"/>
      <x:c r="W63" s="14" t="str">
        <x:f t="shared" si="8">IF(OR(NOT(ISNUMBER(G63)),G63&lt;0,G63&gt;1,NOT(ISNUMBER(P63))),"",(G63-P63)^2)</x:f>
      </x:c>
      <x:c r="X63" s="2" t="str">
        <x:f t="shared" si="9">IF(AND(ISNUMBER(A63),ISNUMBER(Y63),Y63&lt;A63,AB63&lt;&gt;"",ISNUMBER(P63),ISNUMBER(G63),G63&gt;=0,G63&lt;=1,OR(M63="DEFENSIV",M63="PRUDENT",M63="MODERAT",M63="RIDICAT",M63="WATCH",M63="NO BET")),"YES","NO")</x:f>
        <x:v>NO</x:v>
      </x:c>
      <x:c r="Y63" s="146"/>
      <x:c r="Z63" t="str">
        <x:f>IF(AND(X63="YES",OR(M63="DEFENSIV",M63="PRUDENT",M63="MODERAT",M63="RIDICAT")),"YES","NO")</x:f>
        <x:v>NO</x:v>
      </x:c>
      <x:c r="AA63" t="str">
        <x:f>IF(NOT(ISNUMBER(H63)),"MISSING",IF(AND(ISNUMBER(H63),H63&gt;1),"VALID","INVALID"))</x:f>
        <x:v>MISSING</x:v>
      </x:c>
      <x:c r="AB63" s="144"/>
      <x:c r="AC63" t="str">
        <x:f>IF(AND(NOT(ISNUMBER(A63)),E63="",NOT(ISNUMBER(G63)),M63="",O63=""),"INPUT",IF(X63="YES","VALID","INCOMPLETE / INVALID"))</x:f>
        <x:v>INPUT</x:v>
      </x:c>
      <x:c r="AD63" t="str">
        <x:f>IF(X63="YES",P63,"")</x:f>
      </x:c>
      <x:c r="AE63" t="str">
        <x:f>IF(X63="YES",W63,"")</x:f>
      </x:c>
      <x:c r="AF63" t="str">
        <x:f>IF(X63="YES",G63,"")</x:f>
      </x:c>
      <x:c r="AG63" t="str">
        <x:f>IF(AND(Z63="YES",AA63="VALID"),Q63,"")</x:f>
      </x:c>
      <x:c r="AH63" t="str">
        <x:f>IF(AND(Z63="YES",AA63="VALID"),"YES","NO")</x:f>
        <x:v>NO</x:v>
      </x:c>
    </x:row>
    <x:row r="64" ht="15">
      <x:c r="A64" s="161"/>
      <x:c r="B64" s="2"/>
      <x:c r="C64" s="2"/>
      <x:c r="D64" s="2"/>
      <x:c r="E64" s="2"/>
      <x:c r="F64" s="8"/>
      <x:c r="G64" s="8"/>
      <x:c r="H64" s="9"/>
      <x:c r="I64" s="8"/>
      <x:c r="J64" s="8" t="str">
        <x:f t="shared" si="5">IF(OR(NOT(ISNUMBER(G64)),NOT(ISNUMBER(I64))),"",G64-I64)</x:f>
      </x:c>
      <x:c r="K64" s="8" t="str">
        <x:f t="shared" si="6">IF(OR(NOT(ISNUMBER(G64)),NOT(ISNUMBER(H64)),H64&lt;=1),"",G64*H64-1)</x:f>
      </x:c>
      <x:c r="L64" s="2"/>
      <x:c r="M64" s="2"/>
      <x:c r="N64" s="2"/>
      <x:c r="O64" s="2"/>
      <x:c r="P64" s="2" t="str">
        <x:f>IF(OR(E64="",O64=""),"",IF(NOT(OR(O64="1",O64=1,O64="X",O64="2",O64=2)),"",IF(E64="1X",IF(OR(O64="1",O64=1,O64="X"),1,0),IF(E64="X2",IF(OR(O64="X",O64="2",O64=2),1,0),IF(OR(E64="12",E64=12),IF(OR(O64="1",O64=1,O64="2",O64=2),1,0),"")))))</x:f>
      </x:c>
      <x:c r="Q64" s="9" t="str">
        <x:f t="shared" si="7">IF(OR(NOT(ISNUMBER(P64)),NOT(ISNUMBER(H64)),H64&lt;=1),"",IF(P64=1,H64-1,-1))</x:f>
      </x:c>
      <x:c r="R64" s="2"/>
      <x:c r="S64" s="2"/>
      <x:c r="T64" s="2"/>
      <x:c r="U64" s="2"/>
      <x:c r="V64" s="2"/>
      <x:c r="W64" s="14" t="str">
        <x:f t="shared" si="8">IF(OR(NOT(ISNUMBER(G64)),G64&lt;0,G64&gt;1,NOT(ISNUMBER(P64))),"",(G64-P64)^2)</x:f>
      </x:c>
      <x:c r="X64" s="2" t="str">
        <x:f t="shared" si="9">IF(AND(ISNUMBER(A64),ISNUMBER(Y64),Y64&lt;A64,AB64&lt;&gt;"",ISNUMBER(P64),ISNUMBER(G64),G64&gt;=0,G64&lt;=1,OR(M64="DEFENSIV",M64="PRUDENT",M64="MODERAT",M64="RIDICAT",M64="WATCH",M64="NO BET")),"YES","NO")</x:f>
        <x:v>NO</x:v>
      </x:c>
      <x:c r="Y64" s="146"/>
      <x:c r="Z64" t="str">
        <x:f>IF(AND(X64="YES",OR(M64="DEFENSIV",M64="PRUDENT",M64="MODERAT",M64="RIDICAT")),"YES","NO")</x:f>
        <x:v>NO</x:v>
      </x:c>
      <x:c r="AA64" t="str">
        <x:f>IF(NOT(ISNUMBER(H64)),"MISSING",IF(AND(ISNUMBER(H64),H64&gt;1),"VALID","INVALID"))</x:f>
        <x:v>MISSING</x:v>
      </x:c>
      <x:c r="AB64" s="144"/>
      <x:c r="AC64" t="str">
        <x:f>IF(AND(NOT(ISNUMBER(A64)),E64="",NOT(ISNUMBER(G64)),M64="",O64=""),"INPUT",IF(X64="YES","VALID","INCOMPLETE / INVALID"))</x:f>
        <x:v>INPUT</x:v>
      </x:c>
      <x:c r="AD64" t="str">
        <x:f>IF(X64="YES",P64,"")</x:f>
      </x:c>
      <x:c r="AE64" t="str">
        <x:f>IF(X64="YES",W64,"")</x:f>
      </x:c>
      <x:c r="AF64" t="str">
        <x:f>IF(X64="YES",G64,"")</x:f>
      </x:c>
      <x:c r="AG64" t="str">
        <x:f>IF(AND(Z64="YES",AA64="VALID"),Q64,"")</x:f>
      </x:c>
      <x:c r="AH64" t="str">
        <x:f>IF(AND(Z64="YES",AA64="VALID"),"YES","NO")</x:f>
        <x:v>NO</x:v>
      </x:c>
    </x:row>
    <x:row r="65" ht="15">
      <x:c r="A65" s="161"/>
      <x:c r="B65" s="2"/>
      <x:c r="C65" s="2"/>
      <x:c r="D65" s="2"/>
      <x:c r="E65" s="2"/>
      <x:c r="F65" s="8"/>
      <x:c r="G65" s="8"/>
      <x:c r="H65" s="9"/>
      <x:c r="I65" s="8"/>
      <x:c r="J65" s="8" t="str">
        <x:f t="shared" si="5">IF(OR(NOT(ISNUMBER(G65)),NOT(ISNUMBER(I65))),"",G65-I65)</x:f>
      </x:c>
      <x:c r="K65" s="8" t="str">
        <x:f t="shared" si="6">IF(OR(NOT(ISNUMBER(G65)),NOT(ISNUMBER(H65)),H65&lt;=1),"",G65*H65-1)</x:f>
      </x:c>
      <x:c r="L65" s="2"/>
      <x:c r="M65" s="2"/>
      <x:c r="N65" s="2"/>
      <x:c r="O65" s="2"/>
      <x:c r="P65" s="2" t="str">
        <x:f>IF(OR(E65="",O65=""),"",IF(NOT(OR(O65="1",O65=1,O65="X",O65="2",O65=2)),"",IF(E65="1X",IF(OR(O65="1",O65=1,O65="X"),1,0),IF(E65="X2",IF(OR(O65="X",O65="2",O65=2),1,0),IF(OR(E65="12",E65=12),IF(OR(O65="1",O65=1,O65="2",O65=2),1,0),"")))))</x:f>
      </x:c>
      <x:c r="Q65" s="9" t="str">
        <x:f t="shared" si="7">IF(OR(NOT(ISNUMBER(P65)),NOT(ISNUMBER(H65)),H65&lt;=1),"",IF(P65=1,H65-1,-1))</x:f>
      </x:c>
      <x:c r="R65" s="2"/>
      <x:c r="S65" s="2"/>
      <x:c r="T65" s="2"/>
      <x:c r="U65" s="2"/>
      <x:c r="V65" s="2"/>
      <x:c r="W65" s="14" t="str">
        <x:f t="shared" si="8">IF(OR(NOT(ISNUMBER(G65)),G65&lt;0,G65&gt;1,NOT(ISNUMBER(P65))),"",(G65-P65)^2)</x:f>
      </x:c>
      <x:c r="X65" s="2" t="str">
        <x:f t="shared" si="9">IF(AND(ISNUMBER(A65),ISNUMBER(Y65),Y65&lt;A65,AB65&lt;&gt;"",ISNUMBER(P65),ISNUMBER(G65),G65&gt;=0,G65&lt;=1,OR(M65="DEFENSIV",M65="PRUDENT",M65="MODERAT",M65="RIDICAT",M65="WATCH",M65="NO BET")),"YES","NO")</x:f>
        <x:v>NO</x:v>
      </x:c>
      <x:c r="Y65" s="146"/>
      <x:c r="Z65" t="str">
        <x:f>IF(AND(X65="YES",OR(M65="DEFENSIV",M65="PRUDENT",M65="MODERAT",M65="RIDICAT")),"YES","NO")</x:f>
        <x:v>NO</x:v>
      </x:c>
      <x:c r="AA65" t="str">
        <x:f>IF(NOT(ISNUMBER(H65)),"MISSING",IF(AND(ISNUMBER(H65),H65&gt;1),"VALID","INVALID"))</x:f>
        <x:v>MISSING</x:v>
      </x:c>
      <x:c r="AB65" s="144"/>
      <x:c r="AC65" t="str">
        <x:f>IF(AND(NOT(ISNUMBER(A65)),E65="",NOT(ISNUMBER(G65)),M65="",O65=""),"INPUT",IF(X65="YES","VALID","INCOMPLETE / INVALID"))</x:f>
        <x:v>INPUT</x:v>
      </x:c>
      <x:c r="AD65" t="str">
        <x:f>IF(X65="YES",P65,"")</x:f>
      </x:c>
      <x:c r="AE65" t="str">
        <x:f>IF(X65="YES",W65,"")</x:f>
      </x:c>
      <x:c r="AF65" t="str">
        <x:f>IF(X65="YES",G65,"")</x:f>
      </x:c>
      <x:c r="AG65" t="str">
        <x:f>IF(AND(Z65="YES",AA65="VALID"),Q65,"")</x:f>
      </x:c>
      <x:c r="AH65" t="str">
        <x:f>IF(AND(Z65="YES",AA65="VALID"),"YES","NO")</x:f>
        <x:v>NO</x:v>
      </x:c>
    </x:row>
    <x:row r="66" ht="15">
      <x:c r="A66" s="161"/>
      <x:c r="B66" s="2"/>
      <x:c r="C66" s="2"/>
      <x:c r="D66" s="2"/>
      <x:c r="E66" s="2"/>
      <x:c r="F66" s="8"/>
      <x:c r="G66" s="8"/>
      <x:c r="H66" s="9"/>
      <x:c r="I66" s="8"/>
      <x:c r="J66" s="8" t="str">
        <x:f t="shared" si="5">IF(OR(NOT(ISNUMBER(G66)),NOT(ISNUMBER(I66))),"",G66-I66)</x:f>
      </x:c>
      <x:c r="K66" s="8" t="str">
        <x:f t="shared" si="6">IF(OR(NOT(ISNUMBER(G66)),NOT(ISNUMBER(H66)),H66&lt;=1),"",G66*H66-1)</x:f>
      </x:c>
      <x:c r="L66" s="2"/>
      <x:c r="M66" s="2"/>
      <x:c r="N66" s="2"/>
      <x:c r="O66" s="2"/>
      <x:c r="P66" s="2" t="str">
        <x:f>IF(OR(E66="",O66=""),"",IF(NOT(OR(O66="1",O66=1,O66="X",O66="2",O66=2)),"",IF(E66="1X",IF(OR(O66="1",O66=1,O66="X"),1,0),IF(E66="X2",IF(OR(O66="X",O66="2",O66=2),1,0),IF(OR(E66="12",E66=12),IF(OR(O66="1",O66=1,O66="2",O66=2),1,0),"")))))</x:f>
      </x:c>
      <x:c r="Q66" s="9" t="str">
        <x:f t="shared" si="7">IF(OR(NOT(ISNUMBER(P66)),NOT(ISNUMBER(H66)),H66&lt;=1),"",IF(P66=1,H66-1,-1))</x:f>
      </x:c>
      <x:c r="R66" s="2"/>
      <x:c r="S66" s="2"/>
      <x:c r="T66" s="2"/>
      <x:c r="U66" s="2"/>
      <x:c r="V66" s="2"/>
      <x:c r="W66" s="14" t="str">
        <x:f t="shared" si="8">IF(OR(NOT(ISNUMBER(G66)),G66&lt;0,G66&gt;1,NOT(ISNUMBER(P66))),"",(G66-P66)^2)</x:f>
      </x:c>
      <x:c r="X66" s="2" t="str">
        <x:f t="shared" si="9">IF(AND(ISNUMBER(A66),ISNUMBER(Y66),Y66&lt;A66,AB66&lt;&gt;"",ISNUMBER(P66),ISNUMBER(G66),G66&gt;=0,G66&lt;=1,OR(M66="DEFENSIV",M66="PRUDENT",M66="MODERAT",M66="RIDICAT",M66="WATCH",M66="NO BET")),"YES","NO")</x:f>
        <x:v>NO</x:v>
      </x:c>
      <x:c r="Y66" s="146"/>
      <x:c r="Z66" t="str">
        <x:f>IF(AND(X66="YES",OR(M66="DEFENSIV",M66="PRUDENT",M66="MODERAT",M66="RIDICAT")),"YES","NO")</x:f>
        <x:v>NO</x:v>
      </x:c>
      <x:c r="AA66" t="str">
        <x:f>IF(NOT(ISNUMBER(H66)),"MISSING",IF(AND(ISNUMBER(H66),H66&gt;1),"VALID","INVALID"))</x:f>
        <x:v>MISSING</x:v>
      </x:c>
      <x:c r="AB66" s="144"/>
      <x:c r="AC66" t="str">
        <x:f>IF(AND(NOT(ISNUMBER(A66)),E66="",NOT(ISNUMBER(G66)),M66="",O66=""),"INPUT",IF(X66="YES","VALID","INCOMPLETE / INVALID"))</x:f>
        <x:v>INPUT</x:v>
      </x:c>
      <x:c r="AD66" t="str">
        <x:f>IF(X66="YES",P66,"")</x:f>
      </x:c>
      <x:c r="AE66" t="str">
        <x:f>IF(X66="YES",W66,"")</x:f>
      </x:c>
      <x:c r="AF66" t="str">
        <x:f>IF(X66="YES",G66,"")</x:f>
      </x:c>
      <x:c r="AG66" t="str">
        <x:f>IF(AND(Z66="YES",AA66="VALID"),Q66,"")</x:f>
      </x:c>
      <x:c r="AH66" t="str">
        <x:f>IF(AND(Z66="YES",AA66="VALID"),"YES","NO")</x:f>
        <x:v>NO</x:v>
      </x:c>
    </x:row>
    <x:row r="67" ht="15">
      <x:c r="A67" s="161"/>
      <x:c r="B67" s="2"/>
      <x:c r="C67" s="2"/>
      <x:c r="D67" s="2"/>
      <x:c r="E67" s="2"/>
      <x:c r="F67" s="8"/>
      <x:c r="G67" s="8"/>
      <x:c r="H67" s="9"/>
      <x:c r="I67" s="8"/>
      <x:c r="J67" s="8" t="str">
        <x:f t="shared" si="5">IF(OR(NOT(ISNUMBER(G67)),NOT(ISNUMBER(I67))),"",G67-I67)</x:f>
      </x:c>
      <x:c r="K67" s="8" t="str">
        <x:f t="shared" si="6">IF(OR(NOT(ISNUMBER(G67)),NOT(ISNUMBER(H67)),H67&lt;=1),"",G67*H67-1)</x:f>
      </x:c>
      <x:c r="L67" s="2"/>
      <x:c r="M67" s="2"/>
      <x:c r="N67" s="2"/>
      <x:c r="O67" s="2"/>
      <x:c r="P67" s="2" t="str">
        <x:f>IF(OR(E67="",O67=""),"",IF(NOT(OR(O67="1",O67=1,O67="X",O67="2",O67=2)),"",IF(E67="1X",IF(OR(O67="1",O67=1,O67="X"),1,0),IF(E67="X2",IF(OR(O67="X",O67="2",O67=2),1,0),IF(OR(E67="12",E67=12),IF(OR(O67="1",O67=1,O67="2",O67=2),1,0),"")))))</x:f>
      </x:c>
      <x:c r="Q67" s="9" t="str">
        <x:f t="shared" si="7">IF(OR(NOT(ISNUMBER(P67)),NOT(ISNUMBER(H67)),H67&lt;=1),"",IF(P67=1,H67-1,-1))</x:f>
      </x:c>
      <x:c r="R67" s="2"/>
      <x:c r="S67" s="2"/>
      <x:c r="T67" s="2"/>
      <x:c r="U67" s="2"/>
      <x:c r="V67" s="2"/>
      <x:c r="W67" s="14" t="str">
        <x:f t="shared" si="8">IF(OR(NOT(ISNUMBER(G67)),G67&lt;0,G67&gt;1,NOT(ISNUMBER(P67))),"",(G67-P67)^2)</x:f>
      </x:c>
      <x:c r="X67" s="2" t="str">
        <x:f t="shared" si="9">IF(AND(ISNUMBER(A67),ISNUMBER(Y67),Y67&lt;A67,AB67&lt;&gt;"",ISNUMBER(P67),ISNUMBER(G67),G67&gt;=0,G67&lt;=1,OR(M67="DEFENSIV",M67="PRUDENT",M67="MODERAT",M67="RIDICAT",M67="WATCH",M67="NO BET")),"YES","NO")</x:f>
        <x:v>NO</x:v>
      </x:c>
      <x:c r="Y67" s="146"/>
      <x:c r="Z67" t="str">
        <x:f>IF(AND(X67="YES",OR(M67="DEFENSIV",M67="PRUDENT",M67="MODERAT",M67="RIDICAT")),"YES","NO")</x:f>
        <x:v>NO</x:v>
      </x:c>
      <x:c r="AA67" t="str">
        <x:f>IF(NOT(ISNUMBER(H67)),"MISSING",IF(AND(ISNUMBER(H67),H67&gt;1),"VALID","INVALID"))</x:f>
        <x:v>MISSING</x:v>
      </x:c>
      <x:c r="AB67" s="144"/>
      <x:c r="AC67" t="str">
        <x:f>IF(AND(NOT(ISNUMBER(A67)),E67="",NOT(ISNUMBER(G67)),M67="",O67=""),"INPUT",IF(X67="YES","VALID","INCOMPLETE / INVALID"))</x:f>
        <x:v>INPUT</x:v>
      </x:c>
      <x:c r="AD67" t="str">
        <x:f>IF(X67="YES",P67,"")</x:f>
      </x:c>
      <x:c r="AE67" t="str">
        <x:f>IF(X67="YES",W67,"")</x:f>
      </x:c>
      <x:c r="AF67" t="str">
        <x:f>IF(X67="YES",G67,"")</x:f>
      </x:c>
      <x:c r="AG67" t="str">
        <x:f>IF(AND(Z67="YES",AA67="VALID"),Q67,"")</x:f>
      </x:c>
      <x:c r="AH67" t="str">
        <x:f>IF(AND(Z67="YES",AA67="VALID"),"YES","NO")</x:f>
        <x:v>NO</x:v>
      </x:c>
    </x:row>
    <x:row r="68" ht="15">
      <x:c r="A68" s="161"/>
      <x:c r="B68" s="2"/>
      <x:c r="C68" s="2"/>
      <x:c r="D68" s="2"/>
      <x:c r="E68" s="2"/>
      <x:c r="F68" s="8"/>
      <x:c r="G68" s="8"/>
      <x:c r="H68" s="9"/>
      <x:c r="I68" s="8"/>
      <x:c r="J68" s="8" t="str">
        <x:f t="shared" ref="J68:J99" si="10">IF(OR(NOT(ISNUMBER(G68)),NOT(ISNUMBER(I68))),"",G68-I68)</x:f>
      </x:c>
      <x:c r="K68" s="8" t="str">
        <x:f t="shared" ref="K68:K99" si="11">IF(OR(NOT(ISNUMBER(G68)),NOT(ISNUMBER(H68)),H68&lt;=1),"",G68*H68-1)</x:f>
      </x:c>
      <x:c r="L68" s="2"/>
      <x:c r="M68" s="2"/>
      <x:c r="N68" s="2"/>
      <x:c r="O68" s="2"/>
      <x:c r="P68" s="2" t="str">
        <x:f>IF(OR(E68="",O68=""),"",IF(NOT(OR(O68="1",O68=1,O68="X",O68="2",O68=2)),"",IF(E68="1X",IF(OR(O68="1",O68=1,O68="X"),1,0),IF(E68="X2",IF(OR(O68="X",O68="2",O68=2),1,0),IF(OR(E68="12",E68=12),IF(OR(O68="1",O68=1,O68="2",O68=2),1,0),"")))))</x:f>
      </x:c>
      <x:c r="Q68" s="9" t="str">
        <x:f t="shared" ref="Q68:Q99" si="12">IF(OR(NOT(ISNUMBER(P68)),NOT(ISNUMBER(H68)),H68&lt;=1),"",IF(P68=1,H68-1,-1))</x:f>
      </x:c>
      <x:c r="R68" s="2"/>
      <x:c r="S68" s="2"/>
      <x:c r="T68" s="2"/>
      <x:c r="U68" s="2"/>
      <x:c r="V68" s="2"/>
      <x:c r="W68" s="14" t="str">
        <x:f t="shared" ref="W68:W99" si="13">IF(OR(NOT(ISNUMBER(G68)),G68&lt;0,G68&gt;1,NOT(ISNUMBER(P68))),"",(G68-P68)^2)</x:f>
      </x:c>
      <x:c r="X68" s="2" t="str">
        <x:f t="shared" ref="X68:X99" si="14">IF(AND(ISNUMBER(A68),ISNUMBER(Y68),Y68&lt;A68,AB68&lt;&gt;"",ISNUMBER(P68),ISNUMBER(G68),G68&gt;=0,G68&lt;=1,OR(M68="DEFENSIV",M68="PRUDENT",M68="MODERAT",M68="RIDICAT",M68="WATCH",M68="NO BET")),"YES","NO")</x:f>
        <x:v>NO</x:v>
      </x:c>
      <x:c r="Y68" s="146"/>
      <x:c r="Z68" t="str">
        <x:f>IF(AND(X68="YES",OR(M68="DEFENSIV",M68="PRUDENT",M68="MODERAT",M68="RIDICAT")),"YES","NO")</x:f>
        <x:v>NO</x:v>
      </x:c>
      <x:c r="AA68" t="str">
        <x:f>IF(NOT(ISNUMBER(H68)),"MISSING",IF(AND(ISNUMBER(H68),H68&gt;1),"VALID","INVALID"))</x:f>
        <x:v>MISSING</x:v>
      </x:c>
      <x:c r="AB68" s="144"/>
      <x:c r="AC68" t="str">
        <x:f>IF(AND(NOT(ISNUMBER(A68)),E68="",NOT(ISNUMBER(G68)),M68="",O68=""),"INPUT",IF(X68="YES","VALID","INCOMPLETE / INVALID"))</x:f>
        <x:v>INPUT</x:v>
      </x:c>
      <x:c r="AD68" t="str">
        <x:f>IF(X68="YES",P68,"")</x:f>
      </x:c>
      <x:c r="AE68" t="str">
        <x:f>IF(X68="YES",W68,"")</x:f>
      </x:c>
      <x:c r="AF68" t="str">
        <x:f>IF(X68="YES",G68,"")</x:f>
      </x:c>
      <x:c r="AG68" t="str">
        <x:f>IF(AND(Z68="YES",AA68="VALID"),Q68,"")</x:f>
      </x:c>
      <x:c r="AH68" t="str">
        <x:f>IF(AND(Z68="YES",AA68="VALID"),"YES","NO")</x:f>
        <x:v>NO</x:v>
      </x:c>
    </x:row>
    <x:row r="69" ht="15">
      <x:c r="A69" s="161"/>
      <x:c r="B69" s="2"/>
      <x:c r="C69" s="2"/>
      <x:c r="D69" s="2"/>
      <x:c r="E69" s="2"/>
      <x:c r="F69" s="8"/>
      <x:c r="G69" s="8"/>
      <x:c r="H69" s="9"/>
      <x:c r="I69" s="8"/>
      <x:c r="J69" s="8" t="str">
        <x:f t="shared" si="10">IF(OR(NOT(ISNUMBER(G69)),NOT(ISNUMBER(I69))),"",G69-I69)</x:f>
      </x:c>
      <x:c r="K69" s="8" t="str">
        <x:f t="shared" si="11">IF(OR(NOT(ISNUMBER(G69)),NOT(ISNUMBER(H69)),H69&lt;=1),"",G69*H69-1)</x:f>
      </x:c>
      <x:c r="L69" s="2"/>
      <x:c r="M69" s="2"/>
      <x:c r="N69" s="2"/>
      <x:c r="O69" s="2"/>
      <x:c r="P69" s="2" t="str">
        <x:f>IF(OR(E69="",O69=""),"",IF(NOT(OR(O69="1",O69=1,O69="X",O69="2",O69=2)),"",IF(E69="1X",IF(OR(O69="1",O69=1,O69="X"),1,0),IF(E69="X2",IF(OR(O69="X",O69="2",O69=2),1,0),IF(OR(E69="12",E69=12),IF(OR(O69="1",O69=1,O69="2",O69=2),1,0),"")))))</x:f>
      </x:c>
      <x:c r="Q69" s="9" t="str">
        <x:f t="shared" si="12">IF(OR(NOT(ISNUMBER(P69)),NOT(ISNUMBER(H69)),H69&lt;=1),"",IF(P69=1,H69-1,-1))</x:f>
      </x:c>
      <x:c r="R69" s="2"/>
      <x:c r="S69" s="2"/>
      <x:c r="T69" s="2"/>
      <x:c r="U69" s="2"/>
      <x:c r="V69" s="2"/>
      <x:c r="W69" s="14" t="str">
        <x:f t="shared" si="13">IF(OR(NOT(ISNUMBER(G69)),G69&lt;0,G69&gt;1,NOT(ISNUMBER(P69))),"",(G69-P69)^2)</x:f>
      </x:c>
      <x:c r="X69" s="2" t="str">
        <x:f t="shared" si="14">IF(AND(ISNUMBER(A69),ISNUMBER(Y69),Y69&lt;A69,AB69&lt;&gt;"",ISNUMBER(P69),ISNUMBER(G69),G69&gt;=0,G69&lt;=1,OR(M69="DEFENSIV",M69="PRUDENT",M69="MODERAT",M69="RIDICAT",M69="WATCH",M69="NO BET")),"YES","NO")</x:f>
        <x:v>NO</x:v>
      </x:c>
      <x:c r="Y69" s="146"/>
      <x:c r="Z69" t="str">
        <x:f>IF(AND(X69="YES",OR(M69="DEFENSIV",M69="PRUDENT",M69="MODERAT",M69="RIDICAT")),"YES","NO")</x:f>
        <x:v>NO</x:v>
      </x:c>
      <x:c r="AA69" t="str">
        <x:f>IF(NOT(ISNUMBER(H69)),"MISSING",IF(AND(ISNUMBER(H69),H69&gt;1),"VALID","INVALID"))</x:f>
        <x:v>MISSING</x:v>
      </x:c>
      <x:c r="AB69" s="144"/>
      <x:c r="AC69" t="str">
        <x:f>IF(AND(NOT(ISNUMBER(A69)),E69="",NOT(ISNUMBER(G69)),M69="",O69=""),"INPUT",IF(X69="YES","VALID","INCOMPLETE / INVALID"))</x:f>
        <x:v>INPUT</x:v>
      </x:c>
      <x:c r="AD69" t="str">
        <x:f>IF(X69="YES",P69,"")</x:f>
      </x:c>
      <x:c r="AE69" t="str">
        <x:f>IF(X69="YES",W69,"")</x:f>
      </x:c>
      <x:c r="AF69" t="str">
        <x:f>IF(X69="YES",G69,"")</x:f>
      </x:c>
      <x:c r="AG69" t="str">
        <x:f>IF(AND(Z69="YES",AA69="VALID"),Q69,"")</x:f>
      </x:c>
      <x:c r="AH69" t="str">
        <x:f>IF(AND(Z69="YES",AA69="VALID"),"YES","NO")</x:f>
        <x:v>NO</x:v>
      </x:c>
    </x:row>
    <x:row r="70" ht="15">
      <x:c r="A70" s="161"/>
      <x:c r="B70" s="2"/>
      <x:c r="C70" s="2"/>
      <x:c r="D70" s="2"/>
      <x:c r="E70" s="2"/>
      <x:c r="F70" s="8"/>
      <x:c r="G70" s="8"/>
      <x:c r="H70" s="9"/>
      <x:c r="I70" s="8"/>
      <x:c r="J70" s="8" t="str">
        <x:f t="shared" si="10">IF(OR(NOT(ISNUMBER(G70)),NOT(ISNUMBER(I70))),"",G70-I70)</x:f>
      </x:c>
      <x:c r="K70" s="8" t="str">
        <x:f t="shared" si="11">IF(OR(NOT(ISNUMBER(G70)),NOT(ISNUMBER(H70)),H70&lt;=1),"",G70*H70-1)</x:f>
      </x:c>
      <x:c r="L70" s="2"/>
      <x:c r="M70" s="2"/>
      <x:c r="N70" s="2"/>
      <x:c r="O70" s="2"/>
      <x:c r="P70" s="2" t="str">
        <x:f>IF(OR(E70="",O70=""),"",IF(NOT(OR(O70="1",O70=1,O70="X",O70="2",O70=2)),"",IF(E70="1X",IF(OR(O70="1",O70=1,O70="X"),1,0),IF(E70="X2",IF(OR(O70="X",O70="2",O70=2),1,0),IF(OR(E70="12",E70=12),IF(OR(O70="1",O70=1,O70="2",O70=2),1,0),"")))))</x:f>
      </x:c>
      <x:c r="Q70" s="9" t="str">
        <x:f t="shared" si="12">IF(OR(NOT(ISNUMBER(P70)),NOT(ISNUMBER(H70)),H70&lt;=1),"",IF(P70=1,H70-1,-1))</x:f>
      </x:c>
      <x:c r="R70" s="2"/>
      <x:c r="S70" s="2"/>
      <x:c r="T70" s="2"/>
      <x:c r="U70" s="2"/>
      <x:c r="V70" s="2"/>
      <x:c r="W70" s="14" t="str">
        <x:f t="shared" si="13">IF(OR(NOT(ISNUMBER(G70)),G70&lt;0,G70&gt;1,NOT(ISNUMBER(P70))),"",(G70-P70)^2)</x:f>
      </x:c>
      <x:c r="X70" s="2" t="str">
        <x:f t="shared" si="14">IF(AND(ISNUMBER(A70),ISNUMBER(Y70),Y70&lt;A70,AB70&lt;&gt;"",ISNUMBER(P70),ISNUMBER(G70),G70&gt;=0,G70&lt;=1,OR(M70="DEFENSIV",M70="PRUDENT",M70="MODERAT",M70="RIDICAT",M70="WATCH",M70="NO BET")),"YES","NO")</x:f>
        <x:v>NO</x:v>
      </x:c>
      <x:c r="Y70" s="146"/>
      <x:c r="Z70" t="str">
        <x:f>IF(AND(X70="YES",OR(M70="DEFENSIV",M70="PRUDENT",M70="MODERAT",M70="RIDICAT")),"YES","NO")</x:f>
        <x:v>NO</x:v>
      </x:c>
      <x:c r="AA70" t="str">
        <x:f>IF(NOT(ISNUMBER(H70)),"MISSING",IF(AND(ISNUMBER(H70),H70&gt;1),"VALID","INVALID"))</x:f>
        <x:v>MISSING</x:v>
      </x:c>
      <x:c r="AB70" s="144"/>
      <x:c r="AC70" t="str">
        <x:f>IF(AND(NOT(ISNUMBER(A70)),E70="",NOT(ISNUMBER(G70)),M70="",O70=""),"INPUT",IF(X70="YES","VALID","INCOMPLETE / INVALID"))</x:f>
        <x:v>INPUT</x:v>
      </x:c>
      <x:c r="AD70" t="str">
        <x:f>IF(X70="YES",P70,"")</x:f>
      </x:c>
      <x:c r="AE70" t="str">
        <x:f>IF(X70="YES",W70,"")</x:f>
      </x:c>
      <x:c r="AF70" t="str">
        <x:f>IF(X70="YES",G70,"")</x:f>
      </x:c>
      <x:c r="AG70" t="str">
        <x:f>IF(AND(Z70="YES",AA70="VALID"),Q70,"")</x:f>
      </x:c>
      <x:c r="AH70" t="str">
        <x:f>IF(AND(Z70="YES",AA70="VALID"),"YES","NO")</x:f>
        <x:v>NO</x:v>
      </x:c>
    </x:row>
    <x:row r="71" ht="15">
      <x:c r="A71" s="161"/>
      <x:c r="B71" s="2"/>
      <x:c r="C71" s="2"/>
      <x:c r="D71" s="2"/>
      <x:c r="E71" s="2"/>
      <x:c r="F71" s="8"/>
      <x:c r="G71" s="8"/>
      <x:c r="H71" s="9"/>
      <x:c r="I71" s="8"/>
      <x:c r="J71" s="8" t="str">
        <x:f t="shared" si="10">IF(OR(NOT(ISNUMBER(G71)),NOT(ISNUMBER(I71))),"",G71-I71)</x:f>
      </x:c>
      <x:c r="K71" s="8" t="str">
        <x:f t="shared" si="11">IF(OR(NOT(ISNUMBER(G71)),NOT(ISNUMBER(H71)),H71&lt;=1),"",G71*H71-1)</x:f>
      </x:c>
      <x:c r="L71" s="2"/>
      <x:c r="M71" s="2"/>
      <x:c r="N71" s="2"/>
      <x:c r="O71" s="2"/>
      <x:c r="P71" s="2" t="str">
        <x:f>IF(OR(E71="",O71=""),"",IF(NOT(OR(O71="1",O71=1,O71="X",O71="2",O71=2)),"",IF(E71="1X",IF(OR(O71="1",O71=1,O71="X"),1,0),IF(E71="X2",IF(OR(O71="X",O71="2",O71=2),1,0),IF(OR(E71="12",E71=12),IF(OR(O71="1",O71=1,O71="2",O71=2),1,0),"")))))</x:f>
      </x:c>
      <x:c r="Q71" s="9" t="str">
        <x:f t="shared" si="12">IF(OR(NOT(ISNUMBER(P71)),NOT(ISNUMBER(H71)),H71&lt;=1),"",IF(P71=1,H71-1,-1))</x:f>
      </x:c>
      <x:c r="R71" s="2"/>
      <x:c r="S71" s="2"/>
      <x:c r="T71" s="2"/>
      <x:c r="U71" s="2"/>
      <x:c r="V71" s="2"/>
      <x:c r="W71" s="14" t="str">
        <x:f t="shared" si="13">IF(OR(NOT(ISNUMBER(G71)),G71&lt;0,G71&gt;1,NOT(ISNUMBER(P71))),"",(G71-P71)^2)</x:f>
      </x:c>
      <x:c r="X71" s="2" t="str">
        <x:f t="shared" si="14">IF(AND(ISNUMBER(A71),ISNUMBER(Y71),Y71&lt;A71,AB71&lt;&gt;"",ISNUMBER(P71),ISNUMBER(G71),G71&gt;=0,G71&lt;=1,OR(M71="DEFENSIV",M71="PRUDENT",M71="MODERAT",M71="RIDICAT",M71="WATCH",M71="NO BET")),"YES","NO")</x:f>
        <x:v>NO</x:v>
      </x:c>
      <x:c r="Y71" s="146"/>
      <x:c r="Z71" t="str">
        <x:f>IF(AND(X71="YES",OR(M71="DEFENSIV",M71="PRUDENT",M71="MODERAT",M71="RIDICAT")),"YES","NO")</x:f>
        <x:v>NO</x:v>
      </x:c>
      <x:c r="AA71" t="str">
        <x:f>IF(NOT(ISNUMBER(H71)),"MISSING",IF(AND(ISNUMBER(H71),H71&gt;1),"VALID","INVALID"))</x:f>
        <x:v>MISSING</x:v>
      </x:c>
      <x:c r="AB71" s="144"/>
      <x:c r="AC71" t="str">
        <x:f>IF(AND(NOT(ISNUMBER(A71)),E71="",NOT(ISNUMBER(G71)),M71="",O71=""),"INPUT",IF(X71="YES","VALID","INCOMPLETE / INVALID"))</x:f>
        <x:v>INPUT</x:v>
      </x:c>
      <x:c r="AD71" t="str">
        <x:f>IF(X71="YES",P71,"")</x:f>
      </x:c>
      <x:c r="AE71" t="str">
        <x:f>IF(X71="YES",W71,"")</x:f>
      </x:c>
      <x:c r="AF71" t="str">
        <x:f>IF(X71="YES",G71,"")</x:f>
      </x:c>
      <x:c r="AG71" t="str">
        <x:f>IF(AND(Z71="YES",AA71="VALID"),Q71,"")</x:f>
      </x:c>
      <x:c r="AH71" t="str">
        <x:f>IF(AND(Z71="YES",AA71="VALID"),"YES","NO")</x:f>
        <x:v>NO</x:v>
      </x:c>
    </x:row>
    <x:row r="72" ht="15">
      <x:c r="A72" s="161"/>
      <x:c r="B72" s="2"/>
      <x:c r="C72" s="2"/>
      <x:c r="D72" s="2"/>
      <x:c r="E72" s="2"/>
      <x:c r="F72" s="8"/>
      <x:c r="G72" s="8"/>
      <x:c r="H72" s="9"/>
      <x:c r="I72" s="8"/>
      <x:c r="J72" s="8" t="str">
        <x:f t="shared" si="10">IF(OR(NOT(ISNUMBER(G72)),NOT(ISNUMBER(I72))),"",G72-I72)</x:f>
      </x:c>
      <x:c r="K72" s="8" t="str">
        <x:f t="shared" si="11">IF(OR(NOT(ISNUMBER(G72)),NOT(ISNUMBER(H72)),H72&lt;=1),"",G72*H72-1)</x:f>
      </x:c>
      <x:c r="L72" s="2"/>
      <x:c r="M72" s="2"/>
      <x:c r="N72" s="2"/>
      <x:c r="O72" s="2"/>
      <x:c r="P72" s="2" t="str">
        <x:f>IF(OR(E72="",O72=""),"",IF(NOT(OR(O72="1",O72=1,O72="X",O72="2",O72=2)),"",IF(E72="1X",IF(OR(O72="1",O72=1,O72="X"),1,0),IF(E72="X2",IF(OR(O72="X",O72="2",O72=2),1,0),IF(OR(E72="12",E72=12),IF(OR(O72="1",O72=1,O72="2",O72=2),1,0),"")))))</x:f>
      </x:c>
      <x:c r="Q72" s="9" t="str">
        <x:f t="shared" si="12">IF(OR(NOT(ISNUMBER(P72)),NOT(ISNUMBER(H72)),H72&lt;=1),"",IF(P72=1,H72-1,-1))</x:f>
      </x:c>
      <x:c r="R72" s="2"/>
      <x:c r="S72" s="2"/>
      <x:c r="T72" s="2"/>
      <x:c r="U72" s="2"/>
      <x:c r="V72" s="2"/>
      <x:c r="W72" s="14" t="str">
        <x:f t="shared" si="13">IF(OR(NOT(ISNUMBER(G72)),G72&lt;0,G72&gt;1,NOT(ISNUMBER(P72))),"",(G72-P72)^2)</x:f>
      </x:c>
      <x:c r="X72" s="2" t="str">
        <x:f t="shared" si="14">IF(AND(ISNUMBER(A72),ISNUMBER(Y72),Y72&lt;A72,AB72&lt;&gt;"",ISNUMBER(P72),ISNUMBER(G72),G72&gt;=0,G72&lt;=1,OR(M72="DEFENSIV",M72="PRUDENT",M72="MODERAT",M72="RIDICAT",M72="WATCH",M72="NO BET")),"YES","NO")</x:f>
        <x:v>NO</x:v>
      </x:c>
      <x:c r="Y72" s="146"/>
      <x:c r="Z72" t="str">
        <x:f>IF(AND(X72="YES",OR(M72="DEFENSIV",M72="PRUDENT",M72="MODERAT",M72="RIDICAT")),"YES","NO")</x:f>
        <x:v>NO</x:v>
      </x:c>
      <x:c r="AA72" t="str">
        <x:f>IF(NOT(ISNUMBER(H72)),"MISSING",IF(AND(ISNUMBER(H72),H72&gt;1),"VALID","INVALID"))</x:f>
        <x:v>MISSING</x:v>
      </x:c>
      <x:c r="AB72" s="144"/>
      <x:c r="AC72" t="str">
        <x:f>IF(AND(NOT(ISNUMBER(A72)),E72="",NOT(ISNUMBER(G72)),M72="",O72=""),"INPUT",IF(X72="YES","VALID","INCOMPLETE / INVALID"))</x:f>
        <x:v>INPUT</x:v>
      </x:c>
      <x:c r="AD72" t="str">
        <x:f>IF(X72="YES",P72,"")</x:f>
      </x:c>
      <x:c r="AE72" t="str">
        <x:f>IF(X72="YES",W72,"")</x:f>
      </x:c>
      <x:c r="AF72" t="str">
        <x:f>IF(X72="YES",G72,"")</x:f>
      </x:c>
      <x:c r="AG72" t="str">
        <x:f>IF(AND(Z72="YES",AA72="VALID"),Q72,"")</x:f>
      </x:c>
      <x:c r="AH72" t="str">
        <x:f>IF(AND(Z72="YES",AA72="VALID"),"YES","NO")</x:f>
        <x:v>NO</x:v>
      </x:c>
    </x:row>
    <x:row r="73" ht="15">
      <x:c r="A73" s="161"/>
      <x:c r="B73" s="2"/>
      <x:c r="C73" s="2"/>
      <x:c r="D73" s="2"/>
      <x:c r="E73" s="2"/>
      <x:c r="F73" s="8"/>
      <x:c r="G73" s="8"/>
      <x:c r="H73" s="9"/>
      <x:c r="I73" s="8"/>
      <x:c r="J73" s="8" t="str">
        <x:f t="shared" si="10">IF(OR(NOT(ISNUMBER(G73)),NOT(ISNUMBER(I73))),"",G73-I73)</x:f>
      </x:c>
      <x:c r="K73" s="8" t="str">
        <x:f t="shared" si="11">IF(OR(NOT(ISNUMBER(G73)),NOT(ISNUMBER(H73)),H73&lt;=1),"",G73*H73-1)</x:f>
      </x:c>
      <x:c r="L73" s="2"/>
      <x:c r="M73" s="2"/>
      <x:c r="N73" s="2"/>
      <x:c r="O73" s="2"/>
      <x:c r="P73" s="2" t="str">
        <x:f>IF(OR(E73="",O73=""),"",IF(NOT(OR(O73="1",O73=1,O73="X",O73="2",O73=2)),"",IF(E73="1X",IF(OR(O73="1",O73=1,O73="X"),1,0),IF(E73="X2",IF(OR(O73="X",O73="2",O73=2),1,0),IF(OR(E73="12",E73=12),IF(OR(O73="1",O73=1,O73="2",O73=2),1,0),"")))))</x:f>
      </x:c>
      <x:c r="Q73" s="9" t="str">
        <x:f t="shared" si="12">IF(OR(NOT(ISNUMBER(P73)),NOT(ISNUMBER(H73)),H73&lt;=1),"",IF(P73=1,H73-1,-1))</x:f>
      </x:c>
      <x:c r="R73" s="2"/>
      <x:c r="S73" s="2"/>
      <x:c r="T73" s="2"/>
      <x:c r="U73" s="2"/>
      <x:c r="V73" s="2"/>
      <x:c r="W73" s="14" t="str">
        <x:f t="shared" si="13">IF(OR(NOT(ISNUMBER(G73)),G73&lt;0,G73&gt;1,NOT(ISNUMBER(P73))),"",(G73-P73)^2)</x:f>
      </x:c>
      <x:c r="X73" s="2" t="str">
        <x:f t="shared" si="14">IF(AND(ISNUMBER(A73),ISNUMBER(Y73),Y73&lt;A73,AB73&lt;&gt;"",ISNUMBER(P73),ISNUMBER(G73),G73&gt;=0,G73&lt;=1,OR(M73="DEFENSIV",M73="PRUDENT",M73="MODERAT",M73="RIDICAT",M73="WATCH",M73="NO BET")),"YES","NO")</x:f>
        <x:v>NO</x:v>
      </x:c>
      <x:c r="Y73" s="146"/>
      <x:c r="Z73" t="str">
        <x:f>IF(AND(X73="YES",OR(M73="DEFENSIV",M73="PRUDENT",M73="MODERAT",M73="RIDICAT")),"YES","NO")</x:f>
        <x:v>NO</x:v>
      </x:c>
      <x:c r="AA73" t="str">
        <x:f>IF(NOT(ISNUMBER(H73)),"MISSING",IF(AND(ISNUMBER(H73),H73&gt;1),"VALID","INVALID"))</x:f>
        <x:v>MISSING</x:v>
      </x:c>
      <x:c r="AB73" s="144"/>
      <x:c r="AC73" t="str">
        <x:f>IF(AND(NOT(ISNUMBER(A73)),E73="",NOT(ISNUMBER(G73)),M73="",O73=""),"INPUT",IF(X73="YES","VALID","INCOMPLETE / INVALID"))</x:f>
        <x:v>INPUT</x:v>
      </x:c>
      <x:c r="AD73" t="str">
        <x:f>IF(X73="YES",P73,"")</x:f>
      </x:c>
      <x:c r="AE73" t="str">
        <x:f>IF(X73="YES",W73,"")</x:f>
      </x:c>
      <x:c r="AF73" t="str">
        <x:f>IF(X73="YES",G73,"")</x:f>
      </x:c>
      <x:c r="AG73" t="str">
        <x:f>IF(AND(Z73="YES",AA73="VALID"),Q73,"")</x:f>
      </x:c>
      <x:c r="AH73" t="str">
        <x:f>IF(AND(Z73="YES",AA73="VALID"),"YES","NO")</x:f>
        <x:v>NO</x:v>
      </x:c>
    </x:row>
    <x:row r="74" ht="15">
      <x:c r="A74" s="161"/>
      <x:c r="B74" s="2"/>
      <x:c r="C74" s="2"/>
      <x:c r="D74" s="2"/>
      <x:c r="E74" s="2"/>
      <x:c r="F74" s="8"/>
      <x:c r="G74" s="8"/>
      <x:c r="H74" s="9"/>
      <x:c r="I74" s="8"/>
      <x:c r="J74" s="8" t="str">
        <x:f t="shared" si="10">IF(OR(NOT(ISNUMBER(G74)),NOT(ISNUMBER(I74))),"",G74-I74)</x:f>
      </x:c>
      <x:c r="K74" s="8" t="str">
        <x:f t="shared" si="11">IF(OR(NOT(ISNUMBER(G74)),NOT(ISNUMBER(H74)),H74&lt;=1),"",G74*H74-1)</x:f>
      </x:c>
      <x:c r="L74" s="2"/>
      <x:c r="M74" s="2"/>
      <x:c r="N74" s="2"/>
      <x:c r="O74" s="2"/>
      <x:c r="P74" s="2" t="str">
        <x:f>IF(OR(E74="",O74=""),"",IF(NOT(OR(O74="1",O74=1,O74="X",O74="2",O74=2)),"",IF(E74="1X",IF(OR(O74="1",O74=1,O74="X"),1,0),IF(E74="X2",IF(OR(O74="X",O74="2",O74=2),1,0),IF(OR(E74="12",E74=12),IF(OR(O74="1",O74=1,O74="2",O74=2),1,0),"")))))</x:f>
      </x:c>
      <x:c r="Q74" s="9" t="str">
        <x:f t="shared" si="12">IF(OR(NOT(ISNUMBER(P74)),NOT(ISNUMBER(H74)),H74&lt;=1),"",IF(P74=1,H74-1,-1))</x:f>
      </x:c>
      <x:c r="R74" s="2"/>
      <x:c r="S74" s="2"/>
      <x:c r="T74" s="2"/>
      <x:c r="U74" s="2"/>
      <x:c r="V74" s="2"/>
      <x:c r="W74" s="14" t="str">
        <x:f t="shared" si="13">IF(OR(NOT(ISNUMBER(G74)),G74&lt;0,G74&gt;1,NOT(ISNUMBER(P74))),"",(G74-P74)^2)</x:f>
      </x:c>
      <x:c r="X74" s="2" t="str">
        <x:f t="shared" si="14">IF(AND(ISNUMBER(A74),ISNUMBER(Y74),Y74&lt;A74,AB74&lt;&gt;"",ISNUMBER(P74),ISNUMBER(G74),G74&gt;=0,G74&lt;=1,OR(M74="DEFENSIV",M74="PRUDENT",M74="MODERAT",M74="RIDICAT",M74="WATCH",M74="NO BET")),"YES","NO")</x:f>
        <x:v>NO</x:v>
      </x:c>
      <x:c r="Y74" s="146"/>
      <x:c r="Z74" t="str">
        <x:f>IF(AND(X74="YES",OR(M74="DEFENSIV",M74="PRUDENT",M74="MODERAT",M74="RIDICAT")),"YES","NO")</x:f>
        <x:v>NO</x:v>
      </x:c>
      <x:c r="AA74" t="str">
        <x:f>IF(NOT(ISNUMBER(H74)),"MISSING",IF(AND(ISNUMBER(H74),H74&gt;1),"VALID","INVALID"))</x:f>
        <x:v>MISSING</x:v>
      </x:c>
      <x:c r="AB74" s="144"/>
      <x:c r="AC74" t="str">
        <x:f>IF(AND(NOT(ISNUMBER(A74)),E74="",NOT(ISNUMBER(G74)),M74="",O74=""),"INPUT",IF(X74="YES","VALID","INCOMPLETE / INVALID"))</x:f>
        <x:v>INPUT</x:v>
      </x:c>
      <x:c r="AD74" t="str">
        <x:f>IF(X74="YES",P74,"")</x:f>
      </x:c>
      <x:c r="AE74" t="str">
        <x:f>IF(X74="YES",W74,"")</x:f>
      </x:c>
      <x:c r="AF74" t="str">
        <x:f>IF(X74="YES",G74,"")</x:f>
      </x:c>
      <x:c r="AG74" t="str">
        <x:f>IF(AND(Z74="YES",AA74="VALID"),Q74,"")</x:f>
      </x:c>
      <x:c r="AH74" t="str">
        <x:f>IF(AND(Z74="YES",AA74="VALID"),"YES","NO")</x:f>
        <x:v>NO</x:v>
      </x:c>
    </x:row>
    <x:row r="75" ht="15">
      <x:c r="A75" s="161"/>
      <x:c r="B75" s="2"/>
      <x:c r="C75" s="2"/>
      <x:c r="D75" s="2"/>
      <x:c r="E75" s="2"/>
      <x:c r="F75" s="8"/>
      <x:c r="G75" s="8"/>
      <x:c r="H75" s="9"/>
      <x:c r="I75" s="8"/>
      <x:c r="J75" s="8" t="str">
        <x:f t="shared" si="10">IF(OR(NOT(ISNUMBER(G75)),NOT(ISNUMBER(I75))),"",G75-I75)</x:f>
      </x:c>
      <x:c r="K75" s="8" t="str">
        <x:f t="shared" si="11">IF(OR(NOT(ISNUMBER(G75)),NOT(ISNUMBER(H75)),H75&lt;=1),"",G75*H75-1)</x:f>
      </x:c>
      <x:c r="L75" s="2"/>
      <x:c r="M75" s="2"/>
      <x:c r="N75" s="2"/>
      <x:c r="O75" s="2"/>
      <x:c r="P75" s="2" t="str">
        <x:f>IF(OR(E75="",O75=""),"",IF(NOT(OR(O75="1",O75=1,O75="X",O75="2",O75=2)),"",IF(E75="1X",IF(OR(O75="1",O75=1,O75="X"),1,0),IF(E75="X2",IF(OR(O75="X",O75="2",O75=2),1,0),IF(OR(E75="12",E75=12),IF(OR(O75="1",O75=1,O75="2",O75=2),1,0),"")))))</x:f>
      </x:c>
      <x:c r="Q75" s="9" t="str">
        <x:f t="shared" si="12">IF(OR(NOT(ISNUMBER(P75)),NOT(ISNUMBER(H75)),H75&lt;=1),"",IF(P75=1,H75-1,-1))</x:f>
      </x:c>
      <x:c r="R75" s="2"/>
      <x:c r="S75" s="2"/>
      <x:c r="T75" s="2"/>
      <x:c r="U75" s="2"/>
      <x:c r="V75" s="2"/>
      <x:c r="W75" s="14" t="str">
        <x:f t="shared" si="13">IF(OR(NOT(ISNUMBER(G75)),G75&lt;0,G75&gt;1,NOT(ISNUMBER(P75))),"",(G75-P75)^2)</x:f>
      </x:c>
      <x:c r="X75" s="2" t="str">
        <x:f t="shared" si="14">IF(AND(ISNUMBER(A75),ISNUMBER(Y75),Y75&lt;A75,AB75&lt;&gt;"",ISNUMBER(P75),ISNUMBER(G75),G75&gt;=0,G75&lt;=1,OR(M75="DEFENSIV",M75="PRUDENT",M75="MODERAT",M75="RIDICAT",M75="WATCH",M75="NO BET")),"YES","NO")</x:f>
        <x:v>NO</x:v>
      </x:c>
      <x:c r="Y75" s="146"/>
      <x:c r="Z75" t="str">
        <x:f>IF(AND(X75="YES",OR(M75="DEFENSIV",M75="PRUDENT",M75="MODERAT",M75="RIDICAT")),"YES","NO")</x:f>
        <x:v>NO</x:v>
      </x:c>
      <x:c r="AA75" t="str">
        <x:f>IF(NOT(ISNUMBER(H75)),"MISSING",IF(AND(ISNUMBER(H75),H75&gt;1),"VALID","INVALID"))</x:f>
        <x:v>MISSING</x:v>
      </x:c>
      <x:c r="AB75" s="144"/>
      <x:c r="AC75" t="str">
        <x:f>IF(AND(NOT(ISNUMBER(A75)),E75="",NOT(ISNUMBER(G75)),M75="",O75=""),"INPUT",IF(X75="YES","VALID","INCOMPLETE / INVALID"))</x:f>
        <x:v>INPUT</x:v>
      </x:c>
      <x:c r="AD75" t="str">
        <x:f>IF(X75="YES",P75,"")</x:f>
      </x:c>
      <x:c r="AE75" t="str">
        <x:f>IF(X75="YES",W75,"")</x:f>
      </x:c>
      <x:c r="AF75" t="str">
        <x:f>IF(X75="YES",G75,"")</x:f>
      </x:c>
      <x:c r="AG75" t="str">
        <x:f>IF(AND(Z75="YES",AA75="VALID"),Q75,"")</x:f>
      </x:c>
      <x:c r="AH75" t="str">
        <x:f>IF(AND(Z75="YES",AA75="VALID"),"YES","NO")</x:f>
        <x:v>NO</x:v>
      </x:c>
    </x:row>
    <x:row r="76" ht="15">
      <x:c r="A76" s="161"/>
      <x:c r="B76" s="2"/>
      <x:c r="C76" s="2"/>
      <x:c r="D76" s="2"/>
      <x:c r="E76" s="2"/>
      <x:c r="F76" s="8"/>
      <x:c r="G76" s="8"/>
      <x:c r="H76" s="9"/>
      <x:c r="I76" s="8"/>
      <x:c r="J76" s="8" t="str">
        <x:f t="shared" si="10">IF(OR(NOT(ISNUMBER(G76)),NOT(ISNUMBER(I76))),"",G76-I76)</x:f>
      </x:c>
      <x:c r="K76" s="8" t="str">
        <x:f t="shared" si="11">IF(OR(NOT(ISNUMBER(G76)),NOT(ISNUMBER(H76)),H76&lt;=1),"",G76*H76-1)</x:f>
      </x:c>
      <x:c r="L76" s="2"/>
      <x:c r="M76" s="2"/>
      <x:c r="N76" s="2"/>
      <x:c r="O76" s="2"/>
      <x:c r="P76" s="2" t="str">
        <x:f>IF(OR(E76="",O76=""),"",IF(NOT(OR(O76="1",O76=1,O76="X",O76="2",O76=2)),"",IF(E76="1X",IF(OR(O76="1",O76=1,O76="X"),1,0),IF(E76="X2",IF(OR(O76="X",O76="2",O76=2),1,0),IF(OR(E76="12",E76=12),IF(OR(O76="1",O76=1,O76="2",O76=2),1,0),"")))))</x:f>
      </x:c>
      <x:c r="Q76" s="9" t="str">
        <x:f t="shared" si="12">IF(OR(NOT(ISNUMBER(P76)),NOT(ISNUMBER(H76)),H76&lt;=1),"",IF(P76=1,H76-1,-1))</x:f>
      </x:c>
      <x:c r="R76" s="2"/>
      <x:c r="S76" s="2"/>
      <x:c r="T76" s="2"/>
      <x:c r="U76" s="2"/>
      <x:c r="V76" s="2"/>
      <x:c r="W76" s="14" t="str">
        <x:f t="shared" si="13">IF(OR(NOT(ISNUMBER(G76)),G76&lt;0,G76&gt;1,NOT(ISNUMBER(P76))),"",(G76-P76)^2)</x:f>
      </x:c>
      <x:c r="X76" s="2" t="str">
        <x:f t="shared" si="14">IF(AND(ISNUMBER(A76),ISNUMBER(Y76),Y76&lt;A76,AB76&lt;&gt;"",ISNUMBER(P76),ISNUMBER(G76),G76&gt;=0,G76&lt;=1,OR(M76="DEFENSIV",M76="PRUDENT",M76="MODERAT",M76="RIDICAT",M76="WATCH",M76="NO BET")),"YES","NO")</x:f>
        <x:v>NO</x:v>
      </x:c>
      <x:c r="Y76" s="146"/>
      <x:c r="Z76" t="str">
        <x:f>IF(AND(X76="YES",OR(M76="DEFENSIV",M76="PRUDENT",M76="MODERAT",M76="RIDICAT")),"YES","NO")</x:f>
        <x:v>NO</x:v>
      </x:c>
      <x:c r="AA76" t="str">
        <x:f>IF(NOT(ISNUMBER(H76)),"MISSING",IF(AND(ISNUMBER(H76),H76&gt;1),"VALID","INVALID"))</x:f>
        <x:v>MISSING</x:v>
      </x:c>
      <x:c r="AB76" s="144"/>
      <x:c r="AC76" t="str">
        <x:f>IF(AND(NOT(ISNUMBER(A76)),E76="",NOT(ISNUMBER(G76)),M76="",O76=""),"INPUT",IF(X76="YES","VALID","INCOMPLETE / INVALID"))</x:f>
        <x:v>INPUT</x:v>
      </x:c>
      <x:c r="AD76" t="str">
        <x:f>IF(X76="YES",P76,"")</x:f>
      </x:c>
      <x:c r="AE76" t="str">
        <x:f>IF(X76="YES",W76,"")</x:f>
      </x:c>
      <x:c r="AF76" t="str">
        <x:f>IF(X76="YES",G76,"")</x:f>
      </x:c>
      <x:c r="AG76" t="str">
        <x:f>IF(AND(Z76="YES",AA76="VALID"),Q76,"")</x:f>
      </x:c>
      <x:c r="AH76" t="str">
        <x:f>IF(AND(Z76="YES",AA76="VALID"),"YES","NO")</x:f>
        <x:v>NO</x:v>
      </x:c>
    </x:row>
    <x:row r="77" ht="15">
      <x:c r="A77" s="161"/>
      <x:c r="B77" s="2"/>
      <x:c r="C77" s="2"/>
      <x:c r="D77" s="2"/>
      <x:c r="E77" s="2"/>
      <x:c r="F77" s="8"/>
      <x:c r="G77" s="8"/>
      <x:c r="H77" s="9"/>
      <x:c r="I77" s="8"/>
      <x:c r="J77" s="8" t="str">
        <x:f t="shared" si="10">IF(OR(NOT(ISNUMBER(G77)),NOT(ISNUMBER(I77))),"",G77-I77)</x:f>
      </x:c>
      <x:c r="K77" s="8" t="str">
        <x:f t="shared" si="11">IF(OR(NOT(ISNUMBER(G77)),NOT(ISNUMBER(H77)),H77&lt;=1),"",G77*H77-1)</x:f>
      </x:c>
      <x:c r="L77" s="2"/>
      <x:c r="M77" s="2"/>
      <x:c r="N77" s="2"/>
      <x:c r="O77" s="2"/>
      <x:c r="P77" s="2" t="str">
        <x:f>IF(OR(E77="",O77=""),"",IF(NOT(OR(O77="1",O77=1,O77="X",O77="2",O77=2)),"",IF(E77="1X",IF(OR(O77="1",O77=1,O77="X"),1,0),IF(E77="X2",IF(OR(O77="X",O77="2",O77=2),1,0),IF(OR(E77="12",E77=12),IF(OR(O77="1",O77=1,O77="2",O77=2),1,0),"")))))</x:f>
      </x:c>
      <x:c r="Q77" s="9" t="str">
        <x:f t="shared" si="12">IF(OR(NOT(ISNUMBER(P77)),NOT(ISNUMBER(H77)),H77&lt;=1),"",IF(P77=1,H77-1,-1))</x:f>
      </x:c>
      <x:c r="R77" s="2"/>
      <x:c r="S77" s="2"/>
      <x:c r="T77" s="2"/>
      <x:c r="U77" s="2"/>
      <x:c r="V77" s="2"/>
      <x:c r="W77" s="14" t="str">
        <x:f t="shared" si="13">IF(OR(NOT(ISNUMBER(G77)),G77&lt;0,G77&gt;1,NOT(ISNUMBER(P77))),"",(G77-P77)^2)</x:f>
      </x:c>
      <x:c r="X77" s="2" t="str">
        <x:f t="shared" si="14">IF(AND(ISNUMBER(A77),ISNUMBER(Y77),Y77&lt;A77,AB77&lt;&gt;"",ISNUMBER(P77),ISNUMBER(G77),G77&gt;=0,G77&lt;=1,OR(M77="DEFENSIV",M77="PRUDENT",M77="MODERAT",M77="RIDICAT",M77="WATCH",M77="NO BET")),"YES","NO")</x:f>
        <x:v>NO</x:v>
      </x:c>
      <x:c r="Y77" s="146"/>
      <x:c r="Z77" t="str">
        <x:f>IF(AND(X77="YES",OR(M77="DEFENSIV",M77="PRUDENT",M77="MODERAT",M77="RIDICAT")),"YES","NO")</x:f>
        <x:v>NO</x:v>
      </x:c>
      <x:c r="AA77" t="str">
        <x:f>IF(NOT(ISNUMBER(H77)),"MISSING",IF(AND(ISNUMBER(H77),H77&gt;1),"VALID","INVALID"))</x:f>
        <x:v>MISSING</x:v>
      </x:c>
      <x:c r="AB77" s="144"/>
      <x:c r="AC77" t="str">
        <x:f>IF(AND(NOT(ISNUMBER(A77)),E77="",NOT(ISNUMBER(G77)),M77="",O77=""),"INPUT",IF(X77="YES","VALID","INCOMPLETE / INVALID"))</x:f>
        <x:v>INPUT</x:v>
      </x:c>
      <x:c r="AD77" t="str">
        <x:f>IF(X77="YES",P77,"")</x:f>
      </x:c>
      <x:c r="AE77" t="str">
        <x:f>IF(X77="YES",W77,"")</x:f>
      </x:c>
      <x:c r="AF77" t="str">
        <x:f>IF(X77="YES",G77,"")</x:f>
      </x:c>
      <x:c r="AG77" t="str">
        <x:f>IF(AND(Z77="YES",AA77="VALID"),Q77,"")</x:f>
      </x:c>
      <x:c r="AH77" t="str">
        <x:f>IF(AND(Z77="YES",AA77="VALID"),"YES","NO")</x:f>
        <x:v>NO</x:v>
      </x:c>
    </x:row>
    <x:row r="78" ht="15">
      <x:c r="A78" s="161"/>
      <x:c r="B78" s="2"/>
      <x:c r="C78" s="2"/>
      <x:c r="D78" s="2"/>
      <x:c r="E78" s="2"/>
      <x:c r="F78" s="8"/>
      <x:c r="G78" s="8"/>
      <x:c r="H78" s="9"/>
      <x:c r="I78" s="8"/>
      <x:c r="J78" s="8" t="str">
        <x:f t="shared" si="10">IF(OR(NOT(ISNUMBER(G78)),NOT(ISNUMBER(I78))),"",G78-I78)</x:f>
      </x:c>
      <x:c r="K78" s="8" t="str">
        <x:f t="shared" si="11">IF(OR(NOT(ISNUMBER(G78)),NOT(ISNUMBER(H78)),H78&lt;=1),"",G78*H78-1)</x:f>
      </x:c>
      <x:c r="L78" s="2"/>
      <x:c r="M78" s="2"/>
      <x:c r="N78" s="2"/>
      <x:c r="O78" s="2"/>
      <x:c r="P78" s="2" t="str">
        <x:f>IF(OR(E78="",O78=""),"",IF(NOT(OR(O78="1",O78=1,O78="X",O78="2",O78=2)),"",IF(E78="1X",IF(OR(O78="1",O78=1,O78="X"),1,0),IF(E78="X2",IF(OR(O78="X",O78="2",O78=2),1,0),IF(OR(E78="12",E78=12),IF(OR(O78="1",O78=1,O78="2",O78=2),1,0),"")))))</x:f>
      </x:c>
      <x:c r="Q78" s="9" t="str">
        <x:f t="shared" si="12">IF(OR(NOT(ISNUMBER(P78)),NOT(ISNUMBER(H78)),H78&lt;=1),"",IF(P78=1,H78-1,-1))</x:f>
      </x:c>
      <x:c r="R78" s="2"/>
      <x:c r="S78" s="2"/>
      <x:c r="T78" s="2"/>
      <x:c r="U78" s="2"/>
      <x:c r="V78" s="2"/>
      <x:c r="W78" s="14" t="str">
        <x:f t="shared" si="13">IF(OR(NOT(ISNUMBER(G78)),G78&lt;0,G78&gt;1,NOT(ISNUMBER(P78))),"",(G78-P78)^2)</x:f>
      </x:c>
      <x:c r="X78" s="2" t="str">
        <x:f t="shared" si="14">IF(AND(ISNUMBER(A78),ISNUMBER(Y78),Y78&lt;A78,AB78&lt;&gt;"",ISNUMBER(P78),ISNUMBER(G78),G78&gt;=0,G78&lt;=1,OR(M78="DEFENSIV",M78="PRUDENT",M78="MODERAT",M78="RIDICAT",M78="WATCH",M78="NO BET")),"YES","NO")</x:f>
        <x:v>NO</x:v>
      </x:c>
      <x:c r="Y78" s="146"/>
      <x:c r="Z78" t="str">
        <x:f>IF(AND(X78="YES",OR(M78="DEFENSIV",M78="PRUDENT",M78="MODERAT",M78="RIDICAT")),"YES","NO")</x:f>
        <x:v>NO</x:v>
      </x:c>
      <x:c r="AA78" t="str">
        <x:f>IF(NOT(ISNUMBER(H78)),"MISSING",IF(AND(ISNUMBER(H78),H78&gt;1),"VALID","INVALID"))</x:f>
        <x:v>MISSING</x:v>
      </x:c>
      <x:c r="AB78" s="144"/>
      <x:c r="AC78" t="str">
        <x:f>IF(AND(NOT(ISNUMBER(A78)),E78="",NOT(ISNUMBER(G78)),M78="",O78=""),"INPUT",IF(X78="YES","VALID","INCOMPLETE / INVALID"))</x:f>
        <x:v>INPUT</x:v>
      </x:c>
      <x:c r="AD78" t="str">
        <x:f>IF(X78="YES",P78,"")</x:f>
      </x:c>
      <x:c r="AE78" t="str">
        <x:f>IF(X78="YES",W78,"")</x:f>
      </x:c>
      <x:c r="AF78" t="str">
        <x:f>IF(X78="YES",G78,"")</x:f>
      </x:c>
      <x:c r="AG78" t="str">
        <x:f>IF(AND(Z78="YES",AA78="VALID"),Q78,"")</x:f>
      </x:c>
      <x:c r="AH78" t="str">
        <x:f>IF(AND(Z78="YES",AA78="VALID"),"YES","NO")</x:f>
        <x:v>NO</x:v>
      </x:c>
    </x:row>
    <x:row r="79" ht="15">
      <x:c r="A79" s="161"/>
      <x:c r="B79" s="2"/>
      <x:c r="C79" s="2"/>
      <x:c r="D79" s="2"/>
      <x:c r="E79" s="2"/>
      <x:c r="F79" s="8"/>
      <x:c r="G79" s="8"/>
      <x:c r="H79" s="9"/>
      <x:c r="I79" s="8"/>
      <x:c r="J79" s="8" t="str">
        <x:f t="shared" si="10">IF(OR(NOT(ISNUMBER(G79)),NOT(ISNUMBER(I79))),"",G79-I79)</x:f>
      </x:c>
      <x:c r="K79" s="8" t="str">
        <x:f t="shared" si="11">IF(OR(NOT(ISNUMBER(G79)),NOT(ISNUMBER(H79)),H79&lt;=1),"",G79*H79-1)</x:f>
      </x:c>
      <x:c r="L79" s="2"/>
      <x:c r="M79" s="2"/>
      <x:c r="N79" s="2"/>
      <x:c r="O79" s="2"/>
      <x:c r="P79" s="2" t="str">
        <x:f>IF(OR(E79="",O79=""),"",IF(NOT(OR(O79="1",O79=1,O79="X",O79="2",O79=2)),"",IF(E79="1X",IF(OR(O79="1",O79=1,O79="X"),1,0),IF(E79="X2",IF(OR(O79="X",O79="2",O79=2),1,0),IF(OR(E79="12",E79=12),IF(OR(O79="1",O79=1,O79="2",O79=2),1,0),"")))))</x:f>
      </x:c>
      <x:c r="Q79" s="9" t="str">
        <x:f t="shared" si="12">IF(OR(NOT(ISNUMBER(P79)),NOT(ISNUMBER(H79)),H79&lt;=1),"",IF(P79=1,H79-1,-1))</x:f>
      </x:c>
      <x:c r="R79" s="2"/>
      <x:c r="S79" s="2"/>
      <x:c r="T79" s="2"/>
      <x:c r="U79" s="2"/>
      <x:c r="V79" s="2"/>
      <x:c r="W79" s="14" t="str">
        <x:f t="shared" si="13">IF(OR(NOT(ISNUMBER(G79)),G79&lt;0,G79&gt;1,NOT(ISNUMBER(P79))),"",(G79-P79)^2)</x:f>
      </x:c>
      <x:c r="X79" s="2" t="str">
        <x:f t="shared" si="14">IF(AND(ISNUMBER(A79),ISNUMBER(Y79),Y79&lt;A79,AB79&lt;&gt;"",ISNUMBER(P79),ISNUMBER(G79),G79&gt;=0,G79&lt;=1,OR(M79="DEFENSIV",M79="PRUDENT",M79="MODERAT",M79="RIDICAT",M79="WATCH",M79="NO BET")),"YES","NO")</x:f>
        <x:v>NO</x:v>
      </x:c>
      <x:c r="Y79" s="146"/>
      <x:c r="Z79" t="str">
        <x:f>IF(AND(X79="YES",OR(M79="DEFENSIV",M79="PRUDENT",M79="MODERAT",M79="RIDICAT")),"YES","NO")</x:f>
        <x:v>NO</x:v>
      </x:c>
      <x:c r="AA79" t="str">
        <x:f>IF(NOT(ISNUMBER(H79)),"MISSING",IF(AND(ISNUMBER(H79),H79&gt;1),"VALID","INVALID"))</x:f>
        <x:v>MISSING</x:v>
      </x:c>
      <x:c r="AB79" s="144"/>
      <x:c r="AC79" t="str">
        <x:f>IF(AND(NOT(ISNUMBER(A79)),E79="",NOT(ISNUMBER(G79)),M79="",O79=""),"INPUT",IF(X79="YES","VALID","INCOMPLETE / INVALID"))</x:f>
        <x:v>INPUT</x:v>
      </x:c>
      <x:c r="AD79" t="str">
        <x:f>IF(X79="YES",P79,"")</x:f>
      </x:c>
      <x:c r="AE79" t="str">
        <x:f>IF(X79="YES",W79,"")</x:f>
      </x:c>
      <x:c r="AF79" t="str">
        <x:f>IF(X79="YES",G79,"")</x:f>
      </x:c>
      <x:c r="AG79" t="str">
        <x:f>IF(AND(Z79="YES",AA79="VALID"),Q79,"")</x:f>
      </x:c>
      <x:c r="AH79" t="str">
        <x:f>IF(AND(Z79="YES",AA79="VALID"),"YES","NO")</x:f>
        <x:v>NO</x:v>
      </x:c>
    </x:row>
    <x:row r="80" ht="15">
      <x:c r="A80" s="161"/>
      <x:c r="B80" s="2"/>
      <x:c r="C80" s="2"/>
      <x:c r="D80" s="2"/>
      <x:c r="E80" s="2"/>
      <x:c r="F80" s="8"/>
      <x:c r="G80" s="8"/>
      <x:c r="H80" s="9"/>
      <x:c r="I80" s="8"/>
      <x:c r="J80" s="8" t="str">
        <x:f t="shared" si="10">IF(OR(NOT(ISNUMBER(G80)),NOT(ISNUMBER(I80))),"",G80-I80)</x:f>
      </x:c>
      <x:c r="K80" s="8" t="str">
        <x:f t="shared" si="11">IF(OR(NOT(ISNUMBER(G80)),NOT(ISNUMBER(H80)),H80&lt;=1),"",G80*H80-1)</x:f>
      </x:c>
      <x:c r="L80" s="2"/>
      <x:c r="M80" s="2"/>
      <x:c r="N80" s="2"/>
      <x:c r="O80" s="2"/>
      <x:c r="P80" s="2" t="str">
        <x:f>IF(OR(E80="",O80=""),"",IF(NOT(OR(O80="1",O80=1,O80="X",O80="2",O80=2)),"",IF(E80="1X",IF(OR(O80="1",O80=1,O80="X"),1,0),IF(E80="X2",IF(OR(O80="X",O80="2",O80=2),1,0),IF(OR(E80="12",E80=12),IF(OR(O80="1",O80=1,O80="2",O80=2),1,0),"")))))</x:f>
      </x:c>
      <x:c r="Q80" s="9" t="str">
        <x:f t="shared" si="12">IF(OR(NOT(ISNUMBER(P80)),NOT(ISNUMBER(H80)),H80&lt;=1),"",IF(P80=1,H80-1,-1))</x:f>
      </x:c>
      <x:c r="R80" s="2"/>
      <x:c r="S80" s="2"/>
      <x:c r="T80" s="2"/>
      <x:c r="U80" s="2"/>
      <x:c r="V80" s="2"/>
      <x:c r="W80" s="14" t="str">
        <x:f t="shared" si="13">IF(OR(NOT(ISNUMBER(G80)),G80&lt;0,G80&gt;1,NOT(ISNUMBER(P80))),"",(G80-P80)^2)</x:f>
      </x:c>
      <x:c r="X80" s="2" t="str">
        <x:f t="shared" si="14">IF(AND(ISNUMBER(A80),ISNUMBER(Y80),Y80&lt;A80,AB80&lt;&gt;"",ISNUMBER(P80),ISNUMBER(G80),G80&gt;=0,G80&lt;=1,OR(M80="DEFENSIV",M80="PRUDENT",M80="MODERAT",M80="RIDICAT",M80="WATCH",M80="NO BET")),"YES","NO")</x:f>
        <x:v>NO</x:v>
      </x:c>
      <x:c r="Y80" s="146"/>
      <x:c r="Z80" t="str">
        <x:f>IF(AND(X80="YES",OR(M80="DEFENSIV",M80="PRUDENT",M80="MODERAT",M80="RIDICAT")),"YES","NO")</x:f>
        <x:v>NO</x:v>
      </x:c>
      <x:c r="AA80" t="str">
        <x:f>IF(NOT(ISNUMBER(H80)),"MISSING",IF(AND(ISNUMBER(H80),H80&gt;1),"VALID","INVALID"))</x:f>
        <x:v>MISSING</x:v>
      </x:c>
      <x:c r="AB80" s="144"/>
      <x:c r="AC80" t="str">
        <x:f>IF(AND(NOT(ISNUMBER(A80)),E80="",NOT(ISNUMBER(G80)),M80="",O80=""),"INPUT",IF(X80="YES","VALID","INCOMPLETE / INVALID"))</x:f>
        <x:v>INPUT</x:v>
      </x:c>
      <x:c r="AD80" t="str">
        <x:f>IF(X80="YES",P80,"")</x:f>
      </x:c>
      <x:c r="AE80" t="str">
        <x:f>IF(X80="YES",W80,"")</x:f>
      </x:c>
      <x:c r="AF80" t="str">
        <x:f>IF(X80="YES",G80,"")</x:f>
      </x:c>
      <x:c r="AG80" t="str">
        <x:f>IF(AND(Z80="YES",AA80="VALID"),Q80,"")</x:f>
      </x:c>
      <x:c r="AH80" t="str">
        <x:f>IF(AND(Z80="YES",AA80="VALID"),"YES","NO")</x:f>
        <x:v>NO</x:v>
      </x:c>
    </x:row>
    <x:row r="81" ht="15">
      <x:c r="A81" s="161"/>
      <x:c r="B81" s="2"/>
      <x:c r="C81" s="2"/>
      <x:c r="D81" s="2"/>
      <x:c r="E81" s="2"/>
      <x:c r="F81" s="8"/>
      <x:c r="G81" s="8"/>
      <x:c r="H81" s="9"/>
      <x:c r="I81" s="8"/>
      <x:c r="J81" s="8" t="str">
        <x:f t="shared" si="10">IF(OR(NOT(ISNUMBER(G81)),NOT(ISNUMBER(I81))),"",G81-I81)</x:f>
      </x:c>
      <x:c r="K81" s="8" t="str">
        <x:f t="shared" si="11">IF(OR(NOT(ISNUMBER(G81)),NOT(ISNUMBER(H81)),H81&lt;=1),"",G81*H81-1)</x:f>
      </x:c>
      <x:c r="L81" s="2"/>
      <x:c r="M81" s="2"/>
      <x:c r="N81" s="2"/>
      <x:c r="O81" s="2"/>
      <x:c r="P81" s="2" t="str">
        <x:f>IF(OR(E81="",O81=""),"",IF(NOT(OR(O81="1",O81=1,O81="X",O81="2",O81=2)),"",IF(E81="1X",IF(OR(O81="1",O81=1,O81="X"),1,0),IF(E81="X2",IF(OR(O81="X",O81="2",O81=2),1,0),IF(OR(E81="12",E81=12),IF(OR(O81="1",O81=1,O81="2",O81=2),1,0),"")))))</x:f>
      </x:c>
      <x:c r="Q81" s="9" t="str">
        <x:f t="shared" si="12">IF(OR(NOT(ISNUMBER(P81)),NOT(ISNUMBER(H81)),H81&lt;=1),"",IF(P81=1,H81-1,-1))</x:f>
      </x:c>
      <x:c r="R81" s="2"/>
      <x:c r="S81" s="2"/>
      <x:c r="T81" s="2"/>
      <x:c r="U81" s="2"/>
      <x:c r="V81" s="2"/>
      <x:c r="W81" s="14" t="str">
        <x:f t="shared" si="13">IF(OR(NOT(ISNUMBER(G81)),G81&lt;0,G81&gt;1,NOT(ISNUMBER(P81))),"",(G81-P81)^2)</x:f>
      </x:c>
      <x:c r="X81" s="2" t="str">
        <x:f t="shared" si="14">IF(AND(ISNUMBER(A81),ISNUMBER(Y81),Y81&lt;A81,AB81&lt;&gt;"",ISNUMBER(P81),ISNUMBER(G81),G81&gt;=0,G81&lt;=1,OR(M81="DEFENSIV",M81="PRUDENT",M81="MODERAT",M81="RIDICAT",M81="WATCH",M81="NO BET")),"YES","NO")</x:f>
        <x:v>NO</x:v>
      </x:c>
      <x:c r="Y81" s="146"/>
      <x:c r="Z81" t="str">
        <x:f>IF(AND(X81="YES",OR(M81="DEFENSIV",M81="PRUDENT",M81="MODERAT",M81="RIDICAT")),"YES","NO")</x:f>
        <x:v>NO</x:v>
      </x:c>
      <x:c r="AA81" t="str">
        <x:f>IF(NOT(ISNUMBER(H81)),"MISSING",IF(AND(ISNUMBER(H81),H81&gt;1),"VALID","INVALID"))</x:f>
        <x:v>MISSING</x:v>
      </x:c>
      <x:c r="AB81" s="144"/>
      <x:c r="AC81" t="str">
        <x:f>IF(AND(NOT(ISNUMBER(A81)),E81="",NOT(ISNUMBER(G81)),M81="",O81=""),"INPUT",IF(X81="YES","VALID","INCOMPLETE / INVALID"))</x:f>
        <x:v>INPUT</x:v>
      </x:c>
      <x:c r="AD81" t="str">
        <x:f>IF(X81="YES",P81,"")</x:f>
      </x:c>
      <x:c r="AE81" t="str">
        <x:f>IF(X81="YES",W81,"")</x:f>
      </x:c>
      <x:c r="AF81" t="str">
        <x:f>IF(X81="YES",G81,"")</x:f>
      </x:c>
      <x:c r="AG81" t="str">
        <x:f>IF(AND(Z81="YES",AA81="VALID"),Q81,"")</x:f>
      </x:c>
      <x:c r="AH81" t="str">
        <x:f>IF(AND(Z81="YES",AA81="VALID"),"YES","NO")</x:f>
        <x:v>NO</x:v>
      </x:c>
    </x:row>
    <x:row r="82" ht="15">
      <x:c r="A82" s="161"/>
      <x:c r="B82" s="2"/>
      <x:c r="C82" s="2"/>
      <x:c r="D82" s="2"/>
      <x:c r="E82" s="2"/>
      <x:c r="F82" s="8"/>
      <x:c r="G82" s="8"/>
      <x:c r="H82" s="9"/>
      <x:c r="I82" s="8"/>
      <x:c r="J82" s="8" t="str">
        <x:f t="shared" si="10">IF(OR(NOT(ISNUMBER(G82)),NOT(ISNUMBER(I82))),"",G82-I82)</x:f>
      </x:c>
      <x:c r="K82" s="8" t="str">
        <x:f t="shared" si="11">IF(OR(NOT(ISNUMBER(G82)),NOT(ISNUMBER(H82)),H82&lt;=1),"",G82*H82-1)</x:f>
      </x:c>
      <x:c r="L82" s="2"/>
      <x:c r="M82" s="2"/>
      <x:c r="N82" s="2"/>
      <x:c r="O82" s="2"/>
      <x:c r="P82" s="2" t="str">
        <x:f>IF(OR(E82="",O82=""),"",IF(NOT(OR(O82="1",O82=1,O82="X",O82="2",O82=2)),"",IF(E82="1X",IF(OR(O82="1",O82=1,O82="X"),1,0),IF(E82="X2",IF(OR(O82="X",O82="2",O82=2),1,0),IF(OR(E82="12",E82=12),IF(OR(O82="1",O82=1,O82="2",O82=2),1,0),"")))))</x:f>
      </x:c>
      <x:c r="Q82" s="9" t="str">
        <x:f t="shared" si="12">IF(OR(NOT(ISNUMBER(P82)),NOT(ISNUMBER(H82)),H82&lt;=1),"",IF(P82=1,H82-1,-1))</x:f>
      </x:c>
      <x:c r="R82" s="2"/>
      <x:c r="S82" s="2"/>
      <x:c r="T82" s="2"/>
      <x:c r="U82" s="2"/>
      <x:c r="V82" s="2"/>
      <x:c r="W82" s="14" t="str">
        <x:f t="shared" si="13">IF(OR(NOT(ISNUMBER(G82)),G82&lt;0,G82&gt;1,NOT(ISNUMBER(P82))),"",(G82-P82)^2)</x:f>
      </x:c>
      <x:c r="X82" s="2" t="str">
        <x:f t="shared" si="14">IF(AND(ISNUMBER(A82),ISNUMBER(Y82),Y82&lt;A82,AB82&lt;&gt;"",ISNUMBER(P82),ISNUMBER(G82),G82&gt;=0,G82&lt;=1,OR(M82="DEFENSIV",M82="PRUDENT",M82="MODERAT",M82="RIDICAT",M82="WATCH",M82="NO BET")),"YES","NO")</x:f>
        <x:v>NO</x:v>
      </x:c>
      <x:c r="Y82" s="146"/>
      <x:c r="Z82" t="str">
        <x:f>IF(AND(X82="YES",OR(M82="DEFENSIV",M82="PRUDENT",M82="MODERAT",M82="RIDICAT")),"YES","NO")</x:f>
        <x:v>NO</x:v>
      </x:c>
      <x:c r="AA82" t="str">
        <x:f>IF(NOT(ISNUMBER(H82)),"MISSING",IF(AND(ISNUMBER(H82),H82&gt;1),"VALID","INVALID"))</x:f>
        <x:v>MISSING</x:v>
      </x:c>
      <x:c r="AB82" s="144"/>
      <x:c r="AC82" t="str">
        <x:f>IF(AND(NOT(ISNUMBER(A82)),E82="",NOT(ISNUMBER(G82)),M82="",O82=""),"INPUT",IF(X82="YES","VALID","INCOMPLETE / INVALID"))</x:f>
        <x:v>INPUT</x:v>
      </x:c>
      <x:c r="AD82" t="str">
        <x:f>IF(X82="YES",P82,"")</x:f>
      </x:c>
      <x:c r="AE82" t="str">
        <x:f>IF(X82="YES",W82,"")</x:f>
      </x:c>
      <x:c r="AF82" t="str">
        <x:f>IF(X82="YES",G82,"")</x:f>
      </x:c>
      <x:c r="AG82" t="str">
        <x:f>IF(AND(Z82="YES",AA82="VALID"),Q82,"")</x:f>
      </x:c>
      <x:c r="AH82" t="str">
        <x:f>IF(AND(Z82="YES",AA82="VALID"),"YES","NO")</x:f>
        <x:v>NO</x:v>
      </x:c>
    </x:row>
    <x:row r="83" ht="15">
      <x:c r="A83" s="161"/>
      <x:c r="B83" s="2"/>
      <x:c r="C83" s="2"/>
      <x:c r="D83" s="2"/>
      <x:c r="E83" s="2"/>
      <x:c r="F83" s="8"/>
      <x:c r="G83" s="8"/>
      <x:c r="H83" s="9"/>
      <x:c r="I83" s="8"/>
      <x:c r="J83" s="8" t="str">
        <x:f t="shared" si="10">IF(OR(NOT(ISNUMBER(G83)),NOT(ISNUMBER(I83))),"",G83-I83)</x:f>
      </x:c>
      <x:c r="K83" s="8" t="str">
        <x:f t="shared" si="11">IF(OR(NOT(ISNUMBER(G83)),NOT(ISNUMBER(H83)),H83&lt;=1),"",G83*H83-1)</x:f>
      </x:c>
      <x:c r="L83" s="2"/>
      <x:c r="M83" s="2"/>
      <x:c r="N83" s="2"/>
      <x:c r="O83" s="2"/>
      <x:c r="P83" s="2" t="str">
        <x:f>IF(OR(E83="",O83=""),"",IF(NOT(OR(O83="1",O83=1,O83="X",O83="2",O83=2)),"",IF(E83="1X",IF(OR(O83="1",O83=1,O83="X"),1,0),IF(E83="X2",IF(OR(O83="X",O83="2",O83=2),1,0),IF(OR(E83="12",E83=12),IF(OR(O83="1",O83=1,O83="2",O83=2),1,0),"")))))</x:f>
      </x:c>
      <x:c r="Q83" s="9" t="str">
        <x:f t="shared" si="12">IF(OR(NOT(ISNUMBER(P83)),NOT(ISNUMBER(H83)),H83&lt;=1),"",IF(P83=1,H83-1,-1))</x:f>
      </x:c>
      <x:c r="R83" s="2"/>
      <x:c r="S83" s="2"/>
      <x:c r="T83" s="2"/>
      <x:c r="U83" s="2"/>
      <x:c r="V83" s="2"/>
      <x:c r="W83" s="14" t="str">
        <x:f t="shared" si="13">IF(OR(NOT(ISNUMBER(G83)),G83&lt;0,G83&gt;1,NOT(ISNUMBER(P83))),"",(G83-P83)^2)</x:f>
      </x:c>
      <x:c r="X83" s="2" t="str">
        <x:f t="shared" si="14">IF(AND(ISNUMBER(A83),ISNUMBER(Y83),Y83&lt;A83,AB83&lt;&gt;"",ISNUMBER(P83),ISNUMBER(G83),G83&gt;=0,G83&lt;=1,OR(M83="DEFENSIV",M83="PRUDENT",M83="MODERAT",M83="RIDICAT",M83="WATCH",M83="NO BET")),"YES","NO")</x:f>
        <x:v>NO</x:v>
      </x:c>
      <x:c r="Y83" s="146"/>
      <x:c r="Z83" t="str">
        <x:f>IF(AND(X83="YES",OR(M83="DEFENSIV",M83="PRUDENT",M83="MODERAT",M83="RIDICAT")),"YES","NO")</x:f>
        <x:v>NO</x:v>
      </x:c>
      <x:c r="AA83" t="str">
        <x:f>IF(NOT(ISNUMBER(H83)),"MISSING",IF(AND(ISNUMBER(H83),H83&gt;1),"VALID","INVALID"))</x:f>
        <x:v>MISSING</x:v>
      </x:c>
      <x:c r="AB83" s="144"/>
      <x:c r="AC83" t="str">
        <x:f>IF(AND(NOT(ISNUMBER(A83)),E83="",NOT(ISNUMBER(G83)),M83="",O83=""),"INPUT",IF(X83="YES","VALID","INCOMPLETE / INVALID"))</x:f>
        <x:v>INPUT</x:v>
      </x:c>
      <x:c r="AD83" t="str">
        <x:f>IF(X83="YES",P83,"")</x:f>
      </x:c>
      <x:c r="AE83" t="str">
        <x:f>IF(X83="YES",W83,"")</x:f>
      </x:c>
      <x:c r="AF83" t="str">
        <x:f>IF(X83="YES",G83,"")</x:f>
      </x:c>
      <x:c r="AG83" t="str">
        <x:f>IF(AND(Z83="YES",AA83="VALID"),Q83,"")</x:f>
      </x:c>
      <x:c r="AH83" t="str">
        <x:f>IF(AND(Z83="YES",AA83="VALID"),"YES","NO")</x:f>
        <x:v>NO</x:v>
      </x:c>
    </x:row>
    <x:row r="84" ht="15">
      <x:c r="A84" s="161"/>
      <x:c r="B84" s="2"/>
      <x:c r="C84" s="2"/>
      <x:c r="D84" s="2"/>
      <x:c r="E84" s="2"/>
      <x:c r="F84" s="8"/>
      <x:c r="G84" s="8"/>
      <x:c r="H84" s="9"/>
      <x:c r="I84" s="8"/>
      <x:c r="J84" s="8" t="str">
        <x:f t="shared" si="10">IF(OR(NOT(ISNUMBER(G84)),NOT(ISNUMBER(I84))),"",G84-I84)</x:f>
      </x:c>
      <x:c r="K84" s="8" t="str">
        <x:f t="shared" si="11">IF(OR(NOT(ISNUMBER(G84)),NOT(ISNUMBER(H84)),H84&lt;=1),"",G84*H84-1)</x:f>
      </x:c>
      <x:c r="L84" s="2"/>
      <x:c r="M84" s="2"/>
      <x:c r="N84" s="2"/>
      <x:c r="O84" s="2"/>
      <x:c r="P84" s="2" t="str">
        <x:f>IF(OR(E84="",O84=""),"",IF(NOT(OR(O84="1",O84=1,O84="X",O84="2",O84=2)),"",IF(E84="1X",IF(OR(O84="1",O84=1,O84="X"),1,0),IF(E84="X2",IF(OR(O84="X",O84="2",O84=2),1,0),IF(OR(E84="12",E84=12),IF(OR(O84="1",O84=1,O84="2",O84=2),1,0),"")))))</x:f>
      </x:c>
      <x:c r="Q84" s="9" t="str">
        <x:f t="shared" si="12">IF(OR(NOT(ISNUMBER(P84)),NOT(ISNUMBER(H84)),H84&lt;=1),"",IF(P84=1,H84-1,-1))</x:f>
      </x:c>
      <x:c r="R84" s="2"/>
      <x:c r="S84" s="2"/>
      <x:c r="T84" s="2"/>
      <x:c r="U84" s="2"/>
      <x:c r="V84" s="2"/>
      <x:c r="W84" s="14" t="str">
        <x:f t="shared" si="13">IF(OR(NOT(ISNUMBER(G84)),G84&lt;0,G84&gt;1,NOT(ISNUMBER(P84))),"",(G84-P84)^2)</x:f>
      </x:c>
      <x:c r="X84" s="2" t="str">
        <x:f t="shared" si="14">IF(AND(ISNUMBER(A84),ISNUMBER(Y84),Y84&lt;A84,AB84&lt;&gt;"",ISNUMBER(P84),ISNUMBER(G84),G84&gt;=0,G84&lt;=1,OR(M84="DEFENSIV",M84="PRUDENT",M84="MODERAT",M84="RIDICAT",M84="WATCH",M84="NO BET")),"YES","NO")</x:f>
        <x:v>NO</x:v>
      </x:c>
      <x:c r="Y84" s="146"/>
      <x:c r="Z84" t="str">
        <x:f>IF(AND(X84="YES",OR(M84="DEFENSIV",M84="PRUDENT",M84="MODERAT",M84="RIDICAT")),"YES","NO")</x:f>
        <x:v>NO</x:v>
      </x:c>
      <x:c r="AA84" t="str">
        <x:f>IF(NOT(ISNUMBER(H84)),"MISSING",IF(AND(ISNUMBER(H84),H84&gt;1),"VALID","INVALID"))</x:f>
        <x:v>MISSING</x:v>
      </x:c>
      <x:c r="AB84" s="144"/>
      <x:c r="AC84" t="str">
        <x:f>IF(AND(NOT(ISNUMBER(A84)),E84="",NOT(ISNUMBER(G84)),M84="",O84=""),"INPUT",IF(X84="YES","VALID","INCOMPLETE / INVALID"))</x:f>
        <x:v>INPUT</x:v>
      </x:c>
      <x:c r="AD84" t="str">
        <x:f>IF(X84="YES",P84,"")</x:f>
      </x:c>
      <x:c r="AE84" t="str">
        <x:f>IF(X84="YES",W84,"")</x:f>
      </x:c>
      <x:c r="AF84" t="str">
        <x:f>IF(X84="YES",G84,"")</x:f>
      </x:c>
      <x:c r="AG84" t="str">
        <x:f>IF(AND(Z84="YES",AA84="VALID"),Q84,"")</x:f>
      </x:c>
      <x:c r="AH84" t="str">
        <x:f>IF(AND(Z84="YES",AA84="VALID"),"YES","NO")</x:f>
        <x:v>NO</x:v>
      </x:c>
    </x:row>
    <x:row r="85" ht="15">
      <x:c r="A85" s="161"/>
      <x:c r="B85" s="2"/>
      <x:c r="C85" s="2"/>
      <x:c r="D85" s="2"/>
      <x:c r="E85" s="2"/>
      <x:c r="F85" s="8"/>
      <x:c r="G85" s="8"/>
      <x:c r="H85" s="9"/>
      <x:c r="I85" s="8"/>
      <x:c r="J85" s="8" t="str">
        <x:f t="shared" si="10">IF(OR(NOT(ISNUMBER(G85)),NOT(ISNUMBER(I85))),"",G85-I85)</x:f>
      </x:c>
      <x:c r="K85" s="8" t="str">
        <x:f t="shared" si="11">IF(OR(NOT(ISNUMBER(G85)),NOT(ISNUMBER(H85)),H85&lt;=1),"",G85*H85-1)</x:f>
      </x:c>
      <x:c r="L85" s="2"/>
      <x:c r="M85" s="2"/>
      <x:c r="N85" s="2"/>
      <x:c r="O85" s="2"/>
      <x:c r="P85" s="2" t="str">
        <x:f>IF(OR(E85="",O85=""),"",IF(NOT(OR(O85="1",O85=1,O85="X",O85="2",O85=2)),"",IF(E85="1X",IF(OR(O85="1",O85=1,O85="X"),1,0),IF(E85="X2",IF(OR(O85="X",O85="2",O85=2),1,0),IF(OR(E85="12",E85=12),IF(OR(O85="1",O85=1,O85="2",O85=2),1,0),"")))))</x:f>
      </x:c>
      <x:c r="Q85" s="9" t="str">
        <x:f t="shared" si="12">IF(OR(NOT(ISNUMBER(P85)),NOT(ISNUMBER(H85)),H85&lt;=1),"",IF(P85=1,H85-1,-1))</x:f>
      </x:c>
      <x:c r="R85" s="2"/>
      <x:c r="S85" s="2"/>
      <x:c r="T85" s="2"/>
      <x:c r="U85" s="2"/>
      <x:c r="V85" s="2"/>
      <x:c r="W85" s="14" t="str">
        <x:f t="shared" si="13">IF(OR(NOT(ISNUMBER(G85)),G85&lt;0,G85&gt;1,NOT(ISNUMBER(P85))),"",(G85-P85)^2)</x:f>
      </x:c>
      <x:c r="X85" s="2" t="str">
        <x:f t="shared" si="14">IF(AND(ISNUMBER(A85),ISNUMBER(Y85),Y85&lt;A85,AB85&lt;&gt;"",ISNUMBER(P85),ISNUMBER(G85),G85&gt;=0,G85&lt;=1,OR(M85="DEFENSIV",M85="PRUDENT",M85="MODERAT",M85="RIDICAT",M85="WATCH",M85="NO BET")),"YES","NO")</x:f>
        <x:v>NO</x:v>
      </x:c>
      <x:c r="Y85" s="146"/>
      <x:c r="Z85" t="str">
        <x:f>IF(AND(X85="YES",OR(M85="DEFENSIV",M85="PRUDENT",M85="MODERAT",M85="RIDICAT")),"YES","NO")</x:f>
        <x:v>NO</x:v>
      </x:c>
      <x:c r="AA85" t="str">
        <x:f>IF(NOT(ISNUMBER(H85)),"MISSING",IF(AND(ISNUMBER(H85),H85&gt;1),"VALID","INVALID"))</x:f>
        <x:v>MISSING</x:v>
      </x:c>
      <x:c r="AB85" s="144"/>
      <x:c r="AC85" t="str">
        <x:f>IF(AND(NOT(ISNUMBER(A85)),E85="",NOT(ISNUMBER(G85)),M85="",O85=""),"INPUT",IF(X85="YES","VALID","INCOMPLETE / INVALID"))</x:f>
        <x:v>INPUT</x:v>
      </x:c>
      <x:c r="AD85" t="str">
        <x:f>IF(X85="YES",P85,"")</x:f>
      </x:c>
      <x:c r="AE85" t="str">
        <x:f>IF(X85="YES",W85,"")</x:f>
      </x:c>
      <x:c r="AF85" t="str">
        <x:f>IF(X85="YES",G85,"")</x:f>
      </x:c>
      <x:c r="AG85" t="str">
        <x:f>IF(AND(Z85="YES",AA85="VALID"),Q85,"")</x:f>
      </x:c>
      <x:c r="AH85" t="str">
        <x:f>IF(AND(Z85="YES",AA85="VALID"),"YES","NO")</x:f>
        <x:v>NO</x:v>
      </x:c>
    </x:row>
    <x:row r="86" ht="15">
      <x:c r="A86" s="161"/>
      <x:c r="B86" s="2"/>
      <x:c r="C86" s="2"/>
      <x:c r="D86" s="2"/>
      <x:c r="E86" s="2"/>
      <x:c r="F86" s="8"/>
      <x:c r="G86" s="8"/>
      <x:c r="H86" s="9"/>
      <x:c r="I86" s="8"/>
      <x:c r="J86" s="8" t="str">
        <x:f t="shared" si="10">IF(OR(NOT(ISNUMBER(G86)),NOT(ISNUMBER(I86))),"",G86-I86)</x:f>
      </x:c>
      <x:c r="K86" s="8" t="str">
        <x:f t="shared" si="11">IF(OR(NOT(ISNUMBER(G86)),NOT(ISNUMBER(H86)),H86&lt;=1),"",G86*H86-1)</x:f>
      </x:c>
      <x:c r="L86" s="2"/>
      <x:c r="M86" s="2"/>
      <x:c r="N86" s="2"/>
      <x:c r="O86" s="2"/>
      <x:c r="P86" s="2" t="str">
        <x:f>IF(OR(E86="",O86=""),"",IF(NOT(OR(O86="1",O86=1,O86="X",O86="2",O86=2)),"",IF(E86="1X",IF(OR(O86="1",O86=1,O86="X"),1,0),IF(E86="X2",IF(OR(O86="X",O86="2",O86=2),1,0),IF(OR(E86="12",E86=12),IF(OR(O86="1",O86=1,O86="2",O86=2),1,0),"")))))</x:f>
      </x:c>
      <x:c r="Q86" s="9" t="str">
        <x:f t="shared" si="12">IF(OR(NOT(ISNUMBER(P86)),NOT(ISNUMBER(H86)),H86&lt;=1),"",IF(P86=1,H86-1,-1))</x:f>
      </x:c>
      <x:c r="R86" s="2"/>
      <x:c r="S86" s="2"/>
      <x:c r="T86" s="2"/>
      <x:c r="U86" s="2"/>
      <x:c r="V86" s="2"/>
      <x:c r="W86" s="14" t="str">
        <x:f t="shared" si="13">IF(OR(NOT(ISNUMBER(G86)),G86&lt;0,G86&gt;1,NOT(ISNUMBER(P86))),"",(G86-P86)^2)</x:f>
      </x:c>
      <x:c r="X86" s="2" t="str">
        <x:f t="shared" si="14">IF(AND(ISNUMBER(A86),ISNUMBER(Y86),Y86&lt;A86,AB86&lt;&gt;"",ISNUMBER(P86),ISNUMBER(G86),G86&gt;=0,G86&lt;=1,OR(M86="DEFENSIV",M86="PRUDENT",M86="MODERAT",M86="RIDICAT",M86="WATCH",M86="NO BET")),"YES","NO")</x:f>
        <x:v>NO</x:v>
      </x:c>
      <x:c r="Y86" s="146"/>
      <x:c r="Z86" t="str">
        <x:f>IF(AND(X86="YES",OR(M86="DEFENSIV",M86="PRUDENT",M86="MODERAT",M86="RIDICAT")),"YES","NO")</x:f>
        <x:v>NO</x:v>
      </x:c>
      <x:c r="AA86" t="str">
        <x:f>IF(NOT(ISNUMBER(H86)),"MISSING",IF(AND(ISNUMBER(H86),H86&gt;1),"VALID","INVALID"))</x:f>
        <x:v>MISSING</x:v>
      </x:c>
      <x:c r="AB86" s="144"/>
      <x:c r="AC86" t="str">
        <x:f>IF(AND(NOT(ISNUMBER(A86)),E86="",NOT(ISNUMBER(G86)),M86="",O86=""),"INPUT",IF(X86="YES","VALID","INCOMPLETE / INVALID"))</x:f>
        <x:v>INPUT</x:v>
      </x:c>
      <x:c r="AD86" t="str">
        <x:f>IF(X86="YES",P86,"")</x:f>
      </x:c>
      <x:c r="AE86" t="str">
        <x:f>IF(X86="YES",W86,"")</x:f>
      </x:c>
      <x:c r="AF86" t="str">
        <x:f>IF(X86="YES",G86,"")</x:f>
      </x:c>
      <x:c r="AG86" t="str">
        <x:f>IF(AND(Z86="YES",AA86="VALID"),Q86,"")</x:f>
      </x:c>
      <x:c r="AH86" t="str">
        <x:f>IF(AND(Z86="YES",AA86="VALID"),"YES","NO")</x:f>
        <x:v>NO</x:v>
      </x:c>
    </x:row>
    <x:row r="87" ht="15">
      <x:c r="A87" s="161"/>
      <x:c r="B87" s="2"/>
      <x:c r="C87" s="2"/>
      <x:c r="D87" s="2"/>
      <x:c r="E87" s="2"/>
      <x:c r="F87" s="8"/>
      <x:c r="G87" s="8"/>
      <x:c r="H87" s="9"/>
      <x:c r="I87" s="8"/>
      <x:c r="J87" s="8" t="str">
        <x:f t="shared" si="10">IF(OR(NOT(ISNUMBER(G87)),NOT(ISNUMBER(I87))),"",G87-I87)</x:f>
      </x:c>
      <x:c r="K87" s="8" t="str">
        <x:f t="shared" si="11">IF(OR(NOT(ISNUMBER(G87)),NOT(ISNUMBER(H87)),H87&lt;=1),"",G87*H87-1)</x:f>
      </x:c>
      <x:c r="L87" s="2"/>
      <x:c r="M87" s="2"/>
      <x:c r="N87" s="2"/>
      <x:c r="O87" s="2"/>
      <x:c r="P87" s="2" t="str">
        <x:f>IF(OR(E87="",O87=""),"",IF(NOT(OR(O87="1",O87=1,O87="X",O87="2",O87=2)),"",IF(E87="1X",IF(OR(O87="1",O87=1,O87="X"),1,0),IF(E87="X2",IF(OR(O87="X",O87="2",O87=2),1,0),IF(OR(E87="12",E87=12),IF(OR(O87="1",O87=1,O87="2",O87=2),1,0),"")))))</x:f>
      </x:c>
      <x:c r="Q87" s="9" t="str">
        <x:f t="shared" si="12">IF(OR(NOT(ISNUMBER(P87)),NOT(ISNUMBER(H87)),H87&lt;=1),"",IF(P87=1,H87-1,-1))</x:f>
      </x:c>
      <x:c r="R87" s="2"/>
      <x:c r="S87" s="2"/>
      <x:c r="T87" s="2"/>
      <x:c r="U87" s="2"/>
      <x:c r="V87" s="2"/>
      <x:c r="W87" s="14" t="str">
        <x:f t="shared" si="13">IF(OR(NOT(ISNUMBER(G87)),G87&lt;0,G87&gt;1,NOT(ISNUMBER(P87))),"",(G87-P87)^2)</x:f>
      </x:c>
      <x:c r="X87" s="2" t="str">
        <x:f t="shared" si="14">IF(AND(ISNUMBER(A87),ISNUMBER(Y87),Y87&lt;A87,AB87&lt;&gt;"",ISNUMBER(P87),ISNUMBER(G87),G87&gt;=0,G87&lt;=1,OR(M87="DEFENSIV",M87="PRUDENT",M87="MODERAT",M87="RIDICAT",M87="WATCH",M87="NO BET")),"YES","NO")</x:f>
        <x:v>NO</x:v>
      </x:c>
      <x:c r="Y87" s="146"/>
      <x:c r="Z87" t="str">
        <x:f>IF(AND(X87="YES",OR(M87="DEFENSIV",M87="PRUDENT",M87="MODERAT",M87="RIDICAT")),"YES","NO")</x:f>
        <x:v>NO</x:v>
      </x:c>
      <x:c r="AA87" t="str">
        <x:f>IF(NOT(ISNUMBER(H87)),"MISSING",IF(AND(ISNUMBER(H87),H87&gt;1),"VALID","INVALID"))</x:f>
        <x:v>MISSING</x:v>
      </x:c>
      <x:c r="AB87" s="144"/>
      <x:c r="AC87" t="str">
        <x:f>IF(AND(NOT(ISNUMBER(A87)),E87="",NOT(ISNUMBER(G87)),M87="",O87=""),"INPUT",IF(X87="YES","VALID","INCOMPLETE / INVALID"))</x:f>
        <x:v>INPUT</x:v>
      </x:c>
      <x:c r="AD87" t="str">
        <x:f>IF(X87="YES",P87,"")</x:f>
      </x:c>
      <x:c r="AE87" t="str">
        <x:f>IF(X87="YES",W87,"")</x:f>
      </x:c>
      <x:c r="AF87" t="str">
        <x:f>IF(X87="YES",G87,"")</x:f>
      </x:c>
      <x:c r="AG87" t="str">
        <x:f>IF(AND(Z87="YES",AA87="VALID"),Q87,"")</x:f>
      </x:c>
      <x:c r="AH87" t="str">
        <x:f>IF(AND(Z87="YES",AA87="VALID"),"YES","NO")</x:f>
        <x:v>NO</x:v>
      </x:c>
    </x:row>
    <x:row r="88" ht="15">
      <x:c r="A88" s="161"/>
      <x:c r="B88" s="2"/>
      <x:c r="C88" s="2"/>
      <x:c r="D88" s="2"/>
      <x:c r="E88" s="2"/>
      <x:c r="F88" s="8"/>
      <x:c r="G88" s="8"/>
      <x:c r="H88" s="9"/>
      <x:c r="I88" s="8"/>
      <x:c r="J88" s="8" t="str">
        <x:f t="shared" si="10">IF(OR(NOT(ISNUMBER(G88)),NOT(ISNUMBER(I88))),"",G88-I88)</x:f>
      </x:c>
      <x:c r="K88" s="8" t="str">
        <x:f t="shared" si="11">IF(OR(NOT(ISNUMBER(G88)),NOT(ISNUMBER(H88)),H88&lt;=1),"",G88*H88-1)</x:f>
      </x:c>
      <x:c r="L88" s="2"/>
      <x:c r="M88" s="2"/>
      <x:c r="N88" s="2"/>
      <x:c r="O88" s="2"/>
      <x:c r="P88" s="2" t="str">
        <x:f>IF(OR(E88="",O88=""),"",IF(NOT(OR(O88="1",O88=1,O88="X",O88="2",O88=2)),"",IF(E88="1X",IF(OR(O88="1",O88=1,O88="X"),1,0),IF(E88="X2",IF(OR(O88="X",O88="2",O88=2),1,0),IF(OR(E88="12",E88=12),IF(OR(O88="1",O88=1,O88="2",O88=2),1,0),"")))))</x:f>
      </x:c>
      <x:c r="Q88" s="9" t="str">
        <x:f t="shared" si="12">IF(OR(NOT(ISNUMBER(P88)),NOT(ISNUMBER(H88)),H88&lt;=1),"",IF(P88=1,H88-1,-1))</x:f>
      </x:c>
      <x:c r="R88" s="2"/>
      <x:c r="S88" s="2"/>
      <x:c r="T88" s="2"/>
      <x:c r="U88" s="2"/>
      <x:c r="V88" s="2"/>
      <x:c r="W88" s="14" t="str">
        <x:f t="shared" si="13">IF(OR(NOT(ISNUMBER(G88)),G88&lt;0,G88&gt;1,NOT(ISNUMBER(P88))),"",(G88-P88)^2)</x:f>
      </x:c>
      <x:c r="X88" s="2" t="str">
        <x:f t="shared" si="14">IF(AND(ISNUMBER(A88),ISNUMBER(Y88),Y88&lt;A88,AB88&lt;&gt;"",ISNUMBER(P88),ISNUMBER(G88),G88&gt;=0,G88&lt;=1,OR(M88="DEFENSIV",M88="PRUDENT",M88="MODERAT",M88="RIDICAT",M88="WATCH",M88="NO BET")),"YES","NO")</x:f>
        <x:v>NO</x:v>
      </x:c>
      <x:c r="Y88" s="146"/>
      <x:c r="Z88" t="str">
        <x:f>IF(AND(X88="YES",OR(M88="DEFENSIV",M88="PRUDENT",M88="MODERAT",M88="RIDICAT")),"YES","NO")</x:f>
        <x:v>NO</x:v>
      </x:c>
      <x:c r="AA88" t="str">
        <x:f>IF(NOT(ISNUMBER(H88)),"MISSING",IF(AND(ISNUMBER(H88),H88&gt;1),"VALID","INVALID"))</x:f>
        <x:v>MISSING</x:v>
      </x:c>
      <x:c r="AB88" s="144"/>
      <x:c r="AC88" t="str">
        <x:f>IF(AND(NOT(ISNUMBER(A88)),E88="",NOT(ISNUMBER(G88)),M88="",O88=""),"INPUT",IF(X88="YES","VALID","INCOMPLETE / INVALID"))</x:f>
        <x:v>INPUT</x:v>
      </x:c>
      <x:c r="AD88" t="str">
        <x:f>IF(X88="YES",P88,"")</x:f>
      </x:c>
      <x:c r="AE88" t="str">
        <x:f>IF(X88="YES",W88,"")</x:f>
      </x:c>
      <x:c r="AF88" t="str">
        <x:f>IF(X88="YES",G88,"")</x:f>
      </x:c>
      <x:c r="AG88" t="str">
        <x:f>IF(AND(Z88="YES",AA88="VALID"),Q88,"")</x:f>
      </x:c>
      <x:c r="AH88" t="str">
        <x:f>IF(AND(Z88="YES",AA88="VALID"),"YES","NO")</x:f>
        <x:v>NO</x:v>
      </x:c>
    </x:row>
    <x:row r="89" ht="15">
      <x:c r="A89" s="161"/>
      <x:c r="B89" s="2"/>
      <x:c r="C89" s="2"/>
      <x:c r="D89" s="2"/>
      <x:c r="E89" s="2"/>
      <x:c r="F89" s="8"/>
      <x:c r="G89" s="8"/>
      <x:c r="H89" s="9"/>
      <x:c r="I89" s="8"/>
      <x:c r="J89" s="8" t="str">
        <x:f t="shared" si="10">IF(OR(NOT(ISNUMBER(G89)),NOT(ISNUMBER(I89))),"",G89-I89)</x:f>
      </x:c>
      <x:c r="K89" s="8" t="str">
        <x:f t="shared" si="11">IF(OR(NOT(ISNUMBER(G89)),NOT(ISNUMBER(H89)),H89&lt;=1),"",G89*H89-1)</x:f>
      </x:c>
      <x:c r="L89" s="2"/>
      <x:c r="M89" s="2"/>
      <x:c r="N89" s="2"/>
      <x:c r="O89" s="2"/>
      <x:c r="P89" s="2" t="str">
        <x:f>IF(OR(E89="",O89=""),"",IF(NOT(OR(O89="1",O89=1,O89="X",O89="2",O89=2)),"",IF(E89="1X",IF(OR(O89="1",O89=1,O89="X"),1,0),IF(E89="X2",IF(OR(O89="X",O89="2",O89=2),1,0),IF(OR(E89="12",E89=12),IF(OR(O89="1",O89=1,O89="2",O89=2),1,0),"")))))</x:f>
      </x:c>
      <x:c r="Q89" s="9" t="str">
        <x:f t="shared" si="12">IF(OR(NOT(ISNUMBER(P89)),NOT(ISNUMBER(H89)),H89&lt;=1),"",IF(P89=1,H89-1,-1))</x:f>
      </x:c>
      <x:c r="R89" s="2"/>
      <x:c r="S89" s="2"/>
      <x:c r="T89" s="2"/>
      <x:c r="U89" s="2"/>
      <x:c r="V89" s="2"/>
      <x:c r="W89" s="14" t="str">
        <x:f t="shared" si="13">IF(OR(NOT(ISNUMBER(G89)),G89&lt;0,G89&gt;1,NOT(ISNUMBER(P89))),"",(G89-P89)^2)</x:f>
      </x:c>
      <x:c r="X89" s="2" t="str">
        <x:f t="shared" si="14">IF(AND(ISNUMBER(A89),ISNUMBER(Y89),Y89&lt;A89,AB89&lt;&gt;"",ISNUMBER(P89),ISNUMBER(G89),G89&gt;=0,G89&lt;=1,OR(M89="DEFENSIV",M89="PRUDENT",M89="MODERAT",M89="RIDICAT",M89="WATCH",M89="NO BET")),"YES","NO")</x:f>
        <x:v>NO</x:v>
      </x:c>
      <x:c r="Y89" s="146"/>
      <x:c r="Z89" t="str">
        <x:f>IF(AND(X89="YES",OR(M89="DEFENSIV",M89="PRUDENT",M89="MODERAT",M89="RIDICAT")),"YES","NO")</x:f>
        <x:v>NO</x:v>
      </x:c>
      <x:c r="AA89" t="str">
        <x:f>IF(NOT(ISNUMBER(H89)),"MISSING",IF(AND(ISNUMBER(H89),H89&gt;1),"VALID","INVALID"))</x:f>
        <x:v>MISSING</x:v>
      </x:c>
      <x:c r="AB89" s="144"/>
      <x:c r="AC89" t="str">
        <x:f>IF(AND(NOT(ISNUMBER(A89)),E89="",NOT(ISNUMBER(G89)),M89="",O89=""),"INPUT",IF(X89="YES","VALID","INCOMPLETE / INVALID"))</x:f>
        <x:v>INPUT</x:v>
      </x:c>
      <x:c r="AD89" t="str">
        <x:f>IF(X89="YES",P89,"")</x:f>
      </x:c>
      <x:c r="AE89" t="str">
        <x:f>IF(X89="YES",W89,"")</x:f>
      </x:c>
      <x:c r="AF89" t="str">
        <x:f>IF(X89="YES",G89,"")</x:f>
      </x:c>
      <x:c r="AG89" t="str">
        <x:f>IF(AND(Z89="YES",AA89="VALID"),Q89,"")</x:f>
      </x:c>
      <x:c r="AH89" t="str">
        <x:f>IF(AND(Z89="YES",AA89="VALID"),"YES","NO")</x:f>
        <x:v>NO</x:v>
      </x:c>
    </x:row>
    <x:row r="90" ht="15">
      <x:c r="A90" s="161"/>
      <x:c r="B90" s="2"/>
      <x:c r="C90" s="2"/>
      <x:c r="D90" s="2"/>
      <x:c r="E90" s="2"/>
      <x:c r="F90" s="8"/>
      <x:c r="G90" s="8"/>
      <x:c r="H90" s="9"/>
      <x:c r="I90" s="8"/>
      <x:c r="J90" s="8" t="str">
        <x:f t="shared" si="10">IF(OR(NOT(ISNUMBER(G90)),NOT(ISNUMBER(I90))),"",G90-I90)</x:f>
      </x:c>
      <x:c r="K90" s="8" t="str">
        <x:f t="shared" si="11">IF(OR(NOT(ISNUMBER(G90)),NOT(ISNUMBER(H90)),H90&lt;=1),"",G90*H90-1)</x:f>
      </x:c>
      <x:c r="L90" s="2"/>
      <x:c r="M90" s="2"/>
      <x:c r="N90" s="2"/>
      <x:c r="O90" s="2"/>
      <x:c r="P90" s="2" t="str">
        <x:f>IF(OR(E90="",O90=""),"",IF(NOT(OR(O90="1",O90=1,O90="X",O90="2",O90=2)),"",IF(E90="1X",IF(OR(O90="1",O90=1,O90="X"),1,0),IF(E90="X2",IF(OR(O90="X",O90="2",O90=2),1,0),IF(OR(E90="12",E90=12),IF(OR(O90="1",O90=1,O90="2",O90=2),1,0),"")))))</x:f>
      </x:c>
      <x:c r="Q90" s="9" t="str">
        <x:f t="shared" si="12">IF(OR(NOT(ISNUMBER(P90)),NOT(ISNUMBER(H90)),H90&lt;=1),"",IF(P90=1,H90-1,-1))</x:f>
      </x:c>
      <x:c r="R90" s="2"/>
      <x:c r="S90" s="2"/>
      <x:c r="T90" s="2"/>
      <x:c r="U90" s="2"/>
      <x:c r="V90" s="2"/>
      <x:c r="W90" s="14" t="str">
        <x:f t="shared" si="13">IF(OR(NOT(ISNUMBER(G90)),G90&lt;0,G90&gt;1,NOT(ISNUMBER(P90))),"",(G90-P90)^2)</x:f>
      </x:c>
      <x:c r="X90" s="2" t="str">
        <x:f t="shared" si="14">IF(AND(ISNUMBER(A90),ISNUMBER(Y90),Y90&lt;A90,AB90&lt;&gt;"",ISNUMBER(P90),ISNUMBER(G90),G90&gt;=0,G90&lt;=1,OR(M90="DEFENSIV",M90="PRUDENT",M90="MODERAT",M90="RIDICAT",M90="WATCH",M90="NO BET")),"YES","NO")</x:f>
        <x:v>NO</x:v>
      </x:c>
      <x:c r="Y90" s="146"/>
      <x:c r="Z90" t="str">
        <x:f>IF(AND(X90="YES",OR(M90="DEFENSIV",M90="PRUDENT",M90="MODERAT",M90="RIDICAT")),"YES","NO")</x:f>
        <x:v>NO</x:v>
      </x:c>
      <x:c r="AA90" t="str">
        <x:f>IF(NOT(ISNUMBER(H90)),"MISSING",IF(AND(ISNUMBER(H90),H90&gt;1),"VALID","INVALID"))</x:f>
        <x:v>MISSING</x:v>
      </x:c>
      <x:c r="AB90" s="144"/>
      <x:c r="AC90" t="str">
        <x:f>IF(AND(NOT(ISNUMBER(A90)),E90="",NOT(ISNUMBER(G90)),M90="",O90=""),"INPUT",IF(X90="YES","VALID","INCOMPLETE / INVALID"))</x:f>
        <x:v>INPUT</x:v>
      </x:c>
      <x:c r="AD90" t="str">
        <x:f>IF(X90="YES",P90,"")</x:f>
      </x:c>
      <x:c r="AE90" t="str">
        <x:f>IF(X90="YES",W90,"")</x:f>
      </x:c>
      <x:c r="AF90" t="str">
        <x:f>IF(X90="YES",G90,"")</x:f>
      </x:c>
      <x:c r="AG90" t="str">
        <x:f>IF(AND(Z90="YES",AA90="VALID"),Q90,"")</x:f>
      </x:c>
      <x:c r="AH90" t="str">
        <x:f>IF(AND(Z90="YES",AA90="VALID"),"YES","NO")</x:f>
        <x:v>NO</x:v>
      </x:c>
    </x:row>
    <x:row r="91" ht="15">
      <x:c r="A91" s="161"/>
      <x:c r="B91" s="2"/>
      <x:c r="C91" s="2"/>
      <x:c r="D91" s="2"/>
      <x:c r="E91" s="2"/>
      <x:c r="F91" s="8"/>
      <x:c r="G91" s="8"/>
      <x:c r="H91" s="9"/>
      <x:c r="I91" s="8"/>
      <x:c r="J91" s="8" t="str">
        <x:f t="shared" si="10">IF(OR(NOT(ISNUMBER(G91)),NOT(ISNUMBER(I91))),"",G91-I91)</x:f>
      </x:c>
      <x:c r="K91" s="8" t="str">
        <x:f t="shared" si="11">IF(OR(NOT(ISNUMBER(G91)),NOT(ISNUMBER(H91)),H91&lt;=1),"",G91*H91-1)</x:f>
      </x:c>
      <x:c r="L91" s="2"/>
      <x:c r="M91" s="2"/>
      <x:c r="N91" s="2"/>
      <x:c r="O91" s="2"/>
      <x:c r="P91" s="2" t="str">
        <x:f>IF(OR(E91="",O91=""),"",IF(NOT(OR(O91="1",O91=1,O91="X",O91="2",O91=2)),"",IF(E91="1X",IF(OR(O91="1",O91=1,O91="X"),1,0),IF(E91="X2",IF(OR(O91="X",O91="2",O91=2),1,0),IF(OR(E91="12",E91=12),IF(OR(O91="1",O91=1,O91="2",O91=2),1,0),"")))))</x:f>
      </x:c>
      <x:c r="Q91" s="9" t="str">
        <x:f t="shared" si="12">IF(OR(NOT(ISNUMBER(P91)),NOT(ISNUMBER(H91)),H91&lt;=1),"",IF(P91=1,H91-1,-1))</x:f>
      </x:c>
      <x:c r="R91" s="2"/>
      <x:c r="S91" s="2"/>
      <x:c r="T91" s="2"/>
      <x:c r="U91" s="2"/>
      <x:c r="V91" s="2"/>
      <x:c r="W91" s="14" t="str">
        <x:f t="shared" si="13">IF(OR(NOT(ISNUMBER(G91)),G91&lt;0,G91&gt;1,NOT(ISNUMBER(P91))),"",(G91-P91)^2)</x:f>
      </x:c>
      <x:c r="X91" s="2" t="str">
        <x:f t="shared" si="14">IF(AND(ISNUMBER(A91),ISNUMBER(Y91),Y91&lt;A91,AB91&lt;&gt;"",ISNUMBER(P91),ISNUMBER(G91),G91&gt;=0,G91&lt;=1,OR(M91="DEFENSIV",M91="PRUDENT",M91="MODERAT",M91="RIDICAT",M91="WATCH",M91="NO BET")),"YES","NO")</x:f>
        <x:v>NO</x:v>
      </x:c>
      <x:c r="Y91" s="146"/>
      <x:c r="Z91" t="str">
        <x:f>IF(AND(X91="YES",OR(M91="DEFENSIV",M91="PRUDENT",M91="MODERAT",M91="RIDICAT")),"YES","NO")</x:f>
        <x:v>NO</x:v>
      </x:c>
      <x:c r="AA91" t="str">
        <x:f>IF(NOT(ISNUMBER(H91)),"MISSING",IF(AND(ISNUMBER(H91),H91&gt;1),"VALID","INVALID"))</x:f>
        <x:v>MISSING</x:v>
      </x:c>
      <x:c r="AB91" s="144"/>
      <x:c r="AC91" t="str">
        <x:f>IF(AND(NOT(ISNUMBER(A91)),E91="",NOT(ISNUMBER(G91)),M91="",O91=""),"INPUT",IF(X91="YES","VALID","INCOMPLETE / INVALID"))</x:f>
        <x:v>INPUT</x:v>
      </x:c>
      <x:c r="AD91" t="str">
        <x:f>IF(X91="YES",P91,"")</x:f>
      </x:c>
      <x:c r="AE91" t="str">
        <x:f>IF(X91="YES",W91,"")</x:f>
      </x:c>
      <x:c r="AF91" t="str">
        <x:f>IF(X91="YES",G91,"")</x:f>
      </x:c>
      <x:c r="AG91" t="str">
        <x:f>IF(AND(Z91="YES",AA91="VALID"),Q91,"")</x:f>
      </x:c>
      <x:c r="AH91" t="str">
        <x:f>IF(AND(Z91="YES",AA91="VALID"),"YES","NO")</x:f>
        <x:v>NO</x:v>
      </x:c>
    </x:row>
    <x:row r="92" ht="15">
      <x:c r="A92" s="161"/>
      <x:c r="B92" s="2"/>
      <x:c r="C92" s="2"/>
      <x:c r="D92" s="2"/>
      <x:c r="E92" s="2"/>
      <x:c r="F92" s="8"/>
      <x:c r="G92" s="8"/>
      <x:c r="H92" s="9"/>
      <x:c r="I92" s="8"/>
      <x:c r="J92" s="8" t="str">
        <x:f t="shared" si="10">IF(OR(NOT(ISNUMBER(G92)),NOT(ISNUMBER(I92))),"",G92-I92)</x:f>
      </x:c>
      <x:c r="K92" s="8" t="str">
        <x:f t="shared" si="11">IF(OR(NOT(ISNUMBER(G92)),NOT(ISNUMBER(H92)),H92&lt;=1),"",G92*H92-1)</x:f>
      </x:c>
      <x:c r="L92" s="2"/>
      <x:c r="M92" s="2"/>
      <x:c r="N92" s="2"/>
      <x:c r="O92" s="2"/>
      <x:c r="P92" s="2" t="str">
        <x:f>IF(OR(E92="",O92=""),"",IF(NOT(OR(O92="1",O92=1,O92="X",O92="2",O92=2)),"",IF(E92="1X",IF(OR(O92="1",O92=1,O92="X"),1,0),IF(E92="X2",IF(OR(O92="X",O92="2",O92=2),1,0),IF(OR(E92="12",E92=12),IF(OR(O92="1",O92=1,O92="2",O92=2),1,0),"")))))</x:f>
      </x:c>
      <x:c r="Q92" s="9" t="str">
        <x:f t="shared" si="12">IF(OR(NOT(ISNUMBER(P92)),NOT(ISNUMBER(H92)),H92&lt;=1),"",IF(P92=1,H92-1,-1))</x:f>
      </x:c>
      <x:c r="R92" s="2"/>
      <x:c r="S92" s="2"/>
      <x:c r="T92" s="2"/>
      <x:c r="U92" s="2"/>
      <x:c r="V92" s="2"/>
      <x:c r="W92" s="14" t="str">
        <x:f t="shared" si="13">IF(OR(NOT(ISNUMBER(G92)),G92&lt;0,G92&gt;1,NOT(ISNUMBER(P92))),"",(G92-P92)^2)</x:f>
      </x:c>
      <x:c r="X92" s="2" t="str">
        <x:f t="shared" si="14">IF(AND(ISNUMBER(A92),ISNUMBER(Y92),Y92&lt;A92,AB92&lt;&gt;"",ISNUMBER(P92),ISNUMBER(G92),G92&gt;=0,G92&lt;=1,OR(M92="DEFENSIV",M92="PRUDENT",M92="MODERAT",M92="RIDICAT",M92="WATCH",M92="NO BET")),"YES","NO")</x:f>
        <x:v>NO</x:v>
      </x:c>
      <x:c r="Y92" s="146"/>
      <x:c r="Z92" t="str">
        <x:f>IF(AND(X92="YES",OR(M92="DEFENSIV",M92="PRUDENT",M92="MODERAT",M92="RIDICAT")),"YES","NO")</x:f>
        <x:v>NO</x:v>
      </x:c>
      <x:c r="AA92" t="str">
        <x:f>IF(NOT(ISNUMBER(H92)),"MISSING",IF(AND(ISNUMBER(H92),H92&gt;1),"VALID","INVALID"))</x:f>
        <x:v>MISSING</x:v>
      </x:c>
      <x:c r="AB92" s="144"/>
      <x:c r="AC92" t="str">
        <x:f>IF(AND(NOT(ISNUMBER(A92)),E92="",NOT(ISNUMBER(G92)),M92="",O92=""),"INPUT",IF(X92="YES","VALID","INCOMPLETE / INVALID"))</x:f>
        <x:v>INPUT</x:v>
      </x:c>
      <x:c r="AD92" t="str">
        <x:f>IF(X92="YES",P92,"")</x:f>
      </x:c>
      <x:c r="AE92" t="str">
        <x:f>IF(X92="YES",W92,"")</x:f>
      </x:c>
      <x:c r="AF92" t="str">
        <x:f>IF(X92="YES",G92,"")</x:f>
      </x:c>
      <x:c r="AG92" t="str">
        <x:f>IF(AND(Z92="YES",AA92="VALID"),Q92,"")</x:f>
      </x:c>
      <x:c r="AH92" t="str">
        <x:f>IF(AND(Z92="YES",AA92="VALID"),"YES","NO")</x:f>
        <x:v>NO</x:v>
      </x:c>
    </x:row>
    <x:row r="93" ht="15">
      <x:c r="A93" s="161"/>
      <x:c r="B93" s="2"/>
      <x:c r="C93" s="2"/>
      <x:c r="D93" s="2"/>
      <x:c r="E93" s="2"/>
      <x:c r="F93" s="8"/>
      <x:c r="G93" s="8"/>
      <x:c r="H93" s="9"/>
      <x:c r="I93" s="8"/>
      <x:c r="J93" s="8" t="str">
        <x:f t="shared" si="10">IF(OR(NOT(ISNUMBER(G93)),NOT(ISNUMBER(I93))),"",G93-I93)</x:f>
      </x:c>
      <x:c r="K93" s="8" t="str">
        <x:f t="shared" si="11">IF(OR(NOT(ISNUMBER(G93)),NOT(ISNUMBER(H93)),H93&lt;=1),"",G93*H93-1)</x:f>
      </x:c>
      <x:c r="L93" s="2"/>
      <x:c r="M93" s="2"/>
      <x:c r="N93" s="2"/>
      <x:c r="O93" s="2"/>
      <x:c r="P93" s="2" t="str">
        <x:f>IF(OR(E93="",O93=""),"",IF(NOT(OR(O93="1",O93=1,O93="X",O93="2",O93=2)),"",IF(E93="1X",IF(OR(O93="1",O93=1,O93="X"),1,0),IF(E93="X2",IF(OR(O93="X",O93="2",O93=2),1,0),IF(OR(E93="12",E93=12),IF(OR(O93="1",O93=1,O93="2",O93=2),1,0),"")))))</x:f>
      </x:c>
      <x:c r="Q93" s="9" t="str">
        <x:f t="shared" si="12">IF(OR(NOT(ISNUMBER(P93)),NOT(ISNUMBER(H93)),H93&lt;=1),"",IF(P93=1,H93-1,-1))</x:f>
      </x:c>
      <x:c r="R93" s="2"/>
      <x:c r="S93" s="2"/>
      <x:c r="T93" s="2"/>
      <x:c r="U93" s="2"/>
      <x:c r="V93" s="2"/>
      <x:c r="W93" s="14" t="str">
        <x:f t="shared" si="13">IF(OR(NOT(ISNUMBER(G93)),G93&lt;0,G93&gt;1,NOT(ISNUMBER(P93))),"",(G93-P93)^2)</x:f>
      </x:c>
      <x:c r="X93" s="2" t="str">
        <x:f t="shared" si="14">IF(AND(ISNUMBER(A93),ISNUMBER(Y93),Y93&lt;A93,AB93&lt;&gt;"",ISNUMBER(P93),ISNUMBER(G93),G93&gt;=0,G93&lt;=1,OR(M93="DEFENSIV",M93="PRUDENT",M93="MODERAT",M93="RIDICAT",M93="WATCH",M93="NO BET")),"YES","NO")</x:f>
        <x:v>NO</x:v>
      </x:c>
      <x:c r="Y93" s="146"/>
      <x:c r="Z93" t="str">
        <x:f>IF(AND(X93="YES",OR(M93="DEFENSIV",M93="PRUDENT",M93="MODERAT",M93="RIDICAT")),"YES","NO")</x:f>
        <x:v>NO</x:v>
      </x:c>
      <x:c r="AA93" t="str">
        <x:f>IF(NOT(ISNUMBER(H93)),"MISSING",IF(AND(ISNUMBER(H93),H93&gt;1),"VALID","INVALID"))</x:f>
        <x:v>MISSING</x:v>
      </x:c>
      <x:c r="AB93" s="144"/>
      <x:c r="AC93" t="str">
        <x:f>IF(AND(NOT(ISNUMBER(A93)),E93="",NOT(ISNUMBER(G93)),M93="",O93=""),"INPUT",IF(X93="YES","VALID","INCOMPLETE / INVALID"))</x:f>
        <x:v>INPUT</x:v>
      </x:c>
      <x:c r="AD93" t="str">
        <x:f>IF(X93="YES",P93,"")</x:f>
      </x:c>
      <x:c r="AE93" t="str">
        <x:f>IF(X93="YES",W93,"")</x:f>
      </x:c>
      <x:c r="AF93" t="str">
        <x:f>IF(X93="YES",G93,"")</x:f>
      </x:c>
      <x:c r="AG93" t="str">
        <x:f>IF(AND(Z93="YES",AA93="VALID"),Q93,"")</x:f>
      </x:c>
      <x:c r="AH93" t="str">
        <x:f>IF(AND(Z93="YES",AA93="VALID"),"YES","NO")</x:f>
        <x:v>NO</x:v>
      </x:c>
    </x:row>
    <x:row r="94" ht="15">
      <x:c r="A94" s="161"/>
      <x:c r="B94" s="2"/>
      <x:c r="C94" s="2"/>
      <x:c r="D94" s="2"/>
      <x:c r="E94" s="2"/>
      <x:c r="F94" s="8"/>
      <x:c r="G94" s="8"/>
      <x:c r="H94" s="9"/>
      <x:c r="I94" s="8"/>
      <x:c r="J94" s="8" t="str">
        <x:f t="shared" si="10">IF(OR(NOT(ISNUMBER(G94)),NOT(ISNUMBER(I94))),"",G94-I94)</x:f>
      </x:c>
      <x:c r="K94" s="8" t="str">
        <x:f t="shared" si="11">IF(OR(NOT(ISNUMBER(G94)),NOT(ISNUMBER(H94)),H94&lt;=1),"",G94*H94-1)</x:f>
      </x:c>
      <x:c r="L94" s="2"/>
      <x:c r="M94" s="2"/>
      <x:c r="N94" s="2"/>
      <x:c r="O94" s="2"/>
      <x:c r="P94" s="2" t="str">
        <x:f>IF(OR(E94="",O94=""),"",IF(NOT(OR(O94="1",O94=1,O94="X",O94="2",O94=2)),"",IF(E94="1X",IF(OR(O94="1",O94=1,O94="X"),1,0),IF(E94="X2",IF(OR(O94="X",O94="2",O94=2),1,0),IF(OR(E94="12",E94=12),IF(OR(O94="1",O94=1,O94="2",O94=2),1,0),"")))))</x:f>
      </x:c>
      <x:c r="Q94" s="9" t="str">
        <x:f t="shared" si="12">IF(OR(NOT(ISNUMBER(P94)),NOT(ISNUMBER(H94)),H94&lt;=1),"",IF(P94=1,H94-1,-1))</x:f>
      </x:c>
      <x:c r="R94" s="2"/>
      <x:c r="S94" s="2"/>
      <x:c r="T94" s="2"/>
      <x:c r="U94" s="2"/>
      <x:c r="V94" s="2"/>
      <x:c r="W94" s="14" t="str">
        <x:f t="shared" si="13">IF(OR(NOT(ISNUMBER(G94)),G94&lt;0,G94&gt;1,NOT(ISNUMBER(P94))),"",(G94-P94)^2)</x:f>
      </x:c>
      <x:c r="X94" s="2" t="str">
        <x:f t="shared" si="14">IF(AND(ISNUMBER(A94),ISNUMBER(Y94),Y94&lt;A94,AB94&lt;&gt;"",ISNUMBER(P94),ISNUMBER(G94),G94&gt;=0,G94&lt;=1,OR(M94="DEFENSIV",M94="PRUDENT",M94="MODERAT",M94="RIDICAT",M94="WATCH",M94="NO BET")),"YES","NO")</x:f>
        <x:v>NO</x:v>
      </x:c>
      <x:c r="Y94" s="146"/>
      <x:c r="Z94" t="str">
        <x:f>IF(AND(X94="YES",OR(M94="DEFENSIV",M94="PRUDENT",M94="MODERAT",M94="RIDICAT")),"YES","NO")</x:f>
        <x:v>NO</x:v>
      </x:c>
      <x:c r="AA94" t="str">
        <x:f>IF(NOT(ISNUMBER(H94)),"MISSING",IF(AND(ISNUMBER(H94),H94&gt;1),"VALID","INVALID"))</x:f>
        <x:v>MISSING</x:v>
      </x:c>
      <x:c r="AB94" s="144"/>
      <x:c r="AC94" t="str">
        <x:f>IF(AND(NOT(ISNUMBER(A94)),E94="",NOT(ISNUMBER(G94)),M94="",O94=""),"INPUT",IF(X94="YES","VALID","INCOMPLETE / INVALID"))</x:f>
        <x:v>INPUT</x:v>
      </x:c>
      <x:c r="AD94" t="str">
        <x:f>IF(X94="YES",P94,"")</x:f>
      </x:c>
      <x:c r="AE94" t="str">
        <x:f>IF(X94="YES",W94,"")</x:f>
      </x:c>
      <x:c r="AF94" t="str">
        <x:f>IF(X94="YES",G94,"")</x:f>
      </x:c>
      <x:c r="AG94" t="str">
        <x:f>IF(AND(Z94="YES",AA94="VALID"),Q94,"")</x:f>
      </x:c>
      <x:c r="AH94" t="str">
        <x:f>IF(AND(Z94="YES",AA94="VALID"),"YES","NO")</x:f>
        <x:v>NO</x:v>
      </x:c>
    </x:row>
    <x:row r="95" ht="15">
      <x:c r="A95" s="161"/>
      <x:c r="B95" s="2"/>
      <x:c r="C95" s="2"/>
      <x:c r="D95" s="2"/>
      <x:c r="E95" s="2"/>
      <x:c r="F95" s="8"/>
      <x:c r="G95" s="8"/>
      <x:c r="H95" s="9"/>
      <x:c r="I95" s="8"/>
      <x:c r="J95" s="8" t="str">
        <x:f t="shared" si="10">IF(OR(NOT(ISNUMBER(G95)),NOT(ISNUMBER(I95))),"",G95-I95)</x:f>
      </x:c>
      <x:c r="K95" s="8" t="str">
        <x:f t="shared" si="11">IF(OR(NOT(ISNUMBER(G95)),NOT(ISNUMBER(H95)),H95&lt;=1),"",G95*H95-1)</x:f>
      </x:c>
      <x:c r="L95" s="2"/>
      <x:c r="M95" s="2"/>
      <x:c r="N95" s="2"/>
      <x:c r="O95" s="2"/>
      <x:c r="P95" s="2" t="str">
        <x:f>IF(OR(E95="",O95=""),"",IF(NOT(OR(O95="1",O95=1,O95="X",O95="2",O95=2)),"",IF(E95="1X",IF(OR(O95="1",O95=1,O95="X"),1,0),IF(E95="X2",IF(OR(O95="X",O95="2",O95=2),1,0),IF(OR(E95="12",E95=12),IF(OR(O95="1",O95=1,O95="2",O95=2),1,0),"")))))</x:f>
      </x:c>
      <x:c r="Q95" s="9" t="str">
        <x:f t="shared" si="12">IF(OR(NOT(ISNUMBER(P95)),NOT(ISNUMBER(H95)),H95&lt;=1),"",IF(P95=1,H95-1,-1))</x:f>
      </x:c>
      <x:c r="R95" s="2"/>
      <x:c r="S95" s="2"/>
      <x:c r="T95" s="2"/>
      <x:c r="U95" s="2"/>
      <x:c r="V95" s="2"/>
      <x:c r="W95" s="14" t="str">
        <x:f t="shared" si="13">IF(OR(NOT(ISNUMBER(G95)),G95&lt;0,G95&gt;1,NOT(ISNUMBER(P95))),"",(G95-P95)^2)</x:f>
      </x:c>
      <x:c r="X95" s="2" t="str">
        <x:f t="shared" si="14">IF(AND(ISNUMBER(A95),ISNUMBER(Y95),Y95&lt;A95,AB95&lt;&gt;"",ISNUMBER(P95),ISNUMBER(G95),G95&gt;=0,G95&lt;=1,OR(M95="DEFENSIV",M95="PRUDENT",M95="MODERAT",M95="RIDICAT",M95="WATCH",M95="NO BET")),"YES","NO")</x:f>
        <x:v>NO</x:v>
      </x:c>
      <x:c r="Y95" s="146"/>
      <x:c r="Z95" t="str">
        <x:f>IF(AND(X95="YES",OR(M95="DEFENSIV",M95="PRUDENT",M95="MODERAT",M95="RIDICAT")),"YES","NO")</x:f>
        <x:v>NO</x:v>
      </x:c>
      <x:c r="AA95" t="str">
        <x:f>IF(NOT(ISNUMBER(H95)),"MISSING",IF(AND(ISNUMBER(H95),H95&gt;1),"VALID","INVALID"))</x:f>
        <x:v>MISSING</x:v>
      </x:c>
      <x:c r="AB95" s="144"/>
      <x:c r="AC95" t="str">
        <x:f>IF(AND(NOT(ISNUMBER(A95)),E95="",NOT(ISNUMBER(G95)),M95="",O95=""),"INPUT",IF(X95="YES","VALID","INCOMPLETE / INVALID"))</x:f>
        <x:v>INPUT</x:v>
      </x:c>
      <x:c r="AD95" t="str">
        <x:f>IF(X95="YES",P95,"")</x:f>
      </x:c>
      <x:c r="AE95" t="str">
        <x:f>IF(X95="YES",W95,"")</x:f>
      </x:c>
      <x:c r="AF95" t="str">
        <x:f>IF(X95="YES",G95,"")</x:f>
      </x:c>
      <x:c r="AG95" t="str">
        <x:f>IF(AND(Z95="YES",AA95="VALID"),Q95,"")</x:f>
      </x:c>
      <x:c r="AH95" t="str">
        <x:f>IF(AND(Z95="YES",AA95="VALID"),"YES","NO")</x:f>
        <x:v>NO</x:v>
      </x:c>
    </x:row>
    <x:row r="96" ht="15">
      <x:c r="A96" s="161"/>
      <x:c r="B96" s="2"/>
      <x:c r="C96" s="2"/>
      <x:c r="D96" s="2"/>
      <x:c r="E96" s="2"/>
      <x:c r="F96" s="8"/>
      <x:c r="G96" s="8"/>
      <x:c r="H96" s="9"/>
      <x:c r="I96" s="8"/>
      <x:c r="J96" s="8" t="str">
        <x:f t="shared" si="10">IF(OR(NOT(ISNUMBER(G96)),NOT(ISNUMBER(I96))),"",G96-I96)</x:f>
      </x:c>
      <x:c r="K96" s="8" t="str">
        <x:f t="shared" si="11">IF(OR(NOT(ISNUMBER(G96)),NOT(ISNUMBER(H96)),H96&lt;=1),"",G96*H96-1)</x:f>
      </x:c>
      <x:c r="L96" s="2"/>
      <x:c r="M96" s="2"/>
      <x:c r="N96" s="2"/>
      <x:c r="O96" s="2"/>
      <x:c r="P96" s="2" t="str">
        <x:f>IF(OR(E96="",O96=""),"",IF(NOT(OR(O96="1",O96=1,O96="X",O96="2",O96=2)),"",IF(E96="1X",IF(OR(O96="1",O96=1,O96="X"),1,0),IF(E96="X2",IF(OR(O96="X",O96="2",O96=2),1,0),IF(OR(E96="12",E96=12),IF(OR(O96="1",O96=1,O96="2",O96=2),1,0),"")))))</x:f>
      </x:c>
      <x:c r="Q96" s="9" t="str">
        <x:f t="shared" si="12">IF(OR(NOT(ISNUMBER(P96)),NOT(ISNUMBER(H96)),H96&lt;=1),"",IF(P96=1,H96-1,-1))</x:f>
      </x:c>
      <x:c r="R96" s="2"/>
      <x:c r="S96" s="2"/>
      <x:c r="T96" s="2"/>
      <x:c r="U96" s="2"/>
      <x:c r="V96" s="2"/>
      <x:c r="W96" s="14" t="str">
        <x:f t="shared" si="13">IF(OR(NOT(ISNUMBER(G96)),G96&lt;0,G96&gt;1,NOT(ISNUMBER(P96))),"",(G96-P96)^2)</x:f>
      </x:c>
      <x:c r="X96" s="2" t="str">
        <x:f t="shared" si="14">IF(AND(ISNUMBER(A96),ISNUMBER(Y96),Y96&lt;A96,AB96&lt;&gt;"",ISNUMBER(P96),ISNUMBER(G96),G96&gt;=0,G96&lt;=1,OR(M96="DEFENSIV",M96="PRUDENT",M96="MODERAT",M96="RIDICAT",M96="WATCH",M96="NO BET")),"YES","NO")</x:f>
        <x:v>NO</x:v>
      </x:c>
      <x:c r="Y96" s="146"/>
      <x:c r="Z96" t="str">
        <x:f>IF(AND(X96="YES",OR(M96="DEFENSIV",M96="PRUDENT",M96="MODERAT",M96="RIDICAT")),"YES","NO")</x:f>
        <x:v>NO</x:v>
      </x:c>
      <x:c r="AA96" t="str">
        <x:f>IF(NOT(ISNUMBER(H96)),"MISSING",IF(AND(ISNUMBER(H96),H96&gt;1),"VALID","INVALID"))</x:f>
        <x:v>MISSING</x:v>
      </x:c>
      <x:c r="AB96" s="144"/>
      <x:c r="AC96" t="str">
        <x:f>IF(AND(NOT(ISNUMBER(A96)),E96="",NOT(ISNUMBER(G96)),M96="",O96=""),"INPUT",IF(X96="YES","VALID","INCOMPLETE / INVALID"))</x:f>
        <x:v>INPUT</x:v>
      </x:c>
      <x:c r="AD96" t="str">
        <x:f>IF(X96="YES",P96,"")</x:f>
      </x:c>
      <x:c r="AE96" t="str">
        <x:f>IF(X96="YES",W96,"")</x:f>
      </x:c>
      <x:c r="AF96" t="str">
        <x:f>IF(X96="YES",G96,"")</x:f>
      </x:c>
      <x:c r="AG96" t="str">
        <x:f>IF(AND(Z96="YES",AA96="VALID"),Q96,"")</x:f>
      </x:c>
      <x:c r="AH96" t="str">
        <x:f>IF(AND(Z96="YES",AA96="VALID"),"YES","NO")</x:f>
        <x:v>NO</x:v>
      </x:c>
    </x:row>
    <x:row r="97" ht="15">
      <x:c r="A97" s="161"/>
      <x:c r="B97" s="2"/>
      <x:c r="C97" s="2"/>
      <x:c r="D97" s="2"/>
      <x:c r="E97" s="2"/>
      <x:c r="F97" s="8"/>
      <x:c r="G97" s="8"/>
      <x:c r="H97" s="9"/>
      <x:c r="I97" s="8"/>
      <x:c r="J97" s="8" t="str">
        <x:f t="shared" si="10">IF(OR(NOT(ISNUMBER(G97)),NOT(ISNUMBER(I97))),"",G97-I97)</x:f>
      </x:c>
      <x:c r="K97" s="8" t="str">
        <x:f t="shared" si="11">IF(OR(NOT(ISNUMBER(G97)),NOT(ISNUMBER(H97)),H97&lt;=1),"",G97*H97-1)</x:f>
      </x:c>
      <x:c r="L97" s="2"/>
      <x:c r="M97" s="2"/>
      <x:c r="N97" s="2"/>
      <x:c r="O97" s="2"/>
      <x:c r="P97" s="2" t="str">
        <x:f>IF(OR(E97="",O97=""),"",IF(NOT(OR(O97="1",O97=1,O97="X",O97="2",O97=2)),"",IF(E97="1X",IF(OR(O97="1",O97=1,O97="X"),1,0),IF(E97="X2",IF(OR(O97="X",O97="2",O97=2),1,0),IF(OR(E97="12",E97=12),IF(OR(O97="1",O97=1,O97="2",O97=2),1,0),"")))))</x:f>
      </x:c>
      <x:c r="Q97" s="9" t="str">
        <x:f t="shared" si="12">IF(OR(NOT(ISNUMBER(P97)),NOT(ISNUMBER(H97)),H97&lt;=1),"",IF(P97=1,H97-1,-1))</x:f>
      </x:c>
      <x:c r="R97" s="2"/>
      <x:c r="S97" s="2"/>
      <x:c r="T97" s="2"/>
      <x:c r="U97" s="2"/>
      <x:c r="V97" s="2"/>
      <x:c r="W97" s="14" t="str">
        <x:f t="shared" si="13">IF(OR(NOT(ISNUMBER(G97)),G97&lt;0,G97&gt;1,NOT(ISNUMBER(P97))),"",(G97-P97)^2)</x:f>
      </x:c>
      <x:c r="X97" s="2" t="str">
        <x:f t="shared" si="14">IF(AND(ISNUMBER(A97),ISNUMBER(Y97),Y97&lt;A97,AB97&lt;&gt;"",ISNUMBER(P97),ISNUMBER(G97),G97&gt;=0,G97&lt;=1,OR(M97="DEFENSIV",M97="PRUDENT",M97="MODERAT",M97="RIDICAT",M97="WATCH",M97="NO BET")),"YES","NO")</x:f>
        <x:v>NO</x:v>
      </x:c>
      <x:c r="Y97" s="146"/>
      <x:c r="Z97" t="str">
        <x:f>IF(AND(X97="YES",OR(M97="DEFENSIV",M97="PRUDENT",M97="MODERAT",M97="RIDICAT")),"YES","NO")</x:f>
        <x:v>NO</x:v>
      </x:c>
      <x:c r="AA97" t="str">
        <x:f>IF(NOT(ISNUMBER(H97)),"MISSING",IF(AND(ISNUMBER(H97),H97&gt;1),"VALID","INVALID"))</x:f>
        <x:v>MISSING</x:v>
      </x:c>
      <x:c r="AB97" s="144"/>
      <x:c r="AC97" t="str">
        <x:f>IF(AND(NOT(ISNUMBER(A97)),E97="",NOT(ISNUMBER(G97)),M97="",O97=""),"INPUT",IF(X97="YES","VALID","INCOMPLETE / INVALID"))</x:f>
        <x:v>INPUT</x:v>
      </x:c>
      <x:c r="AD97" t="str">
        <x:f>IF(X97="YES",P97,"")</x:f>
      </x:c>
      <x:c r="AE97" t="str">
        <x:f>IF(X97="YES",W97,"")</x:f>
      </x:c>
      <x:c r="AF97" t="str">
        <x:f>IF(X97="YES",G97,"")</x:f>
      </x:c>
      <x:c r="AG97" t="str">
        <x:f>IF(AND(Z97="YES",AA97="VALID"),Q97,"")</x:f>
      </x:c>
      <x:c r="AH97" t="str">
        <x:f>IF(AND(Z97="YES",AA97="VALID"),"YES","NO")</x:f>
        <x:v>NO</x:v>
      </x:c>
    </x:row>
    <x:row r="98" ht="15">
      <x:c r="A98" s="161"/>
      <x:c r="B98" s="2"/>
      <x:c r="C98" s="2"/>
      <x:c r="D98" s="2"/>
      <x:c r="E98" s="2"/>
      <x:c r="F98" s="8"/>
      <x:c r="G98" s="8"/>
      <x:c r="H98" s="9"/>
      <x:c r="I98" s="8"/>
      <x:c r="J98" s="8" t="str">
        <x:f t="shared" si="10">IF(OR(NOT(ISNUMBER(G98)),NOT(ISNUMBER(I98))),"",G98-I98)</x:f>
      </x:c>
      <x:c r="K98" s="8" t="str">
        <x:f t="shared" si="11">IF(OR(NOT(ISNUMBER(G98)),NOT(ISNUMBER(H98)),H98&lt;=1),"",G98*H98-1)</x:f>
      </x:c>
      <x:c r="L98" s="2"/>
      <x:c r="M98" s="2"/>
      <x:c r="N98" s="2"/>
      <x:c r="O98" s="2"/>
      <x:c r="P98" s="2" t="str">
        <x:f>IF(OR(E98="",O98=""),"",IF(NOT(OR(O98="1",O98=1,O98="X",O98="2",O98=2)),"",IF(E98="1X",IF(OR(O98="1",O98=1,O98="X"),1,0),IF(E98="X2",IF(OR(O98="X",O98="2",O98=2),1,0),IF(OR(E98="12",E98=12),IF(OR(O98="1",O98=1,O98="2",O98=2),1,0),"")))))</x:f>
      </x:c>
      <x:c r="Q98" s="9" t="str">
        <x:f t="shared" si="12">IF(OR(NOT(ISNUMBER(P98)),NOT(ISNUMBER(H98)),H98&lt;=1),"",IF(P98=1,H98-1,-1))</x:f>
      </x:c>
      <x:c r="R98" s="2"/>
      <x:c r="S98" s="2"/>
      <x:c r="T98" s="2"/>
      <x:c r="U98" s="2"/>
      <x:c r="V98" s="2"/>
      <x:c r="W98" s="14" t="str">
        <x:f t="shared" si="13">IF(OR(NOT(ISNUMBER(G98)),G98&lt;0,G98&gt;1,NOT(ISNUMBER(P98))),"",(G98-P98)^2)</x:f>
      </x:c>
      <x:c r="X98" s="2" t="str">
        <x:f t="shared" si="14">IF(AND(ISNUMBER(A98),ISNUMBER(Y98),Y98&lt;A98,AB98&lt;&gt;"",ISNUMBER(P98),ISNUMBER(G98),G98&gt;=0,G98&lt;=1,OR(M98="DEFENSIV",M98="PRUDENT",M98="MODERAT",M98="RIDICAT",M98="WATCH",M98="NO BET")),"YES","NO")</x:f>
        <x:v>NO</x:v>
      </x:c>
      <x:c r="Y98" s="146"/>
      <x:c r="Z98" t="str">
        <x:f>IF(AND(X98="YES",OR(M98="DEFENSIV",M98="PRUDENT",M98="MODERAT",M98="RIDICAT")),"YES","NO")</x:f>
        <x:v>NO</x:v>
      </x:c>
      <x:c r="AA98" t="str">
        <x:f>IF(NOT(ISNUMBER(H98)),"MISSING",IF(AND(ISNUMBER(H98),H98&gt;1),"VALID","INVALID"))</x:f>
        <x:v>MISSING</x:v>
      </x:c>
      <x:c r="AB98" s="144"/>
      <x:c r="AC98" t="str">
        <x:f>IF(AND(NOT(ISNUMBER(A98)),E98="",NOT(ISNUMBER(G98)),M98="",O98=""),"INPUT",IF(X98="YES","VALID","INCOMPLETE / INVALID"))</x:f>
        <x:v>INPUT</x:v>
      </x:c>
      <x:c r="AD98" t="str">
        <x:f>IF(X98="YES",P98,"")</x:f>
      </x:c>
      <x:c r="AE98" t="str">
        <x:f>IF(X98="YES",W98,"")</x:f>
      </x:c>
      <x:c r="AF98" t="str">
        <x:f>IF(X98="YES",G98,"")</x:f>
      </x:c>
      <x:c r="AG98" t="str">
        <x:f>IF(AND(Z98="YES",AA98="VALID"),Q98,"")</x:f>
      </x:c>
      <x:c r="AH98" t="str">
        <x:f>IF(AND(Z98="YES",AA98="VALID"),"YES","NO")</x:f>
        <x:v>NO</x:v>
      </x:c>
    </x:row>
    <x:row r="99" ht="15">
      <x:c r="A99" s="161"/>
      <x:c r="B99" s="2"/>
      <x:c r="C99" s="2"/>
      <x:c r="D99" s="2"/>
      <x:c r="E99" s="2"/>
      <x:c r="F99" s="8"/>
      <x:c r="G99" s="8"/>
      <x:c r="H99" s="9"/>
      <x:c r="I99" s="8"/>
      <x:c r="J99" s="8" t="str">
        <x:f t="shared" si="10">IF(OR(NOT(ISNUMBER(G99)),NOT(ISNUMBER(I99))),"",G99-I99)</x:f>
      </x:c>
      <x:c r="K99" s="8" t="str">
        <x:f t="shared" si="11">IF(OR(NOT(ISNUMBER(G99)),NOT(ISNUMBER(H99)),H99&lt;=1),"",G99*H99-1)</x:f>
      </x:c>
      <x:c r="L99" s="2"/>
      <x:c r="M99" s="2"/>
      <x:c r="N99" s="2"/>
      <x:c r="O99" s="2"/>
      <x:c r="P99" s="2" t="str">
        <x:f>IF(OR(E99="",O99=""),"",IF(NOT(OR(O99="1",O99=1,O99="X",O99="2",O99=2)),"",IF(E99="1X",IF(OR(O99="1",O99=1,O99="X"),1,0),IF(E99="X2",IF(OR(O99="X",O99="2",O99=2),1,0),IF(OR(E99="12",E99=12),IF(OR(O99="1",O99=1,O99="2",O99=2),1,0),"")))))</x:f>
      </x:c>
      <x:c r="Q99" s="9" t="str">
        <x:f t="shared" si="12">IF(OR(NOT(ISNUMBER(P99)),NOT(ISNUMBER(H99)),H99&lt;=1),"",IF(P99=1,H99-1,-1))</x:f>
      </x:c>
      <x:c r="R99" s="2"/>
      <x:c r="S99" s="2"/>
      <x:c r="T99" s="2"/>
      <x:c r="U99" s="2"/>
      <x:c r="V99" s="2"/>
      <x:c r="W99" s="14" t="str">
        <x:f t="shared" si="13">IF(OR(NOT(ISNUMBER(G99)),G99&lt;0,G99&gt;1,NOT(ISNUMBER(P99))),"",(G99-P99)^2)</x:f>
      </x:c>
      <x:c r="X99" s="2" t="str">
        <x:f t="shared" si="14">IF(AND(ISNUMBER(A99),ISNUMBER(Y99),Y99&lt;A99,AB99&lt;&gt;"",ISNUMBER(P99),ISNUMBER(G99),G99&gt;=0,G99&lt;=1,OR(M99="DEFENSIV",M99="PRUDENT",M99="MODERAT",M99="RIDICAT",M99="WATCH",M99="NO BET")),"YES","NO")</x:f>
        <x:v>NO</x:v>
      </x:c>
      <x:c r="Y99" s="146"/>
      <x:c r="Z99" t="str">
        <x:f>IF(AND(X99="YES",OR(M99="DEFENSIV",M99="PRUDENT",M99="MODERAT",M99="RIDICAT")),"YES","NO")</x:f>
        <x:v>NO</x:v>
      </x:c>
      <x:c r="AA99" t="str">
        <x:f>IF(NOT(ISNUMBER(H99)),"MISSING",IF(AND(ISNUMBER(H99),H99&gt;1),"VALID","INVALID"))</x:f>
        <x:v>MISSING</x:v>
      </x:c>
      <x:c r="AB99" s="144"/>
      <x:c r="AC99" t="str">
        <x:f>IF(AND(NOT(ISNUMBER(A99)),E99="",NOT(ISNUMBER(G99)),M99="",O99=""),"INPUT",IF(X99="YES","VALID","INCOMPLETE / INVALID"))</x:f>
        <x:v>INPUT</x:v>
      </x:c>
      <x:c r="AD99" t="str">
        <x:f>IF(X99="YES",P99,"")</x:f>
      </x:c>
      <x:c r="AE99" t="str">
        <x:f>IF(X99="YES",W99,"")</x:f>
      </x:c>
      <x:c r="AF99" t="str">
        <x:f>IF(X99="YES",G99,"")</x:f>
      </x:c>
      <x:c r="AG99" t="str">
        <x:f>IF(AND(Z99="YES",AA99="VALID"),Q99,"")</x:f>
      </x:c>
      <x:c r="AH99" t="str">
        <x:f>IF(AND(Z99="YES",AA99="VALID"),"YES","NO")</x:f>
        <x:v>NO</x:v>
      </x:c>
    </x:row>
    <x:row r="100" ht="15">
      <x:c r="A100" s="161"/>
      <x:c r="B100" s="2"/>
      <x:c r="C100" s="2"/>
      <x:c r="D100" s="2"/>
      <x:c r="E100" s="2"/>
      <x:c r="F100" s="8"/>
      <x:c r="G100" s="8"/>
      <x:c r="H100" s="9"/>
      <x:c r="I100" s="8"/>
      <x:c r="J100" s="8" t="str">
        <x:f t="shared" ref="J100:J131" si="15">IF(OR(NOT(ISNUMBER(G100)),NOT(ISNUMBER(I100))),"",G100-I100)</x:f>
      </x:c>
      <x:c r="K100" s="8" t="str">
        <x:f t="shared" ref="K100:K131" si="16">IF(OR(NOT(ISNUMBER(G100)),NOT(ISNUMBER(H100)),H100&lt;=1),"",G100*H100-1)</x:f>
      </x:c>
      <x:c r="L100" s="2"/>
      <x:c r="M100" s="2"/>
      <x:c r="N100" s="2"/>
      <x:c r="O100" s="2"/>
      <x:c r="P100" s="2" t="str">
        <x:f>IF(OR(E100="",O100=""),"",IF(NOT(OR(O100="1",O100=1,O100="X",O100="2",O100=2)),"",IF(E100="1X",IF(OR(O100="1",O100=1,O100="X"),1,0),IF(E100="X2",IF(OR(O100="X",O100="2",O100=2),1,0),IF(OR(E100="12",E100=12),IF(OR(O100="1",O100=1,O100="2",O100=2),1,0),"")))))</x:f>
      </x:c>
      <x:c r="Q100" s="9" t="str">
        <x:f t="shared" ref="Q100:Q131" si="17">IF(OR(NOT(ISNUMBER(P100)),NOT(ISNUMBER(H100)),H100&lt;=1),"",IF(P100=1,H100-1,-1))</x:f>
      </x:c>
      <x:c r="R100" s="2"/>
      <x:c r="S100" s="2"/>
      <x:c r="T100" s="2"/>
      <x:c r="U100" s="2"/>
      <x:c r="V100" s="2"/>
      <x:c r="W100" s="14" t="str">
        <x:f t="shared" ref="W100:W131" si="18">IF(OR(NOT(ISNUMBER(G100)),G100&lt;0,G100&gt;1,NOT(ISNUMBER(P100))),"",(G100-P100)^2)</x:f>
      </x:c>
      <x:c r="X100" s="2" t="str">
        <x:f t="shared" ref="X100:X131" si="19">IF(AND(ISNUMBER(A100),ISNUMBER(Y100),Y100&lt;A100,AB100&lt;&gt;"",ISNUMBER(P100),ISNUMBER(G100),G100&gt;=0,G100&lt;=1,OR(M100="DEFENSIV",M100="PRUDENT",M100="MODERAT",M100="RIDICAT",M100="WATCH",M100="NO BET")),"YES","NO")</x:f>
        <x:v>NO</x:v>
      </x:c>
      <x:c r="Y100" s="146"/>
      <x:c r="Z100" t="str">
        <x:f>IF(AND(X100="YES",OR(M100="DEFENSIV",M100="PRUDENT",M100="MODERAT",M100="RIDICAT")),"YES","NO")</x:f>
        <x:v>NO</x:v>
      </x:c>
      <x:c r="AA100" t="str">
        <x:f>IF(NOT(ISNUMBER(H100)),"MISSING",IF(AND(ISNUMBER(H100),H100&gt;1),"VALID","INVALID"))</x:f>
        <x:v>MISSING</x:v>
      </x:c>
      <x:c r="AB100" s="144"/>
      <x:c r="AC100" t="str">
        <x:f>IF(AND(NOT(ISNUMBER(A100)),E100="",NOT(ISNUMBER(G100)),M100="",O100=""),"INPUT",IF(X100="YES","VALID","INCOMPLETE / INVALID"))</x:f>
        <x:v>INPUT</x:v>
      </x:c>
      <x:c r="AD100" t="str">
        <x:f>IF(X100="YES",P100,"")</x:f>
      </x:c>
      <x:c r="AE100" t="str">
        <x:f>IF(X100="YES",W100,"")</x:f>
      </x:c>
      <x:c r="AF100" t="str">
        <x:f>IF(X100="YES",G100,"")</x:f>
      </x:c>
      <x:c r="AG100" t="str">
        <x:f>IF(AND(Z100="YES",AA100="VALID"),Q100,"")</x:f>
      </x:c>
      <x:c r="AH100" t="str">
        <x:f>IF(AND(Z100="YES",AA100="VALID"),"YES","NO")</x:f>
        <x:v>NO</x:v>
      </x:c>
    </x:row>
    <x:row r="101" ht="15">
      <x:c r="A101" s="161"/>
      <x:c r="B101" s="2"/>
      <x:c r="C101" s="2"/>
      <x:c r="D101" s="2"/>
      <x:c r="E101" s="2"/>
      <x:c r="F101" s="8"/>
      <x:c r="G101" s="8"/>
      <x:c r="H101" s="9"/>
      <x:c r="I101" s="8"/>
      <x:c r="J101" s="8" t="str">
        <x:f t="shared" si="15">IF(OR(NOT(ISNUMBER(G101)),NOT(ISNUMBER(I101))),"",G101-I101)</x:f>
      </x:c>
      <x:c r="K101" s="8" t="str">
        <x:f t="shared" si="16">IF(OR(NOT(ISNUMBER(G101)),NOT(ISNUMBER(H101)),H101&lt;=1),"",G101*H101-1)</x:f>
      </x:c>
      <x:c r="L101" s="2"/>
      <x:c r="M101" s="2"/>
      <x:c r="N101" s="2"/>
      <x:c r="O101" s="2"/>
      <x:c r="P101" s="2" t="str">
        <x:f>IF(OR(E101="",O101=""),"",IF(NOT(OR(O101="1",O101=1,O101="X",O101="2",O101=2)),"",IF(E101="1X",IF(OR(O101="1",O101=1,O101="X"),1,0),IF(E101="X2",IF(OR(O101="X",O101="2",O101=2),1,0),IF(OR(E101="12",E101=12),IF(OR(O101="1",O101=1,O101="2",O101=2),1,0),"")))))</x:f>
      </x:c>
      <x:c r="Q101" s="9" t="str">
        <x:f t="shared" si="17">IF(OR(NOT(ISNUMBER(P101)),NOT(ISNUMBER(H101)),H101&lt;=1),"",IF(P101=1,H101-1,-1))</x:f>
      </x:c>
      <x:c r="R101" s="2"/>
      <x:c r="S101" s="2"/>
      <x:c r="T101" s="2"/>
      <x:c r="U101" s="2"/>
      <x:c r="V101" s="2"/>
      <x:c r="W101" s="14" t="str">
        <x:f t="shared" si="18">IF(OR(NOT(ISNUMBER(G101)),G101&lt;0,G101&gt;1,NOT(ISNUMBER(P101))),"",(G101-P101)^2)</x:f>
      </x:c>
      <x:c r="X101" s="2" t="str">
        <x:f t="shared" si="19">IF(AND(ISNUMBER(A101),ISNUMBER(Y101),Y101&lt;A101,AB101&lt;&gt;"",ISNUMBER(P101),ISNUMBER(G101),G101&gt;=0,G101&lt;=1,OR(M101="DEFENSIV",M101="PRUDENT",M101="MODERAT",M101="RIDICAT",M101="WATCH",M101="NO BET")),"YES","NO")</x:f>
        <x:v>NO</x:v>
      </x:c>
      <x:c r="Y101" s="146"/>
      <x:c r="Z101" t="str">
        <x:f>IF(AND(X101="YES",OR(M101="DEFENSIV",M101="PRUDENT",M101="MODERAT",M101="RIDICAT")),"YES","NO")</x:f>
        <x:v>NO</x:v>
      </x:c>
      <x:c r="AA101" t="str">
        <x:f>IF(NOT(ISNUMBER(H101)),"MISSING",IF(AND(ISNUMBER(H101),H101&gt;1),"VALID","INVALID"))</x:f>
        <x:v>MISSING</x:v>
      </x:c>
      <x:c r="AB101" s="144"/>
      <x:c r="AC101" t="str">
        <x:f>IF(AND(NOT(ISNUMBER(A101)),E101="",NOT(ISNUMBER(G101)),M101="",O101=""),"INPUT",IF(X101="YES","VALID","INCOMPLETE / INVALID"))</x:f>
        <x:v>INPUT</x:v>
      </x:c>
      <x:c r="AD101" t="str">
        <x:f>IF(X101="YES",P101,"")</x:f>
      </x:c>
      <x:c r="AE101" t="str">
        <x:f>IF(X101="YES",W101,"")</x:f>
      </x:c>
      <x:c r="AF101" t="str">
        <x:f>IF(X101="YES",G101,"")</x:f>
      </x:c>
      <x:c r="AG101" t="str">
        <x:f>IF(AND(Z101="YES",AA101="VALID"),Q101,"")</x:f>
      </x:c>
      <x:c r="AH101" t="str">
        <x:f>IF(AND(Z101="YES",AA101="VALID"),"YES","NO")</x:f>
        <x:v>NO</x:v>
      </x:c>
    </x:row>
    <x:row r="102" ht="15">
      <x:c r="A102" s="161"/>
      <x:c r="B102" s="2"/>
      <x:c r="C102" s="2"/>
      <x:c r="D102" s="2"/>
      <x:c r="E102" s="2"/>
      <x:c r="F102" s="8"/>
      <x:c r="G102" s="8"/>
      <x:c r="H102" s="9"/>
      <x:c r="I102" s="8"/>
      <x:c r="J102" s="8" t="str">
        <x:f t="shared" si="15">IF(OR(NOT(ISNUMBER(G102)),NOT(ISNUMBER(I102))),"",G102-I102)</x:f>
      </x:c>
      <x:c r="K102" s="8" t="str">
        <x:f t="shared" si="16">IF(OR(NOT(ISNUMBER(G102)),NOT(ISNUMBER(H102)),H102&lt;=1),"",G102*H102-1)</x:f>
      </x:c>
      <x:c r="L102" s="2"/>
      <x:c r="M102" s="2"/>
      <x:c r="N102" s="2"/>
      <x:c r="O102" s="2"/>
      <x:c r="P102" s="2" t="str">
        <x:f>IF(OR(E102="",O102=""),"",IF(NOT(OR(O102="1",O102=1,O102="X",O102="2",O102=2)),"",IF(E102="1X",IF(OR(O102="1",O102=1,O102="X"),1,0),IF(E102="X2",IF(OR(O102="X",O102="2",O102=2),1,0),IF(OR(E102="12",E102=12),IF(OR(O102="1",O102=1,O102="2",O102=2),1,0),"")))))</x:f>
      </x:c>
      <x:c r="Q102" s="9" t="str">
        <x:f t="shared" si="17">IF(OR(NOT(ISNUMBER(P102)),NOT(ISNUMBER(H102)),H102&lt;=1),"",IF(P102=1,H102-1,-1))</x:f>
      </x:c>
      <x:c r="R102" s="2"/>
      <x:c r="S102" s="2"/>
      <x:c r="T102" s="2"/>
      <x:c r="U102" s="2"/>
      <x:c r="V102" s="2"/>
      <x:c r="W102" s="14" t="str">
        <x:f t="shared" si="18">IF(OR(NOT(ISNUMBER(G102)),G102&lt;0,G102&gt;1,NOT(ISNUMBER(P102))),"",(G102-P102)^2)</x:f>
      </x:c>
      <x:c r="X102" s="2" t="str">
        <x:f t="shared" si="19">IF(AND(ISNUMBER(A102),ISNUMBER(Y102),Y102&lt;A102,AB102&lt;&gt;"",ISNUMBER(P102),ISNUMBER(G102),G102&gt;=0,G102&lt;=1,OR(M102="DEFENSIV",M102="PRUDENT",M102="MODERAT",M102="RIDICAT",M102="WATCH",M102="NO BET")),"YES","NO")</x:f>
        <x:v>NO</x:v>
      </x:c>
      <x:c r="Y102" s="146"/>
      <x:c r="Z102" t="str">
        <x:f>IF(AND(X102="YES",OR(M102="DEFENSIV",M102="PRUDENT",M102="MODERAT",M102="RIDICAT")),"YES","NO")</x:f>
        <x:v>NO</x:v>
      </x:c>
      <x:c r="AA102" t="str">
        <x:f>IF(NOT(ISNUMBER(H102)),"MISSING",IF(AND(ISNUMBER(H102),H102&gt;1),"VALID","INVALID"))</x:f>
        <x:v>MISSING</x:v>
      </x:c>
      <x:c r="AB102" s="144"/>
      <x:c r="AC102" t="str">
        <x:f>IF(AND(NOT(ISNUMBER(A102)),E102="",NOT(ISNUMBER(G102)),M102="",O102=""),"INPUT",IF(X102="YES","VALID","INCOMPLETE / INVALID"))</x:f>
        <x:v>INPUT</x:v>
      </x:c>
      <x:c r="AD102" t="str">
        <x:f>IF(X102="YES",P102,"")</x:f>
      </x:c>
      <x:c r="AE102" t="str">
        <x:f>IF(X102="YES",W102,"")</x:f>
      </x:c>
      <x:c r="AF102" t="str">
        <x:f>IF(X102="YES",G102,"")</x:f>
      </x:c>
      <x:c r="AG102" t="str">
        <x:f>IF(AND(Z102="YES",AA102="VALID"),Q102,"")</x:f>
      </x:c>
      <x:c r="AH102" t="str">
        <x:f>IF(AND(Z102="YES",AA102="VALID"),"YES","NO")</x:f>
        <x:v>NO</x:v>
      </x:c>
    </x:row>
    <x:row r="103" ht="15">
      <x:c r="A103" s="161"/>
      <x:c r="B103" s="2"/>
      <x:c r="C103" s="2"/>
      <x:c r="D103" s="2"/>
      <x:c r="E103" s="2"/>
      <x:c r="F103" s="8"/>
      <x:c r="G103" s="8"/>
      <x:c r="H103" s="9"/>
      <x:c r="I103" s="8"/>
      <x:c r="J103" s="8" t="str">
        <x:f t="shared" si="15">IF(OR(NOT(ISNUMBER(G103)),NOT(ISNUMBER(I103))),"",G103-I103)</x:f>
      </x:c>
      <x:c r="K103" s="8" t="str">
        <x:f t="shared" si="16">IF(OR(NOT(ISNUMBER(G103)),NOT(ISNUMBER(H103)),H103&lt;=1),"",G103*H103-1)</x:f>
      </x:c>
      <x:c r="L103" s="2"/>
      <x:c r="M103" s="2"/>
      <x:c r="N103" s="2"/>
      <x:c r="O103" s="2"/>
      <x:c r="P103" s="2" t="str">
        <x:f>IF(OR(E103="",O103=""),"",IF(NOT(OR(O103="1",O103=1,O103="X",O103="2",O103=2)),"",IF(E103="1X",IF(OR(O103="1",O103=1,O103="X"),1,0),IF(E103="X2",IF(OR(O103="X",O103="2",O103=2),1,0),IF(OR(E103="12",E103=12),IF(OR(O103="1",O103=1,O103="2",O103=2),1,0),"")))))</x:f>
      </x:c>
      <x:c r="Q103" s="9" t="str">
        <x:f t="shared" si="17">IF(OR(NOT(ISNUMBER(P103)),NOT(ISNUMBER(H103)),H103&lt;=1),"",IF(P103=1,H103-1,-1))</x:f>
      </x:c>
      <x:c r="R103" s="2"/>
      <x:c r="S103" s="2"/>
      <x:c r="T103" s="2"/>
      <x:c r="U103" s="2"/>
      <x:c r="V103" s="2"/>
      <x:c r="W103" s="14" t="str">
        <x:f t="shared" si="18">IF(OR(NOT(ISNUMBER(G103)),G103&lt;0,G103&gt;1,NOT(ISNUMBER(P103))),"",(G103-P103)^2)</x:f>
      </x:c>
      <x:c r="X103" s="2" t="str">
        <x:f t="shared" si="19">IF(AND(ISNUMBER(A103),ISNUMBER(Y103),Y103&lt;A103,AB103&lt;&gt;"",ISNUMBER(P103),ISNUMBER(G103),G103&gt;=0,G103&lt;=1,OR(M103="DEFENSIV",M103="PRUDENT",M103="MODERAT",M103="RIDICAT",M103="WATCH",M103="NO BET")),"YES","NO")</x:f>
        <x:v>NO</x:v>
      </x:c>
      <x:c r="Y103" s="146"/>
      <x:c r="Z103" t="str">
        <x:f>IF(AND(X103="YES",OR(M103="DEFENSIV",M103="PRUDENT",M103="MODERAT",M103="RIDICAT")),"YES","NO")</x:f>
        <x:v>NO</x:v>
      </x:c>
      <x:c r="AA103" t="str">
        <x:f>IF(NOT(ISNUMBER(H103)),"MISSING",IF(AND(ISNUMBER(H103),H103&gt;1),"VALID","INVALID"))</x:f>
        <x:v>MISSING</x:v>
      </x:c>
      <x:c r="AB103" s="144"/>
      <x:c r="AC103" t="str">
        <x:f>IF(AND(NOT(ISNUMBER(A103)),E103="",NOT(ISNUMBER(G103)),M103="",O103=""),"INPUT",IF(X103="YES","VALID","INCOMPLETE / INVALID"))</x:f>
        <x:v>INPUT</x:v>
      </x:c>
      <x:c r="AD103" t="str">
        <x:f>IF(X103="YES",P103,"")</x:f>
      </x:c>
      <x:c r="AE103" t="str">
        <x:f>IF(X103="YES",W103,"")</x:f>
      </x:c>
      <x:c r="AF103" t="str">
        <x:f>IF(X103="YES",G103,"")</x:f>
      </x:c>
      <x:c r="AG103" t="str">
        <x:f>IF(AND(Z103="YES",AA103="VALID"),Q103,"")</x:f>
      </x:c>
      <x:c r="AH103" t="str">
        <x:f>IF(AND(Z103="YES",AA103="VALID"),"YES","NO")</x:f>
        <x:v>NO</x:v>
      </x:c>
    </x:row>
    <x:row r="104" ht="15">
      <x:c r="A104" s="161"/>
      <x:c r="B104" s="2"/>
      <x:c r="C104" s="2"/>
      <x:c r="D104" s="2"/>
      <x:c r="E104" s="2"/>
      <x:c r="F104" s="8"/>
      <x:c r="G104" s="8"/>
      <x:c r="H104" s="9"/>
      <x:c r="I104" s="8"/>
      <x:c r="J104" s="8" t="str">
        <x:f t="shared" si="15">IF(OR(NOT(ISNUMBER(G104)),NOT(ISNUMBER(I104))),"",G104-I104)</x:f>
      </x:c>
      <x:c r="K104" s="8" t="str">
        <x:f t="shared" si="16">IF(OR(NOT(ISNUMBER(G104)),NOT(ISNUMBER(H104)),H104&lt;=1),"",G104*H104-1)</x:f>
      </x:c>
      <x:c r="L104" s="2"/>
      <x:c r="M104" s="2"/>
      <x:c r="N104" s="2"/>
      <x:c r="O104" s="2"/>
      <x:c r="P104" s="2" t="str">
        <x:f>IF(OR(E104="",O104=""),"",IF(NOT(OR(O104="1",O104=1,O104="X",O104="2",O104=2)),"",IF(E104="1X",IF(OR(O104="1",O104=1,O104="X"),1,0),IF(E104="X2",IF(OR(O104="X",O104="2",O104=2),1,0),IF(OR(E104="12",E104=12),IF(OR(O104="1",O104=1,O104="2",O104=2),1,0),"")))))</x:f>
      </x:c>
      <x:c r="Q104" s="9" t="str">
        <x:f t="shared" si="17">IF(OR(NOT(ISNUMBER(P104)),NOT(ISNUMBER(H104)),H104&lt;=1),"",IF(P104=1,H104-1,-1))</x:f>
      </x:c>
      <x:c r="R104" s="2"/>
      <x:c r="S104" s="2"/>
      <x:c r="T104" s="2"/>
      <x:c r="U104" s="2"/>
      <x:c r="V104" s="2"/>
      <x:c r="W104" s="14" t="str">
        <x:f t="shared" si="18">IF(OR(NOT(ISNUMBER(G104)),G104&lt;0,G104&gt;1,NOT(ISNUMBER(P104))),"",(G104-P104)^2)</x:f>
      </x:c>
      <x:c r="X104" s="2" t="str">
        <x:f t="shared" si="19">IF(AND(ISNUMBER(A104),ISNUMBER(Y104),Y104&lt;A104,AB104&lt;&gt;"",ISNUMBER(P104),ISNUMBER(G104),G104&gt;=0,G104&lt;=1,OR(M104="DEFENSIV",M104="PRUDENT",M104="MODERAT",M104="RIDICAT",M104="WATCH",M104="NO BET")),"YES","NO")</x:f>
        <x:v>NO</x:v>
      </x:c>
      <x:c r="Y104" s="146"/>
      <x:c r="Z104" t="str">
        <x:f>IF(AND(X104="YES",OR(M104="DEFENSIV",M104="PRUDENT",M104="MODERAT",M104="RIDICAT")),"YES","NO")</x:f>
        <x:v>NO</x:v>
      </x:c>
      <x:c r="AA104" t="str">
        <x:f>IF(NOT(ISNUMBER(H104)),"MISSING",IF(AND(ISNUMBER(H104),H104&gt;1),"VALID","INVALID"))</x:f>
        <x:v>MISSING</x:v>
      </x:c>
      <x:c r="AB104" s="144"/>
      <x:c r="AC104" t="str">
        <x:f>IF(AND(NOT(ISNUMBER(A104)),E104="",NOT(ISNUMBER(G104)),M104="",O104=""),"INPUT",IF(X104="YES","VALID","INCOMPLETE / INVALID"))</x:f>
        <x:v>INPUT</x:v>
      </x:c>
      <x:c r="AD104" t="str">
        <x:f>IF(X104="YES",P104,"")</x:f>
      </x:c>
      <x:c r="AE104" t="str">
        <x:f>IF(X104="YES",W104,"")</x:f>
      </x:c>
      <x:c r="AF104" t="str">
        <x:f>IF(X104="YES",G104,"")</x:f>
      </x:c>
      <x:c r="AG104" t="str">
        <x:f>IF(AND(Z104="YES",AA104="VALID"),Q104,"")</x:f>
      </x:c>
      <x:c r="AH104" t="str">
        <x:f>IF(AND(Z104="YES",AA104="VALID"),"YES","NO")</x:f>
        <x:v>NO</x:v>
      </x:c>
    </x:row>
    <x:row r="105" ht="15">
      <x:c r="A105" s="161"/>
      <x:c r="B105" s="2"/>
      <x:c r="C105" s="2"/>
      <x:c r="D105" s="2"/>
      <x:c r="E105" s="2"/>
      <x:c r="F105" s="8"/>
      <x:c r="G105" s="8"/>
      <x:c r="H105" s="9"/>
      <x:c r="I105" s="8"/>
      <x:c r="J105" s="8" t="str">
        <x:f t="shared" si="15">IF(OR(NOT(ISNUMBER(G105)),NOT(ISNUMBER(I105))),"",G105-I105)</x:f>
      </x:c>
      <x:c r="K105" s="8" t="str">
        <x:f t="shared" si="16">IF(OR(NOT(ISNUMBER(G105)),NOT(ISNUMBER(H105)),H105&lt;=1),"",G105*H105-1)</x:f>
      </x:c>
      <x:c r="L105" s="2"/>
      <x:c r="M105" s="2"/>
      <x:c r="N105" s="2"/>
      <x:c r="O105" s="2"/>
      <x:c r="P105" s="2" t="str">
        <x:f>IF(OR(E105="",O105=""),"",IF(NOT(OR(O105="1",O105=1,O105="X",O105="2",O105=2)),"",IF(E105="1X",IF(OR(O105="1",O105=1,O105="X"),1,0),IF(E105="X2",IF(OR(O105="X",O105="2",O105=2),1,0),IF(OR(E105="12",E105=12),IF(OR(O105="1",O105=1,O105="2",O105=2),1,0),"")))))</x:f>
      </x:c>
      <x:c r="Q105" s="9" t="str">
        <x:f t="shared" si="17">IF(OR(NOT(ISNUMBER(P105)),NOT(ISNUMBER(H105)),H105&lt;=1),"",IF(P105=1,H105-1,-1))</x:f>
      </x:c>
      <x:c r="R105" s="2"/>
      <x:c r="S105" s="2"/>
      <x:c r="T105" s="2"/>
      <x:c r="U105" s="2"/>
      <x:c r="V105" s="2"/>
      <x:c r="W105" s="14" t="str">
        <x:f t="shared" si="18">IF(OR(NOT(ISNUMBER(G105)),G105&lt;0,G105&gt;1,NOT(ISNUMBER(P105))),"",(G105-P105)^2)</x:f>
      </x:c>
      <x:c r="X105" s="2" t="str">
        <x:f t="shared" si="19">IF(AND(ISNUMBER(A105),ISNUMBER(Y105),Y105&lt;A105,AB105&lt;&gt;"",ISNUMBER(P105),ISNUMBER(G105),G105&gt;=0,G105&lt;=1,OR(M105="DEFENSIV",M105="PRUDENT",M105="MODERAT",M105="RIDICAT",M105="WATCH",M105="NO BET")),"YES","NO")</x:f>
        <x:v>NO</x:v>
      </x:c>
      <x:c r="Y105" s="146"/>
      <x:c r="Z105" t="str">
        <x:f>IF(AND(X105="YES",OR(M105="DEFENSIV",M105="PRUDENT",M105="MODERAT",M105="RIDICAT")),"YES","NO")</x:f>
        <x:v>NO</x:v>
      </x:c>
      <x:c r="AA105" t="str">
        <x:f>IF(NOT(ISNUMBER(H105)),"MISSING",IF(AND(ISNUMBER(H105),H105&gt;1),"VALID","INVALID"))</x:f>
        <x:v>MISSING</x:v>
      </x:c>
      <x:c r="AB105" s="144"/>
      <x:c r="AC105" t="str">
        <x:f>IF(AND(NOT(ISNUMBER(A105)),E105="",NOT(ISNUMBER(G105)),M105="",O105=""),"INPUT",IF(X105="YES","VALID","INCOMPLETE / INVALID"))</x:f>
        <x:v>INPUT</x:v>
      </x:c>
      <x:c r="AD105" t="str">
        <x:f>IF(X105="YES",P105,"")</x:f>
      </x:c>
      <x:c r="AE105" t="str">
        <x:f>IF(X105="YES",W105,"")</x:f>
      </x:c>
      <x:c r="AF105" t="str">
        <x:f>IF(X105="YES",G105,"")</x:f>
      </x:c>
      <x:c r="AG105" t="str">
        <x:f>IF(AND(Z105="YES",AA105="VALID"),Q105,"")</x:f>
      </x:c>
      <x:c r="AH105" t="str">
        <x:f>IF(AND(Z105="YES",AA105="VALID"),"YES","NO")</x:f>
        <x:v>NO</x:v>
      </x:c>
    </x:row>
    <x:row r="106" ht="15">
      <x:c r="A106" s="161"/>
      <x:c r="B106" s="2"/>
      <x:c r="C106" s="2"/>
      <x:c r="D106" s="2"/>
      <x:c r="E106" s="2"/>
      <x:c r="F106" s="8"/>
      <x:c r="G106" s="8"/>
      <x:c r="H106" s="9"/>
      <x:c r="I106" s="8"/>
      <x:c r="J106" s="8" t="str">
        <x:f t="shared" si="15">IF(OR(NOT(ISNUMBER(G106)),NOT(ISNUMBER(I106))),"",G106-I106)</x:f>
      </x:c>
      <x:c r="K106" s="8" t="str">
        <x:f t="shared" si="16">IF(OR(NOT(ISNUMBER(G106)),NOT(ISNUMBER(H106)),H106&lt;=1),"",G106*H106-1)</x:f>
      </x:c>
      <x:c r="L106" s="2"/>
      <x:c r="M106" s="2"/>
      <x:c r="N106" s="2"/>
      <x:c r="O106" s="2"/>
      <x:c r="P106" s="2" t="str">
        <x:f>IF(OR(E106="",O106=""),"",IF(NOT(OR(O106="1",O106=1,O106="X",O106="2",O106=2)),"",IF(E106="1X",IF(OR(O106="1",O106=1,O106="X"),1,0),IF(E106="X2",IF(OR(O106="X",O106="2",O106=2),1,0),IF(OR(E106="12",E106=12),IF(OR(O106="1",O106=1,O106="2",O106=2),1,0),"")))))</x:f>
      </x:c>
      <x:c r="Q106" s="9" t="str">
        <x:f t="shared" si="17">IF(OR(NOT(ISNUMBER(P106)),NOT(ISNUMBER(H106)),H106&lt;=1),"",IF(P106=1,H106-1,-1))</x:f>
      </x:c>
      <x:c r="R106" s="2"/>
      <x:c r="S106" s="2"/>
      <x:c r="T106" s="2"/>
      <x:c r="U106" s="2"/>
      <x:c r="V106" s="2"/>
      <x:c r="W106" s="14" t="str">
        <x:f t="shared" si="18">IF(OR(NOT(ISNUMBER(G106)),G106&lt;0,G106&gt;1,NOT(ISNUMBER(P106))),"",(G106-P106)^2)</x:f>
      </x:c>
      <x:c r="X106" s="2" t="str">
        <x:f t="shared" si="19">IF(AND(ISNUMBER(A106),ISNUMBER(Y106),Y106&lt;A106,AB106&lt;&gt;"",ISNUMBER(P106),ISNUMBER(G106),G106&gt;=0,G106&lt;=1,OR(M106="DEFENSIV",M106="PRUDENT",M106="MODERAT",M106="RIDICAT",M106="WATCH",M106="NO BET")),"YES","NO")</x:f>
        <x:v>NO</x:v>
      </x:c>
      <x:c r="Y106" s="146"/>
      <x:c r="Z106" t="str">
        <x:f>IF(AND(X106="YES",OR(M106="DEFENSIV",M106="PRUDENT",M106="MODERAT",M106="RIDICAT")),"YES","NO")</x:f>
        <x:v>NO</x:v>
      </x:c>
      <x:c r="AA106" t="str">
        <x:f>IF(NOT(ISNUMBER(H106)),"MISSING",IF(AND(ISNUMBER(H106),H106&gt;1),"VALID","INVALID"))</x:f>
        <x:v>MISSING</x:v>
      </x:c>
      <x:c r="AB106" s="144"/>
      <x:c r="AC106" t="str">
        <x:f>IF(AND(NOT(ISNUMBER(A106)),E106="",NOT(ISNUMBER(G106)),M106="",O106=""),"INPUT",IF(X106="YES","VALID","INCOMPLETE / INVALID"))</x:f>
        <x:v>INPUT</x:v>
      </x:c>
      <x:c r="AD106" t="str">
        <x:f>IF(X106="YES",P106,"")</x:f>
      </x:c>
      <x:c r="AE106" t="str">
        <x:f>IF(X106="YES",W106,"")</x:f>
      </x:c>
      <x:c r="AF106" t="str">
        <x:f>IF(X106="YES",G106,"")</x:f>
      </x:c>
      <x:c r="AG106" t="str">
        <x:f>IF(AND(Z106="YES",AA106="VALID"),Q106,"")</x:f>
      </x:c>
      <x:c r="AH106" t="str">
        <x:f>IF(AND(Z106="YES",AA106="VALID"),"YES","NO")</x:f>
        <x:v>NO</x:v>
      </x:c>
    </x:row>
    <x:row r="107" ht="15">
      <x:c r="A107" s="161"/>
      <x:c r="B107" s="2"/>
      <x:c r="C107" s="2"/>
      <x:c r="D107" s="2"/>
      <x:c r="E107" s="2"/>
      <x:c r="F107" s="8"/>
      <x:c r="G107" s="8"/>
      <x:c r="H107" s="9"/>
      <x:c r="I107" s="8"/>
      <x:c r="J107" s="8" t="str">
        <x:f t="shared" si="15">IF(OR(NOT(ISNUMBER(G107)),NOT(ISNUMBER(I107))),"",G107-I107)</x:f>
      </x:c>
      <x:c r="K107" s="8" t="str">
        <x:f t="shared" si="16">IF(OR(NOT(ISNUMBER(G107)),NOT(ISNUMBER(H107)),H107&lt;=1),"",G107*H107-1)</x:f>
      </x:c>
      <x:c r="L107" s="2"/>
      <x:c r="M107" s="2"/>
      <x:c r="N107" s="2"/>
      <x:c r="O107" s="2"/>
      <x:c r="P107" s="2" t="str">
        <x:f>IF(OR(E107="",O107=""),"",IF(NOT(OR(O107="1",O107=1,O107="X",O107="2",O107=2)),"",IF(E107="1X",IF(OR(O107="1",O107=1,O107="X"),1,0),IF(E107="X2",IF(OR(O107="X",O107="2",O107=2),1,0),IF(OR(E107="12",E107=12),IF(OR(O107="1",O107=1,O107="2",O107=2),1,0),"")))))</x:f>
      </x:c>
      <x:c r="Q107" s="9" t="str">
        <x:f t="shared" si="17">IF(OR(NOT(ISNUMBER(P107)),NOT(ISNUMBER(H107)),H107&lt;=1),"",IF(P107=1,H107-1,-1))</x:f>
      </x:c>
      <x:c r="R107" s="2"/>
      <x:c r="S107" s="2"/>
      <x:c r="T107" s="2"/>
      <x:c r="U107" s="2"/>
      <x:c r="V107" s="2"/>
      <x:c r="W107" s="14" t="str">
        <x:f t="shared" si="18">IF(OR(NOT(ISNUMBER(G107)),G107&lt;0,G107&gt;1,NOT(ISNUMBER(P107))),"",(G107-P107)^2)</x:f>
      </x:c>
      <x:c r="X107" s="2" t="str">
        <x:f t="shared" si="19">IF(AND(ISNUMBER(A107),ISNUMBER(Y107),Y107&lt;A107,AB107&lt;&gt;"",ISNUMBER(P107),ISNUMBER(G107),G107&gt;=0,G107&lt;=1,OR(M107="DEFENSIV",M107="PRUDENT",M107="MODERAT",M107="RIDICAT",M107="WATCH",M107="NO BET")),"YES","NO")</x:f>
        <x:v>NO</x:v>
      </x:c>
      <x:c r="Y107" s="146"/>
      <x:c r="Z107" t="str">
        <x:f>IF(AND(X107="YES",OR(M107="DEFENSIV",M107="PRUDENT",M107="MODERAT",M107="RIDICAT")),"YES","NO")</x:f>
        <x:v>NO</x:v>
      </x:c>
      <x:c r="AA107" t="str">
        <x:f>IF(NOT(ISNUMBER(H107)),"MISSING",IF(AND(ISNUMBER(H107),H107&gt;1),"VALID","INVALID"))</x:f>
        <x:v>MISSING</x:v>
      </x:c>
      <x:c r="AB107" s="144"/>
      <x:c r="AC107" t="str">
        <x:f>IF(AND(NOT(ISNUMBER(A107)),E107="",NOT(ISNUMBER(G107)),M107="",O107=""),"INPUT",IF(X107="YES","VALID","INCOMPLETE / INVALID"))</x:f>
        <x:v>INPUT</x:v>
      </x:c>
      <x:c r="AD107" t="str">
        <x:f>IF(X107="YES",P107,"")</x:f>
      </x:c>
      <x:c r="AE107" t="str">
        <x:f>IF(X107="YES",W107,"")</x:f>
      </x:c>
      <x:c r="AF107" t="str">
        <x:f>IF(X107="YES",G107,"")</x:f>
      </x:c>
      <x:c r="AG107" t="str">
        <x:f>IF(AND(Z107="YES",AA107="VALID"),Q107,"")</x:f>
      </x:c>
      <x:c r="AH107" t="str">
        <x:f>IF(AND(Z107="YES",AA107="VALID"),"YES","NO")</x:f>
        <x:v>NO</x:v>
      </x:c>
    </x:row>
    <x:row r="108" ht="15">
      <x:c r="A108" s="161"/>
      <x:c r="B108" s="2"/>
      <x:c r="C108" s="2"/>
      <x:c r="D108" s="2"/>
      <x:c r="E108" s="2"/>
      <x:c r="F108" s="8"/>
      <x:c r="G108" s="8"/>
      <x:c r="H108" s="9"/>
      <x:c r="I108" s="8"/>
      <x:c r="J108" s="8" t="str">
        <x:f t="shared" si="15">IF(OR(NOT(ISNUMBER(G108)),NOT(ISNUMBER(I108))),"",G108-I108)</x:f>
      </x:c>
      <x:c r="K108" s="8" t="str">
        <x:f t="shared" si="16">IF(OR(NOT(ISNUMBER(G108)),NOT(ISNUMBER(H108)),H108&lt;=1),"",G108*H108-1)</x:f>
      </x:c>
      <x:c r="L108" s="2"/>
      <x:c r="M108" s="2"/>
      <x:c r="N108" s="2"/>
      <x:c r="O108" s="2"/>
      <x:c r="P108" s="2" t="str">
        <x:f>IF(OR(E108="",O108=""),"",IF(NOT(OR(O108="1",O108=1,O108="X",O108="2",O108=2)),"",IF(E108="1X",IF(OR(O108="1",O108=1,O108="X"),1,0),IF(E108="X2",IF(OR(O108="X",O108="2",O108=2),1,0),IF(OR(E108="12",E108=12),IF(OR(O108="1",O108=1,O108="2",O108=2),1,0),"")))))</x:f>
      </x:c>
      <x:c r="Q108" s="9" t="str">
        <x:f t="shared" si="17">IF(OR(NOT(ISNUMBER(P108)),NOT(ISNUMBER(H108)),H108&lt;=1),"",IF(P108=1,H108-1,-1))</x:f>
      </x:c>
      <x:c r="R108" s="2"/>
      <x:c r="S108" s="2"/>
      <x:c r="T108" s="2"/>
      <x:c r="U108" s="2"/>
      <x:c r="V108" s="2"/>
      <x:c r="W108" s="14" t="str">
        <x:f t="shared" si="18">IF(OR(NOT(ISNUMBER(G108)),G108&lt;0,G108&gt;1,NOT(ISNUMBER(P108))),"",(G108-P108)^2)</x:f>
      </x:c>
      <x:c r="X108" s="2" t="str">
        <x:f t="shared" si="19">IF(AND(ISNUMBER(A108),ISNUMBER(Y108),Y108&lt;A108,AB108&lt;&gt;"",ISNUMBER(P108),ISNUMBER(G108),G108&gt;=0,G108&lt;=1,OR(M108="DEFENSIV",M108="PRUDENT",M108="MODERAT",M108="RIDICAT",M108="WATCH",M108="NO BET")),"YES","NO")</x:f>
        <x:v>NO</x:v>
      </x:c>
      <x:c r="Y108" s="146"/>
      <x:c r="Z108" t="str">
        <x:f>IF(AND(X108="YES",OR(M108="DEFENSIV",M108="PRUDENT",M108="MODERAT",M108="RIDICAT")),"YES","NO")</x:f>
        <x:v>NO</x:v>
      </x:c>
      <x:c r="AA108" t="str">
        <x:f>IF(NOT(ISNUMBER(H108)),"MISSING",IF(AND(ISNUMBER(H108),H108&gt;1),"VALID","INVALID"))</x:f>
        <x:v>MISSING</x:v>
      </x:c>
      <x:c r="AB108" s="144"/>
      <x:c r="AC108" t="str">
        <x:f>IF(AND(NOT(ISNUMBER(A108)),E108="",NOT(ISNUMBER(G108)),M108="",O108=""),"INPUT",IF(X108="YES","VALID","INCOMPLETE / INVALID"))</x:f>
        <x:v>INPUT</x:v>
      </x:c>
      <x:c r="AD108" t="str">
        <x:f>IF(X108="YES",P108,"")</x:f>
      </x:c>
      <x:c r="AE108" t="str">
        <x:f>IF(X108="YES",W108,"")</x:f>
      </x:c>
      <x:c r="AF108" t="str">
        <x:f>IF(X108="YES",G108,"")</x:f>
      </x:c>
      <x:c r="AG108" t="str">
        <x:f>IF(AND(Z108="YES",AA108="VALID"),Q108,"")</x:f>
      </x:c>
      <x:c r="AH108" t="str">
        <x:f>IF(AND(Z108="YES",AA108="VALID"),"YES","NO")</x:f>
        <x:v>NO</x:v>
      </x:c>
    </x:row>
    <x:row r="109" ht="15">
      <x:c r="A109" s="161"/>
      <x:c r="B109" s="2"/>
      <x:c r="C109" s="2"/>
      <x:c r="D109" s="2"/>
      <x:c r="E109" s="2"/>
      <x:c r="F109" s="8"/>
      <x:c r="G109" s="8"/>
      <x:c r="H109" s="9"/>
      <x:c r="I109" s="8"/>
      <x:c r="J109" s="8" t="str">
        <x:f t="shared" si="15">IF(OR(NOT(ISNUMBER(G109)),NOT(ISNUMBER(I109))),"",G109-I109)</x:f>
      </x:c>
      <x:c r="K109" s="8" t="str">
        <x:f t="shared" si="16">IF(OR(NOT(ISNUMBER(G109)),NOT(ISNUMBER(H109)),H109&lt;=1),"",G109*H109-1)</x:f>
      </x:c>
      <x:c r="L109" s="2"/>
      <x:c r="M109" s="2"/>
      <x:c r="N109" s="2"/>
      <x:c r="O109" s="2"/>
      <x:c r="P109" s="2" t="str">
        <x:f>IF(OR(E109="",O109=""),"",IF(NOT(OR(O109="1",O109=1,O109="X",O109="2",O109=2)),"",IF(E109="1X",IF(OR(O109="1",O109=1,O109="X"),1,0),IF(E109="X2",IF(OR(O109="X",O109="2",O109=2),1,0),IF(OR(E109="12",E109=12),IF(OR(O109="1",O109=1,O109="2",O109=2),1,0),"")))))</x:f>
      </x:c>
      <x:c r="Q109" s="9" t="str">
        <x:f t="shared" si="17">IF(OR(NOT(ISNUMBER(P109)),NOT(ISNUMBER(H109)),H109&lt;=1),"",IF(P109=1,H109-1,-1))</x:f>
      </x:c>
      <x:c r="R109" s="2"/>
      <x:c r="S109" s="2"/>
      <x:c r="T109" s="2"/>
      <x:c r="U109" s="2"/>
      <x:c r="V109" s="2"/>
      <x:c r="W109" s="14" t="str">
        <x:f t="shared" si="18">IF(OR(NOT(ISNUMBER(G109)),G109&lt;0,G109&gt;1,NOT(ISNUMBER(P109))),"",(G109-P109)^2)</x:f>
      </x:c>
      <x:c r="X109" s="2" t="str">
        <x:f t="shared" si="19">IF(AND(ISNUMBER(A109),ISNUMBER(Y109),Y109&lt;A109,AB109&lt;&gt;"",ISNUMBER(P109),ISNUMBER(G109),G109&gt;=0,G109&lt;=1,OR(M109="DEFENSIV",M109="PRUDENT",M109="MODERAT",M109="RIDICAT",M109="WATCH",M109="NO BET")),"YES","NO")</x:f>
        <x:v>NO</x:v>
      </x:c>
      <x:c r="Y109" s="146"/>
      <x:c r="Z109" t="str">
        <x:f>IF(AND(X109="YES",OR(M109="DEFENSIV",M109="PRUDENT",M109="MODERAT",M109="RIDICAT")),"YES","NO")</x:f>
        <x:v>NO</x:v>
      </x:c>
      <x:c r="AA109" t="str">
        <x:f>IF(NOT(ISNUMBER(H109)),"MISSING",IF(AND(ISNUMBER(H109),H109&gt;1),"VALID","INVALID"))</x:f>
        <x:v>MISSING</x:v>
      </x:c>
      <x:c r="AB109" s="144"/>
      <x:c r="AC109" t="str">
        <x:f>IF(AND(NOT(ISNUMBER(A109)),E109="",NOT(ISNUMBER(G109)),M109="",O109=""),"INPUT",IF(X109="YES","VALID","INCOMPLETE / INVALID"))</x:f>
        <x:v>INPUT</x:v>
      </x:c>
      <x:c r="AD109" t="str">
        <x:f>IF(X109="YES",P109,"")</x:f>
      </x:c>
      <x:c r="AE109" t="str">
        <x:f>IF(X109="YES",W109,"")</x:f>
      </x:c>
      <x:c r="AF109" t="str">
        <x:f>IF(X109="YES",G109,"")</x:f>
      </x:c>
      <x:c r="AG109" t="str">
        <x:f>IF(AND(Z109="YES",AA109="VALID"),Q109,"")</x:f>
      </x:c>
      <x:c r="AH109" t="str">
        <x:f>IF(AND(Z109="YES",AA109="VALID"),"YES","NO")</x:f>
        <x:v>NO</x:v>
      </x:c>
    </x:row>
    <x:row r="110" ht="15">
      <x:c r="A110" s="161"/>
      <x:c r="B110" s="2"/>
      <x:c r="C110" s="2"/>
      <x:c r="D110" s="2"/>
      <x:c r="E110" s="2"/>
      <x:c r="F110" s="8"/>
      <x:c r="G110" s="8"/>
      <x:c r="H110" s="9"/>
      <x:c r="I110" s="8"/>
      <x:c r="J110" s="8" t="str">
        <x:f t="shared" si="15">IF(OR(NOT(ISNUMBER(G110)),NOT(ISNUMBER(I110))),"",G110-I110)</x:f>
      </x:c>
      <x:c r="K110" s="8" t="str">
        <x:f t="shared" si="16">IF(OR(NOT(ISNUMBER(G110)),NOT(ISNUMBER(H110)),H110&lt;=1),"",G110*H110-1)</x:f>
      </x:c>
      <x:c r="L110" s="2"/>
      <x:c r="M110" s="2"/>
      <x:c r="N110" s="2"/>
      <x:c r="O110" s="2"/>
      <x:c r="P110" s="2" t="str">
        <x:f>IF(OR(E110="",O110=""),"",IF(NOT(OR(O110="1",O110=1,O110="X",O110="2",O110=2)),"",IF(E110="1X",IF(OR(O110="1",O110=1,O110="X"),1,0),IF(E110="X2",IF(OR(O110="X",O110="2",O110=2),1,0),IF(OR(E110="12",E110=12),IF(OR(O110="1",O110=1,O110="2",O110=2),1,0),"")))))</x:f>
      </x:c>
      <x:c r="Q110" s="9" t="str">
        <x:f t="shared" si="17">IF(OR(NOT(ISNUMBER(P110)),NOT(ISNUMBER(H110)),H110&lt;=1),"",IF(P110=1,H110-1,-1))</x:f>
      </x:c>
      <x:c r="R110" s="2"/>
      <x:c r="S110" s="2"/>
      <x:c r="T110" s="2"/>
      <x:c r="U110" s="2"/>
      <x:c r="V110" s="2"/>
      <x:c r="W110" s="14" t="str">
        <x:f t="shared" si="18">IF(OR(NOT(ISNUMBER(G110)),G110&lt;0,G110&gt;1,NOT(ISNUMBER(P110))),"",(G110-P110)^2)</x:f>
      </x:c>
      <x:c r="X110" s="2" t="str">
        <x:f t="shared" si="19">IF(AND(ISNUMBER(A110),ISNUMBER(Y110),Y110&lt;A110,AB110&lt;&gt;"",ISNUMBER(P110),ISNUMBER(G110),G110&gt;=0,G110&lt;=1,OR(M110="DEFENSIV",M110="PRUDENT",M110="MODERAT",M110="RIDICAT",M110="WATCH",M110="NO BET")),"YES","NO")</x:f>
        <x:v>NO</x:v>
      </x:c>
      <x:c r="Y110" s="146"/>
      <x:c r="Z110" t="str">
        <x:f>IF(AND(X110="YES",OR(M110="DEFENSIV",M110="PRUDENT",M110="MODERAT",M110="RIDICAT")),"YES","NO")</x:f>
        <x:v>NO</x:v>
      </x:c>
      <x:c r="AA110" t="str">
        <x:f>IF(NOT(ISNUMBER(H110)),"MISSING",IF(AND(ISNUMBER(H110),H110&gt;1),"VALID","INVALID"))</x:f>
        <x:v>MISSING</x:v>
      </x:c>
      <x:c r="AB110" s="144"/>
      <x:c r="AC110" t="str">
        <x:f>IF(AND(NOT(ISNUMBER(A110)),E110="",NOT(ISNUMBER(G110)),M110="",O110=""),"INPUT",IF(X110="YES","VALID","INCOMPLETE / INVALID"))</x:f>
        <x:v>INPUT</x:v>
      </x:c>
      <x:c r="AD110" t="str">
        <x:f>IF(X110="YES",P110,"")</x:f>
      </x:c>
      <x:c r="AE110" t="str">
        <x:f>IF(X110="YES",W110,"")</x:f>
      </x:c>
      <x:c r="AF110" t="str">
        <x:f>IF(X110="YES",G110,"")</x:f>
      </x:c>
      <x:c r="AG110" t="str">
        <x:f>IF(AND(Z110="YES",AA110="VALID"),Q110,"")</x:f>
      </x:c>
      <x:c r="AH110" t="str">
        <x:f>IF(AND(Z110="YES",AA110="VALID"),"YES","NO")</x:f>
        <x:v>NO</x:v>
      </x:c>
    </x:row>
    <x:row r="111" ht="15">
      <x:c r="A111" s="161"/>
      <x:c r="B111" s="2"/>
      <x:c r="C111" s="2"/>
      <x:c r="D111" s="2"/>
      <x:c r="E111" s="2"/>
      <x:c r="F111" s="8"/>
      <x:c r="G111" s="8"/>
      <x:c r="H111" s="9"/>
      <x:c r="I111" s="8"/>
      <x:c r="J111" s="8" t="str">
        <x:f t="shared" si="15">IF(OR(NOT(ISNUMBER(G111)),NOT(ISNUMBER(I111))),"",G111-I111)</x:f>
      </x:c>
      <x:c r="K111" s="8" t="str">
        <x:f t="shared" si="16">IF(OR(NOT(ISNUMBER(G111)),NOT(ISNUMBER(H111)),H111&lt;=1),"",G111*H111-1)</x:f>
      </x:c>
      <x:c r="L111" s="2"/>
      <x:c r="M111" s="2"/>
      <x:c r="N111" s="2"/>
      <x:c r="O111" s="2"/>
      <x:c r="P111" s="2" t="str">
        <x:f>IF(OR(E111="",O111=""),"",IF(NOT(OR(O111="1",O111=1,O111="X",O111="2",O111=2)),"",IF(E111="1X",IF(OR(O111="1",O111=1,O111="X"),1,0),IF(E111="X2",IF(OR(O111="X",O111="2",O111=2),1,0),IF(OR(E111="12",E111=12),IF(OR(O111="1",O111=1,O111="2",O111=2),1,0),"")))))</x:f>
      </x:c>
      <x:c r="Q111" s="9" t="str">
        <x:f t="shared" si="17">IF(OR(NOT(ISNUMBER(P111)),NOT(ISNUMBER(H111)),H111&lt;=1),"",IF(P111=1,H111-1,-1))</x:f>
      </x:c>
      <x:c r="R111" s="2"/>
      <x:c r="S111" s="2"/>
      <x:c r="T111" s="2"/>
      <x:c r="U111" s="2"/>
      <x:c r="V111" s="2"/>
      <x:c r="W111" s="14" t="str">
        <x:f t="shared" si="18">IF(OR(NOT(ISNUMBER(G111)),G111&lt;0,G111&gt;1,NOT(ISNUMBER(P111))),"",(G111-P111)^2)</x:f>
      </x:c>
      <x:c r="X111" s="2" t="str">
        <x:f t="shared" si="19">IF(AND(ISNUMBER(A111),ISNUMBER(Y111),Y111&lt;A111,AB111&lt;&gt;"",ISNUMBER(P111),ISNUMBER(G111),G111&gt;=0,G111&lt;=1,OR(M111="DEFENSIV",M111="PRUDENT",M111="MODERAT",M111="RIDICAT",M111="WATCH",M111="NO BET")),"YES","NO")</x:f>
        <x:v>NO</x:v>
      </x:c>
      <x:c r="Y111" s="146"/>
      <x:c r="Z111" t="str">
        <x:f>IF(AND(X111="YES",OR(M111="DEFENSIV",M111="PRUDENT",M111="MODERAT",M111="RIDICAT")),"YES","NO")</x:f>
        <x:v>NO</x:v>
      </x:c>
      <x:c r="AA111" t="str">
        <x:f>IF(NOT(ISNUMBER(H111)),"MISSING",IF(AND(ISNUMBER(H111),H111&gt;1),"VALID","INVALID"))</x:f>
        <x:v>MISSING</x:v>
      </x:c>
      <x:c r="AB111" s="144"/>
      <x:c r="AC111" t="str">
        <x:f>IF(AND(NOT(ISNUMBER(A111)),E111="",NOT(ISNUMBER(G111)),M111="",O111=""),"INPUT",IF(X111="YES","VALID","INCOMPLETE / INVALID"))</x:f>
        <x:v>INPUT</x:v>
      </x:c>
      <x:c r="AD111" t="str">
        <x:f>IF(X111="YES",P111,"")</x:f>
      </x:c>
      <x:c r="AE111" t="str">
        <x:f>IF(X111="YES",W111,"")</x:f>
      </x:c>
      <x:c r="AF111" t="str">
        <x:f>IF(X111="YES",G111,"")</x:f>
      </x:c>
      <x:c r="AG111" t="str">
        <x:f>IF(AND(Z111="YES",AA111="VALID"),Q111,"")</x:f>
      </x:c>
      <x:c r="AH111" t="str">
        <x:f>IF(AND(Z111="YES",AA111="VALID"),"YES","NO")</x:f>
        <x:v>NO</x:v>
      </x:c>
    </x:row>
    <x:row r="112" ht="15">
      <x:c r="A112" s="161"/>
      <x:c r="B112" s="2"/>
      <x:c r="C112" s="2"/>
      <x:c r="D112" s="2"/>
      <x:c r="E112" s="2"/>
      <x:c r="F112" s="8"/>
      <x:c r="G112" s="8"/>
      <x:c r="H112" s="9"/>
      <x:c r="I112" s="8"/>
      <x:c r="J112" s="8" t="str">
        <x:f t="shared" si="15">IF(OR(NOT(ISNUMBER(G112)),NOT(ISNUMBER(I112))),"",G112-I112)</x:f>
      </x:c>
      <x:c r="K112" s="8" t="str">
        <x:f t="shared" si="16">IF(OR(NOT(ISNUMBER(G112)),NOT(ISNUMBER(H112)),H112&lt;=1),"",G112*H112-1)</x:f>
      </x:c>
      <x:c r="L112" s="2"/>
      <x:c r="M112" s="2"/>
      <x:c r="N112" s="2"/>
      <x:c r="O112" s="2"/>
      <x:c r="P112" s="2" t="str">
        <x:f>IF(OR(E112="",O112=""),"",IF(NOT(OR(O112="1",O112=1,O112="X",O112="2",O112=2)),"",IF(E112="1X",IF(OR(O112="1",O112=1,O112="X"),1,0),IF(E112="X2",IF(OR(O112="X",O112="2",O112=2),1,0),IF(OR(E112="12",E112=12),IF(OR(O112="1",O112=1,O112="2",O112=2),1,0),"")))))</x:f>
      </x:c>
      <x:c r="Q112" s="9" t="str">
        <x:f t="shared" si="17">IF(OR(NOT(ISNUMBER(P112)),NOT(ISNUMBER(H112)),H112&lt;=1),"",IF(P112=1,H112-1,-1))</x:f>
      </x:c>
      <x:c r="R112" s="2"/>
      <x:c r="S112" s="2"/>
      <x:c r="T112" s="2"/>
      <x:c r="U112" s="2"/>
      <x:c r="V112" s="2"/>
      <x:c r="W112" s="14" t="str">
        <x:f t="shared" si="18">IF(OR(NOT(ISNUMBER(G112)),G112&lt;0,G112&gt;1,NOT(ISNUMBER(P112))),"",(G112-P112)^2)</x:f>
      </x:c>
      <x:c r="X112" s="2" t="str">
        <x:f t="shared" si="19">IF(AND(ISNUMBER(A112),ISNUMBER(Y112),Y112&lt;A112,AB112&lt;&gt;"",ISNUMBER(P112),ISNUMBER(G112),G112&gt;=0,G112&lt;=1,OR(M112="DEFENSIV",M112="PRUDENT",M112="MODERAT",M112="RIDICAT",M112="WATCH",M112="NO BET")),"YES","NO")</x:f>
        <x:v>NO</x:v>
      </x:c>
      <x:c r="Y112" s="146"/>
      <x:c r="Z112" t="str">
        <x:f>IF(AND(X112="YES",OR(M112="DEFENSIV",M112="PRUDENT",M112="MODERAT",M112="RIDICAT")),"YES","NO")</x:f>
        <x:v>NO</x:v>
      </x:c>
      <x:c r="AA112" t="str">
        <x:f>IF(NOT(ISNUMBER(H112)),"MISSING",IF(AND(ISNUMBER(H112),H112&gt;1),"VALID","INVALID"))</x:f>
        <x:v>MISSING</x:v>
      </x:c>
      <x:c r="AB112" s="144"/>
      <x:c r="AC112" t="str">
        <x:f>IF(AND(NOT(ISNUMBER(A112)),E112="",NOT(ISNUMBER(G112)),M112="",O112=""),"INPUT",IF(X112="YES","VALID","INCOMPLETE / INVALID"))</x:f>
        <x:v>INPUT</x:v>
      </x:c>
      <x:c r="AD112" t="str">
        <x:f>IF(X112="YES",P112,"")</x:f>
      </x:c>
      <x:c r="AE112" t="str">
        <x:f>IF(X112="YES",W112,"")</x:f>
      </x:c>
      <x:c r="AF112" t="str">
        <x:f>IF(X112="YES",G112,"")</x:f>
      </x:c>
      <x:c r="AG112" t="str">
        <x:f>IF(AND(Z112="YES",AA112="VALID"),Q112,"")</x:f>
      </x:c>
      <x:c r="AH112" t="str">
        <x:f>IF(AND(Z112="YES",AA112="VALID"),"YES","NO")</x:f>
        <x:v>NO</x:v>
      </x:c>
    </x:row>
    <x:row r="113" ht="15">
      <x:c r="A113" s="161"/>
      <x:c r="B113" s="2"/>
      <x:c r="C113" s="2"/>
      <x:c r="D113" s="2"/>
      <x:c r="E113" s="2"/>
      <x:c r="F113" s="8"/>
      <x:c r="G113" s="8"/>
      <x:c r="H113" s="9"/>
      <x:c r="I113" s="8"/>
      <x:c r="J113" s="8" t="str">
        <x:f t="shared" si="15">IF(OR(NOT(ISNUMBER(G113)),NOT(ISNUMBER(I113))),"",G113-I113)</x:f>
      </x:c>
      <x:c r="K113" s="8" t="str">
        <x:f t="shared" si="16">IF(OR(NOT(ISNUMBER(G113)),NOT(ISNUMBER(H113)),H113&lt;=1),"",G113*H113-1)</x:f>
      </x:c>
      <x:c r="L113" s="2"/>
      <x:c r="M113" s="2"/>
      <x:c r="N113" s="2"/>
      <x:c r="O113" s="2"/>
      <x:c r="P113" s="2" t="str">
        <x:f>IF(OR(E113="",O113=""),"",IF(NOT(OR(O113="1",O113=1,O113="X",O113="2",O113=2)),"",IF(E113="1X",IF(OR(O113="1",O113=1,O113="X"),1,0),IF(E113="X2",IF(OR(O113="X",O113="2",O113=2),1,0),IF(OR(E113="12",E113=12),IF(OR(O113="1",O113=1,O113="2",O113=2),1,0),"")))))</x:f>
      </x:c>
      <x:c r="Q113" s="9" t="str">
        <x:f t="shared" si="17">IF(OR(NOT(ISNUMBER(P113)),NOT(ISNUMBER(H113)),H113&lt;=1),"",IF(P113=1,H113-1,-1))</x:f>
      </x:c>
      <x:c r="R113" s="2"/>
      <x:c r="S113" s="2"/>
      <x:c r="T113" s="2"/>
      <x:c r="U113" s="2"/>
      <x:c r="V113" s="2"/>
      <x:c r="W113" s="14" t="str">
        <x:f t="shared" si="18">IF(OR(NOT(ISNUMBER(G113)),G113&lt;0,G113&gt;1,NOT(ISNUMBER(P113))),"",(G113-P113)^2)</x:f>
      </x:c>
      <x:c r="X113" s="2" t="str">
        <x:f t="shared" si="19">IF(AND(ISNUMBER(A113),ISNUMBER(Y113),Y113&lt;A113,AB113&lt;&gt;"",ISNUMBER(P113),ISNUMBER(G113),G113&gt;=0,G113&lt;=1,OR(M113="DEFENSIV",M113="PRUDENT",M113="MODERAT",M113="RIDICAT",M113="WATCH",M113="NO BET")),"YES","NO")</x:f>
        <x:v>NO</x:v>
      </x:c>
      <x:c r="Y113" s="146"/>
      <x:c r="Z113" t="str">
        <x:f>IF(AND(X113="YES",OR(M113="DEFENSIV",M113="PRUDENT",M113="MODERAT",M113="RIDICAT")),"YES","NO")</x:f>
        <x:v>NO</x:v>
      </x:c>
      <x:c r="AA113" t="str">
        <x:f>IF(NOT(ISNUMBER(H113)),"MISSING",IF(AND(ISNUMBER(H113),H113&gt;1),"VALID","INVALID"))</x:f>
        <x:v>MISSING</x:v>
      </x:c>
      <x:c r="AB113" s="144"/>
      <x:c r="AC113" t="str">
        <x:f>IF(AND(NOT(ISNUMBER(A113)),E113="",NOT(ISNUMBER(G113)),M113="",O113=""),"INPUT",IF(X113="YES","VALID","INCOMPLETE / INVALID"))</x:f>
        <x:v>INPUT</x:v>
      </x:c>
      <x:c r="AD113" t="str">
        <x:f>IF(X113="YES",P113,"")</x:f>
      </x:c>
      <x:c r="AE113" t="str">
        <x:f>IF(X113="YES",W113,"")</x:f>
      </x:c>
      <x:c r="AF113" t="str">
        <x:f>IF(X113="YES",G113,"")</x:f>
      </x:c>
      <x:c r="AG113" t="str">
        <x:f>IF(AND(Z113="YES",AA113="VALID"),Q113,"")</x:f>
      </x:c>
      <x:c r="AH113" t="str">
        <x:f>IF(AND(Z113="YES",AA113="VALID"),"YES","NO")</x:f>
        <x:v>NO</x:v>
      </x:c>
    </x:row>
    <x:row r="114" ht="15">
      <x:c r="A114" s="161"/>
      <x:c r="B114" s="2"/>
      <x:c r="C114" s="2"/>
      <x:c r="D114" s="2"/>
      <x:c r="E114" s="2"/>
      <x:c r="F114" s="8"/>
      <x:c r="G114" s="8"/>
      <x:c r="H114" s="9"/>
      <x:c r="I114" s="8"/>
      <x:c r="J114" s="8" t="str">
        <x:f t="shared" si="15">IF(OR(NOT(ISNUMBER(G114)),NOT(ISNUMBER(I114))),"",G114-I114)</x:f>
      </x:c>
      <x:c r="K114" s="8" t="str">
        <x:f t="shared" si="16">IF(OR(NOT(ISNUMBER(G114)),NOT(ISNUMBER(H114)),H114&lt;=1),"",G114*H114-1)</x:f>
      </x:c>
      <x:c r="L114" s="2"/>
      <x:c r="M114" s="2"/>
      <x:c r="N114" s="2"/>
      <x:c r="O114" s="2"/>
      <x:c r="P114" s="2" t="str">
        <x:f>IF(OR(E114="",O114=""),"",IF(NOT(OR(O114="1",O114=1,O114="X",O114="2",O114=2)),"",IF(E114="1X",IF(OR(O114="1",O114=1,O114="X"),1,0),IF(E114="X2",IF(OR(O114="X",O114="2",O114=2),1,0),IF(OR(E114="12",E114=12),IF(OR(O114="1",O114=1,O114="2",O114=2),1,0),"")))))</x:f>
      </x:c>
      <x:c r="Q114" s="9" t="str">
        <x:f t="shared" si="17">IF(OR(NOT(ISNUMBER(P114)),NOT(ISNUMBER(H114)),H114&lt;=1),"",IF(P114=1,H114-1,-1))</x:f>
      </x:c>
      <x:c r="R114" s="2"/>
      <x:c r="S114" s="2"/>
      <x:c r="T114" s="2"/>
      <x:c r="U114" s="2"/>
      <x:c r="V114" s="2"/>
      <x:c r="W114" s="14" t="str">
        <x:f t="shared" si="18">IF(OR(NOT(ISNUMBER(G114)),G114&lt;0,G114&gt;1,NOT(ISNUMBER(P114))),"",(G114-P114)^2)</x:f>
      </x:c>
      <x:c r="X114" s="2" t="str">
        <x:f t="shared" si="19">IF(AND(ISNUMBER(A114),ISNUMBER(Y114),Y114&lt;A114,AB114&lt;&gt;"",ISNUMBER(P114),ISNUMBER(G114),G114&gt;=0,G114&lt;=1,OR(M114="DEFENSIV",M114="PRUDENT",M114="MODERAT",M114="RIDICAT",M114="WATCH",M114="NO BET")),"YES","NO")</x:f>
        <x:v>NO</x:v>
      </x:c>
      <x:c r="Y114" s="146"/>
      <x:c r="Z114" t="str">
        <x:f>IF(AND(X114="YES",OR(M114="DEFENSIV",M114="PRUDENT",M114="MODERAT",M114="RIDICAT")),"YES","NO")</x:f>
        <x:v>NO</x:v>
      </x:c>
      <x:c r="AA114" t="str">
        <x:f>IF(NOT(ISNUMBER(H114)),"MISSING",IF(AND(ISNUMBER(H114),H114&gt;1),"VALID","INVALID"))</x:f>
        <x:v>MISSING</x:v>
      </x:c>
      <x:c r="AB114" s="144"/>
      <x:c r="AC114" t="str">
        <x:f>IF(AND(NOT(ISNUMBER(A114)),E114="",NOT(ISNUMBER(G114)),M114="",O114=""),"INPUT",IF(X114="YES","VALID","INCOMPLETE / INVALID"))</x:f>
        <x:v>INPUT</x:v>
      </x:c>
      <x:c r="AD114" t="str">
        <x:f>IF(X114="YES",P114,"")</x:f>
      </x:c>
      <x:c r="AE114" t="str">
        <x:f>IF(X114="YES",W114,"")</x:f>
      </x:c>
      <x:c r="AF114" t="str">
        <x:f>IF(X114="YES",G114,"")</x:f>
      </x:c>
      <x:c r="AG114" t="str">
        <x:f>IF(AND(Z114="YES",AA114="VALID"),Q114,"")</x:f>
      </x:c>
      <x:c r="AH114" t="str">
        <x:f>IF(AND(Z114="YES",AA114="VALID"),"YES","NO")</x:f>
        <x:v>NO</x:v>
      </x:c>
    </x:row>
    <x:row r="115" ht="15">
      <x:c r="A115" s="161"/>
      <x:c r="B115" s="2"/>
      <x:c r="C115" s="2"/>
      <x:c r="D115" s="2"/>
      <x:c r="E115" s="2"/>
      <x:c r="F115" s="8"/>
      <x:c r="G115" s="8"/>
      <x:c r="H115" s="9"/>
      <x:c r="I115" s="8"/>
      <x:c r="J115" s="8" t="str">
        <x:f t="shared" si="15">IF(OR(NOT(ISNUMBER(G115)),NOT(ISNUMBER(I115))),"",G115-I115)</x:f>
      </x:c>
      <x:c r="K115" s="8" t="str">
        <x:f t="shared" si="16">IF(OR(NOT(ISNUMBER(G115)),NOT(ISNUMBER(H115)),H115&lt;=1),"",G115*H115-1)</x:f>
      </x:c>
      <x:c r="L115" s="2"/>
      <x:c r="M115" s="2"/>
      <x:c r="N115" s="2"/>
      <x:c r="O115" s="2"/>
      <x:c r="P115" s="2" t="str">
        <x:f>IF(OR(E115="",O115=""),"",IF(NOT(OR(O115="1",O115=1,O115="X",O115="2",O115=2)),"",IF(E115="1X",IF(OR(O115="1",O115=1,O115="X"),1,0),IF(E115="X2",IF(OR(O115="X",O115="2",O115=2),1,0),IF(OR(E115="12",E115=12),IF(OR(O115="1",O115=1,O115="2",O115=2),1,0),"")))))</x:f>
      </x:c>
      <x:c r="Q115" s="9" t="str">
        <x:f t="shared" si="17">IF(OR(NOT(ISNUMBER(P115)),NOT(ISNUMBER(H115)),H115&lt;=1),"",IF(P115=1,H115-1,-1))</x:f>
      </x:c>
      <x:c r="R115" s="2"/>
      <x:c r="S115" s="2"/>
      <x:c r="T115" s="2"/>
      <x:c r="U115" s="2"/>
      <x:c r="V115" s="2"/>
      <x:c r="W115" s="14" t="str">
        <x:f t="shared" si="18">IF(OR(NOT(ISNUMBER(G115)),G115&lt;0,G115&gt;1,NOT(ISNUMBER(P115))),"",(G115-P115)^2)</x:f>
      </x:c>
      <x:c r="X115" s="2" t="str">
        <x:f t="shared" si="19">IF(AND(ISNUMBER(A115),ISNUMBER(Y115),Y115&lt;A115,AB115&lt;&gt;"",ISNUMBER(P115),ISNUMBER(G115),G115&gt;=0,G115&lt;=1,OR(M115="DEFENSIV",M115="PRUDENT",M115="MODERAT",M115="RIDICAT",M115="WATCH",M115="NO BET")),"YES","NO")</x:f>
        <x:v>NO</x:v>
      </x:c>
      <x:c r="Y115" s="146"/>
      <x:c r="Z115" t="str">
        <x:f>IF(AND(X115="YES",OR(M115="DEFENSIV",M115="PRUDENT",M115="MODERAT",M115="RIDICAT")),"YES","NO")</x:f>
        <x:v>NO</x:v>
      </x:c>
      <x:c r="AA115" t="str">
        <x:f>IF(NOT(ISNUMBER(H115)),"MISSING",IF(AND(ISNUMBER(H115),H115&gt;1),"VALID","INVALID"))</x:f>
        <x:v>MISSING</x:v>
      </x:c>
      <x:c r="AB115" s="144"/>
      <x:c r="AC115" t="str">
        <x:f>IF(AND(NOT(ISNUMBER(A115)),E115="",NOT(ISNUMBER(G115)),M115="",O115=""),"INPUT",IF(X115="YES","VALID","INCOMPLETE / INVALID"))</x:f>
        <x:v>INPUT</x:v>
      </x:c>
      <x:c r="AD115" t="str">
        <x:f>IF(X115="YES",P115,"")</x:f>
      </x:c>
      <x:c r="AE115" t="str">
        <x:f>IF(X115="YES",W115,"")</x:f>
      </x:c>
      <x:c r="AF115" t="str">
        <x:f>IF(X115="YES",G115,"")</x:f>
      </x:c>
      <x:c r="AG115" t="str">
        <x:f>IF(AND(Z115="YES",AA115="VALID"),Q115,"")</x:f>
      </x:c>
      <x:c r="AH115" t="str">
        <x:f>IF(AND(Z115="YES",AA115="VALID"),"YES","NO")</x:f>
        <x:v>NO</x:v>
      </x:c>
    </x:row>
    <x:row r="116" ht="15">
      <x:c r="A116" s="161"/>
      <x:c r="B116" s="2"/>
      <x:c r="C116" s="2"/>
      <x:c r="D116" s="2"/>
      <x:c r="E116" s="2"/>
      <x:c r="F116" s="8"/>
      <x:c r="G116" s="8"/>
      <x:c r="H116" s="9"/>
      <x:c r="I116" s="8"/>
      <x:c r="J116" s="8" t="str">
        <x:f t="shared" si="15">IF(OR(NOT(ISNUMBER(G116)),NOT(ISNUMBER(I116))),"",G116-I116)</x:f>
      </x:c>
      <x:c r="K116" s="8" t="str">
        <x:f t="shared" si="16">IF(OR(NOT(ISNUMBER(G116)),NOT(ISNUMBER(H116)),H116&lt;=1),"",G116*H116-1)</x:f>
      </x:c>
      <x:c r="L116" s="2"/>
      <x:c r="M116" s="2"/>
      <x:c r="N116" s="2"/>
      <x:c r="O116" s="2"/>
      <x:c r="P116" s="2" t="str">
        <x:f>IF(OR(E116="",O116=""),"",IF(NOT(OR(O116="1",O116=1,O116="X",O116="2",O116=2)),"",IF(E116="1X",IF(OR(O116="1",O116=1,O116="X"),1,0),IF(E116="X2",IF(OR(O116="X",O116="2",O116=2),1,0),IF(OR(E116="12",E116=12),IF(OR(O116="1",O116=1,O116="2",O116=2),1,0),"")))))</x:f>
      </x:c>
      <x:c r="Q116" s="9" t="str">
        <x:f t="shared" si="17">IF(OR(NOT(ISNUMBER(P116)),NOT(ISNUMBER(H116)),H116&lt;=1),"",IF(P116=1,H116-1,-1))</x:f>
      </x:c>
      <x:c r="R116" s="2"/>
      <x:c r="S116" s="2"/>
      <x:c r="T116" s="2"/>
      <x:c r="U116" s="2"/>
      <x:c r="V116" s="2"/>
      <x:c r="W116" s="14" t="str">
        <x:f t="shared" si="18">IF(OR(NOT(ISNUMBER(G116)),G116&lt;0,G116&gt;1,NOT(ISNUMBER(P116))),"",(G116-P116)^2)</x:f>
      </x:c>
      <x:c r="X116" s="2" t="str">
        <x:f t="shared" si="19">IF(AND(ISNUMBER(A116),ISNUMBER(Y116),Y116&lt;A116,AB116&lt;&gt;"",ISNUMBER(P116),ISNUMBER(G116),G116&gt;=0,G116&lt;=1,OR(M116="DEFENSIV",M116="PRUDENT",M116="MODERAT",M116="RIDICAT",M116="WATCH",M116="NO BET")),"YES","NO")</x:f>
        <x:v>NO</x:v>
      </x:c>
      <x:c r="Y116" s="146"/>
      <x:c r="Z116" t="str">
        <x:f>IF(AND(X116="YES",OR(M116="DEFENSIV",M116="PRUDENT",M116="MODERAT",M116="RIDICAT")),"YES","NO")</x:f>
        <x:v>NO</x:v>
      </x:c>
      <x:c r="AA116" t="str">
        <x:f>IF(NOT(ISNUMBER(H116)),"MISSING",IF(AND(ISNUMBER(H116),H116&gt;1),"VALID","INVALID"))</x:f>
        <x:v>MISSING</x:v>
      </x:c>
      <x:c r="AB116" s="144"/>
      <x:c r="AC116" t="str">
        <x:f>IF(AND(NOT(ISNUMBER(A116)),E116="",NOT(ISNUMBER(G116)),M116="",O116=""),"INPUT",IF(X116="YES","VALID","INCOMPLETE / INVALID"))</x:f>
        <x:v>INPUT</x:v>
      </x:c>
      <x:c r="AD116" t="str">
        <x:f>IF(X116="YES",P116,"")</x:f>
      </x:c>
      <x:c r="AE116" t="str">
        <x:f>IF(X116="YES",W116,"")</x:f>
      </x:c>
      <x:c r="AF116" t="str">
        <x:f>IF(X116="YES",G116,"")</x:f>
      </x:c>
      <x:c r="AG116" t="str">
        <x:f>IF(AND(Z116="YES",AA116="VALID"),Q116,"")</x:f>
      </x:c>
      <x:c r="AH116" t="str">
        <x:f>IF(AND(Z116="YES",AA116="VALID"),"YES","NO")</x:f>
        <x:v>NO</x:v>
      </x:c>
    </x:row>
    <x:row r="117" ht="15">
      <x:c r="A117" s="161"/>
      <x:c r="B117" s="2"/>
      <x:c r="C117" s="2"/>
      <x:c r="D117" s="2"/>
      <x:c r="E117" s="2"/>
      <x:c r="F117" s="8"/>
      <x:c r="G117" s="8"/>
      <x:c r="H117" s="9"/>
      <x:c r="I117" s="8"/>
      <x:c r="J117" s="8" t="str">
        <x:f t="shared" si="15">IF(OR(NOT(ISNUMBER(G117)),NOT(ISNUMBER(I117))),"",G117-I117)</x:f>
      </x:c>
      <x:c r="K117" s="8" t="str">
        <x:f t="shared" si="16">IF(OR(NOT(ISNUMBER(G117)),NOT(ISNUMBER(H117)),H117&lt;=1),"",G117*H117-1)</x:f>
      </x:c>
      <x:c r="L117" s="2"/>
      <x:c r="M117" s="2"/>
      <x:c r="N117" s="2"/>
      <x:c r="O117" s="2"/>
      <x:c r="P117" s="2" t="str">
        <x:f>IF(OR(E117="",O117=""),"",IF(NOT(OR(O117="1",O117=1,O117="X",O117="2",O117=2)),"",IF(E117="1X",IF(OR(O117="1",O117=1,O117="X"),1,0),IF(E117="X2",IF(OR(O117="X",O117="2",O117=2),1,0),IF(OR(E117="12",E117=12),IF(OR(O117="1",O117=1,O117="2",O117=2),1,0),"")))))</x:f>
      </x:c>
      <x:c r="Q117" s="9" t="str">
        <x:f t="shared" si="17">IF(OR(NOT(ISNUMBER(P117)),NOT(ISNUMBER(H117)),H117&lt;=1),"",IF(P117=1,H117-1,-1))</x:f>
      </x:c>
      <x:c r="R117" s="2"/>
      <x:c r="S117" s="2"/>
      <x:c r="T117" s="2"/>
      <x:c r="U117" s="2"/>
      <x:c r="V117" s="2"/>
      <x:c r="W117" s="14" t="str">
        <x:f t="shared" si="18">IF(OR(NOT(ISNUMBER(G117)),G117&lt;0,G117&gt;1,NOT(ISNUMBER(P117))),"",(G117-P117)^2)</x:f>
      </x:c>
      <x:c r="X117" s="2" t="str">
        <x:f t="shared" si="19">IF(AND(ISNUMBER(A117),ISNUMBER(Y117),Y117&lt;A117,AB117&lt;&gt;"",ISNUMBER(P117),ISNUMBER(G117),G117&gt;=0,G117&lt;=1,OR(M117="DEFENSIV",M117="PRUDENT",M117="MODERAT",M117="RIDICAT",M117="WATCH",M117="NO BET")),"YES","NO")</x:f>
        <x:v>NO</x:v>
      </x:c>
      <x:c r="Y117" s="146"/>
      <x:c r="Z117" t="str">
        <x:f>IF(AND(X117="YES",OR(M117="DEFENSIV",M117="PRUDENT",M117="MODERAT",M117="RIDICAT")),"YES","NO")</x:f>
        <x:v>NO</x:v>
      </x:c>
      <x:c r="AA117" t="str">
        <x:f>IF(NOT(ISNUMBER(H117)),"MISSING",IF(AND(ISNUMBER(H117),H117&gt;1),"VALID","INVALID"))</x:f>
        <x:v>MISSING</x:v>
      </x:c>
      <x:c r="AB117" s="144"/>
      <x:c r="AC117" t="str">
        <x:f>IF(AND(NOT(ISNUMBER(A117)),E117="",NOT(ISNUMBER(G117)),M117="",O117=""),"INPUT",IF(X117="YES","VALID","INCOMPLETE / INVALID"))</x:f>
        <x:v>INPUT</x:v>
      </x:c>
      <x:c r="AD117" t="str">
        <x:f>IF(X117="YES",P117,"")</x:f>
      </x:c>
      <x:c r="AE117" t="str">
        <x:f>IF(X117="YES",W117,"")</x:f>
      </x:c>
      <x:c r="AF117" t="str">
        <x:f>IF(X117="YES",G117,"")</x:f>
      </x:c>
      <x:c r="AG117" t="str">
        <x:f>IF(AND(Z117="YES",AA117="VALID"),Q117,"")</x:f>
      </x:c>
      <x:c r="AH117" t="str">
        <x:f>IF(AND(Z117="YES",AA117="VALID"),"YES","NO")</x:f>
        <x:v>NO</x:v>
      </x:c>
    </x:row>
    <x:row r="118" ht="15">
      <x:c r="A118" s="161"/>
      <x:c r="B118" s="2"/>
      <x:c r="C118" s="2"/>
      <x:c r="D118" s="2"/>
      <x:c r="E118" s="2"/>
      <x:c r="F118" s="8"/>
      <x:c r="G118" s="8"/>
      <x:c r="H118" s="9"/>
      <x:c r="I118" s="8"/>
      <x:c r="J118" s="8" t="str">
        <x:f t="shared" si="15">IF(OR(NOT(ISNUMBER(G118)),NOT(ISNUMBER(I118))),"",G118-I118)</x:f>
      </x:c>
      <x:c r="K118" s="8" t="str">
        <x:f t="shared" si="16">IF(OR(NOT(ISNUMBER(G118)),NOT(ISNUMBER(H118)),H118&lt;=1),"",G118*H118-1)</x:f>
      </x:c>
      <x:c r="L118" s="2"/>
      <x:c r="M118" s="2"/>
      <x:c r="N118" s="2"/>
      <x:c r="O118" s="2"/>
      <x:c r="P118" s="2" t="str">
        <x:f>IF(OR(E118="",O118=""),"",IF(NOT(OR(O118="1",O118=1,O118="X",O118="2",O118=2)),"",IF(E118="1X",IF(OR(O118="1",O118=1,O118="X"),1,0),IF(E118="X2",IF(OR(O118="X",O118="2",O118=2),1,0),IF(OR(E118="12",E118=12),IF(OR(O118="1",O118=1,O118="2",O118=2),1,0),"")))))</x:f>
      </x:c>
      <x:c r="Q118" s="9" t="str">
        <x:f t="shared" si="17">IF(OR(NOT(ISNUMBER(P118)),NOT(ISNUMBER(H118)),H118&lt;=1),"",IF(P118=1,H118-1,-1))</x:f>
      </x:c>
      <x:c r="R118" s="2"/>
      <x:c r="S118" s="2"/>
      <x:c r="T118" s="2"/>
      <x:c r="U118" s="2"/>
      <x:c r="V118" s="2"/>
      <x:c r="W118" s="14" t="str">
        <x:f t="shared" si="18">IF(OR(NOT(ISNUMBER(G118)),G118&lt;0,G118&gt;1,NOT(ISNUMBER(P118))),"",(G118-P118)^2)</x:f>
      </x:c>
      <x:c r="X118" s="2" t="str">
        <x:f t="shared" si="19">IF(AND(ISNUMBER(A118),ISNUMBER(Y118),Y118&lt;A118,AB118&lt;&gt;"",ISNUMBER(P118),ISNUMBER(G118),G118&gt;=0,G118&lt;=1,OR(M118="DEFENSIV",M118="PRUDENT",M118="MODERAT",M118="RIDICAT",M118="WATCH",M118="NO BET")),"YES","NO")</x:f>
        <x:v>NO</x:v>
      </x:c>
      <x:c r="Y118" s="146"/>
      <x:c r="Z118" t="str">
        <x:f>IF(AND(X118="YES",OR(M118="DEFENSIV",M118="PRUDENT",M118="MODERAT",M118="RIDICAT")),"YES","NO")</x:f>
        <x:v>NO</x:v>
      </x:c>
      <x:c r="AA118" t="str">
        <x:f>IF(NOT(ISNUMBER(H118)),"MISSING",IF(AND(ISNUMBER(H118),H118&gt;1),"VALID","INVALID"))</x:f>
        <x:v>MISSING</x:v>
      </x:c>
      <x:c r="AB118" s="144"/>
      <x:c r="AC118" t="str">
        <x:f>IF(AND(NOT(ISNUMBER(A118)),E118="",NOT(ISNUMBER(G118)),M118="",O118=""),"INPUT",IF(X118="YES","VALID","INCOMPLETE / INVALID"))</x:f>
        <x:v>INPUT</x:v>
      </x:c>
      <x:c r="AD118" t="str">
        <x:f>IF(X118="YES",P118,"")</x:f>
      </x:c>
      <x:c r="AE118" t="str">
        <x:f>IF(X118="YES",W118,"")</x:f>
      </x:c>
      <x:c r="AF118" t="str">
        <x:f>IF(X118="YES",G118,"")</x:f>
      </x:c>
      <x:c r="AG118" t="str">
        <x:f>IF(AND(Z118="YES",AA118="VALID"),Q118,"")</x:f>
      </x:c>
      <x:c r="AH118" t="str">
        <x:f>IF(AND(Z118="YES",AA118="VALID"),"YES","NO")</x:f>
        <x:v>NO</x:v>
      </x:c>
    </x:row>
    <x:row r="119" ht="15">
      <x:c r="A119" s="161"/>
      <x:c r="B119" s="2"/>
      <x:c r="C119" s="2"/>
      <x:c r="D119" s="2"/>
      <x:c r="E119" s="2"/>
      <x:c r="F119" s="8"/>
      <x:c r="G119" s="8"/>
      <x:c r="H119" s="9"/>
      <x:c r="I119" s="8"/>
      <x:c r="J119" s="8" t="str">
        <x:f t="shared" si="15">IF(OR(NOT(ISNUMBER(G119)),NOT(ISNUMBER(I119))),"",G119-I119)</x:f>
      </x:c>
      <x:c r="K119" s="8" t="str">
        <x:f t="shared" si="16">IF(OR(NOT(ISNUMBER(G119)),NOT(ISNUMBER(H119)),H119&lt;=1),"",G119*H119-1)</x:f>
      </x:c>
      <x:c r="L119" s="2"/>
      <x:c r="M119" s="2"/>
      <x:c r="N119" s="2"/>
      <x:c r="O119" s="2"/>
      <x:c r="P119" s="2" t="str">
        <x:f>IF(OR(E119="",O119=""),"",IF(NOT(OR(O119="1",O119=1,O119="X",O119="2",O119=2)),"",IF(E119="1X",IF(OR(O119="1",O119=1,O119="X"),1,0),IF(E119="X2",IF(OR(O119="X",O119="2",O119=2),1,0),IF(OR(E119="12",E119=12),IF(OR(O119="1",O119=1,O119="2",O119=2),1,0),"")))))</x:f>
      </x:c>
      <x:c r="Q119" s="9" t="str">
        <x:f t="shared" si="17">IF(OR(NOT(ISNUMBER(P119)),NOT(ISNUMBER(H119)),H119&lt;=1),"",IF(P119=1,H119-1,-1))</x:f>
      </x:c>
      <x:c r="R119" s="2"/>
      <x:c r="S119" s="2"/>
      <x:c r="T119" s="2"/>
      <x:c r="U119" s="2"/>
      <x:c r="V119" s="2"/>
      <x:c r="W119" s="14" t="str">
        <x:f t="shared" si="18">IF(OR(NOT(ISNUMBER(G119)),G119&lt;0,G119&gt;1,NOT(ISNUMBER(P119))),"",(G119-P119)^2)</x:f>
      </x:c>
      <x:c r="X119" s="2" t="str">
        <x:f t="shared" si="19">IF(AND(ISNUMBER(A119),ISNUMBER(Y119),Y119&lt;A119,AB119&lt;&gt;"",ISNUMBER(P119),ISNUMBER(G119),G119&gt;=0,G119&lt;=1,OR(M119="DEFENSIV",M119="PRUDENT",M119="MODERAT",M119="RIDICAT",M119="WATCH",M119="NO BET")),"YES","NO")</x:f>
        <x:v>NO</x:v>
      </x:c>
      <x:c r="Y119" s="146"/>
      <x:c r="Z119" t="str">
        <x:f>IF(AND(X119="YES",OR(M119="DEFENSIV",M119="PRUDENT",M119="MODERAT",M119="RIDICAT")),"YES","NO")</x:f>
        <x:v>NO</x:v>
      </x:c>
      <x:c r="AA119" t="str">
        <x:f>IF(NOT(ISNUMBER(H119)),"MISSING",IF(AND(ISNUMBER(H119),H119&gt;1),"VALID","INVALID"))</x:f>
        <x:v>MISSING</x:v>
      </x:c>
      <x:c r="AB119" s="144"/>
      <x:c r="AC119" t="str">
        <x:f>IF(AND(NOT(ISNUMBER(A119)),E119="",NOT(ISNUMBER(G119)),M119="",O119=""),"INPUT",IF(X119="YES","VALID","INCOMPLETE / INVALID"))</x:f>
        <x:v>INPUT</x:v>
      </x:c>
      <x:c r="AD119" t="str">
        <x:f>IF(X119="YES",P119,"")</x:f>
      </x:c>
      <x:c r="AE119" t="str">
        <x:f>IF(X119="YES",W119,"")</x:f>
      </x:c>
      <x:c r="AF119" t="str">
        <x:f>IF(X119="YES",G119,"")</x:f>
      </x:c>
      <x:c r="AG119" t="str">
        <x:f>IF(AND(Z119="YES",AA119="VALID"),Q119,"")</x:f>
      </x:c>
      <x:c r="AH119" t="str">
        <x:f>IF(AND(Z119="YES",AA119="VALID"),"YES","NO")</x:f>
        <x:v>NO</x:v>
      </x:c>
    </x:row>
    <x:row r="120" ht="15">
      <x:c r="A120" s="161"/>
      <x:c r="B120" s="2"/>
      <x:c r="C120" s="2"/>
      <x:c r="D120" s="2"/>
      <x:c r="E120" s="2"/>
      <x:c r="F120" s="8"/>
      <x:c r="G120" s="8"/>
      <x:c r="H120" s="9"/>
      <x:c r="I120" s="8"/>
      <x:c r="J120" s="8" t="str">
        <x:f t="shared" si="15">IF(OR(NOT(ISNUMBER(G120)),NOT(ISNUMBER(I120))),"",G120-I120)</x:f>
      </x:c>
      <x:c r="K120" s="8" t="str">
        <x:f t="shared" si="16">IF(OR(NOT(ISNUMBER(G120)),NOT(ISNUMBER(H120)),H120&lt;=1),"",G120*H120-1)</x:f>
      </x:c>
      <x:c r="L120" s="2"/>
      <x:c r="M120" s="2"/>
      <x:c r="N120" s="2"/>
      <x:c r="O120" s="2"/>
      <x:c r="P120" s="2" t="str">
        <x:f>IF(OR(E120="",O120=""),"",IF(NOT(OR(O120="1",O120=1,O120="X",O120="2",O120=2)),"",IF(E120="1X",IF(OR(O120="1",O120=1,O120="X"),1,0),IF(E120="X2",IF(OR(O120="X",O120="2",O120=2),1,0),IF(OR(E120="12",E120=12),IF(OR(O120="1",O120=1,O120="2",O120=2),1,0),"")))))</x:f>
      </x:c>
      <x:c r="Q120" s="9" t="str">
        <x:f t="shared" si="17">IF(OR(NOT(ISNUMBER(P120)),NOT(ISNUMBER(H120)),H120&lt;=1),"",IF(P120=1,H120-1,-1))</x:f>
      </x:c>
      <x:c r="R120" s="2"/>
      <x:c r="S120" s="2"/>
      <x:c r="T120" s="2"/>
      <x:c r="U120" s="2"/>
      <x:c r="V120" s="2"/>
      <x:c r="W120" s="14" t="str">
        <x:f t="shared" si="18">IF(OR(NOT(ISNUMBER(G120)),G120&lt;0,G120&gt;1,NOT(ISNUMBER(P120))),"",(G120-P120)^2)</x:f>
      </x:c>
      <x:c r="X120" s="2" t="str">
        <x:f t="shared" si="19">IF(AND(ISNUMBER(A120),ISNUMBER(Y120),Y120&lt;A120,AB120&lt;&gt;"",ISNUMBER(P120),ISNUMBER(G120),G120&gt;=0,G120&lt;=1,OR(M120="DEFENSIV",M120="PRUDENT",M120="MODERAT",M120="RIDICAT",M120="WATCH",M120="NO BET")),"YES","NO")</x:f>
        <x:v>NO</x:v>
      </x:c>
      <x:c r="Y120" s="146"/>
      <x:c r="Z120" t="str">
        <x:f>IF(AND(X120="YES",OR(M120="DEFENSIV",M120="PRUDENT",M120="MODERAT",M120="RIDICAT")),"YES","NO")</x:f>
        <x:v>NO</x:v>
      </x:c>
      <x:c r="AA120" t="str">
        <x:f>IF(NOT(ISNUMBER(H120)),"MISSING",IF(AND(ISNUMBER(H120),H120&gt;1),"VALID","INVALID"))</x:f>
        <x:v>MISSING</x:v>
      </x:c>
      <x:c r="AB120" s="144"/>
      <x:c r="AC120" t="str">
        <x:f>IF(AND(NOT(ISNUMBER(A120)),E120="",NOT(ISNUMBER(G120)),M120="",O120=""),"INPUT",IF(X120="YES","VALID","INCOMPLETE / INVALID"))</x:f>
        <x:v>INPUT</x:v>
      </x:c>
      <x:c r="AD120" t="str">
        <x:f>IF(X120="YES",P120,"")</x:f>
      </x:c>
      <x:c r="AE120" t="str">
        <x:f>IF(X120="YES",W120,"")</x:f>
      </x:c>
      <x:c r="AF120" t="str">
        <x:f>IF(X120="YES",G120,"")</x:f>
      </x:c>
      <x:c r="AG120" t="str">
        <x:f>IF(AND(Z120="YES",AA120="VALID"),Q120,"")</x:f>
      </x:c>
      <x:c r="AH120" t="str">
        <x:f>IF(AND(Z120="YES",AA120="VALID"),"YES","NO")</x:f>
        <x:v>NO</x:v>
      </x:c>
    </x:row>
    <x:row r="121" ht="15">
      <x:c r="A121" s="161"/>
      <x:c r="B121" s="2"/>
      <x:c r="C121" s="2"/>
      <x:c r="D121" s="2"/>
      <x:c r="E121" s="2"/>
      <x:c r="F121" s="8"/>
      <x:c r="G121" s="8"/>
      <x:c r="H121" s="9"/>
      <x:c r="I121" s="8"/>
      <x:c r="J121" s="8" t="str">
        <x:f t="shared" si="15">IF(OR(NOT(ISNUMBER(G121)),NOT(ISNUMBER(I121))),"",G121-I121)</x:f>
      </x:c>
      <x:c r="K121" s="8" t="str">
        <x:f t="shared" si="16">IF(OR(NOT(ISNUMBER(G121)),NOT(ISNUMBER(H121)),H121&lt;=1),"",G121*H121-1)</x:f>
      </x:c>
      <x:c r="L121" s="2"/>
      <x:c r="M121" s="2"/>
      <x:c r="N121" s="2"/>
      <x:c r="O121" s="2"/>
      <x:c r="P121" s="2" t="str">
        <x:f>IF(OR(E121="",O121=""),"",IF(NOT(OR(O121="1",O121=1,O121="X",O121="2",O121=2)),"",IF(E121="1X",IF(OR(O121="1",O121=1,O121="X"),1,0),IF(E121="X2",IF(OR(O121="X",O121="2",O121=2),1,0),IF(OR(E121="12",E121=12),IF(OR(O121="1",O121=1,O121="2",O121=2),1,0),"")))))</x:f>
      </x:c>
      <x:c r="Q121" s="9" t="str">
        <x:f t="shared" si="17">IF(OR(NOT(ISNUMBER(P121)),NOT(ISNUMBER(H121)),H121&lt;=1),"",IF(P121=1,H121-1,-1))</x:f>
      </x:c>
      <x:c r="R121" s="2"/>
      <x:c r="S121" s="2"/>
      <x:c r="T121" s="2"/>
      <x:c r="U121" s="2"/>
      <x:c r="V121" s="2"/>
      <x:c r="W121" s="14" t="str">
        <x:f t="shared" si="18">IF(OR(NOT(ISNUMBER(G121)),G121&lt;0,G121&gt;1,NOT(ISNUMBER(P121))),"",(G121-P121)^2)</x:f>
      </x:c>
      <x:c r="X121" s="2" t="str">
        <x:f t="shared" si="19">IF(AND(ISNUMBER(A121),ISNUMBER(Y121),Y121&lt;A121,AB121&lt;&gt;"",ISNUMBER(P121),ISNUMBER(G121),G121&gt;=0,G121&lt;=1,OR(M121="DEFENSIV",M121="PRUDENT",M121="MODERAT",M121="RIDICAT",M121="WATCH",M121="NO BET")),"YES","NO")</x:f>
        <x:v>NO</x:v>
      </x:c>
      <x:c r="Y121" s="146"/>
      <x:c r="Z121" t="str">
        <x:f>IF(AND(X121="YES",OR(M121="DEFENSIV",M121="PRUDENT",M121="MODERAT",M121="RIDICAT")),"YES","NO")</x:f>
        <x:v>NO</x:v>
      </x:c>
      <x:c r="AA121" t="str">
        <x:f>IF(NOT(ISNUMBER(H121)),"MISSING",IF(AND(ISNUMBER(H121),H121&gt;1),"VALID","INVALID"))</x:f>
        <x:v>MISSING</x:v>
      </x:c>
      <x:c r="AB121" s="144"/>
      <x:c r="AC121" t="str">
        <x:f>IF(AND(NOT(ISNUMBER(A121)),E121="",NOT(ISNUMBER(G121)),M121="",O121=""),"INPUT",IF(X121="YES","VALID","INCOMPLETE / INVALID"))</x:f>
        <x:v>INPUT</x:v>
      </x:c>
      <x:c r="AD121" t="str">
        <x:f>IF(X121="YES",P121,"")</x:f>
      </x:c>
      <x:c r="AE121" t="str">
        <x:f>IF(X121="YES",W121,"")</x:f>
      </x:c>
      <x:c r="AF121" t="str">
        <x:f>IF(X121="YES",G121,"")</x:f>
      </x:c>
      <x:c r="AG121" t="str">
        <x:f>IF(AND(Z121="YES",AA121="VALID"),Q121,"")</x:f>
      </x:c>
      <x:c r="AH121" t="str">
        <x:f>IF(AND(Z121="YES",AA121="VALID"),"YES","NO")</x:f>
        <x:v>NO</x:v>
      </x:c>
    </x:row>
    <x:row r="122" ht="15">
      <x:c r="A122" s="161"/>
      <x:c r="B122" s="2"/>
      <x:c r="C122" s="2"/>
      <x:c r="D122" s="2"/>
      <x:c r="E122" s="2"/>
      <x:c r="F122" s="8"/>
      <x:c r="G122" s="8"/>
      <x:c r="H122" s="9"/>
      <x:c r="I122" s="8"/>
      <x:c r="J122" s="8" t="str">
        <x:f t="shared" si="15">IF(OR(NOT(ISNUMBER(G122)),NOT(ISNUMBER(I122))),"",G122-I122)</x:f>
      </x:c>
      <x:c r="K122" s="8" t="str">
        <x:f t="shared" si="16">IF(OR(NOT(ISNUMBER(G122)),NOT(ISNUMBER(H122)),H122&lt;=1),"",G122*H122-1)</x:f>
      </x:c>
      <x:c r="L122" s="2"/>
      <x:c r="M122" s="2"/>
      <x:c r="N122" s="2"/>
      <x:c r="O122" s="2"/>
      <x:c r="P122" s="2" t="str">
        <x:f>IF(OR(E122="",O122=""),"",IF(NOT(OR(O122="1",O122=1,O122="X",O122="2",O122=2)),"",IF(E122="1X",IF(OR(O122="1",O122=1,O122="X"),1,0),IF(E122="X2",IF(OR(O122="X",O122="2",O122=2),1,0),IF(OR(E122="12",E122=12),IF(OR(O122="1",O122=1,O122="2",O122=2),1,0),"")))))</x:f>
      </x:c>
      <x:c r="Q122" s="9" t="str">
        <x:f t="shared" si="17">IF(OR(NOT(ISNUMBER(P122)),NOT(ISNUMBER(H122)),H122&lt;=1),"",IF(P122=1,H122-1,-1))</x:f>
      </x:c>
      <x:c r="R122" s="2"/>
      <x:c r="S122" s="2"/>
      <x:c r="T122" s="2"/>
      <x:c r="U122" s="2"/>
      <x:c r="V122" s="2"/>
      <x:c r="W122" s="14" t="str">
        <x:f t="shared" si="18">IF(OR(NOT(ISNUMBER(G122)),G122&lt;0,G122&gt;1,NOT(ISNUMBER(P122))),"",(G122-P122)^2)</x:f>
      </x:c>
      <x:c r="X122" s="2" t="str">
        <x:f t="shared" si="19">IF(AND(ISNUMBER(A122),ISNUMBER(Y122),Y122&lt;A122,AB122&lt;&gt;"",ISNUMBER(P122),ISNUMBER(G122),G122&gt;=0,G122&lt;=1,OR(M122="DEFENSIV",M122="PRUDENT",M122="MODERAT",M122="RIDICAT",M122="WATCH",M122="NO BET")),"YES","NO")</x:f>
        <x:v>NO</x:v>
      </x:c>
      <x:c r="Y122" s="146"/>
      <x:c r="Z122" t="str">
        <x:f>IF(AND(X122="YES",OR(M122="DEFENSIV",M122="PRUDENT",M122="MODERAT",M122="RIDICAT")),"YES","NO")</x:f>
        <x:v>NO</x:v>
      </x:c>
      <x:c r="AA122" t="str">
        <x:f>IF(NOT(ISNUMBER(H122)),"MISSING",IF(AND(ISNUMBER(H122),H122&gt;1),"VALID","INVALID"))</x:f>
        <x:v>MISSING</x:v>
      </x:c>
      <x:c r="AB122" s="144"/>
      <x:c r="AC122" t="str">
        <x:f>IF(AND(NOT(ISNUMBER(A122)),E122="",NOT(ISNUMBER(G122)),M122="",O122=""),"INPUT",IF(X122="YES","VALID","INCOMPLETE / INVALID"))</x:f>
        <x:v>INPUT</x:v>
      </x:c>
      <x:c r="AD122" t="str">
        <x:f>IF(X122="YES",P122,"")</x:f>
      </x:c>
      <x:c r="AE122" t="str">
        <x:f>IF(X122="YES",W122,"")</x:f>
      </x:c>
      <x:c r="AF122" t="str">
        <x:f>IF(X122="YES",G122,"")</x:f>
      </x:c>
      <x:c r="AG122" t="str">
        <x:f>IF(AND(Z122="YES",AA122="VALID"),Q122,"")</x:f>
      </x:c>
      <x:c r="AH122" t="str">
        <x:f>IF(AND(Z122="YES",AA122="VALID"),"YES","NO")</x:f>
        <x:v>NO</x:v>
      </x:c>
    </x:row>
    <x:row r="123" ht="15">
      <x:c r="A123" s="161"/>
      <x:c r="B123" s="2"/>
      <x:c r="C123" s="2"/>
      <x:c r="D123" s="2"/>
      <x:c r="E123" s="2"/>
      <x:c r="F123" s="8"/>
      <x:c r="G123" s="8"/>
      <x:c r="H123" s="9"/>
      <x:c r="I123" s="8"/>
      <x:c r="J123" s="8" t="str">
        <x:f t="shared" si="15">IF(OR(NOT(ISNUMBER(G123)),NOT(ISNUMBER(I123))),"",G123-I123)</x:f>
      </x:c>
      <x:c r="K123" s="8" t="str">
        <x:f t="shared" si="16">IF(OR(NOT(ISNUMBER(G123)),NOT(ISNUMBER(H123)),H123&lt;=1),"",G123*H123-1)</x:f>
      </x:c>
      <x:c r="L123" s="2"/>
      <x:c r="M123" s="2"/>
      <x:c r="N123" s="2"/>
      <x:c r="O123" s="2"/>
      <x:c r="P123" s="2" t="str">
        <x:f>IF(OR(E123="",O123=""),"",IF(NOT(OR(O123="1",O123=1,O123="X",O123="2",O123=2)),"",IF(E123="1X",IF(OR(O123="1",O123=1,O123="X"),1,0),IF(E123="X2",IF(OR(O123="X",O123="2",O123=2),1,0),IF(OR(E123="12",E123=12),IF(OR(O123="1",O123=1,O123="2",O123=2),1,0),"")))))</x:f>
      </x:c>
      <x:c r="Q123" s="9" t="str">
        <x:f t="shared" si="17">IF(OR(NOT(ISNUMBER(P123)),NOT(ISNUMBER(H123)),H123&lt;=1),"",IF(P123=1,H123-1,-1))</x:f>
      </x:c>
      <x:c r="R123" s="2"/>
      <x:c r="S123" s="2"/>
      <x:c r="T123" s="2"/>
      <x:c r="U123" s="2"/>
      <x:c r="V123" s="2"/>
      <x:c r="W123" s="14" t="str">
        <x:f t="shared" si="18">IF(OR(NOT(ISNUMBER(G123)),G123&lt;0,G123&gt;1,NOT(ISNUMBER(P123))),"",(G123-P123)^2)</x:f>
      </x:c>
      <x:c r="X123" s="2" t="str">
        <x:f t="shared" si="19">IF(AND(ISNUMBER(A123),ISNUMBER(Y123),Y123&lt;A123,AB123&lt;&gt;"",ISNUMBER(P123),ISNUMBER(G123),G123&gt;=0,G123&lt;=1,OR(M123="DEFENSIV",M123="PRUDENT",M123="MODERAT",M123="RIDICAT",M123="WATCH",M123="NO BET")),"YES","NO")</x:f>
        <x:v>NO</x:v>
      </x:c>
      <x:c r="Y123" s="146"/>
      <x:c r="Z123" t="str">
        <x:f>IF(AND(X123="YES",OR(M123="DEFENSIV",M123="PRUDENT",M123="MODERAT",M123="RIDICAT")),"YES","NO")</x:f>
        <x:v>NO</x:v>
      </x:c>
      <x:c r="AA123" t="str">
        <x:f>IF(NOT(ISNUMBER(H123)),"MISSING",IF(AND(ISNUMBER(H123),H123&gt;1),"VALID","INVALID"))</x:f>
        <x:v>MISSING</x:v>
      </x:c>
      <x:c r="AB123" s="144"/>
      <x:c r="AC123" t="str">
        <x:f>IF(AND(NOT(ISNUMBER(A123)),E123="",NOT(ISNUMBER(G123)),M123="",O123=""),"INPUT",IF(X123="YES","VALID","INCOMPLETE / INVALID"))</x:f>
        <x:v>INPUT</x:v>
      </x:c>
      <x:c r="AD123" t="str">
        <x:f>IF(X123="YES",P123,"")</x:f>
      </x:c>
      <x:c r="AE123" t="str">
        <x:f>IF(X123="YES",W123,"")</x:f>
      </x:c>
      <x:c r="AF123" t="str">
        <x:f>IF(X123="YES",G123,"")</x:f>
      </x:c>
      <x:c r="AG123" t="str">
        <x:f>IF(AND(Z123="YES",AA123="VALID"),Q123,"")</x:f>
      </x:c>
      <x:c r="AH123" t="str">
        <x:f>IF(AND(Z123="YES",AA123="VALID"),"YES","NO")</x:f>
        <x:v>NO</x:v>
      </x:c>
    </x:row>
    <x:row r="124" ht="15">
      <x:c r="A124" s="161"/>
      <x:c r="B124" s="2"/>
      <x:c r="C124" s="2"/>
      <x:c r="D124" s="2"/>
      <x:c r="E124" s="2"/>
      <x:c r="F124" s="8"/>
      <x:c r="G124" s="8"/>
      <x:c r="H124" s="9"/>
      <x:c r="I124" s="8"/>
      <x:c r="J124" s="8" t="str">
        <x:f t="shared" si="15">IF(OR(NOT(ISNUMBER(G124)),NOT(ISNUMBER(I124))),"",G124-I124)</x:f>
      </x:c>
      <x:c r="K124" s="8" t="str">
        <x:f t="shared" si="16">IF(OR(NOT(ISNUMBER(G124)),NOT(ISNUMBER(H124)),H124&lt;=1),"",G124*H124-1)</x:f>
      </x:c>
      <x:c r="L124" s="2"/>
      <x:c r="M124" s="2"/>
      <x:c r="N124" s="2"/>
      <x:c r="O124" s="2"/>
      <x:c r="P124" s="2" t="str">
        <x:f>IF(OR(E124="",O124=""),"",IF(NOT(OR(O124="1",O124=1,O124="X",O124="2",O124=2)),"",IF(E124="1X",IF(OR(O124="1",O124=1,O124="X"),1,0),IF(E124="X2",IF(OR(O124="X",O124="2",O124=2),1,0),IF(OR(E124="12",E124=12),IF(OR(O124="1",O124=1,O124="2",O124=2),1,0),"")))))</x:f>
      </x:c>
      <x:c r="Q124" s="9" t="str">
        <x:f t="shared" si="17">IF(OR(NOT(ISNUMBER(P124)),NOT(ISNUMBER(H124)),H124&lt;=1),"",IF(P124=1,H124-1,-1))</x:f>
      </x:c>
      <x:c r="R124" s="2"/>
      <x:c r="S124" s="2"/>
      <x:c r="T124" s="2"/>
      <x:c r="U124" s="2"/>
      <x:c r="V124" s="2"/>
      <x:c r="W124" s="14" t="str">
        <x:f t="shared" si="18">IF(OR(NOT(ISNUMBER(G124)),G124&lt;0,G124&gt;1,NOT(ISNUMBER(P124))),"",(G124-P124)^2)</x:f>
      </x:c>
      <x:c r="X124" s="2" t="str">
        <x:f t="shared" si="19">IF(AND(ISNUMBER(A124),ISNUMBER(Y124),Y124&lt;A124,AB124&lt;&gt;"",ISNUMBER(P124),ISNUMBER(G124),G124&gt;=0,G124&lt;=1,OR(M124="DEFENSIV",M124="PRUDENT",M124="MODERAT",M124="RIDICAT",M124="WATCH",M124="NO BET")),"YES","NO")</x:f>
        <x:v>NO</x:v>
      </x:c>
      <x:c r="Y124" s="146"/>
      <x:c r="Z124" t="str">
        <x:f>IF(AND(X124="YES",OR(M124="DEFENSIV",M124="PRUDENT",M124="MODERAT",M124="RIDICAT")),"YES","NO")</x:f>
        <x:v>NO</x:v>
      </x:c>
      <x:c r="AA124" t="str">
        <x:f>IF(NOT(ISNUMBER(H124)),"MISSING",IF(AND(ISNUMBER(H124),H124&gt;1),"VALID","INVALID"))</x:f>
        <x:v>MISSING</x:v>
      </x:c>
      <x:c r="AB124" s="144"/>
      <x:c r="AC124" t="str">
        <x:f>IF(AND(NOT(ISNUMBER(A124)),E124="",NOT(ISNUMBER(G124)),M124="",O124=""),"INPUT",IF(X124="YES","VALID","INCOMPLETE / INVALID"))</x:f>
        <x:v>INPUT</x:v>
      </x:c>
      <x:c r="AD124" t="str">
        <x:f>IF(X124="YES",P124,"")</x:f>
      </x:c>
      <x:c r="AE124" t="str">
        <x:f>IF(X124="YES",W124,"")</x:f>
      </x:c>
      <x:c r="AF124" t="str">
        <x:f>IF(X124="YES",G124,"")</x:f>
      </x:c>
      <x:c r="AG124" t="str">
        <x:f>IF(AND(Z124="YES",AA124="VALID"),Q124,"")</x:f>
      </x:c>
      <x:c r="AH124" t="str">
        <x:f>IF(AND(Z124="YES",AA124="VALID"),"YES","NO")</x:f>
        <x:v>NO</x:v>
      </x:c>
    </x:row>
    <x:row r="125" ht="15">
      <x:c r="A125" s="161"/>
      <x:c r="B125" s="2"/>
      <x:c r="C125" s="2"/>
      <x:c r="D125" s="2"/>
      <x:c r="E125" s="2"/>
      <x:c r="F125" s="8"/>
      <x:c r="G125" s="8"/>
      <x:c r="H125" s="9"/>
      <x:c r="I125" s="8"/>
      <x:c r="J125" s="8" t="str">
        <x:f t="shared" si="15">IF(OR(NOT(ISNUMBER(G125)),NOT(ISNUMBER(I125))),"",G125-I125)</x:f>
      </x:c>
      <x:c r="K125" s="8" t="str">
        <x:f t="shared" si="16">IF(OR(NOT(ISNUMBER(G125)),NOT(ISNUMBER(H125)),H125&lt;=1),"",G125*H125-1)</x:f>
      </x:c>
      <x:c r="L125" s="2"/>
      <x:c r="M125" s="2"/>
      <x:c r="N125" s="2"/>
      <x:c r="O125" s="2"/>
      <x:c r="P125" s="2" t="str">
        <x:f>IF(OR(E125="",O125=""),"",IF(NOT(OR(O125="1",O125=1,O125="X",O125="2",O125=2)),"",IF(E125="1X",IF(OR(O125="1",O125=1,O125="X"),1,0),IF(E125="X2",IF(OR(O125="X",O125="2",O125=2),1,0),IF(OR(E125="12",E125=12),IF(OR(O125="1",O125=1,O125="2",O125=2),1,0),"")))))</x:f>
      </x:c>
      <x:c r="Q125" s="9" t="str">
        <x:f t="shared" si="17">IF(OR(NOT(ISNUMBER(P125)),NOT(ISNUMBER(H125)),H125&lt;=1),"",IF(P125=1,H125-1,-1))</x:f>
      </x:c>
      <x:c r="R125" s="2"/>
      <x:c r="S125" s="2"/>
      <x:c r="T125" s="2"/>
      <x:c r="U125" s="2"/>
      <x:c r="V125" s="2"/>
      <x:c r="W125" s="14" t="str">
        <x:f t="shared" si="18">IF(OR(NOT(ISNUMBER(G125)),G125&lt;0,G125&gt;1,NOT(ISNUMBER(P125))),"",(G125-P125)^2)</x:f>
      </x:c>
      <x:c r="X125" s="2" t="str">
        <x:f t="shared" si="19">IF(AND(ISNUMBER(A125),ISNUMBER(Y125),Y125&lt;A125,AB125&lt;&gt;"",ISNUMBER(P125),ISNUMBER(G125),G125&gt;=0,G125&lt;=1,OR(M125="DEFENSIV",M125="PRUDENT",M125="MODERAT",M125="RIDICAT",M125="WATCH",M125="NO BET")),"YES","NO")</x:f>
        <x:v>NO</x:v>
      </x:c>
      <x:c r="Y125" s="146"/>
      <x:c r="Z125" t="str">
        <x:f>IF(AND(X125="YES",OR(M125="DEFENSIV",M125="PRUDENT",M125="MODERAT",M125="RIDICAT")),"YES","NO")</x:f>
        <x:v>NO</x:v>
      </x:c>
      <x:c r="AA125" t="str">
        <x:f>IF(NOT(ISNUMBER(H125)),"MISSING",IF(AND(ISNUMBER(H125),H125&gt;1),"VALID","INVALID"))</x:f>
        <x:v>MISSING</x:v>
      </x:c>
      <x:c r="AB125" s="144"/>
      <x:c r="AC125" t="str">
        <x:f>IF(AND(NOT(ISNUMBER(A125)),E125="",NOT(ISNUMBER(G125)),M125="",O125=""),"INPUT",IF(X125="YES","VALID","INCOMPLETE / INVALID"))</x:f>
        <x:v>INPUT</x:v>
      </x:c>
      <x:c r="AD125" t="str">
        <x:f>IF(X125="YES",P125,"")</x:f>
      </x:c>
      <x:c r="AE125" t="str">
        <x:f>IF(X125="YES",W125,"")</x:f>
      </x:c>
      <x:c r="AF125" t="str">
        <x:f>IF(X125="YES",G125,"")</x:f>
      </x:c>
      <x:c r="AG125" t="str">
        <x:f>IF(AND(Z125="YES",AA125="VALID"),Q125,"")</x:f>
      </x:c>
      <x:c r="AH125" t="str">
        <x:f>IF(AND(Z125="YES",AA125="VALID"),"YES","NO")</x:f>
        <x:v>NO</x:v>
      </x:c>
    </x:row>
    <x:row r="126" ht="15">
      <x:c r="A126" s="161"/>
      <x:c r="B126" s="2"/>
      <x:c r="C126" s="2"/>
      <x:c r="D126" s="2"/>
      <x:c r="E126" s="2"/>
      <x:c r="F126" s="8"/>
      <x:c r="G126" s="8"/>
      <x:c r="H126" s="9"/>
      <x:c r="I126" s="8"/>
      <x:c r="J126" s="8" t="str">
        <x:f t="shared" si="15">IF(OR(NOT(ISNUMBER(G126)),NOT(ISNUMBER(I126))),"",G126-I126)</x:f>
      </x:c>
      <x:c r="K126" s="8" t="str">
        <x:f t="shared" si="16">IF(OR(NOT(ISNUMBER(G126)),NOT(ISNUMBER(H126)),H126&lt;=1),"",G126*H126-1)</x:f>
      </x:c>
      <x:c r="L126" s="2"/>
      <x:c r="M126" s="2"/>
      <x:c r="N126" s="2"/>
      <x:c r="O126" s="2"/>
      <x:c r="P126" s="2" t="str">
        <x:f>IF(OR(E126="",O126=""),"",IF(NOT(OR(O126="1",O126=1,O126="X",O126="2",O126=2)),"",IF(E126="1X",IF(OR(O126="1",O126=1,O126="X"),1,0),IF(E126="X2",IF(OR(O126="X",O126="2",O126=2),1,0),IF(OR(E126="12",E126=12),IF(OR(O126="1",O126=1,O126="2",O126=2),1,0),"")))))</x:f>
      </x:c>
      <x:c r="Q126" s="9" t="str">
        <x:f t="shared" si="17">IF(OR(NOT(ISNUMBER(P126)),NOT(ISNUMBER(H126)),H126&lt;=1),"",IF(P126=1,H126-1,-1))</x:f>
      </x:c>
      <x:c r="R126" s="2"/>
      <x:c r="S126" s="2"/>
      <x:c r="T126" s="2"/>
      <x:c r="U126" s="2"/>
      <x:c r="V126" s="2"/>
      <x:c r="W126" s="14" t="str">
        <x:f t="shared" si="18">IF(OR(NOT(ISNUMBER(G126)),G126&lt;0,G126&gt;1,NOT(ISNUMBER(P126))),"",(G126-P126)^2)</x:f>
      </x:c>
      <x:c r="X126" s="2" t="str">
        <x:f t="shared" si="19">IF(AND(ISNUMBER(A126),ISNUMBER(Y126),Y126&lt;A126,AB126&lt;&gt;"",ISNUMBER(P126),ISNUMBER(G126),G126&gt;=0,G126&lt;=1,OR(M126="DEFENSIV",M126="PRUDENT",M126="MODERAT",M126="RIDICAT",M126="WATCH",M126="NO BET")),"YES","NO")</x:f>
        <x:v>NO</x:v>
      </x:c>
      <x:c r="Y126" s="146"/>
      <x:c r="Z126" t="str">
        <x:f>IF(AND(X126="YES",OR(M126="DEFENSIV",M126="PRUDENT",M126="MODERAT",M126="RIDICAT")),"YES","NO")</x:f>
        <x:v>NO</x:v>
      </x:c>
      <x:c r="AA126" t="str">
        <x:f>IF(NOT(ISNUMBER(H126)),"MISSING",IF(AND(ISNUMBER(H126),H126&gt;1),"VALID","INVALID"))</x:f>
        <x:v>MISSING</x:v>
      </x:c>
      <x:c r="AB126" s="144"/>
      <x:c r="AC126" t="str">
        <x:f>IF(AND(NOT(ISNUMBER(A126)),E126="",NOT(ISNUMBER(G126)),M126="",O126=""),"INPUT",IF(X126="YES","VALID","INCOMPLETE / INVALID"))</x:f>
        <x:v>INPUT</x:v>
      </x:c>
      <x:c r="AD126" t="str">
        <x:f>IF(X126="YES",P126,"")</x:f>
      </x:c>
      <x:c r="AE126" t="str">
        <x:f>IF(X126="YES",W126,"")</x:f>
      </x:c>
      <x:c r="AF126" t="str">
        <x:f>IF(X126="YES",G126,"")</x:f>
      </x:c>
      <x:c r="AG126" t="str">
        <x:f>IF(AND(Z126="YES",AA126="VALID"),Q126,"")</x:f>
      </x:c>
      <x:c r="AH126" t="str">
        <x:f>IF(AND(Z126="YES",AA126="VALID"),"YES","NO")</x:f>
        <x:v>NO</x:v>
      </x:c>
    </x:row>
    <x:row r="127" ht="15">
      <x:c r="A127" s="161"/>
      <x:c r="B127" s="2"/>
      <x:c r="C127" s="2"/>
      <x:c r="D127" s="2"/>
      <x:c r="E127" s="2"/>
      <x:c r="F127" s="8"/>
      <x:c r="G127" s="8"/>
      <x:c r="H127" s="9"/>
      <x:c r="I127" s="8"/>
      <x:c r="J127" s="8" t="str">
        <x:f t="shared" si="15">IF(OR(NOT(ISNUMBER(G127)),NOT(ISNUMBER(I127))),"",G127-I127)</x:f>
      </x:c>
      <x:c r="K127" s="8" t="str">
        <x:f t="shared" si="16">IF(OR(NOT(ISNUMBER(G127)),NOT(ISNUMBER(H127)),H127&lt;=1),"",G127*H127-1)</x:f>
      </x:c>
      <x:c r="L127" s="2"/>
      <x:c r="M127" s="2"/>
      <x:c r="N127" s="2"/>
      <x:c r="O127" s="2"/>
      <x:c r="P127" s="2" t="str">
        <x:f>IF(OR(E127="",O127=""),"",IF(NOT(OR(O127="1",O127=1,O127="X",O127="2",O127=2)),"",IF(E127="1X",IF(OR(O127="1",O127=1,O127="X"),1,0),IF(E127="X2",IF(OR(O127="X",O127="2",O127=2),1,0),IF(OR(E127="12",E127=12),IF(OR(O127="1",O127=1,O127="2",O127=2),1,0),"")))))</x:f>
      </x:c>
      <x:c r="Q127" s="9" t="str">
        <x:f t="shared" si="17">IF(OR(NOT(ISNUMBER(P127)),NOT(ISNUMBER(H127)),H127&lt;=1),"",IF(P127=1,H127-1,-1))</x:f>
      </x:c>
      <x:c r="R127" s="2"/>
      <x:c r="S127" s="2"/>
      <x:c r="T127" s="2"/>
      <x:c r="U127" s="2"/>
      <x:c r="V127" s="2"/>
      <x:c r="W127" s="14" t="str">
        <x:f t="shared" si="18">IF(OR(NOT(ISNUMBER(G127)),G127&lt;0,G127&gt;1,NOT(ISNUMBER(P127))),"",(G127-P127)^2)</x:f>
      </x:c>
      <x:c r="X127" s="2" t="str">
        <x:f t="shared" si="19">IF(AND(ISNUMBER(A127),ISNUMBER(Y127),Y127&lt;A127,AB127&lt;&gt;"",ISNUMBER(P127),ISNUMBER(G127),G127&gt;=0,G127&lt;=1,OR(M127="DEFENSIV",M127="PRUDENT",M127="MODERAT",M127="RIDICAT",M127="WATCH",M127="NO BET")),"YES","NO")</x:f>
        <x:v>NO</x:v>
      </x:c>
      <x:c r="Y127" s="146"/>
      <x:c r="Z127" t="str">
        <x:f>IF(AND(X127="YES",OR(M127="DEFENSIV",M127="PRUDENT",M127="MODERAT",M127="RIDICAT")),"YES","NO")</x:f>
        <x:v>NO</x:v>
      </x:c>
      <x:c r="AA127" t="str">
        <x:f>IF(NOT(ISNUMBER(H127)),"MISSING",IF(AND(ISNUMBER(H127),H127&gt;1),"VALID","INVALID"))</x:f>
        <x:v>MISSING</x:v>
      </x:c>
      <x:c r="AB127" s="144"/>
      <x:c r="AC127" t="str">
        <x:f>IF(AND(NOT(ISNUMBER(A127)),E127="",NOT(ISNUMBER(G127)),M127="",O127=""),"INPUT",IF(X127="YES","VALID","INCOMPLETE / INVALID"))</x:f>
        <x:v>INPUT</x:v>
      </x:c>
      <x:c r="AD127" t="str">
        <x:f>IF(X127="YES",P127,"")</x:f>
      </x:c>
      <x:c r="AE127" t="str">
        <x:f>IF(X127="YES",W127,"")</x:f>
      </x:c>
      <x:c r="AF127" t="str">
        <x:f>IF(X127="YES",G127,"")</x:f>
      </x:c>
      <x:c r="AG127" t="str">
        <x:f>IF(AND(Z127="YES",AA127="VALID"),Q127,"")</x:f>
      </x:c>
      <x:c r="AH127" t="str">
        <x:f>IF(AND(Z127="YES",AA127="VALID"),"YES","NO")</x:f>
        <x:v>NO</x:v>
      </x:c>
    </x:row>
    <x:row r="128" ht="15">
      <x:c r="A128" s="161"/>
      <x:c r="B128" s="2"/>
      <x:c r="C128" s="2"/>
      <x:c r="D128" s="2"/>
      <x:c r="E128" s="2"/>
      <x:c r="F128" s="8"/>
      <x:c r="G128" s="8"/>
      <x:c r="H128" s="9"/>
      <x:c r="I128" s="8"/>
      <x:c r="J128" s="8" t="str">
        <x:f t="shared" si="15">IF(OR(NOT(ISNUMBER(G128)),NOT(ISNUMBER(I128))),"",G128-I128)</x:f>
      </x:c>
      <x:c r="K128" s="8" t="str">
        <x:f t="shared" si="16">IF(OR(NOT(ISNUMBER(G128)),NOT(ISNUMBER(H128)),H128&lt;=1),"",G128*H128-1)</x:f>
      </x:c>
      <x:c r="L128" s="2"/>
      <x:c r="M128" s="2"/>
      <x:c r="N128" s="2"/>
      <x:c r="O128" s="2"/>
      <x:c r="P128" s="2" t="str">
        <x:f>IF(OR(E128="",O128=""),"",IF(NOT(OR(O128="1",O128=1,O128="X",O128="2",O128=2)),"",IF(E128="1X",IF(OR(O128="1",O128=1,O128="X"),1,0),IF(E128="X2",IF(OR(O128="X",O128="2",O128=2),1,0),IF(OR(E128="12",E128=12),IF(OR(O128="1",O128=1,O128="2",O128=2),1,0),"")))))</x:f>
      </x:c>
      <x:c r="Q128" s="9" t="str">
        <x:f t="shared" si="17">IF(OR(NOT(ISNUMBER(P128)),NOT(ISNUMBER(H128)),H128&lt;=1),"",IF(P128=1,H128-1,-1))</x:f>
      </x:c>
      <x:c r="R128" s="2"/>
      <x:c r="S128" s="2"/>
      <x:c r="T128" s="2"/>
      <x:c r="U128" s="2"/>
      <x:c r="V128" s="2"/>
      <x:c r="W128" s="14" t="str">
        <x:f t="shared" si="18">IF(OR(NOT(ISNUMBER(G128)),G128&lt;0,G128&gt;1,NOT(ISNUMBER(P128))),"",(G128-P128)^2)</x:f>
      </x:c>
      <x:c r="X128" s="2" t="str">
        <x:f t="shared" si="19">IF(AND(ISNUMBER(A128),ISNUMBER(Y128),Y128&lt;A128,AB128&lt;&gt;"",ISNUMBER(P128),ISNUMBER(G128),G128&gt;=0,G128&lt;=1,OR(M128="DEFENSIV",M128="PRUDENT",M128="MODERAT",M128="RIDICAT",M128="WATCH",M128="NO BET")),"YES","NO")</x:f>
        <x:v>NO</x:v>
      </x:c>
      <x:c r="Y128" s="146"/>
      <x:c r="Z128" t="str">
        <x:f>IF(AND(X128="YES",OR(M128="DEFENSIV",M128="PRUDENT",M128="MODERAT",M128="RIDICAT")),"YES","NO")</x:f>
        <x:v>NO</x:v>
      </x:c>
      <x:c r="AA128" t="str">
        <x:f>IF(NOT(ISNUMBER(H128)),"MISSING",IF(AND(ISNUMBER(H128),H128&gt;1),"VALID","INVALID"))</x:f>
        <x:v>MISSING</x:v>
      </x:c>
      <x:c r="AB128" s="144"/>
      <x:c r="AC128" t="str">
        <x:f>IF(AND(NOT(ISNUMBER(A128)),E128="",NOT(ISNUMBER(G128)),M128="",O128=""),"INPUT",IF(X128="YES","VALID","INCOMPLETE / INVALID"))</x:f>
        <x:v>INPUT</x:v>
      </x:c>
      <x:c r="AD128" t="str">
        <x:f>IF(X128="YES",P128,"")</x:f>
      </x:c>
      <x:c r="AE128" t="str">
        <x:f>IF(X128="YES",W128,"")</x:f>
      </x:c>
      <x:c r="AF128" t="str">
        <x:f>IF(X128="YES",G128,"")</x:f>
      </x:c>
      <x:c r="AG128" t="str">
        <x:f>IF(AND(Z128="YES",AA128="VALID"),Q128,"")</x:f>
      </x:c>
      <x:c r="AH128" t="str">
        <x:f>IF(AND(Z128="YES",AA128="VALID"),"YES","NO")</x:f>
        <x:v>NO</x:v>
      </x:c>
    </x:row>
    <x:row r="129" ht="15">
      <x:c r="A129" s="161"/>
      <x:c r="B129" s="2"/>
      <x:c r="C129" s="2"/>
      <x:c r="D129" s="2"/>
      <x:c r="E129" s="2"/>
      <x:c r="F129" s="8"/>
      <x:c r="G129" s="8"/>
      <x:c r="H129" s="9"/>
      <x:c r="I129" s="8"/>
      <x:c r="J129" s="8" t="str">
        <x:f t="shared" si="15">IF(OR(NOT(ISNUMBER(G129)),NOT(ISNUMBER(I129))),"",G129-I129)</x:f>
      </x:c>
      <x:c r="K129" s="8" t="str">
        <x:f t="shared" si="16">IF(OR(NOT(ISNUMBER(G129)),NOT(ISNUMBER(H129)),H129&lt;=1),"",G129*H129-1)</x:f>
      </x:c>
      <x:c r="L129" s="2"/>
      <x:c r="M129" s="2"/>
      <x:c r="N129" s="2"/>
      <x:c r="O129" s="2"/>
      <x:c r="P129" s="2" t="str">
        <x:f>IF(OR(E129="",O129=""),"",IF(NOT(OR(O129="1",O129=1,O129="X",O129="2",O129=2)),"",IF(E129="1X",IF(OR(O129="1",O129=1,O129="X"),1,0),IF(E129="X2",IF(OR(O129="X",O129="2",O129=2),1,0),IF(OR(E129="12",E129=12),IF(OR(O129="1",O129=1,O129="2",O129=2),1,0),"")))))</x:f>
      </x:c>
      <x:c r="Q129" s="9" t="str">
        <x:f t="shared" si="17">IF(OR(NOT(ISNUMBER(P129)),NOT(ISNUMBER(H129)),H129&lt;=1),"",IF(P129=1,H129-1,-1))</x:f>
      </x:c>
      <x:c r="R129" s="2"/>
      <x:c r="S129" s="2"/>
      <x:c r="T129" s="2"/>
      <x:c r="U129" s="2"/>
      <x:c r="V129" s="2"/>
      <x:c r="W129" s="14" t="str">
        <x:f t="shared" si="18">IF(OR(NOT(ISNUMBER(G129)),G129&lt;0,G129&gt;1,NOT(ISNUMBER(P129))),"",(G129-P129)^2)</x:f>
      </x:c>
      <x:c r="X129" s="2" t="str">
        <x:f t="shared" si="19">IF(AND(ISNUMBER(A129),ISNUMBER(Y129),Y129&lt;A129,AB129&lt;&gt;"",ISNUMBER(P129),ISNUMBER(G129),G129&gt;=0,G129&lt;=1,OR(M129="DEFENSIV",M129="PRUDENT",M129="MODERAT",M129="RIDICAT",M129="WATCH",M129="NO BET")),"YES","NO")</x:f>
        <x:v>NO</x:v>
      </x:c>
      <x:c r="Y129" s="146"/>
      <x:c r="Z129" t="str">
        <x:f>IF(AND(X129="YES",OR(M129="DEFENSIV",M129="PRUDENT",M129="MODERAT",M129="RIDICAT")),"YES","NO")</x:f>
        <x:v>NO</x:v>
      </x:c>
      <x:c r="AA129" t="str">
        <x:f>IF(NOT(ISNUMBER(H129)),"MISSING",IF(AND(ISNUMBER(H129),H129&gt;1),"VALID","INVALID"))</x:f>
        <x:v>MISSING</x:v>
      </x:c>
      <x:c r="AB129" s="144"/>
      <x:c r="AC129" t="str">
        <x:f>IF(AND(NOT(ISNUMBER(A129)),E129="",NOT(ISNUMBER(G129)),M129="",O129=""),"INPUT",IF(X129="YES","VALID","INCOMPLETE / INVALID"))</x:f>
        <x:v>INPUT</x:v>
      </x:c>
      <x:c r="AD129" t="str">
        <x:f>IF(X129="YES",P129,"")</x:f>
      </x:c>
      <x:c r="AE129" t="str">
        <x:f>IF(X129="YES",W129,"")</x:f>
      </x:c>
      <x:c r="AF129" t="str">
        <x:f>IF(X129="YES",G129,"")</x:f>
      </x:c>
      <x:c r="AG129" t="str">
        <x:f>IF(AND(Z129="YES",AA129="VALID"),Q129,"")</x:f>
      </x:c>
      <x:c r="AH129" t="str">
        <x:f>IF(AND(Z129="YES",AA129="VALID"),"YES","NO")</x:f>
        <x:v>NO</x:v>
      </x:c>
    </x:row>
    <x:row r="130" ht="15">
      <x:c r="A130" s="161"/>
      <x:c r="B130" s="2"/>
      <x:c r="C130" s="2"/>
      <x:c r="D130" s="2"/>
      <x:c r="E130" s="2"/>
      <x:c r="F130" s="8"/>
      <x:c r="G130" s="8"/>
      <x:c r="H130" s="9"/>
      <x:c r="I130" s="8"/>
      <x:c r="J130" s="8" t="str">
        <x:f t="shared" si="15">IF(OR(NOT(ISNUMBER(G130)),NOT(ISNUMBER(I130))),"",G130-I130)</x:f>
      </x:c>
      <x:c r="K130" s="8" t="str">
        <x:f t="shared" si="16">IF(OR(NOT(ISNUMBER(G130)),NOT(ISNUMBER(H130)),H130&lt;=1),"",G130*H130-1)</x:f>
      </x:c>
      <x:c r="L130" s="2"/>
      <x:c r="M130" s="2"/>
      <x:c r="N130" s="2"/>
      <x:c r="O130" s="2"/>
      <x:c r="P130" s="2" t="str">
        <x:f>IF(OR(E130="",O130=""),"",IF(NOT(OR(O130="1",O130=1,O130="X",O130="2",O130=2)),"",IF(E130="1X",IF(OR(O130="1",O130=1,O130="X"),1,0),IF(E130="X2",IF(OR(O130="X",O130="2",O130=2),1,0),IF(OR(E130="12",E130=12),IF(OR(O130="1",O130=1,O130="2",O130=2),1,0),"")))))</x:f>
      </x:c>
      <x:c r="Q130" s="9" t="str">
        <x:f t="shared" si="17">IF(OR(NOT(ISNUMBER(P130)),NOT(ISNUMBER(H130)),H130&lt;=1),"",IF(P130=1,H130-1,-1))</x:f>
      </x:c>
      <x:c r="R130" s="2"/>
      <x:c r="S130" s="2"/>
      <x:c r="T130" s="2"/>
      <x:c r="U130" s="2"/>
      <x:c r="V130" s="2"/>
      <x:c r="W130" s="14" t="str">
        <x:f t="shared" si="18">IF(OR(NOT(ISNUMBER(G130)),G130&lt;0,G130&gt;1,NOT(ISNUMBER(P130))),"",(G130-P130)^2)</x:f>
      </x:c>
      <x:c r="X130" s="2" t="str">
        <x:f t="shared" si="19">IF(AND(ISNUMBER(A130),ISNUMBER(Y130),Y130&lt;A130,AB130&lt;&gt;"",ISNUMBER(P130),ISNUMBER(G130),G130&gt;=0,G130&lt;=1,OR(M130="DEFENSIV",M130="PRUDENT",M130="MODERAT",M130="RIDICAT",M130="WATCH",M130="NO BET")),"YES","NO")</x:f>
        <x:v>NO</x:v>
      </x:c>
      <x:c r="Y130" s="146"/>
      <x:c r="Z130" t="str">
        <x:f>IF(AND(X130="YES",OR(M130="DEFENSIV",M130="PRUDENT",M130="MODERAT",M130="RIDICAT")),"YES","NO")</x:f>
        <x:v>NO</x:v>
      </x:c>
      <x:c r="AA130" t="str">
        <x:f>IF(NOT(ISNUMBER(H130)),"MISSING",IF(AND(ISNUMBER(H130),H130&gt;1),"VALID","INVALID"))</x:f>
        <x:v>MISSING</x:v>
      </x:c>
      <x:c r="AB130" s="144"/>
      <x:c r="AC130" t="str">
        <x:f>IF(AND(NOT(ISNUMBER(A130)),E130="",NOT(ISNUMBER(G130)),M130="",O130=""),"INPUT",IF(X130="YES","VALID","INCOMPLETE / INVALID"))</x:f>
        <x:v>INPUT</x:v>
      </x:c>
      <x:c r="AD130" t="str">
        <x:f>IF(X130="YES",P130,"")</x:f>
      </x:c>
      <x:c r="AE130" t="str">
        <x:f>IF(X130="YES",W130,"")</x:f>
      </x:c>
      <x:c r="AF130" t="str">
        <x:f>IF(X130="YES",G130,"")</x:f>
      </x:c>
      <x:c r="AG130" t="str">
        <x:f>IF(AND(Z130="YES",AA130="VALID"),Q130,"")</x:f>
      </x:c>
      <x:c r="AH130" t="str">
        <x:f>IF(AND(Z130="YES",AA130="VALID"),"YES","NO")</x:f>
        <x:v>NO</x:v>
      </x:c>
    </x:row>
    <x:row r="131" ht="15">
      <x:c r="A131" s="161"/>
      <x:c r="B131" s="2"/>
      <x:c r="C131" s="2"/>
      <x:c r="D131" s="2"/>
      <x:c r="E131" s="2"/>
      <x:c r="F131" s="8"/>
      <x:c r="G131" s="8"/>
      <x:c r="H131" s="9"/>
      <x:c r="I131" s="8"/>
      <x:c r="J131" s="8" t="str">
        <x:f t="shared" si="15">IF(OR(NOT(ISNUMBER(G131)),NOT(ISNUMBER(I131))),"",G131-I131)</x:f>
      </x:c>
      <x:c r="K131" s="8" t="str">
        <x:f t="shared" si="16">IF(OR(NOT(ISNUMBER(G131)),NOT(ISNUMBER(H131)),H131&lt;=1),"",G131*H131-1)</x:f>
      </x:c>
      <x:c r="L131" s="2"/>
      <x:c r="M131" s="2"/>
      <x:c r="N131" s="2"/>
      <x:c r="O131" s="2"/>
      <x:c r="P131" s="2" t="str">
        <x:f>IF(OR(E131="",O131=""),"",IF(NOT(OR(O131="1",O131=1,O131="X",O131="2",O131=2)),"",IF(E131="1X",IF(OR(O131="1",O131=1,O131="X"),1,0),IF(E131="X2",IF(OR(O131="X",O131="2",O131=2),1,0),IF(OR(E131="12",E131=12),IF(OR(O131="1",O131=1,O131="2",O131=2),1,0),"")))))</x:f>
      </x:c>
      <x:c r="Q131" s="9" t="str">
        <x:f t="shared" si="17">IF(OR(NOT(ISNUMBER(P131)),NOT(ISNUMBER(H131)),H131&lt;=1),"",IF(P131=1,H131-1,-1))</x:f>
      </x:c>
      <x:c r="R131" s="2"/>
      <x:c r="S131" s="2"/>
      <x:c r="T131" s="2"/>
      <x:c r="U131" s="2"/>
      <x:c r="V131" s="2"/>
      <x:c r="W131" s="14" t="str">
        <x:f t="shared" si="18">IF(OR(NOT(ISNUMBER(G131)),G131&lt;0,G131&gt;1,NOT(ISNUMBER(P131))),"",(G131-P131)^2)</x:f>
      </x:c>
      <x:c r="X131" s="2" t="str">
        <x:f t="shared" si="19">IF(AND(ISNUMBER(A131),ISNUMBER(Y131),Y131&lt;A131,AB131&lt;&gt;"",ISNUMBER(P131),ISNUMBER(G131),G131&gt;=0,G131&lt;=1,OR(M131="DEFENSIV",M131="PRUDENT",M131="MODERAT",M131="RIDICAT",M131="WATCH",M131="NO BET")),"YES","NO")</x:f>
        <x:v>NO</x:v>
      </x:c>
      <x:c r="Y131" s="146"/>
      <x:c r="Z131" t="str">
        <x:f>IF(AND(X131="YES",OR(M131="DEFENSIV",M131="PRUDENT",M131="MODERAT",M131="RIDICAT")),"YES","NO")</x:f>
        <x:v>NO</x:v>
      </x:c>
      <x:c r="AA131" t="str">
        <x:f>IF(NOT(ISNUMBER(H131)),"MISSING",IF(AND(ISNUMBER(H131),H131&gt;1),"VALID","INVALID"))</x:f>
        <x:v>MISSING</x:v>
      </x:c>
      <x:c r="AB131" s="144"/>
      <x:c r="AC131" t="str">
        <x:f>IF(AND(NOT(ISNUMBER(A131)),E131="",NOT(ISNUMBER(G131)),M131="",O131=""),"INPUT",IF(X131="YES","VALID","INCOMPLETE / INVALID"))</x:f>
        <x:v>INPUT</x:v>
      </x:c>
      <x:c r="AD131" t="str">
        <x:f>IF(X131="YES",P131,"")</x:f>
      </x:c>
      <x:c r="AE131" t="str">
        <x:f>IF(X131="YES",W131,"")</x:f>
      </x:c>
      <x:c r="AF131" t="str">
        <x:f>IF(X131="YES",G131,"")</x:f>
      </x:c>
      <x:c r="AG131" t="str">
        <x:f>IF(AND(Z131="YES",AA131="VALID"),Q131,"")</x:f>
      </x:c>
      <x:c r="AH131" t="str">
        <x:f>IF(AND(Z131="YES",AA131="VALID"),"YES","NO")</x:f>
        <x:v>NO</x:v>
      </x:c>
    </x:row>
    <x:row r="132" ht="15">
      <x:c r="A132" s="161"/>
      <x:c r="B132" s="2"/>
      <x:c r="C132" s="2"/>
      <x:c r="D132" s="2"/>
      <x:c r="E132" s="2"/>
      <x:c r="F132" s="8"/>
      <x:c r="G132" s="8"/>
      <x:c r="H132" s="9"/>
      <x:c r="I132" s="8"/>
      <x:c r="J132" s="8" t="str">
        <x:f t="shared" ref="J132:J163" si="20">IF(OR(NOT(ISNUMBER(G132)),NOT(ISNUMBER(I132))),"",G132-I132)</x:f>
      </x:c>
      <x:c r="K132" s="8" t="str">
        <x:f t="shared" ref="K132:K163" si="21">IF(OR(NOT(ISNUMBER(G132)),NOT(ISNUMBER(H132)),H132&lt;=1),"",G132*H132-1)</x:f>
      </x:c>
      <x:c r="L132" s="2"/>
      <x:c r="M132" s="2"/>
      <x:c r="N132" s="2"/>
      <x:c r="O132" s="2"/>
      <x:c r="P132" s="2" t="str">
        <x:f>IF(OR(E132="",O132=""),"",IF(NOT(OR(O132="1",O132=1,O132="X",O132="2",O132=2)),"",IF(E132="1X",IF(OR(O132="1",O132=1,O132="X"),1,0),IF(E132="X2",IF(OR(O132="X",O132="2",O132=2),1,0),IF(OR(E132="12",E132=12),IF(OR(O132="1",O132=1,O132="2",O132=2),1,0),"")))))</x:f>
      </x:c>
      <x:c r="Q132" s="9" t="str">
        <x:f t="shared" ref="Q132:Q163" si="22">IF(OR(NOT(ISNUMBER(P132)),NOT(ISNUMBER(H132)),H132&lt;=1),"",IF(P132=1,H132-1,-1))</x:f>
      </x:c>
      <x:c r="R132" s="2"/>
      <x:c r="S132" s="2"/>
      <x:c r="T132" s="2"/>
      <x:c r="U132" s="2"/>
      <x:c r="V132" s="2"/>
      <x:c r="W132" s="14" t="str">
        <x:f t="shared" ref="W132:W163" si="23">IF(OR(NOT(ISNUMBER(G132)),G132&lt;0,G132&gt;1,NOT(ISNUMBER(P132))),"",(G132-P132)^2)</x:f>
      </x:c>
      <x:c r="X132" s="2" t="str">
        <x:f t="shared" ref="X132:X163" si="24">IF(AND(ISNUMBER(A132),ISNUMBER(Y132),Y132&lt;A132,AB132&lt;&gt;"",ISNUMBER(P132),ISNUMBER(G132),G132&gt;=0,G132&lt;=1,OR(M132="DEFENSIV",M132="PRUDENT",M132="MODERAT",M132="RIDICAT",M132="WATCH",M132="NO BET")),"YES","NO")</x:f>
        <x:v>NO</x:v>
      </x:c>
      <x:c r="Y132" s="146"/>
      <x:c r="Z132" t="str">
        <x:f>IF(AND(X132="YES",OR(M132="DEFENSIV",M132="PRUDENT",M132="MODERAT",M132="RIDICAT")),"YES","NO")</x:f>
        <x:v>NO</x:v>
      </x:c>
      <x:c r="AA132" t="str">
        <x:f>IF(NOT(ISNUMBER(H132)),"MISSING",IF(AND(ISNUMBER(H132),H132&gt;1),"VALID","INVALID"))</x:f>
        <x:v>MISSING</x:v>
      </x:c>
      <x:c r="AB132" s="144"/>
      <x:c r="AC132" t="str">
        <x:f>IF(AND(NOT(ISNUMBER(A132)),E132="",NOT(ISNUMBER(G132)),M132="",O132=""),"INPUT",IF(X132="YES","VALID","INCOMPLETE / INVALID"))</x:f>
        <x:v>INPUT</x:v>
      </x:c>
      <x:c r="AD132" t="str">
        <x:f>IF(X132="YES",P132,"")</x:f>
      </x:c>
      <x:c r="AE132" t="str">
        <x:f>IF(X132="YES",W132,"")</x:f>
      </x:c>
      <x:c r="AF132" t="str">
        <x:f>IF(X132="YES",G132,"")</x:f>
      </x:c>
      <x:c r="AG132" t="str">
        <x:f>IF(AND(Z132="YES",AA132="VALID"),Q132,"")</x:f>
      </x:c>
      <x:c r="AH132" t="str">
        <x:f>IF(AND(Z132="YES",AA132="VALID"),"YES","NO")</x:f>
        <x:v>NO</x:v>
      </x:c>
    </x:row>
    <x:row r="133" ht="15">
      <x:c r="A133" s="161"/>
      <x:c r="B133" s="2"/>
      <x:c r="C133" s="2"/>
      <x:c r="D133" s="2"/>
      <x:c r="E133" s="2"/>
      <x:c r="F133" s="8"/>
      <x:c r="G133" s="8"/>
      <x:c r="H133" s="9"/>
      <x:c r="I133" s="8"/>
      <x:c r="J133" s="8" t="str">
        <x:f t="shared" si="20">IF(OR(NOT(ISNUMBER(G133)),NOT(ISNUMBER(I133))),"",G133-I133)</x:f>
      </x:c>
      <x:c r="K133" s="8" t="str">
        <x:f t="shared" si="21">IF(OR(NOT(ISNUMBER(G133)),NOT(ISNUMBER(H133)),H133&lt;=1),"",G133*H133-1)</x:f>
      </x:c>
      <x:c r="L133" s="2"/>
      <x:c r="M133" s="2"/>
      <x:c r="N133" s="2"/>
      <x:c r="O133" s="2"/>
      <x:c r="P133" s="2" t="str">
        <x:f>IF(OR(E133="",O133=""),"",IF(NOT(OR(O133="1",O133=1,O133="X",O133="2",O133=2)),"",IF(E133="1X",IF(OR(O133="1",O133=1,O133="X"),1,0),IF(E133="X2",IF(OR(O133="X",O133="2",O133=2),1,0),IF(OR(E133="12",E133=12),IF(OR(O133="1",O133=1,O133="2",O133=2),1,0),"")))))</x:f>
      </x:c>
      <x:c r="Q133" s="9" t="str">
        <x:f t="shared" si="22">IF(OR(NOT(ISNUMBER(P133)),NOT(ISNUMBER(H133)),H133&lt;=1),"",IF(P133=1,H133-1,-1))</x:f>
      </x:c>
      <x:c r="R133" s="2"/>
      <x:c r="S133" s="2"/>
      <x:c r="T133" s="2"/>
      <x:c r="U133" s="2"/>
      <x:c r="V133" s="2"/>
      <x:c r="W133" s="14" t="str">
        <x:f t="shared" si="23">IF(OR(NOT(ISNUMBER(G133)),G133&lt;0,G133&gt;1,NOT(ISNUMBER(P133))),"",(G133-P133)^2)</x:f>
      </x:c>
      <x:c r="X133" s="2" t="str">
        <x:f t="shared" si="24">IF(AND(ISNUMBER(A133),ISNUMBER(Y133),Y133&lt;A133,AB133&lt;&gt;"",ISNUMBER(P133),ISNUMBER(G133),G133&gt;=0,G133&lt;=1,OR(M133="DEFENSIV",M133="PRUDENT",M133="MODERAT",M133="RIDICAT",M133="WATCH",M133="NO BET")),"YES","NO")</x:f>
        <x:v>NO</x:v>
      </x:c>
      <x:c r="Y133" s="146"/>
      <x:c r="Z133" t="str">
        <x:f>IF(AND(X133="YES",OR(M133="DEFENSIV",M133="PRUDENT",M133="MODERAT",M133="RIDICAT")),"YES","NO")</x:f>
        <x:v>NO</x:v>
      </x:c>
      <x:c r="AA133" t="str">
        <x:f>IF(NOT(ISNUMBER(H133)),"MISSING",IF(AND(ISNUMBER(H133),H133&gt;1),"VALID","INVALID"))</x:f>
        <x:v>MISSING</x:v>
      </x:c>
      <x:c r="AB133" s="144"/>
      <x:c r="AC133" t="str">
        <x:f>IF(AND(NOT(ISNUMBER(A133)),E133="",NOT(ISNUMBER(G133)),M133="",O133=""),"INPUT",IF(X133="YES","VALID","INCOMPLETE / INVALID"))</x:f>
        <x:v>INPUT</x:v>
      </x:c>
      <x:c r="AD133" t="str">
        <x:f>IF(X133="YES",P133,"")</x:f>
      </x:c>
      <x:c r="AE133" t="str">
        <x:f>IF(X133="YES",W133,"")</x:f>
      </x:c>
      <x:c r="AF133" t="str">
        <x:f>IF(X133="YES",G133,"")</x:f>
      </x:c>
      <x:c r="AG133" t="str">
        <x:f>IF(AND(Z133="YES",AA133="VALID"),Q133,"")</x:f>
      </x:c>
      <x:c r="AH133" t="str">
        <x:f>IF(AND(Z133="YES",AA133="VALID"),"YES","NO")</x:f>
        <x:v>NO</x:v>
      </x:c>
    </x:row>
    <x:row r="134" ht="15">
      <x:c r="A134" s="161"/>
      <x:c r="B134" s="2"/>
      <x:c r="C134" s="2"/>
      <x:c r="D134" s="2"/>
      <x:c r="E134" s="2"/>
      <x:c r="F134" s="8"/>
      <x:c r="G134" s="8"/>
      <x:c r="H134" s="9"/>
      <x:c r="I134" s="8"/>
      <x:c r="J134" s="8" t="str">
        <x:f t="shared" si="20">IF(OR(NOT(ISNUMBER(G134)),NOT(ISNUMBER(I134))),"",G134-I134)</x:f>
      </x:c>
      <x:c r="K134" s="8" t="str">
        <x:f t="shared" si="21">IF(OR(NOT(ISNUMBER(G134)),NOT(ISNUMBER(H134)),H134&lt;=1),"",G134*H134-1)</x:f>
      </x:c>
      <x:c r="L134" s="2"/>
      <x:c r="M134" s="2"/>
      <x:c r="N134" s="2"/>
      <x:c r="O134" s="2"/>
      <x:c r="P134" s="2" t="str">
        <x:f>IF(OR(E134="",O134=""),"",IF(NOT(OR(O134="1",O134=1,O134="X",O134="2",O134=2)),"",IF(E134="1X",IF(OR(O134="1",O134=1,O134="X"),1,0),IF(E134="X2",IF(OR(O134="X",O134="2",O134=2),1,0),IF(OR(E134="12",E134=12),IF(OR(O134="1",O134=1,O134="2",O134=2),1,0),"")))))</x:f>
      </x:c>
      <x:c r="Q134" s="9" t="str">
        <x:f t="shared" si="22">IF(OR(NOT(ISNUMBER(P134)),NOT(ISNUMBER(H134)),H134&lt;=1),"",IF(P134=1,H134-1,-1))</x:f>
      </x:c>
      <x:c r="R134" s="2"/>
      <x:c r="S134" s="2"/>
      <x:c r="T134" s="2"/>
      <x:c r="U134" s="2"/>
      <x:c r="V134" s="2"/>
      <x:c r="W134" s="14" t="str">
        <x:f t="shared" si="23">IF(OR(NOT(ISNUMBER(G134)),G134&lt;0,G134&gt;1,NOT(ISNUMBER(P134))),"",(G134-P134)^2)</x:f>
      </x:c>
      <x:c r="X134" s="2" t="str">
        <x:f t="shared" si="24">IF(AND(ISNUMBER(A134),ISNUMBER(Y134),Y134&lt;A134,AB134&lt;&gt;"",ISNUMBER(P134),ISNUMBER(G134),G134&gt;=0,G134&lt;=1,OR(M134="DEFENSIV",M134="PRUDENT",M134="MODERAT",M134="RIDICAT",M134="WATCH",M134="NO BET")),"YES","NO")</x:f>
        <x:v>NO</x:v>
      </x:c>
      <x:c r="Y134" s="146"/>
      <x:c r="Z134" t="str">
        <x:f>IF(AND(X134="YES",OR(M134="DEFENSIV",M134="PRUDENT",M134="MODERAT",M134="RIDICAT")),"YES","NO")</x:f>
        <x:v>NO</x:v>
      </x:c>
      <x:c r="AA134" t="str">
        <x:f>IF(NOT(ISNUMBER(H134)),"MISSING",IF(AND(ISNUMBER(H134),H134&gt;1),"VALID","INVALID"))</x:f>
        <x:v>MISSING</x:v>
      </x:c>
      <x:c r="AB134" s="144"/>
      <x:c r="AC134" t="str">
        <x:f>IF(AND(NOT(ISNUMBER(A134)),E134="",NOT(ISNUMBER(G134)),M134="",O134=""),"INPUT",IF(X134="YES","VALID","INCOMPLETE / INVALID"))</x:f>
        <x:v>INPUT</x:v>
      </x:c>
      <x:c r="AD134" t="str">
        <x:f>IF(X134="YES",P134,"")</x:f>
      </x:c>
      <x:c r="AE134" t="str">
        <x:f>IF(X134="YES",W134,"")</x:f>
      </x:c>
      <x:c r="AF134" t="str">
        <x:f>IF(X134="YES",G134,"")</x:f>
      </x:c>
      <x:c r="AG134" t="str">
        <x:f>IF(AND(Z134="YES",AA134="VALID"),Q134,"")</x:f>
      </x:c>
      <x:c r="AH134" t="str">
        <x:f>IF(AND(Z134="YES",AA134="VALID"),"YES","NO")</x:f>
        <x:v>NO</x:v>
      </x:c>
    </x:row>
    <x:row r="135" ht="15">
      <x:c r="A135" s="161"/>
      <x:c r="B135" s="2"/>
      <x:c r="C135" s="2"/>
      <x:c r="D135" s="2"/>
      <x:c r="E135" s="2"/>
      <x:c r="F135" s="8"/>
      <x:c r="G135" s="8"/>
      <x:c r="H135" s="9"/>
      <x:c r="I135" s="8"/>
      <x:c r="J135" s="8" t="str">
        <x:f t="shared" si="20">IF(OR(NOT(ISNUMBER(G135)),NOT(ISNUMBER(I135))),"",G135-I135)</x:f>
      </x:c>
      <x:c r="K135" s="8" t="str">
        <x:f t="shared" si="21">IF(OR(NOT(ISNUMBER(G135)),NOT(ISNUMBER(H135)),H135&lt;=1),"",G135*H135-1)</x:f>
      </x:c>
      <x:c r="L135" s="2"/>
      <x:c r="M135" s="2"/>
      <x:c r="N135" s="2"/>
      <x:c r="O135" s="2"/>
      <x:c r="P135" s="2" t="str">
        <x:f>IF(OR(E135="",O135=""),"",IF(NOT(OR(O135="1",O135=1,O135="X",O135="2",O135=2)),"",IF(E135="1X",IF(OR(O135="1",O135=1,O135="X"),1,0),IF(E135="X2",IF(OR(O135="X",O135="2",O135=2),1,0),IF(OR(E135="12",E135=12),IF(OR(O135="1",O135=1,O135="2",O135=2),1,0),"")))))</x:f>
      </x:c>
      <x:c r="Q135" s="9" t="str">
        <x:f t="shared" si="22">IF(OR(NOT(ISNUMBER(P135)),NOT(ISNUMBER(H135)),H135&lt;=1),"",IF(P135=1,H135-1,-1))</x:f>
      </x:c>
      <x:c r="R135" s="2"/>
      <x:c r="S135" s="2"/>
      <x:c r="T135" s="2"/>
      <x:c r="U135" s="2"/>
      <x:c r="V135" s="2"/>
      <x:c r="W135" s="14" t="str">
        <x:f t="shared" si="23">IF(OR(NOT(ISNUMBER(G135)),G135&lt;0,G135&gt;1,NOT(ISNUMBER(P135))),"",(G135-P135)^2)</x:f>
      </x:c>
      <x:c r="X135" s="2" t="str">
        <x:f t="shared" si="24">IF(AND(ISNUMBER(A135),ISNUMBER(Y135),Y135&lt;A135,AB135&lt;&gt;"",ISNUMBER(P135),ISNUMBER(G135),G135&gt;=0,G135&lt;=1,OR(M135="DEFENSIV",M135="PRUDENT",M135="MODERAT",M135="RIDICAT",M135="WATCH",M135="NO BET")),"YES","NO")</x:f>
        <x:v>NO</x:v>
      </x:c>
      <x:c r="Y135" s="146"/>
      <x:c r="Z135" t="str">
        <x:f>IF(AND(X135="YES",OR(M135="DEFENSIV",M135="PRUDENT",M135="MODERAT",M135="RIDICAT")),"YES","NO")</x:f>
        <x:v>NO</x:v>
      </x:c>
      <x:c r="AA135" t="str">
        <x:f>IF(NOT(ISNUMBER(H135)),"MISSING",IF(AND(ISNUMBER(H135),H135&gt;1),"VALID","INVALID"))</x:f>
        <x:v>MISSING</x:v>
      </x:c>
      <x:c r="AB135" s="144"/>
      <x:c r="AC135" t="str">
        <x:f>IF(AND(NOT(ISNUMBER(A135)),E135="",NOT(ISNUMBER(G135)),M135="",O135=""),"INPUT",IF(X135="YES","VALID","INCOMPLETE / INVALID"))</x:f>
        <x:v>INPUT</x:v>
      </x:c>
      <x:c r="AD135" t="str">
        <x:f>IF(X135="YES",P135,"")</x:f>
      </x:c>
      <x:c r="AE135" t="str">
        <x:f>IF(X135="YES",W135,"")</x:f>
      </x:c>
      <x:c r="AF135" t="str">
        <x:f>IF(X135="YES",G135,"")</x:f>
      </x:c>
      <x:c r="AG135" t="str">
        <x:f>IF(AND(Z135="YES",AA135="VALID"),Q135,"")</x:f>
      </x:c>
      <x:c r="AH135" t="str">
        <x:f>IF(AND(Z135="YES",AA135="VALID"),"YES","NO")</x:f>
        <x:v>NO</x:v>
      </x:c>
    </x:row>
    <x:row r="136" ht="15">
      <x:c r="A136" s="161"/>
      <x:c r="B136" s="2"/>
      <x:c r="C136" s="2"/>
      <x:c r="D136" s="2"/>
      <x:c r="E136" s="2"/>
      <x:c r="F136" s="8"/>
      <x:c r="G136" s="8"/>
      <x:c r="H136" s="9"/>
      <x:c r="I136" s="8"/>
      <x:c r="J136" s="8" t="str">
        <x:f t="shared" si="20">IF(OR(NOT(ISNUMBER(G136)),NOT(ISNUMBER(I136))),"",G136-I136)</x:f>
      </x:c>
      <x:c r="K136" s="8" t="str">
        <x:f t="shared" si="21">IF(OR(NOT(ISNUMBER(G136)),NOT(ISNUMBER(H136)),H136&lt;=1),"",G136*H136-1)</x:f>
      </x:c>
      <x:c r="L136" s="2"/>
      <x:c r="M136" s="2"/>
      <x:c r="N136" s="2"/>
      <x:c r="O136" s="2"/>
      <x:c r="P136" s="2" t="str">
        <x:f>IF(OR(E136="",O136=""),"",IF(NOT(OR(O136="1",O136=1,O136="X",O136="2",O136=2)),"",IF(E136="1X",IF(OR(O136="1",O136=1,O136="X"),1,0),IF(E136="X2",IF(OR(O136="X",O136="2",O136=2),1,0),IF(OR(E136="12",E136=12),IF(OR(O136="1",O136=1,O136="2",O136=2),1,0),"")))))</x:f>
      </x:c>
      <x:c r="Q136" s="9" t="str">
        <x:f t="shared" si="22">IF(OR(NOT(ISNUMBER(P136)),NOT(ISNUMBER(H136)),H136&lt;=1),"",IF(P136=1,H136-1,-1))</x:f>
      </x:c>
      <x:c r="R136" s="2"/>
      <x:c r="S136" s="2"/>
      <x:c r="T136" s="2"/>
      <x:c r="U136" s="2"/>
      <x:c r="V136" s="2"/>
      <x:c r="W136" s="14" t="str">
        <x:f t="shared" si="23">IF(OR(NOT(ISNUMBER(G136)),G136&lt;0,G136&gt;1,NOT(ISNUMBER(P136))),"",(G136-P136)^2)</x:f>
      </x:c>
      <x:c r="X136" s="2" t="str">
        <x:f t="shared" si="24">IF(AND(ISNUMBER(A136),ISNUMBER(Y136),Y136&lt;A136,AB136&lt;&gt;"",ISNUMBER(P136),ISNUMBER(G136),G136&gt;=0,G136&lt;=1,OR(M136="DEFENSIV",M136="PRUDENT",M136="MODERAT",M136="RIDICAT",M136="WATCH",M136="NO BET")),"YES","NO")</x:f>
        <x:v>NO</x:v>
      </x:c>
      <x:c r="Y136" s="146"/>
      <x:c r="Z136" t="str">
        <x:f>IF(AND(X136="YES",OR(M136="DEFENSIV",M136="PRUDENT",M136="MODERAT",M136="RIDICAT")),"YES","NO")</x:f>
        <x:v>NO</x:v>
      </x:c>
      <x:c r="AA136" t="str">
        <x:f>IF(NOT(ISNUMBER(H136)),"MISSING",IF(AND(ISNUMBER(H136),H136&gt;1),"VALID","INVALID"))</x:f>
        <x:v>MISSING</x:v>
      </x:c>
      <x:c r="AB136" s="144"/>
      <x:c r="AC136" t="str">
        <x:f>IF(AND(NOT(ISNUMBER(A136)),E136="",NOT(ISNUMBER(G136)),M136="",O136=""),"INPUT",IF(X136="YES","VALID","INCOMPLETE / INVALID"))</x:f>
        <x:v>INPUT</x:v>
      </x:c>
      <x:c r="AD136" t="str">
        <x:f>IF(X136="YES",P136,"")</x:f>
      </x:c>
      <x:c r="AE136" t="str">
        <x:f>IF(X136="YES",W136,"")</x:f>
      </x:c>
      <x:c r="AF136" t="str">
        <x:f>IF(X136="YES",G136,"")</x:f>
      </x:c>
      <x:c r="AG136" t="str">
        <x:f>IF(AND(Z136="YES",AA136="VALID"),Q136,"")</x:f>
      </x:c>
      <x:c r="AH136" t="str">
        <x:f>IF(AND(Z136="YES",AA136="VALID"),"YES","NO")</x:f>
        <x:v>NO</x:v>
      </x:c>
    </x:row>
    <x:row r="137" ht="15">
      <x:c r="A137" s="161"/>
      <x:c r="B137" s="2"/>
      <x:c r="C137" s="2"/>
      <x:c r="D137" s="2"/>
      <x:c r="E137" s="2"/>
      <x:c r="F137" s="8"/>
      <x:c r="G137" s="8"/>
      <x:c r="H137" s="9"/>
      <x:c r="I137" s="8"/>
      <x:c r="J137" s="8" t="str">
        <x:f t="shared" si="20">IF(OR(NOT(ISNUMBER(G137)),NOT(ISNUMBER(I137))),"",G137-I137)</x:f>
      </x:c>
      <x:c r="K137" s="8" t="str">
        <x:f t="shared" si="21">IF(OR(NOT(ISNUMBER(G137)),NOT(ISNUMBER(H137)),H137&lt;=1),"",G137*H137-1)</x:f>
      </x:c>
      <x:c r="L137" s="2"/>
      <x:c r="M137" s="2"/>
      <x:c r="N137" s="2"/>
      <x:c r="O137" s="2"/>
      <x:c r="P137" s="2" t="str">
        <x:f>IF(OR(E137="",O137=""),"",IF(NOT(OR(O137="1",O137=1,O137="X",O137="2",O137=2)),"",IF(E137="1X",IF(OR(O137="1",O137=1,O137="X"),1,0),IF(E137="X2",IF(OR(O137="X",O137="2",O137=2),1,0),IF(OR(E137="12",E137=12),IF(OR(O137="1",O137=1,O137="2",O137=2),1,0),"")))))</x:f>
      </x:c>
      <x:c r="Q137" s="9" t="str">
        <x:f t="shared" si="22">IF(OR(NOT(ISNUMBER(P137)),NOT(ISNUMBER(H137)),H137&lt;=1),"",IF(P137=1,H137-1,-1))</x:f>
      </x:c>
      <x:c r="R137" s="2"/>
      <x:c r="S137" s="2"/>
      <x:c r="T137" s="2"/>
      <x:c r="U137" s="2"/>
      <x:c r="V137" s="2"/>
      <x:c r="W137" s="14" t="str">
        <x:f t="shared" si="23">IF(OR(NOT(ISNUMBER(G137)),G137&lt;0,G137&gt;1,NOT(ISNUMBER(P137))),"",(G137-P137)^2)</x:f>
      </x:c>
      <x:c r="X137" s="2" t="str">
        <x:f t="shared" si="24">IF(AND(ISNUMBER(A137),ISNUMBER(Y137),Y137&lt;A137,AB137&lt;&gt;"",ISNUMBER(P137),ISNUMBER(G137),G137&gt;=0,G137&lt;=1,OR(M137="DEFENSIV",M137="PRUDENT",M137="MODERAT",M137="RIDICAT",M137="WATCH",M137="NO BET")),"YES","NO")</x:f>
        <x:v>NO</x:v>
      </x:c>
      <x:c r="Y137" s="146"/>
      <x:c r="Z137" t="str">
        <x:f>IF(AND(X137="YES",OR(M137="DEFENSIV",M137="PRUDENT",M137="MODERAT",M137="RIDICAT")),"YES","NO")</x:f>
        <x:v>NO</x:v>
      </x:c>
      <x:c r="AA137" t="str">
        <x:f>IF(NOT(ISNUMBER(H137)),"MISSING",IF(AND(ISNUMBER(H137),H137&gt;1),"VALID","INVALID"))</x:f>
        <x:v>MISSING</x:v>
      </x:c>
      <x:c r="AB137" s="144"/>
      <x:c r="AC137" t="str">
        <x:f>IF(AND(NOT(ISNUMBER(A137)),E137="",NOT(ISNUMBER(G137)),M137="",O137=""),"INPUT",IF(X137="YES","VALID","INCOMPLETE / INVALID"))</x:f>
        <x:v>INPUT</x:v>
      </x:c>
      <x:c r="AD137" t="str">
        <x:f>IF(X137="YES",P137,"")</x:f>
      </x:c>
      <x:c r="AE137" t="str">
        <x:f>IF(X137="YES",W137,"")</x:f>
      </x:c>
      <x:c r="AF137" t="str">
        <x:f>IF(X137="YES",G137,"")</x:f>
      </x:c>
      <x:c r="AG137" t="str">
        <x:f>IF(AND(Z137="YES",AA137="VALID"),Q137,"")</x:f>
      </x:c>
      <x:c r="AH137" t="str">
        <x:f>IF(AND(Z137="YES",AA137="VALID"),"YES","NO")</x:f>
        <x:v>NO</x:v>
      </x:c>
    </x:row>
    <x:row r="138" ht="15">
      <x:c r="A138" s="161"/>
      <x:c r="B138" s="2"/>
      <x:c r="C138" s="2"/>
      <x:c r="D138" s="2"/>
      <x:c r="E138" s="2"/>
      <x:c r="F138" s="8"/>
      <x:c r="G138" s="8"/>
      <x:c r="H138" s="9"/>
      <x:c r="I138" s="8"/>
      <x:c r="J138" s="8" t="str">
        <x:f t="shared" si="20">IF(OR(NOT(ISNUMBER(G138)),NOT(ISNUMBER(I138))),"",G138-I138)</x:f>
      </x:c>
      <x:c r="K138" s="8" t="str">
        <x:f t="shared" si="21">IF(OR(NOT(ISNUMBER(G138)),NOT(ISNUMBER(H138)),H138&lt;=1),"",G138*H138-1)</x:f>
      </x:c>
      <x:c r="L138" s="2"/>
      <x:c r="M138" s="2"/>
      <x:c r="N138" s="2"/>
      <x:c r="O138" s="2"/>
      <x:c r="P138" s="2" t="str">
        <x:f>IF(OR(E138="",O138=""),"",IF(NOT(OR(O138="1",O138=1,O138="X",O138="2",O138=2)),"",IF(E138="1X",IF(OR(O138="1",O138=1,O138="X"),1,0),IF(E138="X2",IF(OR(O138="X",O138="2",O138=2),1,0),IF(OR(E138="12",E138=12),IF(OR(O138="1",O138=1,O138="2",O138=2),1,0),"")))))</x:f>
      </x:c>
      <x:c r="Q138" s="9" t="str">
        <x:f t="shared" si="22">IF(OR(NOT(ISNUMBER(P138)),NOT(ISNUMBER(H138)),H138&lt;=1),"",IF(P138=1,H138-1,-1))</x:f>
      </x:c>
      <x:c r="R138" s="2"/>
      <x:c r="S138" s="2"/>
      <x:c r="T138" s="2"/>
      <x:c r="U138" s="2"/>
      <x:c r="V138" s="2"/>
      <x:c r="W138" s="14" t="str">
        <x:f t="shared" si="23">IF(OR(NOT(ISNUMBER(G138)),G138&lt;0,G138&gt;1,NOT(ISNUMBER(P138))),"",(G138-P138)^2)</x:f>
      </x:c>
      <x:c r="X138" s="2" t="str">
        <x:f t="shared" si="24">IF(AND(ISNUMBER(A138),ISNUMBER(Y138),Y138&lt;A138,AB138&lt;&gt;"",ISNUMBER(P138),ISNUMBER(G138),G138&gt;=0,G138&lt;=1,OR(M138="DEFENSIV",M138="PRUDENT",M138="MODERAT",M138="RIDICAT",M138="WATCH",M138="NO BET")),"YES","NO")</x:f>
        <x:v>NO</x:v>
      </x:c>
      <x:c r="Y138" s="146"/>
      <x:c r="Z138" t="str">
        <x:f>IF(AND(X138="YES",OR(M138="DEFENSIV",M138="PRUDENT",M138="MODERAT",M138="RIDICAT")),"YES","NO")</x:f>
        <x:v>NO</x:v>
      </x:c>
      <x:c r="AA138" t="str">
        <x:f>IF(NOT(ISNUMBER(H138)),"MISSING",IF(AND(ISNUMBER(H138),H138&gt;1),"VALID","INVALID"))</x:f>
        <x:v>MISSING</x:v>
      </x:c>
      <x:c r="AB138" s="144"/>
      <x:c r="AC138" t="str">
        <x:f>IF(AND(NOT(ISNUMBER(A138)),E138="",NOT(ISNUMBER(G138)),M138="",O138=""),"INPUT",IF(X138="YES","VALID","INCOMPLETE / INVALID"))</x:f>
        <x:v>INPUT</x:v>
      </x:c>
      <x:c r="AD138" t="str">
        <x:f>IF(X138="YES",P138,"")</x:f>
      </x:c>
      <x:c r="AE138" t="str">
        <x:f>IF(X138="YES",W138,"")</x:f>
      </x:c>
      <x:c r="AF138" t="str">
        <x:f>IF(X138="YES",G138,"")</x:f>
      </x:c>
      <x:c r="AG138" t="str">
        <x:f>IF(AND(Z138="YES",AA138="VALID"),Q138,"")</x:f>
      </x:c>
      <x:c r="AH138" t="str">
        <x:f>IF(AND(Z138="YES",AA138="VALID"),"YES","NO")</x:f>
        <x:v>NO</x:v>
      </x:c>
    </x:row>
    <x:row r="139" ht="15">
      <x:c r="A139" s="161"/>
      <x:c r="B139" s="2"/>
      <x:c r="C139" s="2"/>
      <x:c r="D139" s="2"/>
      <x:c r="E139" s="2"/>
      <x:c r="F139" s="8"/>
      <x:c r="G139" s="8"/>
      <x:c r="H139" s="9"/>
      <x:c r="I139" s="8"/>
      <x:c r="J139" s="8" t="str">
        <x:f t="shared" si="20">IF(OR(NOT(ISNUMBER(G139)),NOT(ISNUMBER(I139))),"",G139-I139)</x:f>
      </x:c>
      <x:c r="K139" s="8" t="str">
        <x:f t="shared" si="21">IF(OR(NOT(ISNUMBER(G139)),NOT(ISNUMBER(H139)),H139&lt;=1),"",G139*H139-1)</x:f>
      </x:c>
      <x:c r="L139" s="2"/>
      <x:c r="M139" s="2"/>
      <x:c r="N139" s="2"/>
      <x:c r="O139" s="2"/>
      <x:c r="P139" s="2" t="str">
        <x:f>IF(OR(E139="",O139=""),"",IF(NOT(OR(O139="1",O139=1,O139="X",O139="2",O139=2)),"",IF(E139="1X",IF(OR(O139="1",O139=1,O139="X"),1,0),IF(E139="X2",IF(OR(O139="X",O139="2",O139=2),1,0),IF(OR(E139="12",E139=12),IF(OR(O139="1",O139=1,O139="2",O139=2),1,0),"")))))</x:f>
      </x:c>
      <x:c r="Q139" s="9" t="str">
        <x:f t="shared" si="22">IF(OR(NOT(ISNUMBER(P139)),NOT(ISNUMBER(H139)),H139&lt;=1),"",IF(P139=1,H139-1,-1))</x:f>
      </x:c>
      <x:c r="R139" s="2"/>
      <x:c r="S139" s="2"/>
      <x:c r="T139" s="2"/>
      <x:c r="U139" s="2"/>
      <x:c r="V139" s="2"/>
      <x:c r="W139" s="14" t="str">
        <x:f t="shared" si="23">IF(OR(NOT(ISNUMBER(G139)),G139&lt;0,G139&gt;1,NOT(ISNUMBER(P139))),"",(G139-P139)^2)</x:f>
      </x:c>
      <x:c r="X139" s="2" t="str">
        <x:f t="shared" si="24">IF(AND(ISNUMBER(A139),ISNUMBER(Y139),Y139&lt;A139,AB139&lt;&gt;"",ISNUMBER(P139),ISNUMBER(G139),G139&gt;=0,G139&lt;=1,OR(M139="DEFENSIV",M139="PRUDENT",M139="MODERAT",M139="RIDICAT",M139="WATCH",M139="NO BET")),"YES","NO")</x:f>
        <x:v>NO</x:v>
      </x:c>
      <x:c r="Y139" s="146"/>
      <x:c r="Z139" t="str">
        <x:f>IF(AND(X139="YES",OR(M139="DEFENSIV",M139="PRUDENT",M139="MODERAT",M139="RIDICAT")),"YES","NO")</x:f>
        <x:v>NO</x:v>
      </x:c>
      <x:c r="AA139" t="str">
        <x:f>IF(NOT(ISNUMBER(H139)),"MISSING",IF(AND(ISNUMBER(H139),H139&gt;1),"VALID","INVALID"))</x:f>
        <x:v>MISSING</x:v>
      </x:c>
      <x:c r="AB139" s="144"/>
      <x:c r="AC139" t="str">
        <x:f>IF(AND(NOT(ISNUMBER(A139)),E139="",NOT(ISNUMBER(G139)),M139="",O139=""),"INPUT",IF(X139="YES","VALID","INCOMPLETE / INVALID"))</x:f>
        <x:v>INPUT</x:v>
      </x:c>
      <x:c r="AD139" t="str">
        <x:f>IF(X139="YES",P139,"")</x:f>
      </x:c>
      <x:c r="AE139" t="str">
        <x:f>IF(X139="YES",W139,"")</x:f>
      </x:c>
      <x:c r="AF139" t="str">
        <x:f>IF(X139="YES",G139,"")</x:f>
      </x:c>
      <x:c r="AG139" t="str">
        <x:f>IF(AND(Z139="YES",AA139="VALID"),Q139,"")</x:f>
      </x:c>
      <x:c r="AH139" t="str">
        <x:f>IF(AND(Z139="YES",AA139="VALID"),"YES","NO")</x:f>
        <x:v>NO</x:v>
      </x:c>
    </x:row>
    <x:row r="140" ht="15">
      <x:c r="A140" s="161"/>
      <x:c r="B140" s="2"/>
      <x:c r="C140" s="2"/>
      <x:c r="D140" s="2"/>
      <x:c r="E140" s="2"/>
      <x:c r="F140" s="8"/>
      <x:c r="G140" s="8"/>
      <x:c r="H140" s="9"/>
      <x:c r="I140" s="8"/>
      <x:c r="J140" s="8" t="str">
        <x:f t="shared" si="20">IF(OR(NOT(ISNUMBER(G140)),NOT(ISNUMBER(I140))),"",G140-I140)</x:f>
      </x:c>
      <x:c r="K140" s="8" t="str">
        <x:f t="shared" si="21">IF(OR(NOT(ISNUMBER(G140)),NOT(ISNUMBER(H140)),H140&lt;=1),"",G140*H140-1)</x:f>
      </x:c>
      <x:c r="L140" s="2"/>
      <x:c r="M140" s="2"/>
      <x:c r="N140" s="2"/>
      <x:c r="O140" s="2"/>
      <x:c r="P140" s="2" t="str">
        <x:f>IF(OR(E140="",O140=""),"",IF(NOT(OR(O140="1",O140=1,O140="X",O140="2",O140=2)),"",IF(E140="1X",IF(OR(O140="1",O140=1,O140="X"),1,0),IF(E140="X2",IF(OR(O140="X",O140="2",O140=2),1,0),IF(OR(E140="12",E140=12),IF(OR(O140="1",O140=1,O140="2",O140=2),1,0),"")))))</x:f>
      </x:c>
      <x:c r="Q140" s="9" t="str">
        <x:f t="shared" si="22">IF(OR(NOT(ISNUMBER(P140)),NOT(ISNUMBER(H140)),H140&lt;=1),"",IF(P140=1,H140-1,-1))</x:f>
      </x:c>
      <x:c r="R140" s="2"/>
      <x:c r="S140" s="2"/>
      <x:c r="T140" s="2"/>
      <x:c r="U140" s="2"/>
      <x:c r="V140" s="2"/>
      <x:c r="W140" s="14" t="str">
        <x:f t="shared" si="23">IF(OR(NOT(ISNUMBER(G140)),G140&lt;0,G140&gt;1,NOT(ISNUMBER(P140))),"",(G140-P140)^2)</x:f>
      </x:c>
      <x:c r="X140" s="2" t="str">
        <x:f t="shared" si="24">IF(AND(ISNUMBER(A140),ISNUMBER(Y140),Y140&lt;A140,AB140&lt;&gt;"",ISNUMBER(P140),ISNUMBER(G140),G140&gt;=0,G140&lt;=1,OR(M140="DEFENSIV",M140="PRUDENT",M140="MODERAT",M140="RIDICAT",M140="WATCH",M140="NO BET")),"YES","NO")</x:f>
        <x:v>NO</x:v>
      </x:c>
      <x:c r="Y140" s="146"/>
      <x:c r="Z140" t="str">
        <x:f>IF(AND(X140="YES",OR(M140="DEFENSIV",M140="PRUDENT",M140="MODERAT",M140="RIDICAT")),"YES","NO")</x:f>
        <x:v>NO</x:v>
      </x:c>
      <x:c r="AA140" t="str">
        <x:f>IF(NOT(ISNUMBER(H140)),"MISSING",IF(AND(ISNUMBER(H140),H140&gt;1),"VALID","INVALID"))</x:f>
        <x:v>MISSING</x:v>
      </x:c>
      <x:c r="AB140" s="144"/>
      <x:c r="AC140" t="str">
        <x:f>IF(AND(NOT(ISNUMBER(A140)),E140="",NOT(ISNUMBER(G140)),M140="",O140=""),"INPUT",IF(X140="YES","VALID","INCOMPLETE / INVALID"))</x:f>
        <x:v>INPUT</x:v>
      </x:c>
      <x:c r="AD140" t="str">
        <x:f>IF(X140="YES",P140,"")</x:f>
      </x:c>
      <x:c r="AE140" t="str">
        <x:f>IF(X140="YES",W140,"")</x:f>
      </x:c>
      <x:c r="AF140" t="str">
        <x:f>IF(X140="YES",G140,"")</x:f>
      </x:c>
      <x:c r="AG140" t="str">
        <x:f>IF(AND(Z140="YES",AA140="VALID"),Q140,"")</x:f>
      </x:c>
      <x:c r="AH140" t="str">
        <x:f>IF(AND(Z140="YES",AA140="VALID"),"YES","NO")</x:f>
        <x:v>NO</x:v>
      </x:c>
    </x:row>
    <x:row r="141" ht="15">
      <x:c r="A141" s="161"/>
      <x:c r="B141" s="2"/>
      <x:c r="C141" s="2"/>
      <x:c r="D141" s="2"/>
      <x:c r="E141" s="2"/>
      <x:c r="F141" s="8"/>
      <x:c r="G141" s="8"/>
      <x:c r="H141" s="9"/>
      <x:c r="I141" s="8"/>
      <x:c r="J141" s="8" t="str">
        <x:f t="shared" si="20">IF(OR(NOT(ISNUMBER(G141)),NOT(ISNUMBER(I141))),"",G141-I141)</x:f>
      </x:c>
      <x:c r="K141" s="8" t="str">
        <x:f t="shared" si="21">IF(OR(NOT(ISNUMBER(G141)),NOT(ISNUMBER(H141)),H141&lt;=1),"",G141*H141-1)</x:f>
      </x:c>
      <x:c r="L141" s="2"/>
      <x:c r="M141" s="2"/>
      <x:c r="N141" s="2"/>
      <x:c r="O141" s="2"/>
      <x:c r="P141" s="2" t="str">
        <x:f>IF(OR(E141="",O141=""),"",IF(NOT(OR(O141="1",O141=1,O141="X",O141="2",O141=2)),"",IF(E141="1X",IF(OR(O141="1",O141=1,O141="X"),1,0),IF(E141="X2",IF(OR(O141="X",O141="2",O141=2),1,0),IF(OR(E141="12",E141=12),IF(OR(O141="1",O141=1,O141="2",O141=2),1,0),"")))))</x:f>
      </x:c>
      <x:c r="Q141" s="9" t="str">
        <x:f t="shared" si="22">IF(OR(NOT(ISNUMBER(P141)),NOT(ISNUMBER(H141)),H141&lt;=1),"",IF(P141=1,H141-1,-1))</x:f>
      </x:c>
      <x:c r="R141" s="2"/>
      <x:c r="S141" s="2"/>
      <x:c r="T141" s="2"/>
      <x:c r="U141" s="2"/>
      <x:c r="V141" s="2"/>
      <x:c r="W141" s="14" t="str">
        <x:f t="shared" si="23">IF(OR(NOT(ISNUMBER(G141)),G141&lt;0,G141&gt;1,NOT(ISNUMBER(P141))),"",(G141-P141)^2)</x:f>
      </x:c>
      <x:c r="X141" s="2" t="str">
        <x:f t="shared" si="24">IF(AND(ISNUMBER(A141),ISNUMBER(Y141),Y141&lt;A141,AB141&lt;&gt;"",ISNUMBER(P141),ISNUMBER(G141),G141&gt;=0,G141&lt;=1,OR(M141="DEFENSIV",M141="PRUDENT",M141="MODERAT",M141="RIDICAT",M141="WATCH",M141="NO BET")),"YES","NO")</x:f>
        <x:v>NO</x:v>
      </x:c>
      <x:c r="Y141" s="146"/>
      <x:c r="Z141" t="str">
        <x:f>IF(AND(X141="YES",OR(M141="DEFENSIV",M141="PRUDENT",M141="MODERAT",M141="RIDICAT")),"YES","NO")</x:f>
        <x:v>NO</x:v>
      </x:c>
      <x:c r="AA141" t="str">
        <x:f>IF(NOT(ISNUMBER(H141)),"MISSING",IF(AND(ISNUMBER(H141),H141&gt;1),"VALID","INVALID"))</x:f>
        <x:v>MISSING</x:v>
      </x:c>
      <x:c r="AB141" s="144"/>
      <x:c r="AC141" t="str">
        <x:f>IF(AND(NOT(ISNUMBER(A141)),E141="",NOT(ISNUMBER(G141)),M141="",O141=""),"INPUT",IF(X141="YES","VALID","INCOMPLETE / INVALID"))</x:f>
        <x:v>INPUT</x:v>
      </x:c>
      <x:c r="AD141" t="str">
        <x:f>IF(X141="YES",P141,"")</x:f>
      </x:c>
      <x:c r="AE141" t="str">
        <x:f>IF(X141="YES",W141,"")</x:f>
      </x:c>
      <x:c r="AF141" t="str">
        <x:f>IF(X141="YES",G141,"")</x:f>
      </x:c>
      <x:c r="AG141" t="str">
        <x:f>IF(AND(Z141="YES",AA141="VALID"),Q141,"")</x:f>
      </x:c>
      <x:c r="AH141" t="str">
        <x:f>IF(AND(Z141="YES",AA141="VALID"),"YES","NO")</x:f>
        <x:v>NO</x:v>
      </x:c>
    </x:row>
    <x:row r="142" ht="15">
      <x:c r="A142" s="161"/>
      <x:c r="B142" s="2"/>
      <x:c r="C142" s="2"/>
      <x:c r="D142" s="2"/>
      <x:c r="E142" s="2"/>
      <x:c r="F142" s="8"/>
      <x:c r="G142" s="8"/>
      <x:c r="H142" s="9"/>
      <x:c r="I142" s="8"/>
      <x:c r="J142" s="8" t="str">
        <x:f t="shared" si="20">IF(OR(NOT(ISNUMBER(G142)),NOT(ISNUMBER(I142))),"",G142-I142)</x:f>
      </x:c>
      <x:c r="K142" s="8" t="str">
        <x:f t="shared" si="21">IF(OR(NOT(ISNUMBER(G142)),NOT(ISNUMBER(H142)),H142&lt;=1),"",G142*H142-1)</x:f>
      </x:c>
      <x:c r="L142" s="2"/>
      <x:c r="M142" s="2"/>
      <x:c r="N142" s="2"/>
      <x:c r="O142" s="2"/>
      <x:c r="P142" s="2" t="str">
        <x:f>IF(OR(E142="",O142=""),"",IF(NOT(OR(O142="1",O142=1,O142="X",O142="2",O142=2)),"",IF(E142="1X",IF(OR(O142="1",O142=1,O142="X"),1,0),IF(E142="X2",IF(OR(O142="X",O142="2",O142=2),1,0),IF(OR(E142="12",E142=12),IF(OR(O142="1",O142=1,O142="2",O142=2),1,0),"")))))</x:f>
      </x:c>
      <x:c r="Q142" s="9" t="str">
        <x:f t="shared" si="22">IF(OR(NOT(ISNUMBER(P142)),NOT(ISNUMBER(H142)),H142&lt;=1),"",IF(P142=1,H142-1,-1))</x:f>
      </x:c>
      <x:c r="R142" s="2"/>
      <x:c r="S142" s="2"/>
      <x:c r="T142" s="2"/>
      <x:c r="U142" s="2"/>
      <x:c r="V142" s="2"/>
      <x:c r="W142" s="14" t="str">
        <x:f t="shared" si="23">IF(OR(NOT(ISNUMBER(G142)),G142&lt;0,G142&gt;1,NOT(ISNUMBER(P142))),"",(G142-P142)^2)</x:f>
      </x:c>
      <x:c r="X142" s="2" t="str">
        <x:f t="shared" si="24">IF(AND(ISNUMBER(A142),ISNUMBER(Y142),Y142&lt;A142,AB142&lt;&gt;"",ISNUMBER(P142),ISNUMBER(G142),G142&gt;=0,G142&lt;=1,OR(M142="DEFENSIV",M142="PRUDENT",M142="MODERAT",M142="RIDICAT",M142="WATCH",M142="NO BET")),"YES","NO")</x:f>
        <x:v>NO</x:v>
      </x:c>
      <x:c r="Y142" s="146"/>
      <x:c r="Z142" t="str">
        <x:f>IF(AND(X142="YES",OR(M142="DEFENSIV",M142="PRUDENT",M142="MODERAT",M142="RIDICAT")),"YES","NO")</x:f>
        <x:v>NO</x:v>
      </x:c>
      <x:c r="AA142" t="str">
        <x:f>IF(NOT(ISNUMBER(H142)),"MISSING",IF(AND(ISNUMBER(H142),H142&gt;1),"VALID","INVALID"))</x:f>
        <x:v>MISSING</x:v>
      </x:c>
      <x:c r="AB142" s="144"/>
      <x:c r="AC142" t="str">
        <x:f>IF(AND(NOT(ISNUMBER(A142)),E142="",NOT(ISNUMBER(G142)),M142="",O142=""),"INPUT",IF(X142="YES","VALID","INCOMPLETE / INVALID"))</x:f>
        <x:v>INPUT</x:v>
      </x:c>
      <x:c r="AD142" t="str">
        <x:f>IF(X142="YES",P142,"")</x:f>
      </x:c>
      <x:c r="AE142" t="str">
        <x:f>IF(X142="YES",W142,"")</x:f>
      </x:c>
      <x:c r="AF142" t="str">
        <x:f>IF(X142="YES",G142,"")</x:f>
      </x:c>
      <x:c r="AG142" t="str">
        <x:f>IF(AND(Z142="YES",AA142="VALID"),Q142,"")</x:f>
      </x:c>
      <x:c r="AH142" t="str">
        <x:f>IF(AND(Z142="YES",AA142="VALID"),"YES","NO")</x:f>
        <x:v>NO</x:v>
      </x:c>
    </x:row>
    <x:row r="143" ht="15">
      <x:c r="A143" s="161"/>
      <x:c r="B143" s="2"/>
      <x:c r="C143" s="2"/>
      <x:c r="D143" s="2"/>
      <x:c r="E143" s="2"/>
      <x:c r="F143" s="8"/>
      <x:c r="G143" s="8"/>
      <x:c r="H143" s="9"/>
      <x:c r="I143" s="8"/>
      <x:c r="J143" s="8" t="str">
        <x:f t="shared" si="20">IF(OR(NOT(ISNUMBER(G143)),NOT(ISNUMBER(I143))),"",G143-I143)</x:f>
      </x:c>
      <x:c r="K143" s="8" t="str">
        <x:f t="shared" si="21">IF(OR(NOT(ISNUMBER(G143)),NOT(ISNUMBER(H143)),H143&lt;=1),"",G143*H143-1)</x:f>
      </x:c>
      <x:c r="L143" s="2"/>
      <x:c r="M143" s="2"/>
      <x:c r="N143" s="2"/>
      <x:c r="O143" s="2"/>
      <x:c r="P143" s="2" t="str">
        <x:f>IF(OR(E143="",O143=""),"",IF(NOT(OR(O143="1",O143=1,O143="X",O143="2",O143=2)),"",IF(E143="1X",IF(OR(O143="1",O143=1,O143="X"),1,0),IF(E143="X2",IF(OR(O143="X",O143="2",O143=2),1,0),IF(OR(E143="12",E143=12),IF(OR(O143="1",O143=1,O143="2",O143=2),1,0),"")))))</x:f>
      </x:c>
      <x:c r="Q143" s="9" t="str">
        <x:f t="shared" si="22">IF(OR(NOT(ISNUMBER(P143)),NOT(ISNUMBER(H143)),H143&lt;=1),"",IF(P143=1,H143-1,-1))</x:f>
      </x:c>
      <x:c r="R143" s="2"/>
      <x:c r="S143" s="2"/>
      <x:c r="T143" s="2"/>
      <x:c r="U143" s="2"/>
      <x:c r="V143" s="2"/>
      <x:c r="W143" s="14" t="str">
        <x:f t="shared" si="23">IF(OR(NOT(ISNUMBER(G143)),G143&lt;0,G143&gt;1,NOT(ISNUMBER(P143))),"",(G143-P143)^2)</x:f>
      </x:c>
      <x:c r="X143" s="2" t="str">
        <x:f t="shared" si="24">IF(AND(ISNUMBER(A143),ISNUMBER(Y143),Y143&lt;A143,AB143&lt;&gt;"",ISNUMBER(P143),ISNUMBER(G143),G143&gt;=0,G143&lt;=1,OR(M143="DEFENSIV",M143="PRUDENT",M143="MODERAT",M143="RIDICAT",M143="WATCH",M143="NO BET")),"YES","NO")</x:f>
        <x:v>NO</x:v>
      </x:c>
      <x:c r="Y143" s="146"/>
      <x:c r="Z143" t="str">
        <x:f>IF(AND(X143="YES",OR(M143="DEFENSIV",M143="PRUDENT",M143="MODERAT",M143="RIDICAT")),"YES","NO")</x:f>
        <x:v>NO</x:v>
      </x:c>
      <x:c r="AA143" t="str">
        <x:f>IF(NOT(ISNUMBER(H143)),"MISSING",IF(AND(ISNUMBER(H143),H143&gt;1),"VALID","INVALID"))</x:f>
        <x:v>MISSING</x:v>
      </x:c>
      <x:c r="AB143" s="144"/>
      <x:c r="AC143" t="str">
        <x:f>IF(AND(NOT(ISNUMBER(A143)),E143="",NOT(ISNUMBER(G143)),M143="",O143=""),"INPUT",IF(X143="YES","VALID","INCOMPLETE / INVALID"))</x:f>
        <x:v>INPUT</x:v>
      </x:c>
      <x:c r="AD143" t="str">
        <x:f>IF(X143="YES",P143,"")</x:f>
      </x:c>
      <x:c r="AE143" t="str">
        <x:f>IF(X143="YES",W143,"")</x:f>
      </x:c>
      <x:c r="AF143" t="str">
        <x:f>IF(X143="YES",G143,"")</x:f>
      </x:c>
      <x:c r="AG143" t="str">
        <x:f>IF(AND(Z143="YES",AA143="VALID"),Q143,"")</x:f>
      </x:c>
      <x:c r="AH143" t="str">
        <x:f>IF(AND(Z143="YES",AA143="VALID"),"YES","NO")</x:f>
        <x:v>NO</x:v>
      </x:c>
    </x:row>
    <x:row r="144" ht="15">
      <x:c r="A144" s="161"/>
      <x:c r="B144" s="2"/>
      <x:c r="C144" s="2"/>
      <x:c r="D144" s="2"/>
      <x:c r="E144" s="2"/>
      <x:c r="F144" s="8"/>
      <x:c r="G144" s="8"/>
      <x:c r="H144" s="9"/>
      <x:c r="I144" s="8"/>
      <x:c r="J144" s="8" t="str">
        <x:f t="shared" si="20">IF(OR(NOT(ISNUMBER(G144)),NOT(ISNUMBER(I144))),"",G144-I144)</x:f>
      </x:c>
      <x:c r="K144" s="8" t="str">
        <x:f t="shared" si="21">IF(OR(NOT(ISNUMBER(G144)),NOT(ISNUMBER(H144)),H144&lt;=1),"",G144*H144-1)</x:f>
      </x:c>
      <x:c r="L144" s="2"/>
      <x:c r="M144" s="2"/>
      <x:c r="N144" s="2"/>
      <x:c r="O144" s="2"/>
      <x:c r="P144" s="2" t="str">
        <x:f>IF(OR(E144="",O144=""),"",IF(NOT(OR(O144="1",O144=1,O144="X",O144="2",O144=2)),"",IF(E144="1X",IF(OR(O144="1",O144=1,O144="X"),1,0),IF(E144="X2",IF(OR(O144="X",O144="2",O144=2),1,0),IF(OR(E144="12",E144=12),IF(OR(O144="1",O144=1,O144="2",O144=2),1,0),"")))))</x:f>
      </x:c>
      <x:c r="Q144" s="9" t="str">
        <x:f t="shared" si="22">IF(OR(NOT(ISNUMBER(P144)),NOT(ISNUMBER(H144)),H144&lt;=1),"",IF(P144=1,H144-1,-1))</x:f>
      </x:c>
      <x:c r="R144" s="2"/>
      <x:c r="S144" s="2"/>
      <x:c r="T144" s="2"/>
      <x:c r="U144" s="2"/>
      <x:c r="V144" s="2"/>
      <x:c r="W144" s="14" t="str">
        <x:f t="shared" si="23">IF(OR(NOT(ISNUMBER(G144)),G144&lt;0,G144&gt;1,NOT(ISNUMBER(P144))),"",(G144-P144)^2)</x:f>
      </x:c>
      <x:c r="X144" s="2" t="str">
        <x:f t="shared" si="24">IF(AND(ISNUMBER(A144),ISNUMBER(Y144),Y144&lt;A144,AB144&lt;&gt;"",ISNUMBER(P144),ISNUMBER(G144),G144&gt;=0,G144&lt;=1,OR(M144="DEFENSIV",M144="PRUDENT",M144="MODERAT",M144="RIDICAT",M144="WATCH",M144="NO BET")),"YES","NO")</x:f>
        <x:v>NO</x:v>
      </x:c>
      <x:c r="Y144" s="146"/>
      <x:c r="Z144" t="str">
        <x:f>IF(AND(X144="YES",OR(M144="DEFENSIV",M144="PRUDENT",M144="MODERAT",M144="RIDICAT")),"YES","NO")</x:f>
        <x:v>NO</x:v>
      </x:c>
      <x:c r="AA144" t="str">
        <x:f>IF(NOT(ISNUMBER(H144)),"MISSING",IF(AND(ISNUMBER(H144),H144&gt;1),"VALID","INVALID"))</x:f>
        <x:v>MISSING</x:v>
      </x:c>
      <x:c r="AB144" s="144"/>
      <x:c r="AC144" t="str">
        <x:f>IF(AND(NOT(ISNUMBER(A144)),E144="",NOT(ISNUMBER(G144)),M144="",O144=""),"INPUT",IF(X144="YES","VALID","INCOMPLETE / INVALID"))</x:f>
        <x:v>INPUT</x:v>
      </x:c>
      <x:c r="AD144" t="str">
        <x:f>IF(X144="YES",P144,"")</x:f>
      </x:c>
      <x:c r="AE144" t="str">
        <x:f>IF(X144="YES",W144,"")</x:f>
      </x:c>
      <x:c r="AF144" t="str">
        <x:f>IF(X144="YES",G144,"")</x:f>
      </x:c>
      <x:c r="AG144" t="str">
        <x:f>IF(AND(Z144="YES",AA144="VALID"),Q144,"")</x:f>
      </x:c>
      <x:c r="AH144" t="str">
        <x:f>IF(AND(Z144="YES",AA144="VALID"),"YES","NO")</x:f>
        <x:v>NO</x:v>
      </x:c>
    </x:row>
    <x:row r="145" ht="15">
      <x:c r="A145" s="161"/>
      <x:c r="B145" s="2"/>
      <x:c r="C145" s="2"/>
      <x:c r="D145" s="2"/>
      <x:c r="E145" s="2"/>
      <x:c r="F145" s="8"/>
      <x:c r="G145" s="8"/>
      <x:c r="H145" s="9"/>
      <x:c r="I145" s="8"/>
      <x:c r="J145" s="8" t="str">
        <x:f t="shared" si="20">IF(OR(NOT(ISNUMBER(G145)),NOT(ISNUMBER(I145))),"",G145-I145)</x:f>
      </x:c>
      <x:c r="K145" s="8" t="str">
        <x:f t="shared" si="21">IF(OR(NOT(ISNUMBER(G145)),NOT(ISNUMBER(H145)),H145&lt;=1),"",G145*H145-1)</x:f>
      </x:c>
      <x:c r="L145" s="2"/>
      <x:c r="M145" s="2"/>
      <x:c r="N145" s="2"/>
      <x:c r="O145" s="2"/>
      <x:c r="P145" s="2" t="str">
        <x:f>IF(OR(E145="",O145=""),"",IF(NOT(OR(O145="1",O145=1,O145="X",O145="2",O145=2)),"",IF(E145="1X",IF(OR(O145="1",O145=1,O145="X"),1,0),IF(E145="X2",IF(OR(O145="X",O145="2",O145=2),1,0),IF(OR(E145="12",E145=12),IF(OR(O145="1",O145=1,O145="2",O145=2),1,0),"")))))</x:f>
      </x:c>
      <x:c r="Q145" s="9" t="str">
        <x:f t="shared" si="22">IF(OR(NOT(ISNUMBER(P145)),NOT(ISNUMBER(H145)),H145&lt;=1),"",IF(P145=1,H145-1,-1))</x:f>
      </x:c>
      <x:c r="R145" s="2"/>
      <x:c r="S145" s="2"/>
      <x:c r="T145" s="2"/>
      <x:c r="U145" s="2"/>
      <x:c r="V145" s="2"/>
      <x:c r="W145" s="14" t="str">
        <x:f t="shared" si="23">IF(OR(NOT(ISNUMBER(G145)),G145&lt;0,G145&gt;1,NOT(ISNUMBER(P145))),"",(G145-P145)^2)</x:f>
      </x:c>
      <x:c r="X145" s="2" t="str">
        <x:f t="shared" si="24">IF(AND(ISNUMBER(A145),ISNUMBER(Y145),Y145&lt;A145,AB145&lt;&gt;"",ISNUMBER(P145),ISNUMBER(G145),G145&gt;=0,G145&lt;=1,OR(M145="DEFENSIV",M145="PRUDENT",M145="MODERAT",M145="RIDICAT",M145="WATCH",M145="NO BET")),"YES","NO")</x:f>
        <x:v>NO</x:v>
      </x:c>
      <x:c r="Y145" s="146"/>
      <x:c r="Z145" t="str">
        <x:f>IF(AND(X145="YES",OR(M145="DEFENSIV",M145="PRUDENT",M145="MODERAT",M145="RIDICAT")),"YES","NO")</x:f>
        <x:v>NO</x:v>
      </x:c>
      <x:c r="AA145" t="str">
        <x:f>IF(NOT(ISNUMBER(H145)),"MISSING",IF(AND(ISNUMBER(H145),H145&gt;1),"VALID","INVALID"))</x:f>
        <x:v>MISSING</x:v>
      </x:c>
      <x:c r="AB145" s="144"/>
      <x:c r="AC145" t="str">
        <x:f>IF(AND(NOT(ISNUMBER(A145)),E145="",NOT(ISNUMBER(G145)),M145="",O145=""),"INPUT",IF(X145="YES","VALID","INCOMPLETE / INVALID"))</x:f>
        <x:v>INPUT</x:v>
      </x:c>
      <x:c r="AD145" t="str">
        <x:f>IF(X145="YES",P145,"")</x:f>
      </x:c>
      <x:c r="AE145" t="str">
        <x:f>IF(X145="YES",W145,"")</x:f>
      </x:c>
      <x:c r="AF145" t="str">
        <x:f>IF(X145="YES",G145,"")</x:f>
      </x:c>
      <x:c r="AG145" t="str">
        <x:f>IF(AND(Z145="YES",AA145="VALID"),Q145,"")</x:f>
      </x:c>
      <x:c r="AH145" t="str">
        <x:f>IF(AND(Z145="YES",AA145="VALID"),"YES","NO")</x:f>
        <x:v>NO</x:v>
      </x:c>
    </x:row>
    <x:row r="146" ht="15">
      <x:c r="A146" s="161"/>
      <x:c r="B146" s="2"/>
      <x:c r="C146" s="2"/>
      <x:c r="D146" s="2"/>
      <x:c r="E146" s="2"/>
      <x:c r="F146" s="8"/>
      <x:c r="G146" s="8"/>
      <x:c r="H146" s="9"/>
      <x:c r="I146" s="8"/>
      <x:c r="J146" s="8" t="str">
        <x:f t="shared" si="20">IF(OR(NOT(ISNUMBER(G146)),NOT(ISNUMBER(I146))),"",G146-I146)</x:f>
      </x:c>
      <x:c r="K146" s="8" t="str">
        <x:f t="shared" si="21">IF(OR(NOT(ISNUMBER(G146)),NOT(ISNUMBER(H146)),H146&lt;=1),"",G146*H146-1)</x:f>
      </x:c>
      <x:c r="L146" s="2"/>
      <x:c r="M146" s="2"/>
      <x:c r="N146" s="2"/>
      <x:c r="O146" s="2"/>
      <x:c r="P146" s="2" t="str">
        <x:f>IF(OR(E146="",O146=""),"",IF(NOT(OR(O146="1",O146=1,O146="X",O146="2",O146=2)),"",IF(E146="1X",IF(OR(O146="1",O146=1,O146="X"),1,0),IF(E146="X2",IF(OR(O146="X",O146="2",O146=2),1,0),IF(OR(E146="12",E146=12),IF(OR(O146="1",O146=1,O146="2",O146=2),1,0),"")))))</x:f>
      </x:c>
      <x:c r="Q146" s="9" t="str">
        <x:f t="shared" si="22">IF(OR(NOT(ISNUMBER(P146)),NOT(ISNUMBER(H146)),H146&lt;=1),"",IF(P146=1,H146-1,-1))</x:f>
      </x:c>
      <x:c r="R146" s="2"/>
      <x:c r="S146" s="2"/>
      <x:c r="T146" s="2"/>
      <x:c r="U146" s="2"/>
      <x:c r="V146" s="2"/>
      <x:c r="W146" s="14" t="str">
        <x:f t="shared" si="23">IF(OR(NOT(ISNUMBER(G146)),G146&lt;0,G146&gt;1,NOT(ISNUMBER(P146))),"",(G146-P146)^2)</x:f>
      </x:c>
      <x:c r="X146" s="2" t="str">
        <x:f t="shared" si="24">IF(AND(ISNUMBER(A146),ISNUMBER(Y146),Y146&lt;A146,AB146&lt;&gt;"",ISNUMBER(P146),ISNUMBER(G146),G146&gt;=0,G146&lt;=1,OR(M146="DEFENSIV",M146="PRUDENT",M146="MODERAT",M146="RIDICAT",M146="WATCH",M146="NO BET")),"YES","NO")</x:f>
        <x:v>NO</x:v>
      </x:c>
      <x:c r="Y146" s="146"/>
      <x:c r="Z146" t="str">
        <x:f>IF(AND(X146="YES",OR(M146="DEFENSIV",M146="PRUDENT",M146="MODERAT",M146="RIDICAT")),"YES","NO")</x:f>
        <x:v>NO</x:v>
      </x:c>
      <x:c r="AA146" t="str">
        <x:f>IF(NOT(ISNUMBER(H146)),"MISSING",IF(AND(ISNUMBER(H146),H146&gt;1),"VALID","INVALID"))</x:f>
        <x:v>MISSING</x:v>
      </x:c>
      <x:c r="AB146" s="144"/>
      <x:c r="AC146" t="str">
        <x:f>IF(AND(NOT(ISNUMBER(A146)),E146="",NOT(ISNUMBER(G146)),M146="",O146=""),"INPUT",IF(X146="YES","VALID","INCOMPLETE / INVALID"))</x:f>
        <x:v>INPUT</x:v>
      </x:c>
      <x:c r="AD146" t="str">
        <x:f>IF(X146="YES",P146,"")</x:f>
      </x:c>
      <x:c r="AE146" t="str">
        <x:f>IF(X146="YES",W146,"")</x:f>
      </x:c>
      <x:c r="AF146" t="str">
        <x:f>IF(X146="YES",G146,"")</x:f>
      </x:c>
      <x:c r="AG146" t="str">
        <x:f>IF(AND(Z146="YES",AA146="VALID"),Q146,"")</x:f>
      </x:c>
      <x:c r="AH146" t="str">
        <x:f>IF(AND(Z146="YES",AA146="VALID"),"YES","NO")</x:f>
        <x:v>NO</x:v>
      </x:c>
    </x:row>
    <x:row r="147" ht="15">
      <x:c r="A147" s="161"/>
      <x:c r="B147" s="2"/>
      <x:c r="C147" s="2"/>
      <x:c r="D147" s="2"/>
      <x:c r="E147" s="2"/>
      <x:c r="F147" s="8"/>
      <x:c r="G147" s="8"/>
      <x:c r="H147" s="9"/>
      <x:c r="I147" s="8"/>
      <x:c r="J147" s="8" t="str">
        <x:f t="shared" si="20">IF(OR(NOT(ISNUMBER(G147)),NOT(ISNUMBER(I147))),"",G147-I147)</x:f>
      </x:c>
      <x:c r="K147" s="8" t="str">
        <x:f t="shared" si="21">IF(OR(NOT(ISNUMBER(G147)),NOT(ISNUMBER(H147)),H147&lt;=1),"",G147*H147-1)</x:f>
      </x:c>
      <x:c r="L147" s="2"/>
      <x:c r="M147" s="2"/>
      <x:c r="N147" s="2"/>
      <x:c r="O147" s="2"/>
      <x:c r="P147" s="2" t="str">
        <x:f>IF(OR(E147="",O147=""),"",IF(NOT(OR(O147="1",O147=1,O147="X",O147="2",O147=2)),"",IF(E147="1X",IF(OR(O147="1",O147=1,O147="X"),1,0),IF(E147="X2",IF(OR(O147="X",O147="2",O147=2),1,0),IF(OR(E147="12",E147=12),IF(OR(O147="1",O147=1,O147="2",O147=2),1,0),"")))))</x:f>
      </x:c>
      <x:c r="Q147" s="9" t="str">
        <x:f t="shared" si="22">IF(OR(NOT(ISNUMBER(P147)),NOT(ISNUMBER(H147)),H147&lt;=1),"",IF(P147=1,H147-1,-1))</x:f>
      </x:c>
      <x:c r="R147" s="2"/>
      <x:c r="S147" s="2"/>
      <x:c r="T147" s="2"/>
      <x:c r="U147" s="2"/>
      <x:c r="V147" s="2"/>
      <x:c r="W147" s="14" t="str">
        <x:f t="shared" si="23">IF(OR(NOT(ISNUMBER(G147)),G147&lt;0,G147&gt;1,NOT(ISNUMBER(P147))),"",(G147-P147)^2)</x:f>
      </x:c>
      <x:c r="X147" s="2" t="str">
        <x:f t="shared" si="24">IF(AND(ISNUMBER(A147),ISNUMBER(Y147),Y147&lt;A147,AB147&lt;&gt;"",ISNUMBER(P147),ISNUMBER(G147),G147&gt;=0,G147&lt;=1,OR(M147="DEFENSIV",M147="PRUDENT",M147="MODERAT",M147="RIDICAT",M147="WATCH",M147="NO BET")),"YES","NO")</x:f>
        <x:v>NO</x:v>
      </x:c>
      <x:c r="Y147" s="146"/>
      <x:c r="Z147" t="str">
        <x:f>IF(AND(X147="YES",OR(M147="DEFENSIV",M147="PRUDENT",M147="MODERAT",M147="RIDICAT")),"YES","NO")</x:f>
        <x:v>NO</x:v>
      </x:c>
      <x:c r="AA147" t="str">
        <x:f>IF(NOT(ISNUMBER(H147)),"MISSING",IF(AND(ISNUMBER(H147),H147&gt;1),"VALID","INVALID"))</x:f>
        <x:v>MISSING</x:v>
      </x:c>
      <x:c r="AB147" s="144"/>
      <x:c r="AC147" t="str">
        <x:f>IF(AND(NOT(ISNUMBER(A147)),E147="",NOT(ISNUMBER(G147)),M147="",O147=""),"INPUT",IF(X147="YES","VALID","INCOMPLETE / INVALID"))</x:f>
        <x:v>INPUT</x:v>
      </x:c>
      <x:c r="AD147" t="str">
        <x:f>IF(X147="YES",P147,"")</x:f>
      </x:c>
      <x:c r="AE147" t="str">
        <x:f>IF(X147="YES",W147,"")</x:f>
      </x:c>
      <x:c r="AF147" t="str">
        <x:f>IF(X147="YES",G147,"")</x:f>
      </x:c>
      <x:c r="AG147" t="str">
        <x:f>IF(AND(Z147="YES",AA147="VALID"),Q147,"")</x:f>
      </x:c>
      <x:c r="AH147" t="str">
        <x:f>IF(AND(Z147="YES",AA147="VALID"),"YES","NO")</x:f>
        <x:v>NO</x:v>
      </x:c>
    </x:row>
    <x:row r="148" ht="15">
      <x:c r="A148" s="161"/>
      <x:c r="B148" s="2"/>
      <x:c r="C148" s="2"/>
      <x:c r="D148" s="2"/>
      <x:c r="E148" s="2"/>
      <x:c r="F148" s="8"/>
      <x:c r="G148" s="8"/>
      <x:c r="H148" s="9"/>
      <x:c r="I148" s="8"/>
      <x:c r="J148" s="8" t="str">
        <x:f t="shared" si="20">IF(OR(NOT(ISNUMBER(G148)),NOT(ISNUMBER(I148))),"",G148-I148)</x:f>
      </x:c>
      <x:c r="K148" s="8" t="str">
        <x:f t="shared" si="21">IF(OR(NOT(ISNUMBER(G148)),NOT(ISNUMBER(H148)),H148&lt;=1),"",G148*H148-1)</x:f>
      </x:c>
      <x:c r="L148" s="2"/>
      <x:c r="M148" s="2"/>
      <x:c r="N148" s="2"/>
      <x:c r="O148" s="2"/>
      <x:c r="P148" s="2" t="str">
        <x:f>IF(OR(E148="",O148=""),"",IF(NOT(OR(O148="1",O148=1,O148="X",O148="2",O148=2)),"",IF(E148="1X",IF(OR(O148="1",O148=1,O148="X"),1,0),IF(E148="X2",IF(OR(O148="X",O148="2",O148=2),1,0),IF(OR(E148="12",E148=12),IF(OR(O148="1",O148=1,O148="2",O148=2),1,0),"")))))</x:f>
      </x:c>
      <x:c r="Q148" s="9" t="str">
        <x:f t="shared" si="22">IF(OR(NOT(ISNUMBER(P148)),NOT(ISNUMBER(H148)),H148&lt;=1),"",IF(P148=1,H148-1,-1))</x:f>
      </x:c>
      <x:c r="R148" s="2"/>
      <x:c r="S148" s="2"/>
      <x:c r="T148" s="2"/>
      <x:c r="U148" s="2"/>
      <x:c r="V148" s="2"/>
      <x:c r="W148" s="14" t="str">
        <x:f t="shared" si="23">IF(OR(NOT(ISNUMBER(G148)),G148&lt;0,G148&gt;1,NOT(ISNUMBER(P148))),"",(G148-P148)^2)</x:f>
      </x:c>
      <x:c r="X148" s="2" t="str">
        <x:f t="shared" si="24">IF(AND(ISNUMBER(A148),ISNUMBER(Y148),Y148&lt;A148,AB148&lt;&gt;"",ISNUMBER(P148),ISNUMBER(G148),G148&gt;=0,G148&lt;=1,OR(M148="DEFENSIV",M148="PRUDENT",M148="MODERAT",M148="RIDICAT",M148="WATCH",M148="NO BET")),"YES","NO")</x:f>
        <x:v>NO</x:v>
      </x:c>
      <x:c r="Y148" s="146"/>
      <x:c r="Z148" t="str">
        <x:f>IF(AND(X148="YES",OR(M148="DEFENSIV",M148="PRUDENT",M148="MODERAT",M148="RIDICAT")),"YES","NO")</x:f>
        <x:v>NO</x:v>
      </x:c>
      <x:c r="AA148" t="str">
        <x:f>IF(NOT(ISNUMBER(H148)),"MISSING",IF(AND(ISNUMBER(H148),H148&gt;1),"VALID","INVALID"))</x:f>
        <x:v>MISSING</x:v>
      </x:c>
      <x:c r="AB148" s="144"/>
      <x:c r="AC148" t="str">
        <x:f>IF(AND(NOT(ISNUMBER(A148)),E148="",NOT(ISNUMBER(G148)),M148="",O148=""),"INPUT",IF(X148="YES","VALID","INCOMPLETE / INVALID"))</x:f>
        <x:v>INPUT</x:v>
      </x:c>
      <x:c r="AD148" t="str">
        <x:f>IF(X148="YES",P148,"")</x:f>
      </x:c>
      <x:c r="AE148" t="str">
        <x:f>IF(X148="YES",W148,"")</x:f>
      </x:c>
      <x:c r="AF148" t="str">
        <x:f>IF(X148="YES",G148,"")</x:f>
      </x:c>
      <x:c r="AG148" t="str">
        <x:f>IF(AND(Z148="YES",AA148="VALID"),Q148,"")</x:f>
      </x:c>
      <x:c r="AH148" t="str">
        <x:f>IF(AND(Z148="YES",AA148="VALID"),"YES","NO")</x:f>
        <x:v>NO</x:v>
      </x:c>
    </x:row>
    <x:row r="149" ht="15">
      <x:c r="A149" s="161"/>
      <x:c r="B149" s="2"/>
      <x:c r="C149" s="2"/>
      <x:c r="D149" s="2"/>
      <x:c r="E149" s="2"/>
      <x:c r="F149" s="8"/>
      <x:c r="G149" s="8"/>
      <x:c r="H149" s="9"/>
      <x:c r="I149" s="8"/>
      <x:c r="J149" s="8" t="str">
        <x:f t="shared" si="20">IF(OR(NOT(ISNUMBER(G149)),NOT(ISNUMBER(I149))),"",G149-I149)</x:f>
      </x:c>
      <x:c r="K149" s="8" t="str">
        <x:f t="shared" si="21">IF(OR(NOT(ISNUMBER(G149)),NOT(ISNUMBER(H149)),H149&lt;=1),"",G149*H149-1)</x:f>
      </x:c>
      <x:c r="L149" s="2"/>
      <x:c r="M149" s="2"/>
      <x:c r="N149" s="2"/>
      <x:c r="O149" s="2"/>
      <x:c r="P149" s="2" t="str">
        <x:f>IF(OR(E149="",O149=""),"",IF(NOT(OR(O149="1",O149=1,O149="X",O149="2",O149=2)),"",IF(E149="1X",IF(OR(O149="1",O149=1,O149="X"),1,0),IF(E149="X2",IF(OR(O149="X",O149="2",O149=2),1,0),IF(OR(E149="12",E149=12),IF(OR(O149="1",O149=1,O149="2",O149=2),1,0),"")))))</x:f>
      </x:c>
      <x:c r="Q149" s="9" t="str">
        <x:f t="shared" si="22">IF(OR(NOT(ISNUMBER(P149)),NOT(ISNUMBER(H149)),H149&lt;=1),"",IF(P149=1,H149-1,-1))</x:f>
      </x:c>
      <x:c r="R149" s="2"/>
      <x:c r="S149" s="2"/>
      <x:c r="T149" s="2"/>
      <x:c r="U149" s="2"/>
      <x:c r="V149" s="2"/>
      <x:c r="W149" s="14" t="str">
        <x:f t="shared" si="23">IF(OR(NOT(ISNUMBER(G149)),G149&lt;0,G149&gt;1,NOT(ISNUMBER(P149))),"",(G149-P149)^2)</x:f>
      </x:c>
      <x:c r="X149" s="2" t="str">
        <x:f t="shared" si="24">IF(AND(ISNUMBER(A149),ISNUMBER(Y149),Y149&lt;A149,AB149&lt;&gt;"",ISNUMBER(P149),ISNUMBER(G149),G149&gt;=0,G149&lt;=1,OR(M149="DEFENSIV",M149="PRUDENT",M149="MODERAT",M149="RIDICAT",M149="WATCH",M149="NO BET")),"YES","NO")</x:f>
        <x:v>NO</x:v>
      </x:c>
      <x:c r="Y149" s="146"/>
      <x:c r="Z149" t="str">
        <x:f>IF(AND(X149="YES",OR(M149="DEFENSIV",M149="PRUDENT",M149="MODERAT",M149="RIDICAT")),"YES","NO")</x:f>
        <x:v>NO</x:v>
      </x:c>
      <x:c r="AA149" t="str">
        <x:f>IF(NOT(ISNUMBER(H149)),"MISSING",IF(AND(ISNUMBER(H149),H149&gt;1),"VALID","INVALID"))</x:f>
        <x:v>MISSING</x:v>
      </x:c>
      <x:c r="AB149" s="144"/>
      <x:c r="AC149" t="str">
        <x:f>IF(AND(NOT(ISNUMBER(A149)),E149="",NOT(ISNUMBER(G149)),M149="",O149=""),"INPUT",IF(X149="YES","VALID","INCOMPLETE / INVALID"))</x:f>
        <x:v>INPUT</x:v>
      </x:c>
      <x:c r="AD149" t="str">
        <x:f>IF(X149="YES",P149,"")</x:f>
      </x:c>
      <x:c r="AE149" t="str">
        <x:f>IF(X149="YES",W149,"")</x:f>
      </x:c>
      <x:c r="AF149" t="str">
        <x:f>IF(X149="YES",G149,"")</x:f>
      </x:c>
      <x:c r="AG149" t="str">
        <x:f>IF(AND(Z149="YES",AA149="VALID"),Q149,"")</x:f>
      </x:c>
      <x:c r="AH149" t="str">
        <x:f>IF(AND(Z149="YES",AA149="VALID"),"YES","NO")</x:f>
        <x:v>NO</x:v>
      </x:c>
    </x:row>
    <x:row r="150" ht="15">
      <x:c r="A150" s="161"/>
      <x:c r="B150" s="2"/>
      <x:c r="C150" s="2"/>
      <x:c r="D150" s="2"/>
      <x:c r="E150" s="2"/>
      <x:c r="F150" s="8"/>
      <x:c r="G150" s="8"/>
      <x:c r="H150" s="9"/>
      <x:c r="I150" s="8"/>
      <x:c r="J150" s="8" t="str">
        <x:f t="shared" si="20">IF(OR(NOT(ISNUMBER(G150)),NOT(ISNUMBER(I150))),"",G150-I150)</x:f>
      </x:c>
      <x:c r="K150" s="8" t="str">
        <x:f t="shared" si="21">IF(OR(NOT(ISNUMBER(G150)),NOT(ISNUMBER(H150)),H150&lt;=1),"",G150*H150-1)</x:f>
      </x:c>
      <x:c r="L150" s="2"/>
      <x:c r="M150" s="2"/>
      <x:c r="N150" s="2"/>
      <x:c r="O150" s="2"/>
      <x:c r="P150" s="2" t="str">
        <x:f>IF(OR(E150="",O150=""),"",IF(NOT(OR(O150="1",O150=1,O150="X",O150="2",O150=2)),"",IF(E150="1X",IF(OR(O150="1",O150=1,O150="X"),1,0),IF(E150="X2",IF(OR(O150="X",O150="2",O150=2),1,0),IF(OR(E150="12",E150=12),IF(OR(O150="1",O150=1,O150="2",O150=2),1,0),"")))))</x:f>
      </x:c>
      <x:c r="Q150" s="9" t="str">
        <x:f t="shared" si="22">IF(OR(NOT(ISNUMBER(P150)),NOT(ISNUMBER(H150)),H150&lt;=1),"",IF(P150=1,H150-1,-1))</x:f>
      </x:c>
      <x:c r="R150" s="2"/>
      <x:c r="S150" s="2"/>
      <x:c r="T150" s="2"/>
      <x:c r="U150" s="2"/>
      <x:c r="V150" s="2"/>
      <x:c r="W150" s="14" t="str">
        <x:f t="shared" si="23">IF(OR(NOT(ISNUMBER(G150)),G150&lt;0,G150&gt;1,NOT(ISNUMBER(P150))),"",(G150-P150)^2)</x:f>
      </x:c>
      <x:c r="X150" s="2" t="str">
        <x:f t="shared" si="24">IF(AND(ISNUMBER(A150),ISNUMBER(Y150),Y150&lt;A150,AB150&lt;&gt;"",ISNUMBER(P150),ISNUMBER(G150),G150&gt;=0,G150&lt;=1,OR(M150="DEFENSIV",M150="PRUDENT",M150="MODERAT",M150="RIDICAT",M150="WATCH",M150="NO BET")),"YES","NO")</x:f>
        <x:v>NO</x:v>
      </x:c>
      <x:c r="Y150" s="146"/>
      <x:c r="Z150" t="str">
        <x:f>IF(AND(X150="YES",OR(M150="DEFENSIV",M150="PRUDENT",M150="MODERAT",M150="RIDICAT")),"YES","NO")</x:f>
        <x:v>NO</x:v>
      </x:c>
      <x:c r="AA150" t="str">
        <x:f>IF(NOT(ISNUMBER(H150)),"MISSING",IF(AND(ISNUMBER(H150),H150&gt;1),"VALID","INVALID"))</x:f>
        <x:v>MISSING</x:v>
      </x:c>
      <x:c r="AB150" s="144"/>
      <x:c r="AC150" t="str">
        <x:f>IF(AND(NOT(ISNUMBER(A150)),E150="",NOT(ISNUMBER(G150)),M150="",O150=""),"INPUT",IF(X150="YES","VALID","INCOMPLETE / INVALID"))</x:f>
        <x:v>INPUT</x:v>
      </x:c>
      <x:c r="AD150" t="str">
        <x:f>IF(X150="YES",P150,"")</x:f>
      </x:c>
      <x:c r="AE150" t="str">
        <x:f>IF(X150="YES",W150,"")</x:f>
      </x:c>
      <x:c r="AF150" t="str">
        <x:f>IF(X150="YES",G150,"")</x:f>
      </x:c>
      <x:c r="AG150" t="str">
        <x:f>IF(AND(Z150="YES",AA150="VALID"),Q150,"")</x:f>
      </x:c>
      <x:c r="AH150" t="str">
        <x:f>IF(AND(Z150="YES",AA150="VALID"),"YES","NO")</x:f>
        <x:v>NO</x:v>
      </x:c>
    </x:row>
    <x:row r="151" ht="15">
      <x:c r="A151" s="161"/>
      <x:c r="B151" s="2"/>
      <x:c r="C151" s="2"/>
      <x:c r="D151" s="2"/>
      <x:c r="E151" s="2"/>
      <x:c r="F151" s="8"/>
      <x:c r="G151" s="8"/>
      <x:c r="H151" s="9"/>
      <x:c r="I151" s="8"/>
      <x:c r="J151" s="8" t="str">
        <x:f t="shared" si="20">IF(OR(NOT(ISNUMBER(G151)),NOT(ISNUMBER(I151))),"",G151-I151)</x:f>
      </x:c>
      <x:c r="K151" s="8" t="str">
        <x:f t="shared" si="21">IF(OR(NOT(ISNUMBER(G151)),NOT(ISNUMBER(H151)),H151&lt;=1),"",G151*H151-1)</x:f>
      </x:c>
      <x:c r="L151" s="2"/>
      <x:c r="M151" s="2"/>
      <x:c r="N151" s="2"/>
      <x:c r="O151" s="2"/>
      <x:c r="P151" s="2" t="str">
        <x:f>IF(OR(E151="",O151=""),"",IF(NOT(OR(O151="1",O151=1,O151="X",O151="2",O151=2)),"",IF(E151="1X",IF(OR(O151="1",O151=1,O151="X"),1,0),IF(E151="X2",IF(OR(O151="X",O151="2",O151=2),1,0),IF(OR(E151="12",E151=12),IF(OR(O151="1",O151=1,O151="2",O151=2),1,0),"")))))</x:f>
      </x:c>
      <x:c r="Q151" s="9" t="str">
        <x:f t="shared" si="22">IF(OR(NOT(ISNUMBER(P151)),NOT(ISNUMBER(H151)),H151&lt;=1),"",IF(P151=1,H151-1,-1))</x:f>
      </x:c>
      <x:c r="R151" s="2"/>
      <x:c r="S151" s="2"/>
      <x:c r="T151" s="2"/>
      <x:c r="U151" s="2"/>
      <x:c r="V151" s="2"/>
      <x:c r="W151" s="14" t="str">
        <x:f t="shared" si="23">IF(OR(NOT(ISNUMBER(G151)),G151&lt;0,G151&gt;1,NOT(ISNUMBER(P151))),"",(G151-P151)^2)</x:f>
      </x:c>
      <x:c r="X151" s="2" t="str">
        <x:f t="shared" si="24">IF(AND(ISNUMBER(A151),ISNUMBER(Y151),Y151&lt;A151,AB151&lt;&gt;"",ISNUMBER(P151),ISNUMBER(G151),G151&gt;=0,G151&lt;=1,OR(M151="DEFENSIV",M151="PRUDENT",M151="MODERAT",M151="RIDICAT",M151="WATCH",M151="NO BET")),"YES","NO")</x:f>
        <x:v>NO</x:v>
      </x:c>
      <x:c r="Y151" s="146"/>
      <x:c r="Z151" t="str">
        <x:f>IF(AND(X151="YES",OR(M151="DEFENSIV",M151="PRUDENT",M151="MODERAT",M151="RIDICAT")),"YES","NO")</x:f>
        <x:v>NO</x:v>
      </x:c>
      <x:c r="AA151" t="str">
        <x:f>IF(NOT(ISNUMBER(H151)),"MISSING",IF(AND(ISNUMBER(H151),H151&gt;1),"VALID","INVALID"))</x:f>
        <x:v>MISSING</x:v>
      </x:c>
      <x:c r="AB151" s="144"/>
      <x:c r="AC151" t="str">
        <x:f>IF(AND(NOT(ISNUMBER(A151)),E151="",NOT(ISNUMBER(G151)),M151="",O151=""),"INPUT",IF(X151="YES","VALID","INCOMPLETE / INVALID"))</x:f>
        <x:v>INPUT</x:v>
      </x:c>
      <x:c r="AD151" t="str">
        <x:f>IF(X151="YES",P151,"")</x:f>
      </x:c>
      <x:c r="AE151" t="str">
        <x:f>IF(X151="YES",W151,"")</x:f>
      </x:c>
      <x:c r="AF151" t="str">
        <x:f>IF(X151="YES",G151,"")</x:f>
      </x:c>
      <x:c r="AG151" t="str">
        <x:f>IF(AND(Z151="YES",AA151="VALID"),Q151,"")</x:f>
      </x:c>
      <x:c r="AH151" t="str">
        <x:f>IF(AND(Z151="YES",AA151="VALID"),"YES","NO")</x:f>
        <x:v>NO</x:v>
      </x:c>
    </x:row>
    <x:row r="152" ht="15">
      <x:c r="A152" s="161"/>
      <x:c r="B152" s="2"/>
      <x:c r="C152" s="2"/>
      <x:c r="D152" s="2"/>
      <x:c r="E152" s="2"/>
      <x:c r="F152" s="8"/>
      <x:c r="G152" s="8"/>
      <x:c r="H152" s="9"/>
      <x:c r="I152" s="8"/>
      <x:c r="J152" s="8" t="str">
        <x:f t="shared" si="20">IF(OR(NOT(ISNUMBER(G152)),NOT(ISNUMBER(I152))),"",G152-I152)</x:f>
      </x:c>
      <x:c r="K152" s="8" t="str">
        <x:f t="shared" si="21">IF(OR(NOT(ISNUMBER(G152)),NOT(ISNUMBER(H152)),H152&lt;=1),"",G152*H152-1)</x:f>
      </x:c>
      <x:c r="L152" s="2"/>
      <x:c r="M152" s="2"/>
      <x:c r="N152" s="2"/>
      <x:c r="O152" s="2"/>
      <x:c r="P152" s="2" t="str">
        <x:f>IF(OR(E152="",O152=""),"",IF(NOT(OR(O152="1",O152=1,O152="X",O152="2",O152=2)),"",IF(E152="1X",IF(OR(O152="1",O152=1,O152="X"),1,0),IF(E152="X2",IF(OR(O152="X",O152="2",O152=2),1,0),IF(OR(E152="12",E152=12),IF(OR(O152="1",O152=1,O152="2",O152=2),1,0),"")))))</x:f>
      </x:c>
      <x:c r="Q152" s="9" t="str">
        <x:f t="shared" si="22">IF(OR(NOT(ISNUMBER(P152)),NOT(ISNUMBER(H152)),H152&lt;=1),"",IF(P152=1,H152-1,-1))</x:f>
      </x:c>
      <x:c r="R152" s="2"/>
      <x:c r="S152" s="2"/>
      <x:c r="T152" s="2"/>
      <x:c r="U152" s="2"/>
      <x:c r="V152" s="2"/>
      <x:c r="W152" s="14" t="str">
        <x:f t="shared" si="23">IF(OR(NOT(ISNUMBER(G152)),G152&lt;0,G152&gt;1,NOT(ISNUMBER(P152))),"",(G152-P152)^2)</x:f>
      </x:c>
      <x:c r="X152" s="2" t="str">
        <x:f t="shared" si="24">IF(AND(ISNUMBER(A152),ISNUMBER(Y152),Y152&lt;A152,AB152&lt;&gt;"",ISNUMBER(P152),ISNUMBER(G152),G152&gt;=0,G152&lt;=1,OR(M152="DEFENSIV",M152="PRUDENT",M152="MODERAT",M152="RIDICAT",M152="WATCH",M152="NO BET")),"YES","NO")</x:f>
        <x:v>NO</x:v>
      </x:c>
      <x:c r="Y152" s="146"/>
      <x:c r="Z152" t="str">
        <x:f>IF(AND(X152="YES",OR(M152="DEFENSIV",M152="PRUDENT",M152="MODERAT",M152="RIDICAT")),"YES","NO")</x:f>
        <x:v>NO</x:v>
      </x:c>
      <x:c r="AA152" t="str">
        <x:f>IF(NOT(ISNUMBER(H152)),"MISSING",IF(AND(ISNUMBER(H152),H152&gt;1),"VALID","INVALID"))</x:f>
        <x:v>MISSING</x:v>
      </x:c>
      <x:c r="AB152" s="144"/>
      <x:c r="AC152" t="str">
        <x:f>IF(AND(NOT(ISNUMBER(A152)),E152="",NOT(ISNUMBER(G152)),M152="",O152=""),"INPUT",IF(X152="YES","VALID","INCOMPLETE / INVALID"))</x:f>
        <x:v>INPUT</x:v>
      </x:c>
      <x:c r="AD152" t="str">
        <x:f>IF(X152="YES",P152,"")</x:f>
      </x:c>
      <x:c r="AE152" t="str">
        <x:f>IF(X152="YES",W152,"")</x:f>
      </x:c>
      <x:c r="AF152" t="str">
        <x:f>IF(X152="YES",G152,"")</x:f>
      </x:c>
      <x:c r="AG152" t="str">
        <x:f>IF(AND(Z152="YES",AA152="VALID"),Q152,"")</x:f>
      </x:c>
      <x:c r="AH152" t="str">
        <x:f>IF(AND(Z152="YES",AA152="VALID"),"YES","NO")</x:f>
        <x:v>NO</x:v>
      </x:c>
    </x:row>
    <x:row r="153" ht="15">
      <x:c r="A153" s="161"/>
      <x:c r="B153" s="2"/>
      <x:c r="C153" s="2"/>
      <x:c r="D153" s="2"/>
      <x:c r="E153" s="2"/>
      <x:c r="F153" s="8"/>
      <x:c r="G153" s="8"/>
      <x:c r="H153" s="9"/>
      <x:c r="I153" s="8"/>
      <x:c r="J153" s="8" t="str">
        <x:f t="shared" si="20">IF(OR(NOT(ISNUMBER(G153)),NOT(ISNUMBER(I153))),"",G153-I153)</x:f>
      </x:c>
      <x:c r="K153" s="8" t="str">
        <x:f t="shared" si="21">IF(OR(NOT(ISNUMBER(G153)),NOT(ISNUMBER(H153)),H153&lt;=1),"",G153*H153-1)</x:f>
      </x:c>
      <x:c r="L153" s="2"/>
      <x:c r="M153" s="2"/>
      <x:c r="N153" s="2"/>
      <x:c r="O153" s="2"/>
      <x:c r="P153" s="2" t="str">
        <x:f>IF(OR(E153="",O153=""),"",IF(NOT(OR(O153="1",O153=1,O153="X",O153="2",O153=2)),"",IF(E153="1X",IF(OR(O153="1",O153=1,O153="X"),1,0),IF(E153="X2",IF(OR(O153="X",O153="2",O153=2),1,0),IF(OR(E153="12",E153=12),IF(OR(O153="1",O153=1,O153="2",O153=2),1,0),"")))))</x:f>
      </x:c>
      <x:c r="Q153" s="9" t="str">
        <x:f t="shared" si="22">IF(OR(NOT(ISNUMBER(P153)),NOT(ISNUMBER(H153)),H153&lt;=1),"",IF(P153=1,H153-1,-1))</x:f>
      </x:c>
      <x:c r="R153" s="2"/>
      <x:c r="S153" s="2"/>
      <x:c r="T153" s="2"/>
      <x:c r="U153" s="2"/>
      <x:c r="V153" s="2"/>
      <x:c r="W153" s="14" t="str">
        <x:f t="shared" si="23">IF(OR(NOT(ISNUMBER(G153)),G153&lt;0,G153&gt;1,NOT(ISNUMBER(P153))),"",(G153-P153)^2)</x:f>
      </x:c>
      <x:c r="X153" s="2" t="str">
        <x:f t="shared" si="24">IF(AND(ISNUMBER(A153),ISNUMBER(Y153),Y153&lt;A153,AB153&lt;&gt;"",ISNUMBER(P153),ISNUMBER(G153),G153&gt;=0,G153&lt;=1,OR(M153="DEFENSIV",M153="PRUDENT",M153="MODERAT",M153="RIDICAT",M153="WATCH",M153="NO BET")),"YES","NO")</x:f>
        <x:v>NO</x:v>
      </x:c>
      <x:c r="Y153" s="146"/>
      <x:c r="Z153" t="str">
        <x:f>IF(AND(X153="YES",OR(M153="DEFENSIV",M153="PRUDENT",M153="MODERAT",M153="RIDICAT")),"YES","NO")</x:f>
        <x:v>NO</x:v>
      </x:c>
      <x:c r="AA153" t="str">
        <x:f>IF(NOT(ISNUMBER(H153)),"MISSING",IF(AND(ISNUMBER(H153),H153&gt;1),"VALID","INVALID"))</x:f>
        <x:v>MISSING</x:v>
      </x:c>
      <x:c r="AB153" s="144"/>
      <x:c r="AC153" t="str">
        <x:f>IF(AND(NOT(ISNUMBER(A153)),E153="",NOT(ISNUMBER(G153)),M153="",O153=""),"INPUT",IF(X153="YES","VALID","INCOMPLETE / INVALID"))</x:f>
        <x:v>INPUT</x:v>
      </x:c>
      <x:c r="AD153" t="str">
        <x:f>IF(X153="YES",P153,"")</x:f>
      </x:c>
      <x:c r="AE153" t="str">
        <x:f>IF(X153="YES",W153,"")</x:f>
      </x:c>
      <x:c r="AF153" t="str">
        <x:f>IF(X153="YES",G153,"")</x:f>
      </x:c>
      <x:c r="AG153" t="str">
        <x:f>IF(AND(Z153="YES",AA153="VALID"),Q153,"")</x:f>
      </x:c>
      <x:c r="AH153" t="str">
        <x:f>IF(AND(Z153="YES",AA153="VALID"),"YES","NO")</x:f>
        <x:v>NO</x:v>
      </x:c>
    </x:row>
    <x:row r="154" ht="15">
      <x:c r="A154" s="161"/>
      <x:c r="B154" s="2"/>
      <x:c r="C154" s="2"/>
      <x:c r="D154" s="2"/>
      <x:c r="E154" s="2"/>
      <x:c r="F154" s="8"/>
      <x:c r="G154" s="8"/>
      <x:c r="H154" s="9"/>
      <x:c r="I154" s="8"/>
      <x:c r="J154" s="8" t="str">
        <x:f t="shared" si="20">IF(OR(NOT(ISNUMBER(G154)),NOT(ISNUMBER(I154))),"",G154-I154)</x:f>
      </x:c>
      <x:c r="K154" s="8" t="str">
        <x:f t="shared" si="21">IF(OR(NOT(ISNUMBER(G154)),NOT(ISNUMBER(H154)),H154&lt;=1),"",G154*H154-1)</x:f>
      </x:c>
      <x:c r="L154" s="2"/>
      <x:c r="M154" s="2"/>
      <x:c r="N154" s="2"/>
      <x:c r="O154" s="2"/>
      <x:c r="P154" s="2" t="str">
        <x:f>IF(OR(E154="",O154=""),"",IF(NOT(OR(O154="1",O154=1,O154="X",O154="2",O154=2)),"",IF(E154="1X",IF(OR(O154="1",O154=1,O154="X"),1,0),IF(E154="X2",IF(OR(O154="X",O154="2",O154=2),1,0),IF(OR(E154="12",E154=12),IF(OR(O154="1",O154=1,O154="2",O154=2),1,0),"")))))</x:f>
      </x:c>
      <x:c r="Q154" s="9" t="str">
        <x:f t="shared" si="22">IF(OR(NOT(ISNUMBER(P154)),NOT(ISNUMBER(H154)),H154&lt;=1),"",IF(P154=1,H154-1,-1))</x:f>
      </x:c>
      <x:c r="R154" s="2"/>
      <x:c r="S154" s="2"/>
      <x:c r="T154" s="2"/>
      <x:c r="U154" s="2"/>
      <x:c r="V154" s="2"/>
      <x:c r="W154" s="14" t="str">
        <x:f t="shared" si="23">IF(OR(NOT(ISNUMBER(G154)),G154&lt;0,G154&gt;1,NOT(ISNUMBER(P154))),"",(G154-P154)^2)</x:f>
      </x:c>
      <x:c r="X154" s="2" t="str">
        <x:f t="shared" si="24">IF(AND(ISNUMBER(A154),ISNUMBER(Y154),Y154&lt;A154,AB154&lt;&gt;"",ISNUMBER(P154),ISNUMBER(G154),G154&gt;=0,G154&lt;=1,OR(M154="DEFENSIV",M154="PRUDENT",M154="MODERAT",M154="RIDICAT",M154="WATCH",M154="NO BET")),"YES","NO")</x:f>
        <x:v>NO</x:v>
      </x:c>
      <x:c r="Y154" s="146"/>
      <x:c r="Z154" t="str">
        <x:f>IF(AND(X154="YES",OR(M154="DEFENSIV",M154="PRUDENT",M154="MODERAT",M154="RIDICAT")),"YES","NO")</x:f>
        <x:v>NO</x:v>
      </x:c>
      <x:c r="AA154" t="str">
        <x:f>IF(NOT(ISNUMBER(H154)),"MISSING",IF(AND(ISNUMBER(H154),H154&gt;1),"VALID","INVALID"))</x:f>
        <x:v>MISSING</x:v>
      </x:c>
      <x:c r="AB154" s="144"/>
      <x:c r="AC154" t="str">
        <x:f>IF(AND(NOT(ISNUMBER(A154)),E154="",NOT(ISNUMBER(G154)),M154="",O154=""),"INPUT",IF(X154="YES","VALID","INCOMPLETE / INVALID"))</x:f>
        <x:v>INPUT</x:v>
      </x:c>
      <x:c r="AD154" t="str">
        <x:f>IF(X154="YES",P154,"")</x:f>
      </x:c>
      <x:c r="AE154" t="str">
        <x:f>IF(X154="YES",W154,"")</x:f>
      </x:c>
      <x:c r="AF154" t="str">
        <x:f>IF(X154="YES",G154,"")</x:f>
      </x:c>
      <x:c r="AG154" t="str">
        <x:f>IF(AND(Z154="YES",AA154="VALID"),Q154,"")</x:f>
      </x:c>
      <x:c r="AH154" t="str">
        <x:f>IF(AND(Z154="YES",AA154="VALID"),"YES","NO")</x:f>
        <x:v>NO</x:v>
      </x:c>
    </x:row>
    <x:row r="155" ht="15">
      <x:c r="A155" s="161"/>
      <x:c r="B155" s="2"/>
      <x:c r="C155" s="2"/>
      <x:c r="D155" s="2"/>
      <x:c r="E155" s="2"/>
      <x:c r="F155" s="8"/>
      <x:c r="G155" s="8"/>
      <x:c r="H155" s="9"/>
      <x:c r="I155" s="8"/>
      <x:c r="J155" s="8" t="str">
        <x:f t="shared" si="20">IF(OR(NOT(ISNUMBER(G155)),NOT(ISNUMBER(I155))),"",G155-I155)</x:f>
      </x:c>
      <x:c r="K155" s="8" t="str">
        <x:f t="shared" si="21">IF(OR(NOT(ISNUMBER(G155)),NOT(ISNUMBER(H155)),H155&lt;=1),"",G155*H155-1)</x:f>
      </x:c>
      <x:c r="L155" s="2"/>
      <x:c r="M155" s="2"/>
      <x:c r="N155" s="2"/>
      <x:c r="O155" s="2"/>
      <x:c r="P155" s="2" t="str">
        <x:f>IF(OR(E155="",O155=""),"",IF(NOT(OR(O155="1",O155=1,O155="X",O155="2",O155=2)),"",IF(E155="1X",IF(OR(O155="1",O155=1,O155="X"),1,0),IF(E155="X2",IF(OR(O155="X",O155="2",O155=2),1,0),IF(OR(E155="12",E155=12),IF(OR(O155="1",O155=1,O155="2",O155=2),1,0),"")))))</x:f>
      </x:c>
      <x:c r="Q155" s="9" t="str">
        <x:f t="shared" si="22">IF(OR(NOT(ISNUMBER(P155)),NOT(ISNUMBER(H155)),H155&lt;=1),"",IF(P155=1,H155-1,-1))</x:f>
      </x:c>
      <x:c r="R155" s="2"/>
      <x:c r="S155" s="2"/>
      <x:c r="T155" s="2"/>
      <x:c r="U155" s="2"/>
      <x:c r="V155" s="2"/>
      <x:c r="W155" s="14" t="str">
        <x:f t="shared" si="23">IF(OR(NOT(ISNUMBER(G155)),G155&lt;0,G155&gt;1,NOT(ISNUMBER(P155))),"",(G155-P155)^2)</x:f>
      </x:c>
      <x:c r="X155" s="2" t="str">
        <x:f t="shared" si="24">IF(AND(ISNUMBER(A155),ISNUMBER(Y155),Y155&lt;A155,AB155&lt;&gt;"",ISNUMBER(P155),ISNUMBER(G155),G155&gt;=0,G155&lt;=1,OR(M155="DEFENSIV",M155="PRUDENT",M155="MODERAT",M155="RIDICAT",M155="WATCH",M155="NO BET")),"YES","NO")</x:f>
        <x:v>NO</x:v>
      </x:c>
      <x:c r="Y155" s="146"/>
      <x:c r="Z155" t="str">
        <x:f>IF(AND(X155="YES",OR(M155="DEFENSIV",M155="PRUDENT",M155="MODERAT",M155="RIDICAT")),"YES","NO")</x:f>
        <x:v>NO</x:v>
      </x:c>
      <x:c r="AA155" t="str">
        <x:f>IF(NOT(ISNUMBER(H155)),"MISSING",IF(AND(ISNUMBER(H155),H155&gt;1),"VALID","INVALID"))</x:f>
        <x:v>MISSING</x:v>
      </x:c>
      <x:c r="AB155" s="144"/>
      <x:c r="AC155" t="str">
        <x:f>IF(AND(NOT(ISNUMBER(A155)),E155="",NOT(ISNUMBER(G155)),M155="",O155=""),"INPUT",IF(X155="YES","VALID","INCOMPLETE / INVALID"))</x:f>
        <x:v>INPUT</x:v>
      </x:c>
      <x:c r="AD155" t="str">
        <x:f>IF(X155="YES",P155,"")</x:f>
      </x:c>
      <x:c r="AE155" t="str">
        <x:f>IF(X155="YES",W155,"")</x:f>
      </x:c>
      <x:c r="AF155" t="str">
        <x:f>IF(X155="YES",G155,"")</x:f>
      </x:c>
      <x:c r="AG155" t="str">
        <x:f>IF(AND(Z155="YES",AA155="VALID"),Q155,"")</x:f>
      </x:c>
      <x:c r="AH155" t="str">
        <x:f>IF(AND(Z155="YES",AA155="VALID"),"YES","NO")</x:f>
        <x:v>NO</x:v>
      </x:c>
    </x:row>
    <x:row r="156" ht="15">
      <x:c r="A156" s="161"/>
      <x:c r="B156" s="2"/>
      <x:c r="C156" s="2"/>
      <x:c r="D156" s="2"/>
      <x:c r="E156" s="2"/>
      <x:c r="F156" s="8"/>
      <x:c r="G156" s="8"/>
      <x:c r="H156" s="9"/>
      <x:c r="I156" s="8"/>
      <x:c r="J156" s="8" t="str">
        <x:f t="shared" si="20">IF(OR(NOT(ISNUMBER(G156)),NOT(ISNUMBER(I156))),"",G156-I156)</x:f>
      </x:c>
      <x:c r="K156" s="8" t="str">
        <x:f t="shared" si="21">IF(OR(NOT(ISNUMBER(G156)),NOT(ISNUMBER(H156)),H156&lt;=1),"",G156*H156-1)</x:f>
      </x:c>
      <x:c r="L156" s="2"/>
      <x:c r="M156" s="2"/>
      <x:c r="N156" s="2"/>
      <x:c r="O156" s="2"/>
      <x:c r="P156" s="2" t="str">
        <x:f>IF(OR(E156="",O156=""),"",IF(NOT(OR(O156="1",O156=1,O156="X",O156="2",O156=2)),"",IF(E156="1X",IF(OR(O156="1",O156=1,O156="X"),1,0),IF(E156="X2",IF(OR(O156="X",O156="2",O156=2),1,0),IF(OR(E156="12",E156=12),IF(OR(O156="1",O156=1,O156="2",O156=2),1,0),"")))))</x:f>
      </x:c>
      <x:c r="Q156" s="9" t="str">
        <x:f t="shared" si="22">IF(OR(NOT(ISNUMBER(P156)),NOT(ISNUMBER(H156)),H156&lt;=1),"",IF(P156=1,H156-1,-1))</x:f>
      </x:c>
      <x:c r="R156" s="2"/>
      <x:c r="S156" s="2"/>
      <x:c r="T156" s="2"/>
      <x:c r="U156" s="2"/>
      <x:c r="V156" s="2"/>
      <x:c r="W156" s="14" t="str">
        <x:f t="shared" si="23">IF(OR(NOT(ISNUMBER(G156)),G156&lt;0,G156&gt;1,NOT(ISNUMBER(P156))),"",(G156-P156)^2)</x:f>
      </x:c>
      <x:c r="X156" s="2" t="str">
        <x:f t="shared" si="24">IF(AND(ISNUMBER(A156),ISNUMBER(Y156),Y156&lt;A156,AB156&lt;&gt;"",ISNUMBER(P156),ISNUMBER(G156),G156&gt;=0,G156&lt;=1,OR(M156="DEFENSIV",M156="PRUDENT",M156="MODERAT",M156="RIDICAT",M156="WATCH",M156="NO BET")),"YES","NO")</x:f>
        <x:v>NO</x:v>
      </x:c>
      <x:c r="Y156" s="146"/>
      <x:c r="Z156" t="str">
        <x:f>IF(AND(X156="YES",OR(M156="DEFENSIV",M156="PRUDENT",M156="MODERAT",M156="RIDICAT")),"YES","NO")</x:f>
        <x:v>NO</x:v>
      </x:c>
      <x:c r="AA156" t="str">
        <x:f>IF(NOT(ISNUMBER(H156)),"MISSING",IF(AND(ISNUMBER(H156),H156&gt;1),"VALID","INVALID"))</x:f>
        <x:v>MISSING</x:v>
      </x:c>
      <x:c r="AB156" s="144"/>
      <x:c r="AC156" t="str">
        <x:f>IF(AND(NOT(ISNUMBER(A156)),E156="",NOT(ISNUMBER(G156)),M156="",O156=""),"INPUT",IF(X156="YES","VALID","INCOMPLETE / INVALID"))</x:f>
        <x:v>INPUT</x:v>
      </x:c>
      <x:c r="AD156" t="str">
        <x:f>IF(X156="YES",P156,"")</x:f>
      </x:c>
      <x:c r="AE156" t="str">
        <x:f>IF(X156="YES",W156,"")</x:f>
      </x:c>
      <x:c r="AF156" t="str">
        <x:f>IF(X156="YES",G156,"")</x:f>
      </x:c>
      <x:c r="AG156" t="str">
        <x:f>IF(AND(Z156="YES",AA156="VALID"),Q156,"")</x:f>
      </x:c>
      <x:c r="AH156" t="str">
        <x:f>IF(AND(Z156="YES",AA156="VALID"),"YES","NO")</x:f>
        <x:v>NO</x:v>
      </x:c>
    </x:row>
    <x:row r="157" ht="15">
      <x:c r="A157" s="161"/>
      <x:c r="B157" s="2"/>
      <x:c r="C157" s="2"/>
      <x:c r="D157" s="2"/>
      <x:c r="E157" s="2"/>
      <x:c r="F157" s="8"/>
      <x:c r="G157" s="8"/>
      <x:c r="H157" s="9"/>
      <x:c r="I157" s="8"/>
      <x:c r="J157" s="8" t="str">
        <x:f t="shared" si="20">IF(OR(NOT(ISNUMBER(G157)),NOT(ISNUMBER(I157))),"",G157-I157)</x:f>
      </x:c>
      <x:c r="K157" s="8" t="str">
        <x:f t="shared" si="21">IF(OR(NOT(ISNUMBER(G157)),NOT(ISNUMBER(H157)),H157&lt;=1),"",G157*H157-1)</x:f>
      </x:c>
      <x:c r="L157" s="2"/>
      <x:c r="M157" s="2"/>
      <x:c r="N157" s="2"/>
      <x:c r="O157" s="2"/>
      <x:c r="P157" s="2" t="str">
        <x:f>IF(OR(E157="",O157=""),"",IF(NOT(OR(O157="1",O157=1,O157="X",O157="2",O157=2)),"",IF(E157="1X",IF(OR(O157="1",O157=1,O157="X"),1,0),IF(E157="X2",IF(OR(O157="X",O157="2",O157=2),1,0),IF(OR(E157="12",E157=12),IF(OR(O157="1",O157=1,O157="2",O157=2),1,0),"")))))</x:f>
      </x:c>
      <x:c r="Q157" s="9" t="str">
        <x:f t="shared" si="22">IF(OR(NOT(ISNUMBER(P157)),NOT(ISNUMBER(H157)),H157&lt;=1),"",IF(P157=1,H157-1,-1))</x:f>
      </x:c>
      <x:c r="R157" s="2"/>
      <x:c r="S157" s="2"/>
      <x:c r="T157" s="2"/>
      <x:c r="U157" s="2"/>
      <x:c r="V157" s="2"/>
      <x:c r="W157" s="14" t="str">
        <x:f t="shared" si="23">IF(OR(NOT(ISNUMBER(G157)),G157&lt;0,G157&gt;1,NOT(ISNUMBER(P157))),"",(G157-P157)^2)</x:f>
      </x:c>
      <x:c r="X157" s="2" t="str">
        <x:f t="shared" si="24">IF(AND(ISNUMBER(A157),ISNUMBER(Y157),Y157&lt;A157,AB157&lt;&gt;"",ISNUMBER(P157),ISNUMBER(G157),G157&gt;=0,G157&lt;=1,OR(M157="DEFENSIV",M157="PRUDENT",M157="MODERAT",M157="RIDICAT",M157="WATCH",M157="NO BET")),"YES","NO")</x:f>
        <x:v>NO</x:v>
      </x:c>
      <x:c r="Y157" s="146"/>
      <x:c r="Z157" t="str">
        <x:f>IF(AND(X157="YES",OR(M157="DEFENSIV",M157="PRUDENT",M157="MODERAT",M157="RIDICAT")),"YES","NO")</x:f>
        <x:v>NO</x:v>
      </x:c>
      <x:c r="AA157" t="str">
        <x:f>IF(NOT(ISNUMBER(H157)),"MISSING",IF(AND(ISNUMBER(H157),H157&gt;1),"VALID","INVALID"))</x:f>
        <x:v>MISSING</x:v>
      </x:c>
      <x:c r="AB157" s="144"/>
      <x:c r="AC157" t="str">
        <x:f>IF(AND(NOT(ISNUMBER(A157)),E157="",NOT(ISNUMBER(G157)),M157="",O157=""),"INPUT",IF(X157="YES","VALID","INCOMPLETE / INVALID"))</x:f>
        <x:v>INPUT</x:v>
      </x:c>
      <x:c r="AD157" t="str">
        <x:f>IF(X157="YES",P157,"")</x:f>
      </x:c>
      <x:c r="AE157" t="str">
        <x:f>IF(X157="YES",W157,"")</x:f>
      </x:c>
      <x:c r="AF157" t="str">
        <x:f>IF(X157="YES",G157,"")</x:f>
      </x:c>
      <x:c r="AG157" t="str">
        <x:f>IF(AND(Z157="YES",AA157="VALID"),Q157,"")</x:f>
      </x:c>
      <x:c r="AH157" t="str">
        <x:f>IF(AND(Z157="YES",AA157="VALID"),"YES","NO")</x:f>
        <x:v>NO</x:v>
      </x:c>
    </x:row>
    <x:row r="158" ht="15">
      <x:c r="A158" s="161"/>
      <x:c r="B158" s="2"/>
      <x:c r="C158" s="2"/>
      <x:c r="D158" s="2"/>
      <x:c r="E158" s="2"/>
      <x:c r="F158" s="8"/>
      <x:c r="G158" s="8"/>
      <x:c r="H158" s="9"/>
      <x:c r="I158" s="8"/>
      <x:c r="J158" s="8" t="str">
        <x:f t="shared" si="20">IF(OR(NOT(ISNUMBER(G158)),NOT(ISNUMBER(I158))),"",G158-I158)</x:f>
      </x:c>
      <x:c r="K158" s="8" t="str">
        <x:f t="shared" si="21">IF(OR(NOT(ISNUMBER(G158)),NOT(ISNUMBER(H158)),H158&lt;=1),"",G158*H158-1)</x:f>
      </x:c>
      <x:c r="L158" s="2"/>
      <x:c r="M158" s="2"/>
      <x:c r="N158" s="2"/>
      <x:c r="O158" s="2"/>
      <x:c r="P158" s="2" t="str">
        <x:f>IF(OR(E158="",O158=""),"",IF(NOT(OR(O158="1",O158=1,O158="X",O158="2",O158=2)),"",IF(E158="1X",IF(OR(O158="1",O158=1,O158="X"),1,0),IF(E158="X2",IF(OR(O158="X",O158="2",O158=2),1,0),IF(OR(E158="12",E158=12),IF(OR(O158="1",O158=1,O158="2",O158=2),1,0),"")))))</x:f>
      </x:c>
      <x:c r="Q158" s="9" t="str">
        <x:f t="shared" si="22">IF(OR(NOT(ISNUMBER(P158)),NOT(ISNUMBER(H158)),H158&lt;=1),"",IF(P158=1,H158-1,-1))</x:f>
      </x:c>
      <x:c r="R158" s="2"/>
      <x:c r="S158" s="2"/>
      <x:c r="T158" s="2"/>
      <x:c r="U158" s="2"/>
      <x:c r="V158" s="2"/>
      <x:c r="W158" s="14" t="str">
        <x:f t="shared" si="23">IF(OR(NOT(ISNUMBER(G158)),G158&lt;0,G158&gt;1,NOT(ISNUMBER(P158))),"",(G158-P158)^2)</x:f>
      </x:c>
      <x:c r="X158" s="2" t="str">
        <x:f t="shared" si="24">IF(AND(ISNUMBER(A158),ISNUMBER(Y158),Y158&lt;A158,AB158&lt;&gt;"",ISNUMBER(P158),ISNUMBER(G158),G158&gt;=0,G158&lt;=1,OR(M158="DEFENSIV",M158="PRUDENT",M158="MODERAT",M158="RIDICAT",M158="WATCH",M158="NO BET")),"YES","NO")</x:f>
        <x:v>NO</x:v>
      </x:c>
      <x:c r="Y158" s="146"/>
      <x:c r="Z158" t="str">
        <x:f>IF(AND(X158="YES",OR(M158="DEFENSIV",M158="PRUDENT",M158="MODERAT",M158="RIDICAT")),"YES","NO")</x:f>
        <x:v>NO</x:v>
      </x:c>
      <x:c r="AA158" t="str">
        <x:f>IF(NOT(ISNUMBER(H158)),"MISSING",IF(AND(ISNUMBER(H158),H158&gt;1),"VALID","INVALID"))</x:f>
        <x:v>MISSING</x:v>
      </x:c>
      <x:c r="AB158" s="144"/>
      <x:c r="AC158" t="str">
        <x:f>IF(AND(NOT(ISNUMBER(A158)),E158="",NOT(ISNUMBER(G158)),M158="",O158=""),"INPUT",IF(X158="YES","VALID","INCOMPLETE / INVALID"))</x:f>
        <x:v>INPUT</x:v>
      </x:c>
      <x:c r="AD158" t="str">
        <x:f>IF(X158="YES",P158,"")</x:f>
      </x:c>
      <x:c r="AE158" t="str">
        <x:f>IF(X158="YES",W158,"")</x:f>
      </x:c>
      <x:c r="AF158" t="str">
        <x:f>IF(X158="YES",G158,"")</x:f>
      </x:c>
      <x:c r="AG158" t="str">
        <x:f>IF(AND(Z158="YES",AA158="VALID"),Q158,"")</x:f>
      </x:c>
      <x:c r="AH158" t="str">
        <x:f>IF(AND(Z158="YES",AA158="VALID"),"YES","NO")</x:f>
        <x:v>NO</x:v>
      </x:c>
    </x:row>
    <x:row r="159" ht="15">
      <x:c r="A159" s="161"/>
      <x:c r="B159" s="2"/>
      <x:c r="C159" s="2"/>
      <x:c r="D159" s="2"/>
      <x:c r="E159" s="2"/>
      <x:c r="F159" s="8"/>
      <x:c r="G159" s="8"/>
      <x:c r="H159" s="9"/>
      <x:c r="I159" s="8"/>
      <x:c r="J159" s="8" t="str">
        <x:f t="shared" si="20">IF(OR(NOT(ISNUMBER(G159)),NOT(ISNUMBER(I159))),"",G159-I159)</x:f>
      </x:c>
      <x:c r="K159" s="8" t="str">
        <x:f t="shared" si="21">IF(OR(NOT(ISNUMBER(G159)),NOT(ISNUMBER(H159)),H159&lt;=1),"",G159*H159-1)</x:f>
      </x:c>
      <x:c r="L159" s="2"/>
      <x:c r="M159" s="2"/>
      <x:c r="N159" s="2"/>
      <x:c r="O159" s="2"/>
      <x:c r="P159" s="2" t="str">
        <x:f>IF(OR(E159="",O159=""),"",IF(NOT(OR(O159="1",O159=1,O159="X",O159="2",O159=2)),"",IF(E159="1X",IF(OR(O159="1",O159=1,O159="X"),1,0),IF(E159="X2",IF(OR(O159="X",O159="2",O159=2),1,0),IF(OR(E159="12",E159=12),IF(OR(O159="1",O159=1,O159="2",O159=2),1,0),"")))))</x:f>
      </x:c>
      <x:c r="Q159" s="9" t="str">
        <x:f t="shared" si="22">IF(OR(NOT(ISNUMBER(P159)),NOT(ISNUMBER(H159)),H159&lt;=1),"",IF(P159=1,H159-1,-1))</x:f>
      </x:c>
      <x:c r="R159" s="2"/>
      <x:c r="S159" s="2"/>
      <x:c r="T159" s="2"/>
      <x:c r="U159" s="2"/>
      <x:c r="V159" s="2"/>
      <x:c r="W159" s="14" t="str">
        <x:f t="shared" si="23">IF(OR(NOT(ISNUMBER(G159)),G159&lt;0,G159&gt;1,NOT(ISNUMBER(P159))),"",(G159-P159)^2)</x:f>
      </x:c>
      <x:c r="X159" s="2" t="str">
        <x:f t="shared" si="24">IF(AND(ISNUMBER(A159),ISNUMBER(Y159),Y159&lt;A159,AB159&lt;&gt;"",ISNUMBER(P159),ISNUMBER(G159),G159&gt;=0,G159&lt;=1,OR(M159="DEFENSIV",M159="PRUDENT",M159="MODERAT",M159="RIDICAT",M159="WATCH",M159="NO BET")),"YES","NO")</x:f>
        <x:v>NO</x:v>
      </x:c>
      <x:c r="Y159" s="146"/>
      <x:c r="Z159" t="str">
        <x:f>IF(AND(X159="YES",OR(M159="DEFENSIV",M159="PRUDENT",M159="MODERAT",M159="RIDICAT")),"YES","NO")</x:f>
        <x:v>NO</x:v>
      </x:c>
      <x:c r="AA159" t="str">
        <x:f>IF(NOT(ISNUMBER(H159)),"MISSING",IF(AND(ISNUMBER(H159),H159&gt;1),"VALID","INVALID"))</x:f>
        <x:v>MISSING</x:v>
      </x:c>
      <x:c r="AB159" s="144"/>
      <x:c r="AC159" t="str">
        <x:f>IF(AND(NOT(ISNUMBER(A159)),E159="",NOT(ISNUMBER(G159)),M159="",O159=""),"INPUT",IF(X159="YES","VALID","INCOMPLETE / INVALID"))</x:f>
        <x:v>INPUT</x:v>
      </x:c>
      <x:c r="AD159" t="str">
        <x:f>IF(X159="YES",P159,"")</x:f>
      </x:c>
      <x:c r="AE159" t="str">
        <x:f>IF(X159="YES",W159,"")</x:f>
      </x:c>
      <x:c r="AF159" t="str">
        <x:f>IF(X159="YES",G159,"")</x:f>
      </x:c>
      <x:c r="AG159" t="str">
        <x:f>IF(AND(Z159="YES",AA159="VALID"),Q159,"")</x:f>
      </x:c>
      <x:c r="AH159" t="str">
        <x:f>IF(AND(Z159="YES",AA159="VALID"),"YES","NO")</x:f>
        <x:v>NO</x:v>
      </x:c>
    </x:row>
    <x:row r="160" ht="15">
      <x:c r="A160" s="161"/>
      <x:c r="B160" s="2"/>
      <x:c r="C160" s="2"/>
      <x:c r="D160" s="2"/>
      <x:c r="E160" s="2"/>
      <x:c r="F160" s="8"/>
      <x:c r="G160" s="8"/>
      <x:c r="H160" s="9"/>
      <x:c r="I160" s="8"/>
      <x:c r="J160" s="8" t="str">
        <x:f t="shared" si="20">IF(OR(NOT(ISNUMBER(G160)),NOT(ISNUMBER(I160))),"",G160-I160)</x:f>
      </x:c>
      <x:c r="K160" s="8" t="str">
        <x:f t="shared" si="21">IF(OR(NOT(ISNUMBER(G160)),NOT(ISNUMBER(H160)),H160&lt;=1),"",G160*H160-1)</x:f>
      </x:c>
      <x:c r="L160" s="2"/>
      <x:c r="M160" s="2"/>
      <x:c r="N160" s="2"/>
      <x:c r="O160" s="2"/>
      <x:c r="P160" s="2" t="str">
        <x:f>IF(OR(E160="",O160=""),"",IF(NOT(OR(O160="1",O160=1,O160="X",O160="2",O160=2)),"",IF(E160="1X",IF(OR(O160="1",O160=1,O160="X"),1,0),IF(E160="X2",IF(OR(O160="X",O160="2",O160=2),1,0),IF(OR(E160="12",E160=12),IF(OR(O160="1",O160=1,O160="2",O160=2),1,0),"")))))</x:f>
      </x:c>
      <x:c r="Q160" s="9" t="str">
        <x:f t="shared" si="22">IF(OR(NOT(ISNUMBER(P160)),NOT(ISNUMBER(H160)),H160&lt;=1),"",IF(P160=1,H160-1,-1))</x:f>
      </x:c>
      <x:c r="R160" s="2"/>
      <x:c r="S160" s="2"/>
      <x:c r="T160" s="2"/>
      <x:c r="U160" s="2"/>
      <x:c r="V160" s="2"/>
      <x:c r="W160" s="14" t="str">
        <x:f t="shared" si="23">IF(OR(NOT(ISNUMBER(G160)),G160&lt;0,G160&gt;1,NOT(ISNUMBER(P160))),"",(G160-P160)^2)</x:f>
      </x:c>
      <x:c r="X160" s="2" t="str">
        <x:f t="shared" si="24">IF(AND(ISNUMBER(A160),ISNUMBER(Y160),Y160&lt;A160,AB160&lt;&gt;"",ISNUMBER(P160),ISNUMBER(G160),G160&gt;=0,G160&lt;=1,OR(M160="DEFENSIV",M160="PRUDENT",M160="MODERAT",M160="RIDICAT",M160="WATCH",M160="NO BET")),"YES","NO")</x:f>
        <x:v>NO</x:v>
      </x:c>
      <x:c r="Y160" s="146"/>
      <x:c r="Z160" t="str">
        <x:f>IF(AND(X160="YES",OR(M160="DEFENSIV",M160="PRUDENT",M160="MODERAT",M160="RIDICAT")),"YES","NO")</x:f>
        <x:v>NO</x:v>
      </x:c>
      <x:c r="AA160" t="str">
        <x:f>IF(NOT(ISNUMBER(H160)),"MISSING",IF(AND(ISNUMBER(H160),H160&gt;1),"VALID","INVALID"))</x:f>
        <x:v>MISSING</x:v>
      </x:c>
      <x:c r="AB160" s="144"/>
      <x:c r="AC160" t="str">
        <x:f>IF(AND(NOT(ISNUMBER(A160)),E160="",NOT(ISNUMBER(G160)),M160="",O160=""),"INPUT",IF(X160="YES","VALID","INCOMPLETE / INVALID"))</x:f>
        <x:v>INPUT</x:v>
      </x:c>
      <x:c r="AD160" t="str">
        <x:f>IF(X160="YES",P160,"")</x:f>
      </x:c>
      <x:c r="AE160" t="str">
        <x:f>IF(X160="YES",W160,"")</x:f>
      </x:c>
      <x:c r="AF160" t="str">
        <x:f>IF(X160="YES",G160,"")</x:f>
      </x:c>
      <x:c r="AG160" t="str">
        <x:f>IF(AND(Z160="YES",AA160="VALID"),Q160,"")</x:f>
      </x:c>
      <x:c r="AH160" t="str">
        <x:f>IF(AND(Z160="YES",AA160="VALID"),"YES","NO")</x:f>
        <x:v>NO</x:v>
      </x:c>
    </x:row>
    <x:row r="161" ht="15">
      <x:c r="A161" s="161"/>
      <x:c r="B161" s="2"/>
      <x:c r="C161" s="2"/>
      <x:c r="D161" s="2"/>
      <x:c r="E161" s="2"/>
      <x:c r="F161" s="8"/>
      <x:c r="G161" s="8"/>
      <x:c r="H161" s="9"/>
      <x:c r="I161" s="8"/>
      <x:c r="J161" s="8" t="str">
        <x:f t="shared" si="20">IF(OR(NOT(ISNUMBER(G161)),NOT(ISNUMBER(I161))),"",G161-I161)</x:f>
      </x:c>
      <x:c r="K161" s="8" t="str">
        <x:f t="shared" si="21">IF(OR(NOT(ISNUMBER(G161)),NOT(ISNUMBER(H161)),H161&lt;=1),"",G161*H161-1)</x:f>
      </x:c>
      <x:c r="L161" s="2"/>
      <x:c r="M161" s="2"/>
      <x:c r="N161" s="2"/>
      <x:c r="O161" s="2"/>
      <x:c r="P161" s="2" t="str">
        <x:f>IF(OR(E161="",O161=""),"",IF(NOT(OR(O161="1",O161=1,O161="X",O161="2",O161=2)),"",IF(E161="1X",IF(OR(O161="1",O161=1,O161="X"),1,0),IF(E161="X2",IF(OR(O161="X",O161="2",O161=2),1,0),IF(OR(E161="12",E161=12),IF(OR(O161="1",O161=1,O161="2",O161=2),1,0),"")))))</x:f>
      </x:c>
      <x:c r="Q161" s="9" t="str">
        <x:f t="shared" si="22">IF(OR(NOT(ISNUMBER(P161)),NOT(ISNUMBER(H161)),H161&lt;=1),"",IF(P161=1,H161-1,-1))</x:f>
      </x:c>
      <x:c r="R161" s="2"/>
      <x:c r="S161" s="2"/>
      <x:c r="T161" s="2"/>
      <x:c r="U161" s="2"/>
      <x:c r="V161" s="2"/>
      <x:c r="W161" s="14" t="str">
        <x:f t="shared" si="23">IF(OR(NOT(ISNUMBER(G161)),G161&lt;0,G161&gt;1,NOT(ISNUMBER(P161))),"",(G161-P161)^2)</x:f>
      </x:c>
      <x:c r="X161" s="2" t="str">
        <x:f t="shared" si="24">IF(AND(ISNUMBER(A161),ISNUMBER(Y161),Y161&lt;A161,AB161&lt;&gt;"",ISNUMBER(P161),ISNUMBER(G161),G161&gt;=0,G161&lt;=1,OR(M161="DEFENSIV",M161="PRUDENT",M161="MODERAT",M161="RIDICAT",M161="WATCH",M161="NO BET")),"YES","NO")</x:f>
        <x:v>NO</x:v>
      </x:c>
      <x:c r="Y161" s="146"/>
      <x:c r="Z161" t="str">
        <x:f>IF(AND(X161="YES",OR(M161="DEFENSIV",M161="PRUDENT",M161="MODERAT",M161="RIDICAT")),"YES","NO")</x:f>
        <x:v>NO</x:v>
      </x:c>
      <x:c r="AA161" t="str">
        <x:f>IF(NOT(ISNUMBER(H161)),"MISSING",IF(AND(ISNUMBER(H161),H161&gt;1),"VALID","INVALID"))</x:f>
        <x:v>MISSING</x:v>
      </x:c>
      <x:c r="AB161" s="144"/>
      <x:c r="AC161" t="str">
        <x:f>IF(AND(NOT(ISNUMBER(A161)),E161="",NOT(ISNUMBER(G161)),M161="",O161=""),"INPUT",IF(X161="YES","VALID","INCOMPLETE / INVALID"))</x:f>
        <x:v>INPUT</x:v>
      </x:c>
      <x:c r="AD161" t="str">
        <x:f>IF(X161="YES",P161,"")</x:f>
      </x:c>
      <x:c r="AE161" t="str">
        <x:f>IF(X161="YES",W161,"")</x:f>
      </x:c>
      <x:c r="AF161" t="str">
        <x:f>IF(X161="YES",G161,"")</x:f>
      </x:c>
      <x:c r="AG161" t="str">
        <x:f>IF(AND(Z161="YES",AA161="VALID"),Q161,"")</x:f>
      </x:c>
      <x:c r="AH161" t="str">
        <x:f>IF(AND(Z161="YES",AA161="VALID"),"YES","NO")</x:f>
        <x:v>NO</x:v>
      </x:c>
    </x:row>
    <x:row r="162" ht="15">
      <x:c r="A162" s="161"/>
      <x:c r="B162" s="2"/>
      <x:c r="C162" s="2"/>
      <x:c r="D162" s="2"/>
      <x:c r="E162" s="2"/>
      <x:c r="F162" s="8"/>
      <x:c r="G162" s="8"/>
      <x:c r="H162" s="9"/>
      <x:c r="I162" s="8"/>
      <x:c r="J162" s="8" t="str">
        <x:f t="shared" si="20">IF(OR(NOT(ISNUMBER(G162)),NOT(ISNUMBER(I162))),"",G162-I162)</x:f>
      </x:c>
      <x:c r="K162" s="8" t="str">
        <x:f t="shared" si="21">IF(OR(NOT(ISNUMBER(G162)),NOT(ISNUMBER(H162)),H162&lt;=1),"",G162*H162-1)</x:f>
      </x:c>
      <x:c r="L162" s="2"/>
      <x:c r="M162" s="2"/>
      <x:c r="N162" s="2"/>
      <x:c r="O162" s="2"/>
      <x:c r="P162" s="2" t="str">
        <x:f>IF(OR(E162="",O162=""),"",IF(NOT(OR(O162="1",O162=1,O162="X",O162="2",O162=2)),"",IF(E162="1X",IF(OR(O162="1",O162=1,O162="X"),1,0),IF(E162="X2",IF(OR(O162="X",O162="2",O162=2),1,0),IF(OR(E162="12",E162=12),IF(OR(O162="1",O162=1,O162="2",O162=2),1,0),"")))))</x:f>
      </x:c>
      <x:c r="Q162" s="9" t="str">
        <x:f t="shared" si="22">IF(OR(NOT(ISNUMBER(P162)),NOT(ISNUMBER(H162)),H162&lt;=1),"",IF(P162=1,H162-1,-1))</x:f>
      </x:c>
      <x:c r="R162" s="2"/>
      <x:c r="S162" s="2"/>
      <x:c r="T162" s="2"/>
      <x:c r="U162" s="2"/>
      <x:c r="V162" s="2"/>
      <x:c r="W162" s="14" t="str">
        <x:f t="shared" si="23">IF(OR(NOT(ISNUMBER(G162)),G162&lt;0,G162&gt;1,NOT(ISNUMBER(P162))),"",(G162-P162)^2)</x:f>
      </x:c>
      <x:c r="X162" s="2" t="str">
        <x:f t="shared" si="24">IF(AND(ISNUMBER(A162),ISNUMBER(Y162),Y162&lt;A162,AB162&lt;&gt;"",ISNUMBER(P162),ISNUMBER(G162),G162&gt;=0,G162&lt;=1,OR(M162="DEFENSIV",M162="PRUDENT",M162="MODERAT",M162="RIDICAT",M162="WATCH",M162="NO BET")),"YES","NO")</x:f>
        <x:v>NO</x:v>
      </x:c>
      <x:c r="Y162" s="146"/>
      <x:c r="Z162" t="str">
        <x:f>IF(AND(X162="YES",OR(M162="DEFENSIV",M162="PRUDENT",M162="MODERAT",M162="RIDICAT")),"YES","NO")</x:f>
        <x:v>NO</x:v>
      </x:c>
      <x:c r="AA162" t="str">
        <x:f>IF(NOT(ISNUMBER(H162)),"MISSING",IF(AND(ISNUMBER(H162),H162&gt;1),"VALID","INVALID"))</x:f>
        <x:v>MISSING</x:v>
      </x:c>
      <x:c r="AB162" s="144"/>
      <x:c r="AC162" t="str">
        <x:f>IF(AND(NOT(ISNUMBER(A162)),E162="",NOT(ISNUMBER(G162)),M162="",O162=""),"INPUT",IF(X162="YES","VALID","INCOMPLETE / INVALID"))</x:f>
        <x:v>INPUT</x:v>
      </x:c>
      <x:c r="AD162" t="str">
        <x:f>IF(X162="YES",P162,"")</x:f>
      </x:c>
      <x:c r="AE162" t="str">
        <x:f>IF(X162="YES",W162,"")</x:f>
      </x:c>
      <x:c r="AF162" t="str">
        <x:f>IF(X162="YES",G162,"")</x:f>
      </x:c>
      <x:c r="AG162" t="str">
        <x:f>IF(AND(Z162="YES",AA162="VALID"),Q162,"")</x:f>
      </x:c>
      <x:c r="AH162" t="str">
        <x:f>IF(AND(Z162="YES",AA162="VALID"),"YES","NO")</x:f>
        <x:v>NO</x:v>
      </x:c>
    </x:row>
    <x:row r="163" ht="15">
      <x:c r="A163" s="161"/>
      <x:c r="B163" s="2"/>
      <x:c r="C163" s="2"/>
      <x:c r="D163" s="2"/>
      <x:c r="E163" s="2"/>
      <x:c r="F163" s="8"/>
      <x:c r="G163" s="8"/>
      <x:c r="H163" s="9"/>
      <x:c r="I163" s="8"/>
      <x:c r="J163" s="8" t="str">
        <x:f t="shared" si="20">IF(OR(NOT(ISNUMBER(G163)),NOT(ISNUMBER(I163))),"",G163-I163)</x:f>
      </x:c>
      <x:c r="K163" s="8" t="str">
        <x:f t="shared" si="21">IF(OR(NOT(ISNUMBER(G163)),NOT(ISNUMBER(H163)),H163&lt;=1),"",G163*H163-1)</x:f>
      </x:c>
      <x:c r="L163" s="2"/>
      <x:c r="M163" s="2"/>
      <x:c r="N163" s="2"/>
      <x:c r="O163" s="2"/>
      <x:c r="P163" s="2" t="str">
        <x:f>IF(OR(E163="",O163=""),"",IF(NOT(OR(O163="1",O163=1,O163="X",O163="2",O163=2)),"",IF(E163="1X",IF(OR(O163="1",O163=1,O163="X"),1,0),IF(E163="X2",IF(OR(O163="X",O163="2",O163=2),1,0),IF(OR(E163="12",E163=12),IF(OR(O163="1",O163=1,O163="2",O163=2),1,0),"")))))</x:f>
      </x:c>
      <x:c r="Q163" s="9" t="str">
        <x:f t="shared" si="22">IF(OR(NOT(ISNUMBER(P163)),NOT(ISNUMBER(H163)),H163&lt;=1),"",IF(P163=1,H163-1,-1))</x:f>
      </x:c>
      <x:c r="R163" s="2"/>
      <x:c r="S163" s="2"/>
      <x:c r="T163" s="2"/>
      <x:c r="U163" s="2"/>
      <x:c r="V163" s="2"/>
      <x:c r="W163" s="14" t="str">
        <x:f t="shared" si="23">IF(OR(NOT(ISNUMBER(G163)),G163&lt;0,G163&gt;1,NOT(ISNUMBER(P163))),"",(G163-P163)^2)</x:f>
      </x:c>
      <x:c r="X163" s="2" t="str">
        <x:f t="shared" si="24">IF(AND(ISNUMBER(A163),ISNUMBER(Y163),Y163&lt;A163,AB163&lt;&gt;"",ISNUMBER(P163),ISNUMBER(G163),G163&gt;=0,G163&lt;=1,OR(M163="DEFENSIV",M163="PRUDENT",M163="MODERAT",M163="RIDICAT",M163="WATCH",M163="NO BET")),"YES","NO")</x:f>
        <x:v>NO</x:v>
      </x:c>
      <x:c r="Y163" s="146"/>
      <x:c r="Z163" t="str">
        <x:f>IF(AND(X163="YES",OR(M163="DEFENSIV",M163="PRUDENT",M163="MODERAT",M163="RIDICAT")),"YES","NO")</x:f>
        <x:v>NO</x:v>
      </x:c>
      <x:c r="AA163" t="str">
        <x:f>IF(NOT(ISNUMBER(H163)),"MISSING",IF(AND(ISNUMBER(H163),H163&gt;1),"VALID","INVALID"))</x:f>
        <x:v>MISSING</x:v>
      </x:c>
      <x:c r="AB163" s="144"/>
      <x:c r="AC163" t="str">
        <x:f>IF(AND(NOT(ISNUMBER(A163)),E163="",NOT(ISNUMBER(G163)),M163="",O163=""),"INPUT",IF(X163="YES","VALID","INCOMPLETE / INVALID"))</x:f>
        <x:v>INPUT</x:v>
      </x:c>
      <x:c r="AD163" t="str">
        <x:f>IF(X163="YES",P163,"")</x:f>
      </x:c>
      <x:c r="AE163" t="str">
        <x:f>IF(X163="YES",W163,"")</x:f>
      </x:c>
      <x:c r="AF163" t="str">
        <x:f>IF(X163="YES",G163,"")</x:f>
      </x:c>
      <x:c r="AG163" t="str">
        <x:f>IF(AND(Z163="YES",AA163="VALID"),Q163,"")</x:f>
      </x:c>
      <x:c r="AH163" t="str">
        <x:f>IF(AND(Z163="YES",AA163="VALID"),"YES","NO")</x:f>
        <x:v>NO</x:v>
      </x:c>
    </x:row>
    <x:row r="164" ht="15">
      <x:c r="A164" s="161"/>
      <x:c r="B164" s="2"/>
      <x:c r="C164" s="2"/>
      <x:c r="D164" s="2"/>
      <x:c r="E164" s="2"/>
      <x:c r="F164" s="8"/>
      <x:c r="G164" s="8"/>
      <x:c r="H164" s="9"/>
      <x:c r="I164" s="8"/>
      <x:c r="J164" s="8" t="str">
        <x:f t="shared" ref="J164:J195" si="25">IF(OR(NOT(ISNUMBER(G164)),NOT(ISNUMBER(I164))),"",G164-I164)</x:f>
      </x:c>
      <x:c r="K164" s="8" t="str">
        <x:f t="shared" ref="K164:K195" si="26">IF(OR(NOT(ISNUMBER(G164)),NOT(ISNUMBER(H164)),H164&lt;=1),"",G164*H164-1)</x:f>
      </x:c>
      <x:c r="L164" s="2"/>
      <x:c r="M164" s="2"/>
      <x:c r="N164" s="2"/>
      <x:c r="O164" s="2"/>
      <x:c r="P164" s="2" t="str">
        <x:f>IF(OR(E164="",O164=""),"",IF(NOT(OR(O164="1",O164=1,O164="X",O164="2",O164=2)),"",IF(E164="1X",IF(OR(O164="1",O164=1,O164="X"),1,0),IF(E164="X2",IF(OR(O164="X",O164="2",O164=2),1,0),IF(OR(E164="12",E164=12),IF(OR(O164="1",O164=1,O164="2",O164=2),1,0),"")))))</x:f>
      </x:c>
      <x:c r="Q164" s="9" t="str">
        <x:f t="shared" ref="Q164:Q195" si="27">IF(OR(NOT(ISNUMBER(P164)),NOT(ISNUMBER(H164)),H164&lt;=1),"",IF(P164=1,H164-1,-1))</x:f>
      </x:c>
      <x:c r="R164" s="2"/>
      <x:c r="S164" s="2"/>
      <x:c r="T164" s="2"/>
      <x:c r="U164" s="2"/>
      <x:c r="V164" s="2"/>
      <x:c r="W164" s="14" t="str">
        <x:f t="shared" ref="W164:W195" si="28">IF(OR(NOT(ISNUMBER(G164)),G164&lt;0,G164&gt;1,NOT(ISNUMBER(P164))),"",(G164-P164)^2)</x:f>
      </x:c>
      <x:c r="X164" s="2" t="str">
        <x:f t="shared" ref="X164:X195" si="29">IF(AND(ISNUMBER(A164),ISNUMBER(Y164),Y164&lt;A164,AB164&lt;&gt;"",ISNUMBER(P164),ISNUMBER(G164),G164&gt;=0,G164&lt;=1,OR(M164="DEFENSIV",M164="PRUDENT",M164="MODERAT",M164="RIDICAT",M164="WATCH",M164="NO BET")),"YES","NO")</x:f>
        <x:v>NO</x:v>
      </x:c>
      <x:c r="Y164" s="146"/>
      <x:c r="Z164" t="str">
        <x:f>IF(AND(X164="YES",OR(M164="DEFENSIV",M164="PRUDENT",M164="MODERAT",M164="RIDICAT")),"YES","NO")</x:f>
        <x:v>NO</x:v>
      </x:c>
      <x:c r="AA164" t="str">
        <x:f>IF(NOT(ISNUMBER(H164)),"MISSING",IF(AND(ISNUMBER(H164),H164&gt;1),"VALID","INVALID"))</x:f>
        <x:v>MISSING</x:v>
      </x:c>
      <x:c r="AB164" s="144"/>
      <x:c r="AC164" t="str">
        <x:f>IF(AND(NOT(ISNUMBER(A164)),E164="",NOT(ISNUMBER(G164)),M164="",O164=""),"INPUT",IF(X164="YES","VALID","INCOMPLETE / INVALID"))</x:f>
        <x:v>INPUT</x:v>
      </x:c>
      <x:c r="AD164" t="str">
        <x:f>IF(X164="YES",P164,"")</x:f>
      </x:c>
      <x:c r="AE164" t="str">
        <x:f>IF(X164="YES",W164,"")</x:f>
      </x:c>
      <x:c r="AF164" t="str">
        <x:f>IF(X164="YES",G164,"")</x:f>
      </x:c>
      <x:c r="AG164" t="str">
        <x:f>IF(AND(Z164="YES",AA164="VALID"),Q164,"")</x:f>
      </x:c>
      <x:c r="AH164" t="str">
        <x:f>IF(AND(Z164="YES",AA164="VALID"),"YES","NO")</x:f>
        <x:v>NO</x:v>
      </x:c>
    </x:row>
    <x:row r="165" ht="15">
      <x:c r="A165" s="161"/>
      <x:c r="B165" s="2"/>
      <x:c r="C165" s="2"/>
      <x:c r="D165" s="2"/>
      <x:c r="E165" s="2"/>
      <x:c r="F165" s="8"/>
      <x:c r="G165" s="8"/>
      <x:c r="H165" s="9"/>
      <x:c r="I165" s="8"/>
      <x:c r="J165" s="8" t="str">
        <x:f t="shared" si="25">IF(OR(NOT(ISNUMBER(G165)),NOT(ISNUMBER(I165))),"",G165-I165)</x:f>
      </x:c>
      <x:c r="K165" s="8" t="str">
        <x:f t="shared" si="26">IF(OR(NOT(ISNUMBER(G165)),NOT(ISNUMBER(H165)),H165&lt;=1),"",G165*H165-1)</x:f>
      </x:c>
      <x:c r="L165" s="2"/>
      <x:c r="M165" s="2"/>
      <x:c r="N165" s="2"/>
      <x:c r="O165" s="2"/>
      <x:c r="P165" s="2" t="str">
        <x:f>IF(OR(E165="",O165=""),"",IF(NOT(OR(O165="1",O165=1,O165="X",O165="2",O165=2)),"",IF(E165="1X",IF(OR(O165="1",O165=1,O165="X"),1,0),IF(E165="X2",IF(OR(O165="X",O165="2",O165=2),1,0),IF(OR(E165="12",E165=12),IF(OR(O165="1",O165=1,O165="2",O165=2),1,0),"")))))</x:f>
      </x:c>
      <x:c r="Q165" s="9" t="str">
        <x:f t="shared" si="27">IF(OR(NOT(ISNUMBER(P165)),NOT(ISNUMBER(H165)),H165&lt;=1),"",IF(P165=1,H165-1,-1))</x:f>
      </x:c>
      <x:c r="R165" s="2"/>
      <x:c r="S165" s="2"/>
      <x:c r="T165" s="2"/>
      <x:c r="U165" s="2"/>
      <x:c r="V165" s="2"/>
      <x:c r="W165" s="14" t="str">
        <x:f t="shared" si="28">IF(OR(NOT(ISNUMBER(G165)),G165&lt;0,G165&gt;1,NOT(ISNUMBER(P165))),"",(G165-P165)^2)</x:f>
      </x:c>
      <x:c r="X165" s="2" t="str">
        <x:f t="shared" si="29">IF(AND(ISNUMBER(A165),ISNUMBER(Y165),Y165&lt;A165,AB165&lt;&gt;"",ISNUMBER(P165),ISNUMBER(G165),G165&gt;=0,G165&lt;=1,OR(M165="DEFENSIV",M165="PRUDENT",M165="MODERAT",M165="RIDICAT",M165="WATCH",M165="NO BET")),"YES","NO")</x:f>
        <x:v>NO</x:v>
      </x:c>
      <x:c r="Y165" s="146"/>
      <x:c r="Z165" t="str">
        <x:f>IF(AND(X165="YES",OR(M165="DEFENSIV",M165="PRUDENT",M165="MODERAT",M165="RIDICAT")),"YES","NO")</x:f>
        <x:v>NO</x:v>
      </x:c>
      <x:c r="AA165" t="str">
        <x:f>IF(NOT(ISNUMBER(H165)),"MISSING",IF(AND(ISNUMBER(H165),H165&gt;1),"VALID","INVALID"))</x:f>
        <x:v>MISSING</x:v>
      </x:c>
      <x:c r="AB165" s="144"/>
      <x:c r="AC165" t="str">
        <x:f>IF(AND(NOT(ISNUMBER(A165)),E165="",NOT(ISNUMBER(G165)),M165="",O165=""),"INPUT",IF(X165="YES","VALID","INCOMPLETE / INVALID"))</x:f>
        <x:v>INPUT</x:v>
      </x:c>
      <x:c r="AD165" t="str">
        <x:f>IF(X165="YES",P165,"")</x:f>
      </x:c>
      <x:c r="AE165" t="str">
        <x:f>IF(X165="YES",W165,"")</x:f>
      </x:c>
      <x:c r="AF165" t="str">
        <x:f>IF(X165="YES",G165,"")</x:f>
      </x:c>
      <x:c r="AG165" t="str">
        <x:f>IF(AND(Z165="YES",AA165="VALID"),Q165,"")</x:f>
      </x:c>
      <x:c r="AH165" t="str">
        <x:f>IF(AND(Z165="YES",AA165="VALID"),"YES","NO")</x:f>
        <x:v>NO</x:v>
      </x:c>
    </x:row>
    <x:row r="166" ht="15">
      <x:c r="A166" s="161"/>
      <x:c r="B166" s="2"/>
      <x:c r="C166" s="2"/>
      <x:c r="D166" s="2"/>
      <x:c r="E166" s="2"/>
      <x:c r="F166" s="8"/>
      <x:c r="G166" s="8"/>
      <x:c r="H166" s="9"/>
      <x:c r="I166" s="8"/>
      <x:c r="J166" s="8" t="str">
        <x:f t="shared" si="25">IF(OR(NOT(ISNUMBER(G166)),NOT(ISNUMBER(I166))),"",G166-I166)</x:f>
      </x:c>
      <x:c r="K166" s="8" t="str">
        <x:f t="shared" si="26">IF(OR(NOT(ISNUMBER(G166)),NOT(ISNUMBER(H166)),H166&lt;=1),"",G166*H166-1)</x:f>
      </x:c>
      <x:c r="L166" s="2"/>
      <x:c r="M166" s="2"/>
      <x:c r="N166" s="2"/>
      <x:c r="O166" s="2"/>
      <x:c r="P166" s="2" t="str">
        <x:f>IF(OR(E166="",O166=""),"",IF(NOT(OR(O166="1",O166=1,O166="X",O166="2",O166=2)),"",IF(E166="1X",IF(OR(O166="1",O166=1,O166="X"),1,0),IF(E166="X2",IF(OR(O166="X",O166="2",O166=2),1,0),IF(OR(E166="12",E166=12),IF(OR(O166="1",O166=1,O166="2",O166=2),1,0),"")))))</x:f>
      </x:c>
      <x:c r="Q166" s="9" t="str">
        <x:f t="shared" si="27">IF(OR(NOT(ISNUMBER(P166)),NOT(ISNUMBER(H166)),H166&lt;=1),"",IF(P166=1,H166-1,-1))</x:f>
      </x:c>
      <x:c r="R166" s="2"/>
      <x:c r="S166" s="2"/>
      <x:c r="T166" s="2"/>
      <x:c r="U166" s="2"/>
      <x:c r="V166" s="2"/>
      <x:c r="W166" s="14" t="str">
        <x:f t="shared" si="28">IF(OR(NOT(ISNUMBER(G166)),G166&lt;0,G166&gt;1,NOT(ISNUMBER(P166))),"",(G166-P166)^2)</x:f>
      </x:c>
      <x:c r="X166" s="2" t="str">
        <x:f t="shared" si="29">IF(AND(ISNUMBER(A166),ISNUMBER(Y166),Y166&lt;A166,AB166&lt;&gt;"",ISNUMBER(P166),ISNUMBER(G166),G166&gt;=0,G166&lt;=1,OR(M166="DEFENSIV",M166="PRUDENT",M166="MODERAT",M166="RIDICAT",M166="WATCH",M166="NO BET")),"YES","NO")</x:f>
        <x:v>NO</x:v>
      </x:c>
      <x:c r="Y166" s="146"/>
      <x:c r="Z166" t="str">
        <x:f>IF(AND(X166="YES",OR(M166="DEFENSIV",M166="PRUDENT",M166="MODERAT",M166="RIDICAT")),"YES","NO")</x:f>
        <x:v>NO</x:v>
      </x:c>
      <x:c r="AA166" t="str">
        <x:f>IF(NOT(ISNUMBER(H166)),"MISSING",IF(AND(ISNUMBER(H166),H166&gt;1),"VALID","INVALID"))</x:f>
        <x:v>MISSING</x:v>
      </x:c>
      <x:c r="AB166" s="144"/>
      <x:c r="AC166" t="str">
        <x:f>IF(AND(NOT(ISNUMBER(A166)),E166="",NOT(ISNUMBER(G166)),M166="",O166=""),"INPUT",IF(X166="YES","VALID","INCOMPLETE / INVALID"))</x:f>
        <x:v>INPUT</x:v>
      </x:c>
      <x:c r="AD166" t="str">
        <x:f>IF(X166="YES",P166,"")</x:f>
      </x:c>
      <x:c r="AE166" t="str">
        <x:f>IF(X166="YES",W166,"")</x:f>
      </x:c>
      <x:c r="AF166" t="str">
        <x:f>IF(X166="YES",G166,"")</x:f>
      </x:c>
      <x:c r="AG166" t="str">
        <x:f>IF(AND(Z166="YES",AA166="VALID"),Q166,"")</x:f>
      </x:c>
      <x:c r="AH166" t="str">
        <x:f>IF(AND(Z166="YES",AA166="VALID"),"YES","NO")</x:f>
        <x:v>NO</x:v>
      </x:c>
    </x:row>
    <x:row r="167" ht="15">
      <x:c r="A167" s="161"/>
      <x:c r="B167" s="2"/>
      <x:c r="C167" s="2"/>
      <x:c r="D167" s="2"/>
      <x:c r="E167" s="2"/>
      <x:c r="F167" s="8"/>
      <x:c r="G167" s="8"/>
      <x:c r="H167" s="9"/>
      <x:c r="I167" s="8"/>
      <x:c r="J167" s="8" t="str">
        <x:f t="shared" si="25">IF(OR(NOT(ISNUMBER(G167)),NOT(ISNUMBER(I167))),"",G167-I167)</x:f>
      </x:c>
      <x:c r="K167" s="8" t="str">
        <x:f t="shared" si="26">IF(OR(NOT(ISNUMBER(G167)),NOT(ISNUMBER(H167)),H167&lt;=1),"",G167*H167-1)</x:f>
      </x:c>
      <x:c r="L167" s="2"/>
      <x:c r="M167" s="2"/>
      <x:c r="N167" s="2"/>
      <x:c r="O167" s="2"/>
      <x:c r="P167" s="2" t="str">
        <x:f>IF(OR(E167="",O167=""),"",IF(NOT(OR(O167="1",O167=1,O167="X",O167="2",O167=2)),"",IF(E167="1X",IF(OR(O167="1",O167=1,O167="X"),1,0),IF(E167="X2",IF(OR(O167="X",O167="2",O167=2),1,0),IF(OR(E167="12",E167=12),IF(OR(O167="1",O167=1,O167="2",O167=2),1,0),"")))))</x:f>
      </x:c>
      <x:c r="Q167" s="9" t="str">
        <x:f t="shared" si="27">IF(OR(NOT(ISNUMBER(P167)),NOT(ISNUMBER(H167)),H167&lt;=1),"",IF(P167=1,H167-1,-1))</x:f>
      </x:c>
      <x:c r="R167" s="2"/>
      <x:c r="S167" s="2"/>
      <x:c r="T167" s="2"/>
      <x:c r="U167" s="2"/>
      <x:c r="V167" s="2"/>
      <x:c r="W167" s="14" t="str">
        <x:f t="shared" si="28">IF(OR(NOT(ISNUMBER(G167)),G167&lt;0,G167&gt;1,NOT(ISNUMBER(P167))),"",(G167-P167)^2)</x:f>
      </x:c>
      <x:c r="X167" s="2" t="str">
        <x:f t="shared" si="29">IF(AND(ISNUMBER(A167),ISNUMBER(Y167),Y167&lt;A167,AB167&lt;&gt;"",ISNUMBER(P167),ISNUMBER(G167),G167&gt;=0,G167&lt;=1,OR(M167="DEFENSIV",M167="PRUDENT",M167="MODERAT",M167="RIDICAT",M167="WATCH",M167="NO BET")),"YES","NO")</x:f>
        <x:v>NO</x:v>
      </x:c>
      <x:c r="Y167" s="146"/>
      <x:c r="Z167" t="str">
        <x:f>IF(AND(X167="YES",OR(M167="DEFENSIV",M167="PRUDENT",M167="MODERAT",M167="RIDICAT")),"YES","NO")</x:f>
        <x:v>NO</x:v>
      </x:c>
      <x:c r="AA167" t="str">
        <x:f>IF(NOT(ISNUMBER(H167)),"MISSING",IF(AND(ISNUMBER(H167),H167&gt;1),"VALID","INVALID"))</x:f>
        <x:v>MISSING</x:v>
      </x:c>
      <x:c r="AB167" s="144"/>
      <x:c r="AC167" t="str">
        <x:f>IF(AND(NOT(ISNUMBER(A167)),E167="",NOT(ISNUMBER(G167)),M167="",O167=""),"INPUT",IF(X167="YES","VALID","INCOMPLETE / INVALID"))</x:f>
        <x:v>INPUT</x:v>
      </x:c>
      <x:c r="AD167" t="str">
        <x:f>IF(X167="YES",P167,"")</x:f>
      </x:c>
      <x:c r="AE167" t="str">
        <x:f>IF(X167="YES",W167,"")</x:f>
      </x:c>
      <x:c r="AF167" t="str">
        <x:f>IF(X167="YES",G167,"")</x:f>
      </x:c>
      <x:c r="AG167" t="str">
        <x:f>IF(AND(Z167="YES",AA167="VALID"),Q167,"")</x:f>
      </x:c>
      <x:c r="AH167" t="str">
        <x:f>IF(AND(Z167="YES",AA167="VALID"),"YES","NO")</x:f>
        <x:v>NO</x:v>
      </x:c>
    </x:row>
    <x:row r="168" ht="15">
      <x:c r="A168" s="161"/>
      <x:c r="B168" s="2"/>
      <x:c r="C168" s="2"/>
      <x:c r="D168" s="2"/>
      <x:c r="E168" s="2"/>
      <x:c r="F168" s="8"/>
      <x:c r="G168" s="8"/>
      <x:c r="H168" s="9"/>
      <x:c r="I168" s="8"/>
      <x:c r="J168" s="8" t="str">
        <x:f t="shared" si="25">IF(OR(NOT(ISNUMBER(G168)),NOT(ISNUMBER(I168))),"",G168-I168)</x:f>
      </x:c>
      <x:c r="K168" s="8" t="str">
        <x:f t="shared" si="26">IF(OR(NOT(ISNUMBER(G168)),NOT(ISNUMBER(H168)),H168&lt;=1),"",G168*H168-1)</x:f>
      </x:c>
      <x:c r="L168" s="2"/>
      <x:c r="M168" s="2"/>
      <x:c r="N168" s="2"/>
      <x:c r="O168" s="2"/>
      <x:c r="P168" s="2" t="str">
        <x:f>IF(OR(E168="",O168=""),"",IF(NOT(OR(O168="1",O168=1,O168="X",O168="2",O168=2)),"",IF(E168="1X",IF(OR(O168="1",O168=1,O168="X"),1,0),IF(E168="X2",IF(OR(O168="X",O168="2",O168=2),1,0),IF(OR(E168="12",E168=12),IF(OR(O168="1",O168=1,O168="2",O168=2),1,0),"")))))</x:f>
      </x:c>
      <x:c r="Q168" s="9" t="str">
        <x:f t="shared" si="27">IF(OR(NOT(ISNUMBER(P168)),NOT(ISNUMBER(H168)),H168&lt;=1),"",IF(P168=1,H168-1,-1))</x:f>
      </x:c>
      <x:c r="R168" s="2"/>
      <x:c r="S168" s="2"/>
      <x:c r="T168" s="2"/>
      <x:c r="U168" s="2"/>
      <x:c r="V168" s="2"/>
      <x:c r="W168" s="14" t="str">
        <x:f t="shared" si="28">IF(OR(NOT(ISNUMBER(G168)),G168&lt;0,G168&gt;1,NOT(ISNUMBER(P168))),"",(G168-P168)^2)</x:f>
      </x:c>
      <x:c r="X168" s="2" t="str">
        <x:f t="shared" si="29">IF(AND(ISNUMBER(A168),ISNUMBER(Y168),Y168&lt;A168,AB168&lt;&gt;"",ISNUMBER(P168),ISNUMBER(G168),G168&gt;=0,G168&lt;=1,OR(M168="DEFENSIV",M168="PRUDENT",M168="MODERAT",M168="RIDICAT",M168="WATCH",M168="NO BET")),"YES","NO")</x:f>
        <x:v>NO</x:v>
      </x:c>
      <x:c r="Y168" s="146"/>
      <x:c r="Z168" t="str">
        <x:f>IF(AND(X168="YES",OR(M168="DEFENSIV",M168="PRUDENT",M168="MODERAT",M168="RIDICAT")),"YES","NO")</x:f>
        <x:v>NO</x:v>
      </x:c>
      <x:c r="AA168" t="str">
        <x:f>IF(NOT(ISNUMBER(H168)),"MISSING",IF(AND(ISNUMBER(H168),H168&gt;1),"VALID","INVALID"))</x:f>
        <x:v>MISSING</x:v>
      </x:c>
      <x:c r="AB168" s="144"/>
      <x:c r="AC168" t="str">
        <x:f>IF(AND(NOT(ISNUMBER(A168)),E168="",NOT(ISNUMBER(G168)),M168="",O168=""),"INPUT",IF(X168="YES","VALID","INCOMPLETE / INVALID"))</x:f>
        <x:v>INPUT</x:v>
      </x:c>
      <x:c r="AD168" t="str">
        <x:f>IF(X168="YES",P168,"")</x:f>
      </x:c>
      <x:c r="AE168" t="str">
        <x:f>IF(X168="YES",W168,"")</x:f>
      </x:c>
      <x:c r="AF168" t="str">
        <x:f>IF(X168="YES",G168,"")</x:f>
      </x:c>
      <x:c r="AG168" t="str">
        <x:f>IF(AND(Z168="YES",AA168="VALID"),Q168,"")</x:f>
      </x:c>
      <x:c r="AH168" t="str">
        <x:f>IF(AND(Z168="YES",AA168="VALID"),"YES","NO")</x:f>
        <x:v>NO</x:v>
      </x:c>
    </x:row>
    <x:row r="169" ht="15">
      <x:c r="A169" s="161"/>
      <x:c r="B169" s="2"/>
      <x:c r="C169" s="2"/>
      <x:c r="D169" s="2"/>
      <x:c r="E169" s="2"/>
      <x:c r="F169" s="8"/>
      <x:c r="G169" s="8"/>
      <x:c r="H169" s="9"/>
      <x:c r="I169" s="8"/>
      <x:c r="J169" s="8" t="str">
        <x:f t="shared" si="25">IF(OR(NOT(ISNUMBER(G169)),NOT(ISNUMBER(I169))),"",G169-I169)</x:f>
      </x:c>
      <x:c r="K169" s="8" t="str">
        <x:f t="shared" si="26">IF(OR(NOT(ISNUMBER(G169)),NOT(ISNUMBER(H169)),H169&lt;=1),"",G169*H169-1)</x:f>
      </x:c>
      <x:c r="L169" s="2"/>
      <x:c r="M169" s="2"/>
      <x:c r="N169" s="2"/>
      <x:c r="O169" s="2"/>
      <x:c r="P169" s="2" t="str">
        <x:f>IF(OR(E169="",O169=""),"",IF(NOT(OR(O169="1",O169=1,O169="X",O169="2",O169=2)),"",IF(E169="1X",IF(OR(O169="1",O169=1,O169="X"),1,0),IF(E169="X2",IF(OR(O169="X",O169="2",O169=2),1,0),IF(OR(E169="12",E169=12),IF(OR(O169="1",O169=1,O169="2",O169=2),1,0),"")))))</x:f>
      </x:c>
      <x:c r="Q169" s="9" t="str">
        <x:f t="shared" si="27">IF(OR(NOT(ISNUMBER(P169)),NOT(ISNUMBER(H169)),H169&lt;=1),"",IF(P169=1,H169-1,-1))</x:f>
      </x:c>
      <x:c r="R169" s="2"/>
      <x:c r="S169" s="2"/>
      <x:c r="T169" s="2"/>
      <x:c r="U169" s="2"/>
      <x:c r="V169" s="2"/>
      <x:c r="W169" s="14" t="str">
        <x:f t="shared" si="28">IF(OR(NOT(ISNUMBER(G169)),G169&lt;0,G169&gt;1,NOT(ISNUMBER(P169))),"",(G169-P169)^2)</x:f>
      </x:c>
      <x:c r="X169" s="2" t="str">
        <x:f t="shared" si="29">IF(AND(ISNUMBER(A169),ISNUMBER(Y169),Y169&lt;A169,AB169&lt;&gt;"",ISNUMBER(P169),ISNUMBER(G169),G169&gt;=0,G169&lt;=1,OR(M169="DEFENSIV",M169="PRUDENT",M169="MODERAT",M169="RIDICAT",M169="WATCH",M169="NO BET")),"YES","NO")</x:f>
        <x:v>NO</x:v>
      </x:c>
      <x:c r="Y169" s="146"/>
      <x:c r="Z169" t="str">
        <x:f>IF(AND(X169="YES",OR(M169="DEFENSIV",M169="PRUDENT",M169="MODERAT",M169="RIDICAT")),"YES","NO")</x:f>
        <x:v>NO</x:v>
      </x:c>
      <x:c r="AA169" t="str">
        <x:f>IF(NOT(ISNUMBER(H169)),"MISSING",IF(AND(ISNUMBER(H169),H169&gt;1),"VALID","INVALID"))</x:f>
        <x:v>MISSING</x:v>
      </x:c>
      <x:c r="AB169" s="144"/>
      <x:c r="AC169" t="str">
        <x:f>IF(AND(NOT(ISNUMBER(A169)),E169="",NOT(ISNUMBER(G169)),M169="",O169=""),"INPUT",IF(X169="YES","VALID","INCOMPLETE / INVALID"))</x:f>
        <x:v>INPUT</x:v>
      </x:c>
      <x:c r="AD169" t="str">
        <x:f>IF(X169="YES",P169,"")</x:f>
      </x:c>
      <x:c r="AE169" t="str">
        <x:f>IF(X169="YES",W169,"")</x:f>
      </x:c>
      <x:c r="AF169" t="str">
        <x:f>IF(X169="YES",G169,"")</x:f>
      </x:c>
      <x:c r="AG169" t="str">
        <x:f>IF(AND(Z169="YES",AA169="VALID"),Q169,"")</x:f>
      </x:c>
      <x:c r="AH169" t="str">
        <x:f>IF(AND(Z169="YES",AA169="VALID"),"YES","NO")</x:f>
        <x:v>NO</x:v>
      </x:c>
    </x:row>
    <x:row r="170" ht="15">
      <x:c r="A170" s="161"/>
      <x:c r="B170" s="2"/>
      <x:c r="C170" s="2"/>
      <x:c r="D170" s="2"/>
      <x:c r="E170" s="2"/>
      <x:c r="F170" s="8"/>
      <x:c r="G170" s="8"/>
      <x:c r="H170" s="9"/>
      <x:c r="I170" s="8"/>
      <x:c r="J170" s="8" t="str">
        <x:f t="shared" si="25">IF(OR(NOT(ISNUMBER(G170)),NOT(ISNUMBER(I170))),"",G170-I170)</x:f>
      </x:c>
      <x:c r="K170" s="8" t="str">
        <x:f t="shared" si="26">IF(OR(NOT(ISNUMBER(G170)),NOT(ISNUMBER(H170)),H170&lt;=1),"",G170*H170-1)</x:f>
      </x:c>
      <x:c r="L170" s="2"/>
      <x:c r="M170" s="2"/>
      <x:c r="N170" s="2"/>
      <x:c r="O170" s="2"/>
      <x:c r="P170" s="2" t="str">
        <x:f>IF(OR(E170="",O170=""),"",IF(NOT(OR(O170="1",O170=1,O170="X",O170="2",O170=2)),"",IF(E170="1X",IF(OR(O170="1",O170=1,O170="X"),1,0),IF(E170="X2",IF(OR(O170="X",O170="2",O170=2),1,0),IF(OR(E170="12",E170=12),IF(OR(O170="1",O170=1,O170="2",O170=2),1,0),"")))))</x:f>
      </x:c>
      <x:c r="Q170" s="9" t="str">
        <x:f t="shared" si="27">IF(OR(NOT(ISNUMBER(P170)),NOT(ISNUMBER(H170)),H170&lt;=1),"",IF(P170=1,H170-1,-1))</x:f>
      </x:c>
      <x:c r="R170" s="2"/>
      <x:c r="S170" s="2"/>
      <x:c r="T170" s="2"/>
      <x:c r="U170" s="2"/>
      <x:c r="V170" s="2"/>
      <x:c r="W170" s="14" t="str">
        <x:f t="shared" si="28">IF(OR(NOT(ISNUMBER(G170)),G170&lt;0,G170&gt;1,NOT(ISNUMBER(P170))),"",(G170-P170)^2)</x:f>
      </x:c>
      <x:c r="X170" s="2" t="str">
        <x:f t="shared" si="29">IF(AND(ISNUMBER(A170),ISNUMBER(Y170),Y170&lt;A170,AB170&lt;&gt;"",ISNUMBER(P170),ISNUMBER(G170),G170&gt;=0,G170&lt;=1,OR(M170="DEFENSIV",M170="PRUDENT",M170="MODERAT",M170="RIDICAT",M170="WATCH",M170="NO BET")),"YES","NO")</x:f>
        <x:v>NO</x:v>
      </x:c>
      <x:c r="Y170" s="146"/>
      <x:c r="Z170" t="str">
        <x:f>IF(AND(X170="YES",OR(M170="DEFENSIV",M170="PRUDENT",M170="MODERAT",M170="RIDICAT")),"YES","NO")</x:f>
        <x:v>NO</x:v>
      </x:c>
      <x:c r="AA170" t="str">
        <x:f>IF(NOT(ISNUMBER(H170)),"MISSING",IF(AND(ISNUMBER(H170),H170&gt;1),"VALID","INVALID"))</x:f>
        <x:v>MISSING</x:v>
      </x:c>
      <x:c r="AB170" s="144"/>
      <x:c r="AC170" t="str">
        <x:f>IF(AND(NOT(ISNUMBER(A170)),E170="",NOT(ISNUMBER(G170)),M170="",O170=""),"INPUT",IF(X170="YES","VALID","INCOMPLETE / INVALID"))</x:f>
        <x:v>INPUT</x:v>
      </x:c>
      <x:c r="AD170" t="str">
        <x:f>IF(X170="YES",P170,"")</x:f>
      </x:c>
      <x:c r="AE170" t="str">
        <x:f>IF(X170="YES",W170,"")</x:f>
      </x:c>
      <x:c r="AF170" t="str">
        <x:f>IF(X170="YES",G170,"")</x:f>
      </x:c>
      <x:c r="AG170" t="str">
        <x:f>IF(AND(Z170="YES",AA170="VALID"),Q170,"")</x:f>
      </x:c>
      <x:c r="AH170" t="str">
        <x:f>IF(AND(Z170="YES",AA170="VALID"),"YES","NO")</x:f>
        <x:v>NO</x:v>
      </x:c>
    </x:row>
    <x:row r="171" ht="15">
      <x:c r="A171" s="161"/>
      <x:c r="B171" s="2"/>
      <x:c r="C171" s="2"/>
      <x:c r="D171" s="2"/>
      <x:c r="E171" s="2"/>
      <x:c r="F171" s="8"/>
      <x:c r="G171" s="8"/>
      <x:c r="H171" s="9"/>
      <x:c r="I171" s="8"/>
      <x:c r="J171" s="8" t="str">
        <x:f t="shared" si="25">IF(OR(NOT(ISNUMBER(G171)),NOT(ISNUMBER(I171))),"",G171-I171)</x:f>
      </x:c>
      <x:c r="K171" s="8" t="str">
        <x:f t="shared" si="26">IF(OR(NOT(ISNUMBER(G171)),NOT(ISNUMBER(H171)),H171&lt;=1),"",G171*H171-1)</x:f>
      </x:c>
      <x:c r="L171" s="2"/>
      <x:c r="M171" s="2"/>
      <x:c r="N171" s="2"/>
      <x:c r="O171" s="2"/>
      <x:c r="P171" s="2" t="str">
        <x:f>IF(OR(E171="",O171=""),"",IF(NOT(OR(O171="1",O171=1,O171="X",O171="2",O171=2)),"",IF(E171="1X",IF(OR(O171="1",O171=1,O171="X"),1,0),IF(E171="X2",IF(OR(O171="X",O171="2",O171=2),1,0),IF(OR(E171="12",E171=12),IF(OR(O171="1",O171=1,O171="2",O171=2),1,0),"")))))</x:f>
      </x:c>
      <x:c r="Q171" s="9" t="str">
        <x:f t="shared" si="27">IF(OR(NOT(ISNUMBER(P171)),NOT(ISNUMBER(H171)),H171&lt;=1),"",IF(P171=1,H171-1,-1))</x:f>
      </x:c>
      <x:c r="R171" s="2"/>
      <x:c r="S171" s="2"/>
      <x:c r="T171" s="2"/>
      <x:c r="U171" s="2"/>
      <x:c r="V171" s="2"/>
      <x:c r="W171" s="14" t="str">
        <x:f t="shared" si="28">IF(OR(NOT(ISNUMBER(G171)),G171&lt;0,G171&gt;1,NOT(ISNUMBER(P171))),"",(G171-P171)^2)</x:f>
      </x:c>
      <x:c r="X171" s="2" t="str">
        <x:f t="shared" si="29">IF(AND(ISNUMBER(A171),ISNUMBER(Y171),Y171&lt;A171,AB171&lt;&gt;"",ISNUMBER(P171),ISNUMBER(G171),G171&gt;=0,G171&lt;=1,OR(M171="DEFENSIV",M171="PRUDENT",M171="MODERAT",M171="RIDICAT",M171="WATCH",M171="NO BET")),"YES","NO")</x:f>
        <x:v>NO</x:v>
      </x:c>
      <x:c r="Y171" s="146"/>
      <x:c r="Z171" t="str">
        <x:f>IF(AND(X171="YES",OR(M171="DEFENSIV",M171="PRUDENT",M171="MODERAT",M171="RIDICAT")),"YES","NO")</x:f>
        <x:v>NO</x:v>
      </x:c>
      <x:c r="AA171" t="str">
        <x:f>IF(NOT(ISNUMBER(H171)),"MISSING",IF(AND(ISNUMBER(H171),H171&gt;1),"VALID","INVALID"))</x:f>
        <x:v>MISSING</x:v>
      </x:c>
      <x:c r="AB171" s="144"/>
      <x:c r="AC171" t="str">
        <x:f>IF(AND(NOT(ISNUMBER(A171)),E171="",NOT(ISNUMBER(G171)),M171="",O171=""),"INPUT",IF(X171="YES","VALID","INCOMPLETE / INVALID"))</x:f>
        <x:v>INPUT</x:v>
      </x:c>
      <x:c r="AD171" t="str">
        <x:f>IF(X171="YES",P171,"")</x:f>
      </x:c>
      <x:c r="AE171" t="str">
        <x:f>IF(X171="YES",W171,"")</x:f>
      </x:c>
      <x:c r="AF171" t="str">
        <x:f>IF(X171="YES",G171,"")</x:f>
      </x:c>
      <x:c r="AG171" t="str">
        <x:f>IF(AND(Z171="YES",AA171="VALID"),Q171,"")</x:f>
      </x:c>
      <x:c r="AH171" t="str">
        <x:f>IF(AND(Z171="YES",AA171="VALID"),"YES","NO")</x:f>
        <x:v>NO</x:v>
      </x:c>
    </x:row>
    <x:row r="172" ht="15">
      <x:c r="A172" s="161"/>
      <x:c r="B172" s="2"/>
      <x:c r="C172" s="2"/>
      <x:c r="D172" s="2"/>
      <x:c r="E172" s="2"/>
      <x:c r="F172" s="8"/>
      <x:c r="G172" s="8"/>
      <x:c r="H172" s="9"/>
      <x:c r="I172" s="8"/>
      <x:c r="J172" s="8" t="str">
        <x:f t="shared" si="25">IF(OR(NOT(ISNUMBER(G172)),NOT(ISNUMBER(I172))),"",G172-I172)</x:f>
      </x:c>
      <x:c r="K172" s="8" t="str">
        <x:f t="shared" si="26">IF(OR(NOT(ISNUMBER(G172)),NOT(ISNUMBER(H172)),H172&lt;=1),"",G172*H172-1)</x:f>
      </x:c>
      <x:c r="L172" s="2"/>
      <x:c r="M172" s="2"/>
      <x:c r="N172" s="2"/>
      <x:c r="O172" s="2"/>
      <x:c r="P172" s="2" t="str">
        <x:f>IF(OR(E172="",O172=""),"",IF(NOT(OR(O172="1",O172=1,O172="X",O172="2",O172=2)),"",IF(E172="1X",IF(OR(O172="1",O172=1,O172="X"),1,0),IF(E172="X2",IF(OR(O172="X",O172="2",O172=2),1,0),IF(OR(E172="12",E172=12),IF(OR(O172="1",O172=1,O172="2",O172=2),1,0),"")))))</x:f>
      </x:c>
      <x:c r="Q172" s="9" t="str">
        <x:f t="shared" si="27">IF(OR(NOT(ISNUMBER(P172)),NOT(ISNUMBER(H172)),H172&lt;=1),"",IF(P172=1,H172-1,-1))</x:f>
      </x:c>
      <x:c r="R172" s="2"/>
      <x:c r="S172" s="2"/>
      <x:c r="T172" s="2"/>
      <x:c r="U172" s="2"/>
      <x:c r="V172" s="2"/>
      <x:c r="W172" s="14" t="str">
        <x:f t="shared" si="28">IF(OR(NOT(ISNUMBER(G172)),G172&lt;0,G172&gt;1,NOT(ISNUMBER(P172))),"",(G172-P172)^2)</x:f>
      </x:c>
      <x:c r="X172" s="2" t="str">
        <x:f t="shared" si="29">IF(AND(ISNUMBER(A172),ISNUMBER(Y172),Y172&lt;A172,AB172&lt;&gt;"",ISNUMBER(P172),ISNUMBER(G172),G172&gt;=0,G172&lt;=1,OR(M172="DEFENSIV",M172="PRUDENT",M172="MODERAT",M172="RIDICAT",M172="WATCH",M172="NO BET")),"YES","NO")</x:f>
        <x:v>NO</x:v>
      </x:c>
      <x:c r="Y172" s="146"/>
      <x:c r="Z172" t="str">
        <x:f>IF(AND(X172="YES",OR(M172="DEFENSIV",M172="PRUDENT",M172="MODERAT",M172="RIDICAT")),"YES","NO")</x:f>
        <x:v>NO</x:v>
      </x:c>
      <x:c r="AA172" t="str">
        <x:f>IF(NOT(ISNUMBER(H172)),"MISSING",IF(AND(ISNUMBER(H172),H172&gt;1),"VALID","INVALID"))</x:f>
        <x:v>MISSING</x:v>
      </x:c>
      <x:c r="AB172" s="144"/>
      <x:c r="AC172" t="str">
        <x:f>IF(AND(NOT(ISNUMBER(A172)),E172="",NOT(ISNUMBER(G172)),M172="",O172=""),"INPUT",IF(X172="YES","VALID","INCOMPLETE / INVALID"))</x:f>
        <x:v>INPUT</x:v>
      </x:c>
      <x:c r="AD172" t="str">
        <x:f>IF(X172="YES",P172,"")</x:f>
      </x:c>
      <x:c r="AE172" t="str">
        <x:f>IF(X172="YES",W172,"")</x:f>
      </x:c>
      <x:c r="AF172" t="str">
        <x:f>IF(X172="YES",G172,"")</x:f>
      </x:c>
      <x:c r="AG172" t="str">
        <x:f>IF(AND(Z172="YES",AA172="VALID"),Q172,"")</x:f>
      </x:c>
      <x:c r="AH172" t="str">
        <x:f>IF(AND(Z172="YES",AA172="VALID"),"YES","NO")</x:f>
        <x:v>NO</x:v>
      </x:c>
    </x:row>
    <x:row r="173" ht="15">
      <x:c r="A173" s="161"/>
      <x:c r="B173" s="2"/>
      <x:c r="C173" s="2"/>
      <x:c r="D173" s="2"/>
      <x:c r="E173" s="2"/>
      <x:c r="F173" s="8"/>
      <x:c r="G173" s="8"/>
      <x:c r="H173" s="9"/>
      <x:c r="I173" s="8"/>
      <x:c r="J173" s="8" t="str">
        <x:f t="shared" si="25">IF(OR(NOT(ISNUMBER(G173)),NOT(ISNUMBER(I173))),"",G173-I173)</x:f>
      </x:c>
      <x:c r="K173" s="8" t="str">
        <x:f t="shared" si="26">IF(OR(NOT(ISNUMBER(G173)),NOT(ISNUMBER(H173)),H173&lt;=1),"",G173*H173-1)</x:f>
      </x:c>
      <x:c r="L173" s="2"/>
      <x:c r="M173" s="2"/>
      <x:c r="N173" s="2"/>
      <x:c r="O173" s="2"/>
      <x:c r="P173" s="2" t="str">
        <x:f>IF(OR(E173="",O173=""),"",IF(NOT(OR(O173="1",O173=1,O173="X",O173="2",O173=2)),"",IF(E173="1X",IF(OR(O173="1",O173=1,O173="X"),1,0),IF(E173="X2",IF(OR(O173="X",O173="2",O173=2),1,0),IF(OR(E173="12",E173=12),IF(OR(O173="1",O173=1,O173="2",O173=2),1,0),"")))))</x:f>
      </x:c>
      <x:c r="Q173" s="9" t="str">
        <x:f t="shared" si="27">IF(OR(NOT(ISNUMBER(P173)),NOT(ISNUMBER(H173)),H173&lt;=1),"",IF(P173=1,H173-1,-1))</x:f>
      </x:c>
      <x:c r="R173" s="2"/>
      <x:c r="S173" s="2"/>
      <x:c r="T173" s="2"/>
      <x:c r="U173" s="2"/>
      <x:c r="V173" s="2"/>
      <x:c r="W173" s="14" t="str">
        <x:f t="shared" si="28">IF(OR(NOT(ISNUMBER(G173)),G173&lt;0,G173&gt;1,NOT(ISNUMBER(P173))),"",(G173-P173)^2)</x:f>
      </x:c>
      <x:c r="X173" s="2" t="str">
        <x:f t="shared" si="29">IF(AND(ISNUMBER(A173),ISNUMBER(Y173),Y173&lt;A173,AB173&lt;&gt;"",ISNUMBER(P173),ISNUMBER(G173),G173&gt;=0,G173&lt;=1,OR(M173="DEFENSIV",M173="PRUDENT",M173="MODERAT",M173="RIDICAT",M173="WATCH",M173="NO BET")),"YES","NO")</x:f>
        <x:v>NO</x:v>
      </x:c>
      <x:c r="Y173" s="146"/>
      <x:c r="Z173" t="str">
        <x:f>IF(AND(X173="YES",OR(M173="DEFENSIV",M173="PRUDENT",M173="MODERAT",M173="RIDICAT")),"YES","NO")</x:f>
        <x:v>NO</x:v>
      </x:c>
      <x:c r="AA173" t="str">
        <x:f>IF(NOT(ISNUMBER(H173)),"MISSING",IF(AND(ISNUMBER(H173),H173&gt;1),"VALID","INVALID"))</x:f>
        <x:v>MISSING</x:v>
      </x:c>
      <x:c r="AB173" s="144"/>
      <x:c r="AC173" t="str">
        <x:f>IF(AND(NOT(ISNUMBER(A173)),E173="",NOT(ISNUMBER(G173)),M173="",O173=""),"INPUT",IF(X173="YES","VALID","INCOMPLETE / INVALID"))</x:f>
        <x:v>INPUT</x:v>
      </x:c>
      <x:c r="AD173" t="str">
        <x:f>IF(X173="YES",P173,"")</x:f>
      </x:c>
      <x:c r="AE173" t="str">
        <x:f>IF(X173="YES",W173,"")</x:f>
      </x:c>
      <x:c r="AF173" t="str">
        <x:f>IF(X173="YES",G173,"")</x:f>
      </x:c>
      <x:c r="AG173" t="str">
        <x:f>IF(AND(Z173="YES",AA173="VALID"),Q173,"")</x:f>
      </x:c>
      <x:c r="AH173" t="str">
        <x:f>IF(AND(Z173="YES",AA173="VALID"),"YES","NO")</x:f>
        <x:v>NO</x:v>
      </x:c>
    </x:row>
    <x:row r="174" ht="15">
      <x:c r="A174" s="161"/>
      <x:c r="B174" s="2"/>
      <x:c r="C174" s="2"/>
      <x:c r="D174" s="2"/>
      <x:c r="E174" s="2"/>
      <x:c r="F174" s="8"/>
      <x:c r="G174" s="8"/>
      <x:c r="H174" s="9"/>
      <x:c r="I174" s="8"/>
      <x:c r="J174" s="8" t="str">
        <x:f t="shared" si="25">IF(OR(NOT(ISNUMBER(G174)),NOT(ISNUMBER(I174))),"",G174-I174)</x:f>
      </x:c>
      <x:c r="K174" s="8" t="str">
        <x:f t="shared" si="26">IF(OR(NOT(ISNUMBER(G174)),NOT(ISNUMBER(H174)),H174&lt;=1),"",G174*H174-1)</x:f>
      </x:c>
      <x:c r="L174" s="2"/>
      <x:c r="M174" s="2"/>
      <x:c r="N174" s="2"/>
      <x:c r="O174" s="2"/>
      <x:c r="P174" s="2" t="str">
        <x:f>IF(OR(E174="",O174=""),"",IF(NOT(OR(O174="1",O174=1,O174="X",O174="2",O174=2)),"",IF(E174="1X",IF(OR(O174="1",O174=1,O174="X"),1,0),IF(E174="X2",IF(OR(O174="X",O174="2",O174=2),1,0),IF(OR(E174="12",E174=12),IF(OR(O174="1",O174=1,O174="2",O174=2),1,0),"")))))</x:f>
      </x:c>
      <x:c r="Q174" s="9" t="str">
        <x:f t="shared" si="27">IF(OR(NOT(ISNUMBER(P174)),NOT(ISNUMBER(H174)),H174&lt;=1),"",IF(P174=1,H174-1,-1))</x:f>
      </x:c>
      <x:c r="R174" s="2"/>
      <x:c r="S174" s="2"/>
      <x:c r="T174" s="2"/>
      <x:c r="U174" s="2"/>
      <x:c r="V174" s="2"/>
      <x:c r="W174" s="14" t="str">
        <x:f t="shared" si="28">IF(OR(NOT(ISNUMBER(G174)),G174&lt;0,G174&gt;1,NOT(ISNUMBER(P174))),"",(G174-P174)^2)</x:f>
      </x:c>
      <x:c r="X174" s="2" t="str">
        <x:f t="shared" si="29">IF(AND(ISNUMBER(A174),ISNUMBER(Y174),Y174&lt;A174,AB174&lt;&gt;"",ISNUMBER(P174),ISNUMBER(G174),G174&gt;=0,G174&lt;=1,OR(M174="DEFENSIV",M174="PRUDENT",M174="MODERAT",M174="RIDICAT",M174="WATCH",M174="NO BET")),"YES","NO")</x:f>
        <x:v>NO</x:v>
      </x:c>
      <x:c r="Y174" s="146"/>
      <x:c r="Z174" t="str">
        <x:f>IF(AND(X174="YES",OR(M174="DEFENSIV",M174="PRUDENT",M174="MODERAT",M174="RIDICAT")),"YES","NO")</x:f>
        <x:v>NO</x:v>
      </x:c>
      <x:c r="AA174" t="str">
        <x:f>IF(NOT(ISNUMBER(H174)),"MISSING",IF(AND(ISNUMBER(H174),H174&gt;1),"VALID","INVALID"))</x:f>
        <x:v>MISSING</x:v>
      </x:c>
      <x:c r="AB174" s="144"/>
      <x:c r="AC174" t="str">
        <x:f>IF(AND(NOT(ISNUMBER(A174)),E174="",NOT(ISNUMBER(G174)),M174="",O174=""),"INPUT",IF(X174="YES","VALID","INCOMPLETE / INVALID"))</x:f>
        <x:v>INPUT</x:v>
      </x:c>
      <x:c r="AD174" t="str">
        <x:f>IF(X174="YES",P174,"")</x:f>
      </x:c>
      <x:c r="AE174" t="str">
        <x:f>IF(X174="YES",W174,"")</x:f>
      </x:c>
      <x:c r="AF174" t="str">
        <x:f>IF(X174="YES",G174,"")</x:f>
      </x:c>
      <x:c r="AG174" t="str">
        <x:f>IF(AND(Z174="YES",AA174="VALID"),Q174,"")</x:f>
      </x:c>
      <x:c r="AH174" t="str">
        <x:f>IF(AND(Z174="YES",AA174="VALID"),"YES","NO")</x:f>
        <x:v>NO</x:v>
      </x:c>
    </x:row>
    <x:row r="175" ht="15">
      <x:c r="A175" s="161"/>
      <x:c r="B175" s="2"/>
      <x:c r="C175" s="2"/>
      <x:c r="D175" s="2"/>
      <x:c r="E175" s="2"/>
      <x:c r="F175" s="8"/>
      <x:c r="G175" s="8"/>
      <x:c r="H175" s="9"/>
      <x:c r="I175" s="8"/>
      <x:c r="J175" s="8" t="str">
        <x:f t="shared" si="25">IF(OR(NOT(ISNUMBER(G175)),NOT(ISNUMBER(I175))),"",G175-I175)</x:f>
      </x:c>
      <x:c r="K175" s="8" t="str">
        <x:f t="shared" si="26">IF(OR(NOT(ISNUMBER(G175)),NOT(ISNUMBER(H175)),H175&lt;=1),"",G175*H175-1)</x:f>
      </x:c>
      <x:c r="L175" s="2"/>
      <x:c r="M175" s="2"/>
      <x:c r="N175" s="2"/>
      <x:c r="O175" s="2"/>
      <x:c r="P175" s="2" t="str">
        <x:f>IF(OR(E175="",O175=""),"",IF(NOT(OR(O175="1",O175=1,O175="X",O175="2",O175=2)),"",IF(E175="1X",IF(OR(O175="1",O175=1,O175="X"),1,0),IF(E175="X2",IF(OR(O175="X",O175="2",O175=2),1,0),IF(OR(E175="12",E175=12),IF(OR(O175="1",O175=1,O175="2",O175=2),1,0),"")))))</x:f>
      </x:c>
      <x:c r="Q175" s="9" t="str">
        <x:f t="shared" si="27">IF(OR(NOT(ISNUMBER(P175)),NOT(ISNUMBER(H175)),H175&lt;=1),"",IF(P175=1,H175-1,-1))</x:f>
      </x:c>
      <x:c r="R175" s="2"/>
      <x:c r="S175" s="2"/>
      <x:c r="T175" s="2"/>
      <x:c r="U175" s="2"/>
      <x:c r="V175" s="2"/>
      <x:c r="W175" s="14" t="str">
        <x:f t="shared" si="28">IF(OR(NOT(ISNUMBER(G175)),G175&lt;0,G175&gt;1,NOT(ISNUMBER(P175))),"",(G175-P175)^2)</x:f>
      </x:c>
      <x:c r="X175" s="2" t="str">
        <x:f t="shared" si="29">IF(AND(ISNUMBER(A175),ISNUMBER(Y175),Y175&lt;A175,AB175&lt;&gt;"",ISNUMBER(P175),ISNUMBER(G175),G175&gt;=0,G175&lt;=1,OR(M175="DEFENSIV",M175="PRUDENT",M175="MODERAT",M175="RIDICAT",M175="WATCH",M175="NO BET")),"YES","NO")</x:f>
        <x:v>NO</x:v>
      </x:c>
      <x:c r="Y175" s="146"/>
      <x:c r="Z175" t="str">
        <x:f>IF(AND(X175="YES",OR(M175="DEFENSIV",M175="PRUDENT",M175="MODERAT",M175="RIDICAT")),"YES","NO")</x:f>
        <x:v>NO</x:v>
      </x:c>
      <x:c r="AA175" t="str">
        <x:f>IF(NOT(ISNUMBER(H175)),"MISSING",IF(AND(ISNUMBER(H175),H175&gt;1),"VALID","INVALID"))</x:f>
        <x:v>MISSING</x:v>
      </x:c>
      <x:c r="AB175" s="144"/>
      <x:c r="AC175" t="str">
        <x:f>IF(AND(NOT(ISNUMBER(A175)),E175="",NOT(ISNUMBER(G175)),M175="",O175=""),"INPUT",IF(X175="YES","VALID","INCOMPLETE / INVALID"))</x:f>
        <x:v>INPUT</x:v>
      </x:c>
      <x:c r="AD175" t="str">
        <x:f>IF(X175="YES",P175,"")</x:f>
      </x:c>
      <x:c r="AE175" t="str">
        <x:f>IF(X175="YES",W175,"")</x:f>
      </x:c>
      <x:c r="AF175" t="str">
        <x:f>IF(X175="YES",G175,"")</x:f>
      </x:c>
      <x:c r="AG175" t="str">
        <x:f>IF(AND(Z175="YES",AA175="VALID"),Q175,"")</x:f>
      </x:c>
      <x:c r="AH175" t="str">
        <x:f>IF(AND(Z175="YES",AA175="VALID"),"YES","NO")</x:f>
        <x:v>NO</x:v>
      </x:c>
    </x:row>
    <x:row r="176" ht="15">
      <x:c r="A176" s="161"/>
      <x:c r="B176" s="2"/>
      <x:c r="C176" s="2"/>
      <x:c r="D176" s="2"/>
      <x:c r="E176" s="2"/>
      <x:c r="F176" s="8"/>
      <x:c r="G176" s="8"/>
      <x:c r="H176" s="9"/>
      <x:c r="I176" s="8"/>
      <x:c r="J176" s="8" t="str">
        <x:f t="shared" si="25">IF(OR(NOT(ISNUMBER(G176)),NOT(ISNUMBER(I176))),"",G176-I176)</x:f>
      </x:c>
      <x:c r="K176" s="8" t="str">
        <x:f t="shared" si="26">IF(OR(NOT(ISNUMBER(G176)),NOT(ISNUMBER(H176)),H176&lt;=1),"",G176*H176-1)</x:f>
      </x:c>
      <x:c r="L176" s="2"/>
      <x:c r="M176" s="2"/>
      <x:c r="N176" s="2"/>
      <x:c r="O176" s="2"/>
      <x:c r="P176" s="2" t="str">
        <x:f>IF(OR(E176="",O176=""),"",IF(NOT(OR(O176="1",O176=1,O176="X",O176="2",O176=2)),"",IF(E176="1X",IF(OR(O176="1",O176=1,O176="X"),1,0),IF(E176="X2",IF(OR(O176="X",O176="2",O176=2),1,0),IF(OR(E176="12",E176=12),IF(OR(O176="1",O176=1,O176="2",O176=2),1,0),"")))))</x:f>
      </x:c>
      <x:c r="Q176" s="9" t="str">
        <x:f t="shared" si="27">IF(OR(NOT(ISNUMBER(P176)),NOT(ISNUMBER(H176)),H176&lt;=1),"",IF(P176=1,H176-1,-1))</x:f>
      </x:c>
      <x:c r="R176" s="2"/>
      <x:c r="S176" s="2"/>
      <x:c r="T176" s="2"/>
      <x:c r="U176" s="2"/>
      <x:c r="V176" s="2"/>
      <x:c r="W176" s="14" t="str">
        <x:f t="shared" si="28">IF(OR(NOT(ISNUMBER(G176)),G176&lt;0,G176&gt;1,NOT(ISNUMBER(P176))),"",(G176-P176)^2)</x:f>
      </x:c>
      <x:c r="X176" s="2" t="str">
        <x:f t="shared" si="29">IF(AND(ISNUMBER(A176),ISNUMBER(Y176),Y176&lt;A176,AB176&lt;&gt;"",ISNUMBER(P176),ISNUMBER(G176),G176&gt;=0,G176&lt;=1,OR(M176="DEFENSIV",M176="PRUDENT",M176="MODERAT",M176="RIDICAT",M176="WATCH",M176="NO BET")),"YES","NO")</x:f>
        <x:v>NO</x:v>
      </x:c>
      <x:c r="Y176" s="146"/>
      <x:c r="Z176" t="str">
        <x:f>IF(AND(X176="YES",OR(M176="DEFENSIV",M176="PRUDENT",M176="MODERAT",M176="RIDICAT")),"YES","NO")</x:f>
        <x:v>NO</x:v>
      </x:c>
      <x:c r="AA176" t="str">
        <x:f>IF(NOT(ISNUMBER(H176)),"MISSING",IF(AND(ISNUMBER(H176),H176&gt;1),"VALID","INVALID"))</x:f>
        <x:v>MISSING</x:v>
      </x:c>
      <x:c r="AB176" s="144"/>
      <x:c r="AC176" t="str">
        <x:f>IF(AND(NOT(ISNUMBER(A176)),E176="",NOT(ISNUMBER(G176)),M176="",O176=""),"INPUT",IF(X176="YES","VALID","INCOMPLETE / INVALID"))</x:f>
        <x:v>INPUT</x:v>
      </x:c>
      <x:c r="AD176" t="str">
        <x:f>IF(X176="YES",P176,"")</x:f>
      </x:c>
      <x:c r="AE176" t="str">
        <x:f>IF(X176="YES",W176,"")</x:f>
      </x:c>
      <x:c r="AF176" t="str">
        <x:f>IF(X176="YES",G176,"")</x:f>
      </x:c>
      <x:c r="AG176" t="str">
        <x:f>IF(AND(Z176="YES",AA176="VALID"),Q176,"")</x:f>
      </x:c>
      <x:c r="AH176" t="str">
        <x:f>IF(AND(Z176="YES",AA176="VALID"),"YES","NO")</x:f>
        <x:v>NO</x:v>
      </x:c>
    </x:row>
    <x:row r="177" ht="15">
      <x:c r="A177" s="161"/>
      <x:c r="B177" s="2"/>
      <x:c r="C177" s="2"/>
      <x:c r="D177" s="2"/>
      <x:c r="E177" s="2"/>
      <x:c r="F177" s="8"/>
      <x:c r="G177" s="8"/>
      <x:c r="H177" s="9"/>
      <x:c r="I177" s="8"/>
      <x:c r="J177" s="8" t="str">
        <x:f t="shared" si="25">IF(OR(NOT(ISNUMBER(G177)),NOT(ISNUMBER(I177))),"",G177-I177)</x:f>
      </x:c>
      <x:c r="K177" s="8" t="str">
        <x:f t="shared" si="26">IF(OR(NOT(ISNUMBER(G177)),NOT(ISNUMBER(H177)),H177&lt;=1),"",G177*H177-1)</x:f>
      </x:c>
      <x:c r="L177" s="2"/>
      <x:c r="M177" s="2"/>
      <x:c r="N177" s="2"/>
      <x:c r="O177" s="2"/>
      <x:c r="P177" s="2" t="str">
        <x:f>IF(OR(E177="",O177=""),"",IF(NOT(OR(O177="1",O177=1,O177="X",O177="2",O177=2)),"",IF(E177="1X",IF(OR(O177="1",O177=1,O177="X"),1,0),IF(E177="X2",IF(OR(O177="X",O177="2",O177=2),1,0),IF(OR(E177="12",E177=12),IF(OR(O177="1",O177=1,O177="2",O177=2),1,0),"")))))</x:f>
      </x:c>
      <x:c r="Q177" s="9" t="str">
        <x:f t="shared" si="27">IF(OR(NOT(ISNUMBER(P177)),NOT(ISNUMBER(H177)),H177&lt;=1),"",IF(P177=1,H177-1,-1))</x:f>
      </x:c>
      <x:c r="R177" s="2"/>
      <x:c r="S177" s="2"/>
      <x:c r="T177" s="2"/>
      <x:c r="U177" s="2"/>
      <x:c r="V177" s="2"/>
      <x:c r="W177" s="14" t="str">
        <x:f t="shared" si="28">IF(OR(NOT(ISNUMBER(G177)),G177&lt;0,G177&gt;1,NOT(ISNUMBER(P177))),"",(G177-P177)^2)</x:f>
      </x:c>
      <x:c r="X177" s="2" t="str">
        <x:f t="shared" si="29">IF(AND(ISNUMBER(A177),ISNUMBER(Y177),Y177&lt;A177,AB177&lt;&gt;"",ISNUMBER(P177),ISNUMBER(G177),G177&gt;=0,G177&lt;=1,OR(M177="DEFENSIV",M177="PRUDENT",M177="MODERAT",M177="RIDICAT",M177="WATCH",M177="NO BET")),"YES","NO")</x:f>
        <x:v>NO</x:v>
      </x:c>
      <x:c r="Y177" s="146"/>
      <x:c r="Z177" t="str">
        <x:f>IF(AND(X177="YES",OR(M177="DEFENSIV",M177="PRUDENT",M177="MODERAT",M177="RIDICAT")),"YES","NO")</x:f>
        <x:v>NO</x:v>
      </x:c>
      <x:c r="AA177" t="str">
        <x:f>IF(NOT(ISNUMBER(H177)),"MISSING",IF(AND(ISNUMBER(H177),H177&gt;1),"VALID","INVALID"))</x:f>
        <x:v>MISSING</x:v>
      </x:c>
      <x:c r="AB177" s="144"/>
      <x:c r="AC177" t="str">
        <x:f>IF(AND(NOT(ISNUMBER(A177)),E177="",NOT(ISNUMBER(G177)),M177="",O177=""),"INPUT",IF(X177="YES","VALID","INCOMPLETE / INVALID"))</x:f>
        <x:v>INPUT</x:v>
      </x:c>
      <x:c r="AD177" t="str">
        <x:f>IF(X177="YES",P177,"")</x:f>
      </x:c>
      <x:c r="AE177" t="str">
        <x:f>IF(X177="YES",W177,"")</x:f>
      </x:c>
      <x:c r="AF177" t="str">
        <x:f>IF(X177="YES",G177,"")</x:f>
      </x:c>
      <x:c r="AG177" t="str">
        <x:f>IF(AND(Z177="YES",AA177="VALID"),Q177,"")</x:f>
      </x:c>
      <x:c r="AH177" t="str">
        <x:f>IF(AND(Z177="YES",AA177="VALID"),"YES","NO")</x:f>
        <x:v>NO</x:v>
      </x:c>
    </x:row>
    <x:row r="178" ht="15">
      <x:c r="A178" s="161"/>
      <x:c r="B178" s="2"/>
      <x:c r="C178" s="2"/>
      <x:c r="D178" s="2"/>
      <x:c r="E178" s="2"/>
      <x:c r="F178" s="8"/>
      <x:c r="G178" s="8"/>
      <x:c r="H178" s="9"/>
      <x:c r="I178" s="8"/>
      <x:c r="J178" s="8" t="str">
        <x:f t="shared" si="25">IF(OR(NOT(ISNUMBER(G178)),NOT(ISNUMBER(I178))),"",G178-I178)</x:f>
      </x:c>
      <x:c r="K178" s="8" t="str">
        <x:f t="shared" si="26">IF(OR(NOT(ISNUMBER(G178)),NOT(ISNUMBER(H178)),H178&lt;=1),"",G178*H178-1)</x:f>
      </x:c>
      <x:c r="L178" s="2"/>
      <x:c r="M178" s="2"/>
      <x:c r="N178" s="2"/>
      <x:c r="O178" s="2"/>
      <x:c r="P178" s="2" t="str">
        <x:f>IF(OR(E178="",O178=""),"",IF(NOT(OR(O178="1",O178=1,O178="X",O178="2",O178=2)),"",IF(E178="1X",IF(OR(O178="1",O178=1,O178="X"),1,0),IF(E178="X2",IF(OR(O178="X",O178="2",O178=2),1,0),IF(OR(E178="12",E178=12),IF(OR(O178="1",O178=1,O178="2",O178=2),1,0),"")))))</x:f>
      </x:c>
      <x:c r="Q178" s="9" t="str">
        <x:f t="shared" si="27">IF(OR(NOT(ISNUMBER(P178)),NOT(ISNUMBER(H178)),H178&lt;=1),"",IF(P178=1,H178-1,-1))</x:f>
      </x:c>
      <x:c r="R178" s="2"/>
      <x:c r="S178" s="2"/>
      <x:c r="T178" s="2"/>
      <x:c r="U178" s="2"/>
      <x:c r="V178" s="2"/>
      <x:c r="W178" s="14" t="str">
        <x:f t="shared" si="28">IF(OR(NOT(ISNUMBER(G178)),G178&lt;0,G178&gt;1,NOT(ISNUMBER(P178))),"",(G178-P178)^2)</x:f>
      </x:c>
      <x:c r="X178" s="2" t="str">
        <x:f t="shared" si="29">IF(AND(ISNUMBER(A178),ISNUMBER(Y178),Y178&lt;A178,AB178&lt;&gt;"",ISNUMBER(P178),ISNUMBER(G178),G178&gt;=0,G178&lt;=1,OR(M178="DEFENSIV",M178="PRUDENT",M178="MODERAT",M178="RIDICAT",M178="WATCH",M178="NO BET")),"YES","NO")</x:f>
        <x:v>NO</x:v>
      </x:c>
      <x:c r="Y178" s="146"/>
      <x:c r="Z178" t="str">
        <x:f>IF(AND(X178="YES",OR(M178="DEFENSIV",M178="PRUDENT",M178="MODERAT",M178="RIDICAT")),"YES","NO")</x:f>
        <x:v>NO</x:v>
      </x:c>
      <x:c r="AA178" t="str">
        <x:f>IF(NOT(ISNUMBER(H178)),"MISSING",IF(AND(ISNUMBER(H178),H178&gt;1),"VALID","INVALID"))</x:f>
        <x:v>MISSING</x:v>
      </x:c>
      <x:c r="AB178" s="144"/>
      <x:c r="AC178" t="str">
        <x:f>IF(AND(NOT(ISNUMBER(A178)),E178="",NOT(ISNUMBER(G178)),M178="",O178=""),"INPUT",IF(X178="YES","VALID","INCOMPLETE / INVALID"))</x:f>
        <x:v>INPUT</x:v>
      </x:c>
      <x:c r="AD178" t="str">
        <x:f>IF(X178="YES",P178,"")</x:f>
      </x:c>
      <x:c r="AE178" t="str">
        <x:f>IF(X178="YES",W178,"")</x:f>
      </x:c>
      <x:c r="AF178" t="str">
        <x:f>IF(X178="YES",G178,"")</x:f>
      </x:c>
      <x:c r="AG178" t="str">
        <x:f>IF(AND(Z178="YES",AA178="VALID"),Q178,"")</x:f>
      </x:c>
      <x:c r="AH178" t="str">
        <x:f>IF(AND(Z178="YES",AA178="VALID"),"YES","NO")</x:f>
        <x:v>NO</x:v>
      </x:c>
    </x:row>
    <x:row r="179" ht="15">
      <x:c r="A179" s="161"/>
      <x:c r="B179" s="2"/>
      <x:c r="C179" s="2"/>
      <x:c r="D179" s="2"/>
      <x:c r="E179" s="2"/>
      <x:c r="F179" s="8"/>
      <x:c r="G179" s="8"/>
      <x:c r="H179" s="9"/>
      <x:c r="I179" s="8"/>
      <x:c r="J179" s="8" t="str">
        <x:f t="shared" si="25">IF(OR(NOT(ISNUMBER(G179)),NOT(ISNUMBER(I179))),"",G179-I179)</x:f>
      </x:c>
      <x:c r="K179" s="8" t="str">
        <x:f t="shared" si="26">IF(OR(NOT(ISNUMBER(G179)),NOT(ISNUMBER(H179)),H179&lt;=1),"",G179*H179-1)</x:f>
      </x:c>
      <x:c r="L179" s="2"/>
      <x:c r="M179" s="2"/>
      <x:c r="N179" s="2"/>
      <x:c r="O179" s="2"/>
      <x:c r="P179" s="2" t="str">
        <x:f>IF(OR(E179="",O179=""),"",IF(NOT(OR(O179="1",O179=1,O179="X",O179="2",O179=2)),"",IF(E179="1X",IF(OR(O179="1",O179=1,O179="X"),1,0),IF(E179="X2",IF(OR(O179="X",O179="2",O179=2),1,0),IF(OR(E179="12",E179=12),IF(OR(O179="1",O179=1,O179="2",O179=2),1,0),"")))))</x:f>
      </x:c>
      <x:c r="Q179" s="9" t="str">
        <x:f t="shared" si="27">IF(OR(NOT(ISNUMBER(P179)),NOT(ISNUMBER(H179)),H179&lt;=1),"",IF(P179=1,H179-1,-1))</x:f>
      </x:c>
      <x:c r="R179" s="2"/>
      <x:c r="S179" s="2"/>
      <x:c r="T179" s="2"/>
      <x:c r="U179" s="2"/>
      <x:c r="V179" s="2"/>
      <x:c r="W179" s="14" t="str">
        <x:f t="shared" si="28">IF(OR(NOT(ISNUMBER(G179)),G179&lt;0,G179&gt;1,NOT(ISNUMBER(P179))),"",(G179-P179)^2)</x:f>
      </x:c>
      <x:c r="X179" s="2" t="str">
        <x:f t="shared" si="29">IF(AND(ISNUMBER(A179),ISNUMBER(Y179),Y179&lt;A179,AB179&lt;&gt;"",ISNUMBER(P179),ISNUMBER(G179),G179&gt;=0,G179&lt;=1,OR(M179="DEFENSIV",M179="PRUDENT",M179="MODERAT",M179="RIDICAT",M179="WATCH",M179="NO BET")),"YES","NO")</x:f>
        <x:v>NO</x:v>
      </x:c>
      <x:c r="Y179" s="146"/>
      <x:c r="Z179" t="str">
        <x:f>IF(AND(X179="YES",OR(M179="DEFENSIV",M179="PRUDENT",M179="MODERAT",M179="RIDICAT")),"YES","NO")</x:f>
        <x:v>NO</x:v>
      </x:c>
      <x:c r="AA179" t="str">
        <x:f>IF(NOT(ISNUMBER(H179)),"MISSING",IF(AND(ISNUMBER(H179),H179&gt;1),"VALID","INVALID"))</x:f>
        <x:v>MISSING</x:v>
      </x:c>
      <x:c r="AB179" s="144"/>
      <x:c r="AC179" t="str">
        <x:f>IF(AND(NOT(ISNUMBER(A179)),E179="",NOT(ISNUMBER(G179)),M179="",O179=""),"INPUT",IF(X179="YES","VALID","INCOMPLETE / INVALID"))</x:f>
        <x:v>INPUT</x:v>
      </x:c>
      <x:c r="AD179" t="str">
        <x:f>IF(X179="YES",P179,"")</x:f>
      </x:c>
      <x:c r="AE179" t="str">
        <x:f>IF(X179="YES",W179,"")</x:f>
      </x:c>
      <x:c r="AF179" t="str">
        <x:f>IF(X179="YES",G179,"")</x:f>
      </x:c>
      <x:c r="AG179" t="str">
        <x:f>IF(AND(Z179="YES",AA179="VALID"),Q179,"")</x:f>
      </x:c>
      <x:c r="AH179" t="str">
        <x:f>IF(AND(Z179="YES",AA179="VALID"),"YES","NO")</x:f>
        <x:v>NO</x:v>
      </x:c>
    </x:row>
    <x:row r="180" ht="15">
      <x:c r="A180" s="161"/>
      <x:c r="B180" s="2"/>
      <x:c r="C180" s="2"/>
      <x:c r="D180" s="2"/>
      <x:c r="E180" s="2"/>
      <x:c r="F180" s="8"/>
      <x:c r="G180" s="8"/>
      <x:c r="H180" s="9"/>
      <x:c r="I180" s="8"/>
      <x:c r="J180" s="8" t="str">
        <x:f t="shared" si="25">IF(OR(NOT(ISNUMBER(G180)),NOT(ISNUMBER(I180))),"",G180-I180)</x:f>
      </x:c>
      <x:c r="K180" s="8" t="str">
        <x:f t="shared" si="26">IF(OR(NOT(ISNUMBER(G180)),NOT(ISNUMBER(H180)),H180&lt;=1),"",G180*H180-1)</x:f>
      </x:c>
      <x:c r="L180" s="2"/>
      <x:c r="M180" s="2"/>
      <x:c r="N180" s="2"/>
      <x:c r="O180" s="2"/>
      <x:c r="P180" s="2" t="str">
        <x:f>IF(OR(E180="",O180=""),"",IF(NOT(OR(O180="1",O180=1,O180="X",O180="2",O180=2)),"",IF(E180="1X",IF(OR(O180="1",O180=1,O180="X"),1,0),IF(E180="X2",IF(OR(O180="X",O180="2",O180=2),1,0),IF(OR(E180="12",E180=12),IF(OR(O180="1",O180=1,O180="2",O180=2),1,0),"")))))</x:f>
      </x:c>
      <x:c r="Q180" s="9" t="str">
        <x:f t="shared" si="27">IF(OR(NOT(ISNUMBER(P180)),NOT(ISNUMBER(H180)),H180&lt;=1),"",IF(P180=1,H180-1,-1))</x:f>
      </x:c>
      <x:c r="R180" s="2"/>
      <x:c r="S180" s="2"/>
      <x:c r="T180" s="2"/>
      <x:c r="U180" s="2"/>
      <x:c r="V180" s="2"/>
      <x:c r="W180" s="14" t="str">
        <x:f t="shared" si="28">IF(OR(NOT(ISNUMBER(G180)),G180&lt;0,G180&gt;1,NOT(ISNUMBER(P180))),"",(G180-P180)^2)</x:f>
      </x:c>
      <x:c r="X180" s="2" t="str">
        <x:f t="shared" si="29">IF(AND(ISNUMBER(A180),ISNUMBER(Y180),Y180&lt;A180,AB180&lt;&gt;"",ISNUMBER(P180),ISNUMBER(G180),G180&gt;=0,G180&lt;=1,OR(M180="DEFENSIV",M180="PRUDENT",M180="MODERAT",M180="RIDICAT",M180="WATCH",M180="NO BET")),"YES","NO")</x:f>
        <x:v>NO</x:v>
      </x:c>
      <x:c r="Y180" s="146"/>
      <x:c r="Z180" t="str">
        <x:f>IF(AND(X180="YES",OR(M180="DEFENSIV",M180="PRUDENT",M180="MODERAT",M180="RIDICAT")),"YES","NO")</x:f>
        <x:v>NO</x:v>
      </x:c>
      <x:c r="AA180" t="str">
        <x:f>IF(NOT(ISNUMBER(H180)),"MISSING",IF(AND(ISNUMBER(H180),H180&gt;1),"VALID","INVALID"))</x:f>
        <x:v>MISSING</x:v>
      </x:c>
      <x:c r="AB180" s="144"/>
      <x:c r="AC180" t="str">
        <x:f>IF(AND(NOT(ISNUMBER(A180)),E180="",NOT(ISNUMBER(G180)),M180="",O180=""),"INPUT",IF(X180="YES","VALID","INCOMPLETE / INVALID"))</x:f>
        <x:v>INPUT</x:v>
      </x:c>
      <x:c r="AD180" t="str">
        <x:f>IF(X180="YES",P180,"")</x:f>
      </x:c>
      <x:c r="AE180" t="str">
        <x:f>IF(X180="YES",W180,"")</x:f>
      </x:c>
      <x:c r="AF180" t="str">
        <x:f>IF(X180="YES",G180,"")</x:f>
      </x:c>
      <x:c r="AG180" t="str">
        <x:f>IF(AND(Z180="YES",AA180="VALID"),Q180,"")</x:f>
      </x:c>
      <x:c r="AH180" t="str">
        <x:f>IF(AND(Z180="YES",AA180="VALID"),"YES","NO")</x:f>
        <x:v>NO</x:v>
      </x:c>
    </x:row>
    <x:row r="181" ht="15">
      <x:c r="A181" s="161"/>
      <x:c r="B181" s="2"/>
      <x:c r="C181" s="2"/>
      <x:c r="D181" s="2"/>
      <x:c r="E181" s="2"/>
      <x:c r="F181" s="8"/>
      <x:c r="G181" s="8"/>
      <x:c r="H181" s="9"/>
      <x:c r="I181" s="8"/>
      <x:c r="J181" s="8" t="str">
        <x:f t="shared" si="25">IF(OR(NOT(ISNUMBER(G181)),NOT(ISNUMBER(I181))),"",G181-I181)</x:f>
      </x:c>
      <x:c r="K181" s="8" t="str">
        <x:f t="shared" si="26">IF(OR(NOT(ISNUMBER(G181)),NOT(ISNUMBER(H181)),H181&lt;=1),"",G181*H181-1)</x:f>
      </x:c>
      <x:c r="L181" s="2"/>
      <x:c r="M181" s="2"/>
      <x:c r="N181" s="2"/>
      <x:c r="O181" s="2"/>
      <x:c r="P181" s="2" t="str">
        <x:f>IF(OR(E181="",O181=""),"",IF(NOT(OR(O181="1",O181=1,O181="X",O181="2",O181=2)),"",IF(E181="1X",IF(OR(O181="1",O181=1,O181="X"),1,0),IF(E181="X2",IF(OR(O181="X",O181="2",O181=2),1,0),IF(OR(E181="12",E181=12),IF(OR(O181="1",O181=1,O181="2",O181=2),1,0),"")))))</x:f>
      </x:c>
      <x:c r="Q181" s="9" t="str">
        <x:f t="shared" si="27">IF(OR(NOT(ISNUMBER(P181)),NOT(ISNUMBER(H181)),H181&lt;=1),"",IF(P181=1,H181-1,-1))</x:f>
      </x:c>
      <x:c r="R181" s="2"/>
      <x:c r="S181" s="2"/>
      <x:c r="T181" s="2"/>
      <x:c r="U181" s="2"/>
      <x:c r="V181" s="2"/>
      <x:c r="W181" s="14" t="str">
        <x:f t="shared" si="28">IF(OR(NOT(ISNUMBER(G181)),G181&lt;0,G181&gt;1,NOT(ISNUMBER(P181))),"",(G181-P181)^2)</x:f>
      </x:c>
      <x:c r="X181" s="2" t="str">
        <x:f t="shared" si="29">IF(AND(ISNUMBER(A181),ISNUMBER(Y181),Y181&lt;A181,AB181&lt;&gt;"",ISNUMBER(P181),ISNUMBER(G181),G181&gt;=0,G181&lt;=1,OR(M181="DEFENSIV",M181="PRUDENT",M181="MODERAT",M181="RIDICAT",M181="WATCH",M181="NO BET")),"YES","NO")</x:f>
        <x:v>NO</x:v>
      </x:c>
      <x:c r="Y181" s="146"/>
      <x:c r="Z181" t="str">
        <x:f>IF(AND(X181="YES",OR(M181="DEFENSIV",M181="PRUDENT",M181="MODERAT",M181="RIDICAT")),"YES","NO")</x:f>
        <x:v>NO</x:v>
      </x:c>
      <x:c r="AA181" t="str">
        <x:f>IF(NOT(ISNUMBER(H181)),"MISSING",IF(AND(ISNUMBER(H181),H181&gt;1),"VALID","INVALID"))</x:f>
        <x:v>MISSING</x:v>
      </x:c>
      <x:c r="AB181" s="144"/>
      <x:c r="AC181" t="str">
        <x:f>IF(AND(NOT(ISNUMBER(A181)),E181="",NOT(ISNUMBER(G181)),M181="",O181=""),"INPUT",IF(X181="YES","VALID","INCOMPLETE / INVALID"))</x:f>
        <x:v>INPUT</x:v>
      </x:c>
      <x:c r="AD181" t="str">
        <x:f>IF(X181="YES",P181,"")</x:f>
      </x:c>
      <x:c r="AE181" t="str">
        <x:f>IF(X181="YES",W181,"")</x:f>
      </x:c>
      <x:c r="AF181" t="str">
        <x:f>IF(X181="YES",G181,"")</x:f>
      </x:c>
      <x:c r="AG181" t="str">
        <x:f>IF(AND(Z181="YES",AA181="VALID"),Q181,"")</x:f>
      </x:c>
      <x:c r="AH181" t="str">
        <x:f>IF(AND(Z181="YES",AA181="VALID"),"YES","NO")</x:f>
        <x:v>NO</x:v>
      </x:c>
    </x:row>
    <x:row r="182" ht="15">
      <x:c r="A182" s="161"/>
      <x:c r="B182" s="2"/>
      <x:c r="C182" s="2"/>
      <x:c r="D182" s="2"/>
      <x:c r="E182" s="2"/>
      <x:c r="F182" s="8"/>
      <x:c r="G182" s="8"/>
      <x:c r="H182" s="9"/>
      <x:c r="I182" s="8"/>
      <x:c r="J182" s="8" t="str">
        <x:f t="shared" si="25">IF(OR(NOT(ISNUMBER(G182)),NOT(ISNUMBER(I182))),"",G182-I182)</x:f>
      </x:c>
      <x:c r="K182" s="8" t="str">
        <x:f t="shared" si="26">IF(OR(NOT(ISNUMBER(G182)),NOT(ISNUMBER(H182)),H182&lt;=1),"",G182*H182-1)</x:f>
      </x:c>
      <x:c r="L182" s="2"/>
      <x:c r="M182" s="2"/>
      <x:c r="N182" s="2"/>
      <x:c r="O182" s="2"/>
      <x:c r="P182" s="2" t="str">
        <x:f>IF(OR(E182="",O182=""),"",IF(NOT(OR(O182="1",O182=1,O182="X",O182="2",O182=2)),"",IF(E182="1X",IF(OR(O182="1",O182=1,O182="X"),1,0),IF(E182="X2",IF(OR(O182="X",O182="2",O182=2),1,0),IF(OR(E182="12",E182=12),IF(OR(O182="1",O182=1,O182="2",O182=2),1,0),"")))))</x:f>
      </x:c>
      <x:c r="Q182" s="9" t="str">
        <x:f t="shared" si="27">IF(OR(NOT(ISNUMBER(P182)),NOT(ISNUMBER(H182)),H182&lt;=1),"",IF(P182=1,H182-1,-1))</x:f>
      </x:c>
      <x:c r="R182" s="2"/>
      <x:c r="S182" s="2"/>
      <x:c r="T182" s="2"/>
      <x:c r="U182" s="2"/>
      <x:c r="V182" s="2"/>
      <x:c r="W182" s="14" t="str">
        <x:f t="shared" si="28">IF(OR(NOT(ISNUMBER(G182)),G182&lt;0,G182&gt;1,NOT(ISNUMBER(P182))),"",(G182-P182)^2)</x:f>
      </x:c>
      <x:c r="X182" s="2" t="str">
        <x:f t="shared" si="29">IF(AND(ISNUMBER(A182),ISNUMBER(Y182),Y182&lt;A182,AB182&lt;&gt;"",ISNUMBER(P182),ISNUMBER(G182),G182&gt;=0,G182&lt;=1,OR(M182="DEFENSIV",M182="PRUDENT",M182="MODERAT",M182="RIDICAT",M182="WATCH",M182="NO BET")),"YES","NO")</x:f>
        <x:v>NO</x:v>
      </x:c>
      <x:c r="Y182" s="146"/>
      <x:c r="Z182" t="str">
        <x:f>IF(AND(X182="YES",OR(M182="DEFENSIV",M182="PRUDENT",M182="MODERAT",M182="RIDICAT")),"YES","NO")</x:f>
        <x:v>NO</x:v>
      </x:c>
      <x:c r="AA182" t="str">
        <x:f>IF(NOT(ISNUMBER(H182)),"MISSING",IF(AND(ISNUMBER(H182),H182&gt;1),"VALID","INVALID"))</x:f>
        <x:v>MISSING</x:v>
      </x:c>
      <x:c r="AB182" s="144"/>
      <x:c r="AC182" t="str">
        <x:f>IF(AND(NOT(ISNUMBER(A182)),E182="",NOT(ISNUMBER(G182)),M182="",O182=""),"INPUT",IF(X182="YES","VALID","INCOMPLETE / INVALID"))</x:f>
        <x:v>INPUT</x:v>
      </x:c>
      <x:c r="AD182" t="str">
        <x:f>IF(X182="YES",P182,"")</x:f>
      </x:c>
      <x:c r="AE182" t="str">
        <x:f>IF(X182="YES",W182,"")</x:f>
      </x:c>
      <x:c r="AF182" t="str">
        <x:f>IF(X182="YES",G182,"")</x:f>
      </x:c>
      <x:c r="AG182" t="str">
        <x:f>IF(AND(Z182="YES",AA182="VALID"),Q182,"")</x:f>
      </x:c>
      <x:c r="AH182" t="str">
        <x:f>IF(AND(Z182="YES",AA182="VALID"),"YES","NO")</x:f>
        <x:v>NO</x:v>
      </x:c>
    </x:row>
    <x:row r="183" ht="15">
      <x:c r="A183" s="161"/>
      <x:c r="B183" s="2"/>
      <x:c r="C183" s="2"/>
      <x:c r="D183" s="2"/>
      <x:c r="E183" s="2"/>
      <x:c r="F183" s="8"/>
      <x:c r="G183" s="8"/>
      <x:c r="H183" s="9"/>
      <x:c r="I183" s="8"/>
      <x:c r="J183" s="8" t="str">
        <x:f t="shared" si="25">IF(OR(NOT(ISNUMBER(G183)),NOT(ISNUMBER(I183))),"",G183-I183)</x:f>
      </x:c>
      <x:c r="K183" s="8" t="str">
        <x:f t="shared" si="26">IF(OR(NOT(ISNUMBER(G183)),NOT(ISNUMBER(H183)),H183&lt;=1),"",G183*H183-1)</x:f>
      </x:c>
      <x:c r="L183" s="2"/>
      <x:c r="M183" s="2"/>
      <x:c r="N183" s="2"/>
      <x:c r="O183" s="2"/>
      <x:c r="P183" s="2" t="str">
        <x:f>IF(OR(E183="",O183=""),"",IF(NOT(OR(O183="1",O183=1,O183="X",O183="2",O183=2)),"",IF(E183="1X",IF(OR(O183="1",O183=1,O183="X"),1,0),IF(E183="X2",IF(OR(O183="X",O183="2",O183=2),1,0),IF(OR(E183="12",E183=12),IF(OR(O183="1",O183=1,O183="2",O183=2),1,0),"")))))</x:f>
      </x:c>
      <x:c r="Q183" s="9" t="str">
        <x:f t="shared" si="27">IF(OR(NOT(ISNUMBER(P183)),NOT(ISNUMBER(H183)),H183&lt;=1),"",IF(P183=1,H183-1,-1))</x:f>
      </x:c>
      <x:c r="R183" s="2"/>
      <x:c r="S183" s="2"/>
      <x:c r="T183" s="2"/>
      <x:c r="U183" s="2"/>
      <x:c r="V183" s="2"/>
      <x:c r="W183" s="14" t="str">
        <x:f t="shared" si="28">IF(OR(NOT(ISNUMBER(G183)),G183&lt;0,G183&gt;1,NOT(ISNUMBER(P183))),"",(G183-P183)^2)</x:f>
      </x:c>
      <x:c r="X183" s="2" t="str">
        <x:f t="shared" si="29">IF(AND(ISNUMBER(A183),ISNUMBER(Y183),Y183&lt;A183,AB183&lt;&gt;"",ISNUMBER(P183),ISNUMBER(G183),G183&gt;=0,G183&lt;=1,OR(M183="DEFENSIV",M183="PRUDENT",M183="MODERAT",M183="RIDICAT",M183="WATCH",M183="NO BET")),"YES","NO")</x:f>
        <x:v>NO</x:v>
      </x:c>
      <x:c r="Y183" s="146"/>
      <x:c r="Z183" t="str">
        <x:f>IF(AND(X183="YES",OR(M183="DEFENSIV",M183="PRUDENT",M183="MODERAT",M183="RIDICAT")),"YES","NO")</x:f>
        <x:v>NO</x:v>
      </x:c>
      <x:c r="AA183" t="str">
        <x:f>IF(NOT(ISNUMBER(H183)),"MISSING",IF(AND(ISNUMBER(H183),H183&gt;1),"VALID","INVALID"))</x:f>
        <x:v>MISSING</x:v>
      </x:c>
      <x:c r="AB183" s="144"/>
      <x:c r="AC183" t="str">
        <x:f>IF(AND(NOT(ISNUMBER(A183)),E183="",NOT(ISNUMBER(G183)),M183="",O183=""),"INPUT",IF(X183="YES","VALID","INCOMPLETE / INVALID"))</x:f>
        <x:v>INPUT</x:v>
      </x:c>
      <x:c r="AD183" t="str">
        <x:f>IF(X183="YES",P183,"")</x:f>
      </x:c>
      <x:c r="AE183" t="str">
        <x:f>IF(X183="YES",W183,"")</x:f>
      </x:c>
      <x:c r="AF183" t="str">
        <x:f>IF(X183="YES",G183,"")</x:f>
      </x:c>
      <x:c r="AG183" t="str">
        <x:f>IF(AND(Z183="YES",AA183="VALID"),Q183,"")</x:f>
      </x:c>
      <x:c r="AH183" t="str">
        <x:f>IF(AND(Z183="YES",AA183="VALID"),"YES","NO")</x:f>
        <x:v>NO</x:v>
      </x:c>
    </x:row>
    <x:row r="184" ht="15">
      <x:c r="A184" s="161"/>
      <x:c r="B184" s="2"/>
      <x:c r="C184" s="2"/>
      <x:c r="D184" s="2"/>
      <x:c r="E184" s="2"/>
      <x:c r="F184" s="8"/>
      <x:c r="G184" s="8"/>
      <x:c r="H184" s="9"/>
      <x:c r="I184" s="8"/>
      <x:c r="J184" s="8" t="str">
        <x:f t="shared" si="25">IF(OR(NOT(ISNUMBER(G184)),NOT(ISNUMBER(I184))),"",G184-I184)</x:f>
      </x:c>
      <x:c r="K184" s="8" t="str">
        <x:f t="shared" si="26">IF(OR(NOT(ISNUMBER(G184)),NOT(ISNUMBER(H184)),H184&lt;=1),"",G184*H184-1)</x:f>
      </x:c>
      <x:c r="L184" s="2"/>
      <x:c r="M184" s="2"/>
      <x:c r="N184" s="2"/>
      <x:c r="O184" s="2"/>
      <x:c r="P184" s="2" t="str">
        <x:f>IF(OR(E184="",O184=""),"",IF(NOT(OR(O184="1",O184=1,O184="X",O184="2",O184=2)),"",IF(E184="1X",IF(OR(O184="1",O184=1,O184="X"),1,0),IF(E184="X2",IF(OR(O184="X",O184="2",O184=2),1,0),IF(OR(E184="12",E184=12),IF(OR(O184="1",O184=1,O184="2",O184=2),1,0),"")))))</x:f>
      </x:c>
      <x:c r="Q184" s="9" t="str">
        <x:f t="shared" si="27">IF(OR(NOT(ISNUMBER(P184)),NOT(ISNUMBER(H184)),H184&lt;=1),"",IF(P184=1,H184-1,-1))</x:f>
      </x:c>
      <x:c r="R184" s="2"/>
      <x:c r="S184" s="2"/>
      <x:c r="T184" s="2"/>
      <x:c r="U184" s="2"/>
      <x:c r="V184" s="2"/>
      <x:c r="W184" s="14" t="str">
        <x:f t="shared" si="28">IF(OR(NOT(ISNUMBER(G184)),G184&lt;0,G184&gt;1,NOT(ISNUMBER(P184))),"",(G184-P184)^2)</x:f>
      </x:c>
      <x:c r="X184" s="2" t="str">
        <x:f t="shared" si="29">IF(AND(ISNUMBER(A184),ISNUMBER(Y184),Y184&lt;A184,AB184&lt;&gt;"",ISNUMBER(P184),ISNUMBER(G184),G184&gt;=0,G184&lt;=1,OR(M184="DEFENSIV",M184="PRUDENT",M184="MODERAT",M184="RIDICAT",M184="WATCH",M184="NO BET")),"YES","NO")</x:f>
        <x:v>NO</x:v>
      </x:c>
      <x:c r="Y184" s="146"/>
      <x:c r="Z184" t="str">
        <x:f>IF(AND(X184="YES",OR(M184="DEFENSIV",M184="PRUDENT",M184="MODERAT",M184="RIDICAT")),"YES","NO")</x:f>
        <x:v>NO</x:v>
      </x:c>
      <x:c r="AA184" t="str">
        <x:f>IF(NOT(ISNUMBER(H184)),"MISSING",IF(AND(ISNUMBER(H184),H184&gt;1),"VALID","INVALID"))</x:f>
        <x:v>MISSING</x:v>
      </x:c>
      <x:c r="AB184" s="144"/>
      <x:c r="AC184" t="str">
        <x:f>IF(AND(NOT(ISNUMBER(A184)),E184="",NOT(ISNUMBER(G184)),M184="",O184=""),"INPUT",IF(X184="YES","VALID","INCOMPLETE / INVALID"))</x:f>
        <x:v>INPUT</x:v>
      </x:c>
      <x:c r="AD184" t="str">
        <x:f>IF(X184="YES",P184,"")</x:f>
      </x:c>
      <x:c r="AE184" t="str">
        <x:f>IF(X184="YES",W184,"")</x:f>
      </x:c>
      <x:c r="AF184" t="str">
        <x:f>IF(X184="YES",G184,"")</x:f>
      </x:c>
      <x:c r="AG184" t="str">
        <x:f>IF(AND(Z184="YES",AA184="VALID"),Q184,"")</x:f>
      </x:c>
      <x:c r="AH184" t="str">
        <x:f>IF(AND(Z184="YES",AA184="VALID"),"YES","NO")</x:f>
        <x:v>NO</x:v>
      </x:c>
    </x:row>
    <x:row r="185" ht="15">
      <x:c r="A185" s="161"/>
      <x:c r="B185" s="2"/>
      <x:c r="C185" s="2"/>
      <x:c r="D185" s="2"/>
      <x:c r="E185" s="2"/>
      <x:c r="F185" s="8"/>
      <x:c r="G185" s="8"/>
      <x:c r="H185" s="9"/>
      <x:c r="I185" s="8"/>
      <x:c r="J185" s="8" t="str">
        <x:f t="shared" si="25">IF(OR(NOT(ISNUMBER(G185)),NOT(ISNUMBER(I185))),"",G185-I185)</x:f>
      </x:c>
      <x:c r="K185" s="8" t="str">
        <x:f t="shared" si="26">IF(OR(NOT(ISNUMBER(G185)),NOT(ISNUMBER(H185)),H185&lt;=1),"",G185*H185-1)</x:f>
      </x:c>
      <x:c r="L185" s="2"/>
      <x:c r="M185" s="2"/>
      <x:c r="N185" s="2"/>
      <x:c r="O185" s="2"/>
      <x:c r="P185" s="2" t="str">
        <x:f>IF(OR(E185="",O185=""),"",IF(NOT(OR(O185="1",O185=1,O185="X",O185="2",O185=2)),"",IF(E185="1X",IF(OR(O185="1",O185=1,O185="X"),1,0),IF(E185="X2",IF(OR(O185="X",O185="2",O185=2),1,0),IF(OR(E185="12",E185=12),IF(OR(O185="1",O185=1,O185="2",O185=2),1,0),"")))))</x:f>
      </x:c>
      <x:c r="Q185" s="9" t="str">
        <x:f t="shared" si="27">IF(OR(NOT(ISNUMBER(P185)),NOT(ISNUMBER(H185)),H185&lt;=1),"",IF(P185=1,H185-1,-1))</x:f>
      </x:c>
      <x:c r="R185" s="2"/>
      <x:c r="S185" s="2"/>
      <x:c r="T185" s="2"/>
      <x:c r="U185" s="2"/>
      <x:c r="V185" s="2"/>
      <x:c r="W185" s="14" t="str">
        <x:f t="shared" si="28">IF(OR(NOT(ISNUMBER(G185)),G185&lt;0,G185&gt;1,NOT(ISNUMBER(P185))),"",(G185-P185)^2)</x:f>
      </x:c>
      <x:c r="X185" s="2" t="str">
        <x:f t="shared" si="29">IF(AND(ISNUMBER(A185),ISNUMBER(Y185),Y185&lt;A185,AB185&lt;&gt;"",ISNUMBER(P185),ISNUMBER(G185),G185&gt;=0,G185&lt;=1,OR(M185="DEFENSIV",M185="PRUDENT",M185="MODERAT",M185="RIDICAT",M185="WATCH",M185="NO BET")),"YES","NO")</x:f>
        <x:v>NO</x:v>
      </x:c>
      <x:c r="Y185" s="146"/>
      <x:c r="Z185" t="str">
        <x:f>IF(AND(X185="YES",OR(M185="DEFENSIV",M185="PRUDENT",M185="MODERAT",M185="RIDICAT")),"YES","NO")</x:f>
        <x:v>NO</x:v>
      </x:c>
      <x:c r="AA185" t="str">
        <x:f>IF(NOT(ISNUMBER(H185)),"MISSING",IF(AND(ISNUMBER(H185),H185&gt;1),"VALID","INVALID"))</x:f>
        <x:v>MISSING</x:v>
      </x:c>
      <x:c r="AB185" s="144"/>
      <x:c r="AC185" t="str">
        <x:f>IF(AND(NOT(ISNUMBER(A185)),E185="",NOT(ISNUMBER(G185)),M185="",O185=""),"INPUT",IF(X185="YES","VALID","INCOMPLETE / INVALID"))</x:f>
        <x:v>INPUT</x:v>
      </x:c>
      <x:c r="AD185" t="str">
        <x:f>IF(X185="YES",P185,"")</x:f>
      </x:c>
      <x:c r="AE185" t="str">
        <x:f>IF(X185="YES",W185,"")</x:f>
      </x:c>
      <x:c r="AF185" t="str">
        <x:f>IF(X185="YES",G185,"")</x:f>
      </x:c>
      <x:c r="AG185" t="str">
        <x:f>IF(AND(Z185="YES",AA185="VALID"),Q185,"")</x:f>
      </x:c>
      <x:c r="AH185" t="str">
        <x:f>IF(AND(Z185="YES",AA185="VALID"),"YES","NO")</x:f>
        <x:v>NO</x:v>
      </x:c>
    </x:row>
    <x:row r="186" ht="15">
      <x:c r="A186" s="161"/>
      <x:c r="B186" s="2"/>
      <x:c r="C186" s="2"/>
      <x:c r="D186" s="2"/>
      <x:c r="E186" s="2"/>
      <x:c r="F186" s="8"/>
      <x:c r="G186" s="8"/>
      <x:c r="H186" s="9"/>
      <x:c r="I186" s="8"/>
      <x:c r="J186" s="8" t="str">
        <x:f t="shared" si="25">IF(OR(NOT(ISNUMBER(G186)),NOT(ISNUMBER(I186))),"",G186-I186)</x:f>
      </x:c>
      <x:c r="K186" s="8" t="str">
        <x:f t="shared" si="26">IF(OR(NOT(ISNUMBER(G186)),NOT(ISNUMBER(H186)),H186&lt;=1),"",G186*H186-1)</x:f>
      </x:c>
      <x:c r="L186" s="2"/>
      <x:c r="M186" s="2"/>
      <x:c r="N186" s="2"/>
      <x:c r="O186" s="2"/>
      <x:c r="P186" s="2" t="str">
        <x:f>IF(OR(E186="",O186=""),"",IF(NOT(OR(O186="1",O186=1,O186="X",O186="2",O186=2)),"",IF(E186="1X",IF(OR(O186="1",O186=1,O186="X"),1,0),IF(E186="X2",IF(OR(O186="X",O186="2",O186=2),1,0),IF(OR(E186="12",E186=12),IF(OR(O186="1",O186=1,O186="2",O186=2),1,0),"")))))</x:f>
      </x:c>
      <x:c r="Q186" s="9" t="str">
        <x:f t="shared" si="27">IF(OR(NOT(ISNUMBER(P186)),NOT(ISNUMBER(H186)),H186&lt;=1),"",IF(P186=1,H186-1,-1))</x:f>
      </x:c>
      <x:c r="R186" s="2"/>
      <x:c r="S186" s="2"/>
      <x:c r="T186" s="2"/>
      <x:c r="U186" s="2"/>
      <x:c r="V186" s="2"/>
      <x:c r="W186" s="14" t="str">
        <x:f t="shared" si="28">IF(OR(NOT(ISNUMBER(G186)),G186&lt;0,G186&gt;1,NOT(ISNUMBER(P186))),"",(G186-P186)^2)</x:f>
      </x:c>
      <x:c r="X186" s="2" t="str">
        <x:f t="shared" si="29">IF(AND(ISNUMBER(A186),ISNUMBER(Y186),Y186&lt;A186,AB186&lt;&gt;"",ISNUMBER(P186),ISNUMBER(G186),G186&gt;=0,G186&lt;=1,OR(M186="DEFENSIV",M186="PRUDENT",M186="MODERAT",M186="RIDICAT",M186="WATCH",M186="NO BET")),"YES","NO")</x:f>
        <x:v>NO</x:v>
      </x:c>
      <x:c r="Y186" s="146"/>
      <x:c r="Z186" t="str">
        <x:f>IF(AND(X186="YES",OR(M186="DEFENSIV",M186="PRUDENT",M186="MODERAT",M186="RIDICAT")),"YES","NO")</x:f>
        <x:v>NO</x:v>
      </x:c>
      <x:c r="AA186" t="str">
        <x:f>IF(NOT(ISNUMBER(H186)),"MISSING",IF(AND(ISNUMBER(H186),H186&gt;1),"VALID","INVALID"))</x:f>
        <x:v>MISSING</x:v>
      </x:c>
      <x:c r="AB186" s="144"/>
      <x:c r="AC186" t="str">
        <x:f>IF(AND(NOT(ISNUMBER(A186)),E186="",NOT(ISNUMBER(G186)),M186="",O186=""),"INPUT",IF(X186="YES","VALID","INCOMPLETE / INVALID"))</x:f>
        <x:v>INPUT</x:v>
      </x:c>
      <x:c r="AD186" t="str">
        <x:f>IF(X186="YES",P186,"")</x:f>
      </x:c>
      <x:c r="AE186" t="str">
        <x:f>IF(X186="YES",W186,"")</x:f>
      </x:c>
      <x:c r="AF186" t="str">
        <x:f>IF(X186="YES",G186,"")</x:f>
      </x:c>
      <x:c r="AG186" t="str">
        <x:f>IF(AND(Z186="YES",AA186="VALID"),Q186,"")</x:f>
      </x:c>
      <x:c r="AH186" t="str">
        <x:f>IF(AND(Z186="YES",AA186="VALID"),"YES","NO")</x:f>
        <x:v>NO</x:v>
      </x:c>
    </x:row>
    <x:row r="187" ht="15">
      <x:c r="A187" s="161"/>
      <x:c r="B187" s="2"/>
      <x:c r="C187" s="2"/>
      <x:c r="D187" s="2"/>
      <x:c r="E187" s="2"/>
      <x:c r="F187" s="8"/>
      <x:c r="G187" s="8"/>
      <x:c r="H187" s="9"/>
      <x:c r="I187" s="8"/>
      <x:c r="J187" s="8" t="str">
        <x:f t="shared" si="25">IF(OR(NOT(ISNUMBER(G187)),NOT(ISNUMBER(I187))),"",G187-I187)</x:f>
      </x:c>
      <x:c r="K187" s="8" t="str">
        <x:f t="shared" si="26">IF(OR(NOT(ISNUMBER(G187)),NOT(ISNUMBER(H187)),H187&lt;=1),"",G187*H187-1)</x:f>
      </x:c>
      <x:c r="L187" s="2"/>
      <x:c r="M187" s="2"/>
      <x:c r="N187" s="2"/>
      <x:c r="O187" s="2"/>
      <x:c r="P187" s="2" t="str">
        <x:f>IF(OR(E187="",O187=""),"",IF(NOT(OR(O187="1",O187=1,O187="X",O187="2",O187=2)),"",IF(E187="1X",IF(OR(O187="1",O187=1,O187="X"),1,0),IF(E187="X2",IF(OR(O187="X",O187="2",O187=2),1,0),IF(OR(E187="12",E187=12),IF(OR(O187="1",O187=1,O187="2",O187=2),1,0),"")))))</x:f>
      </x:c>
      <x:c r="Q187" s="9" t="str">
        <x:f t="shared" si="27">IF(OR(NOT(ISNUMBER(P187)),NOT(ISNUMBER(H187)),H187&lt;=1),"",IF(P187=1,H187-1,-1))</x:f>
      </x:c>
      <x:c r="R187" s="2"/>
      <x:c r="S187" s="2"/>
      <x:c r="T187" s="2"/>
      <x:c r="U187" s="2"/>
      <x:c r="V187" s="2"/>
      <x:c r="W187" s="14" t="str">
        <x:f t="shared" si="28">IF(OR(NOT(ISNUMBER(G187)),G187&lt;0,G187&gt;1,NOT(ISNUMBER(P187))),"",(G187-P187)^2)</x:f>
      </x:c>
      <x:c r="X187" s="2" t="str">
        <x:f t="shared" si="29">IF(AND(ISNUMBER(A187),ISNUMBER(Y187),Y187&lt;A187,AB187&lt;&gt;"",ISNUMBER(P187),ISNUMBER(G187),G187&gt;=0,G187&lt;=1,OR(M187="DEFENSIV",M187="PRUDENT",M187="MODERAT",M187="RIDICAT",M187="WATCH",M187="NO BET")),"YES","NO")</x:f>
        <x:v>NO</x:v>
      </x:c>
      <x:c r="Y187" s="146"/>
      <x:c r="Z187" t="str">
        <x:f>IF(AND(X187="YES",OR(M187="DEFENSIV",M187="PRUDENT",M187="MODERAT",M187="RIDICAT")),"YES","NO")</x:f>
        <x:v>NO</x:v>
      </x:c>
      <x:c r="AA187" t="str">
        <x:f>IF(NOT(ISNUMBER(H187)),"MISSING",IF(AND(ISNUMBER(H187),H187&gt;1),"VALID","INVALID"))</x:f>
        <x:v>MISSING</x:v>
      </x:c>
      <x:c r="AB187" s="144"/>
      <x:c r="AC187" t="str">
        <x:f>IF(AND(NOT(ISNUMBER(A187)),E187="",NOT(ISNUMBER(G187)),M187="",O187=""),"INPUT",IF(X187="YES","VALID","INCOMPLETE / INVALID"))</x:f>
        <x:v>INPUT</x:v>
      </x:c>
      <x:c r="AD187" t="str">
        <x:f>IF(X187="YES",P187,"")</x:f>
      </x:c>
      <x:c r="AE187" t="str">
        <x:f>IF(X187="YES",W187,"")</x:f>
      </x:c>
      <x:c r="AF187" t="str">
        <x:f>IF(X187="YES",G187,"")</x:f>
      </x:c>
      <x:c r="AG187" t="str">
        <x:f>IF(AND(Z187="YES",AA187="VALID"),Q187,"")</x:f>
      </x:c>
      <x:c r="AH187" t="str">
        <x:f>IF(AND(Z187="YES",AA187="VALID"),"YES","NO")</x:f>
        <x:v>NO</x:v>
      </x:c>
    </x:row>
    <x:row r="188" ht="15">
      <x:c r="A188" s="161"/>
      <x:c r="B188" s="2"/>
      <x:c r="C188" s="2"/>
      <x:c r="D188" s="2"/>
      <x:c r="E188" s="2"/>
      <x:c r="F188" s="8"/>
      <x:c r="G188" s="8"/>
      <x:c r="H188" s="9"/>
      <x:c r="I188" s="8"/>
      <x:c r="J188" s="8" t="str">
        <x:f t="shared" si="25">IF(OR(NOT(ISNUMBER(G188)),NOT(ISNUMBER(I188))),"",G188-I188)</x:f>
      </x:c>
      <x:c r="K188" s="8" t="str">
        <x:f t="shared" si="26">IF(OR(NOT(ISNUMBER(G188)),NOT(ISNUMBER(H188)),H188&lt;=1),"",G188*H188-1)</x:f>
      </x:c>
      <x:c r="L188" s="2"/>
      <x:c r="M188" s="2"/>
      <x:c r="N188" s="2"/>
      <x:c r="O188" s="2"/>
      <x:c r="P188" s="2" t="str">
        <x:f>IF(OR(E188="",O188=""),"",IF(NOT(OR(O188="1",O188=1,O188="X",O188="2",O188=2)),"",IF(E188="1X",IF(OR(O188="1",O188=1,O188="X"),1,0),IF(E188="X2",IF(OR(O188="X",O188="2",O188=2),1,0),IF(OR(E188="12",E188=12),IF(OR(O188="1",O188=1,O188="2",O188=2),1,0),"")))))</x:f>
      </x:c>
      <x:c r="Q188" s="9" t="str">
        <x:f t="shared" si="27">IF(OR(NOT(ISNUMBER(P188)),NOT(ISNUMBER(H188)),H188&lt;=1),"",IF(P188=1,H188-1,-1))</x:f>
      </x:c>
      <x:c r="R188" s="2"/>
      <x:c r="S188" s="2"/>
      <x:c r="T188" s="2"/>
      <x:c r="U188" s="2"/>
      <x:c r="V188" s="2"/>
      <x:c r="W188" s="14" t="str">
        <x:f t="shared" si="28">IF(OR(NOT(ISNUMBER(G188)),G188&lt;0,G188&gt;1,NOT(ISNUMBER(P188))),"",(G188-P188)^2)</x:f>
      </x:c>
      <x:c r="X188" s="2" t="str">
        <x:f t="shared" si="29">IF(AND(ISNUMBER(A188),ISNUMBER(Y188),Y188&lt;A188,AB188&lt;&gt;"",ISNUMBER(P188),ISNUMBER(G188),G188&gt;=0,G188&lt;=1,OR(M188="DEFENSIV",M188="PRUDENT",M188="MODERAT",M188="RIDICAT",M188="WATCH",M188="NO BET")),"YES","NO")</x:f>
        <x:v>NO</x:v>
      </x:c>
      <x:c r="Y188" s="146"/>
      <x:c r="Z188" t="str">
        <x:f>IF(AND(X188="YES",OR(M188="DEFENSIV",M188="PRUDENT",M188="MODERAT",M188="RIDICAT")),"YES","NO")</x:f>
        <x:v>NO</x:v>
      </x:c>
      <x:c r="AA188" t="str">
        <x:f>IF(NOT(ISNUMBER(H188)),"MISSING",IF(AND(ISNUMBER(H188),H188&gt;1),"VALID","INVALID"))</x:f>
        <x:v>MISSING</x:v>
      </x:c>
      <x:c r="AB188" s="144"/>
      <x:c r="AC188" t="str">
        <x:f>IF(AND(NOT(ISNUMBER(A188)),E188="",NOT(ISNUMBER(G188)),M188="",O188=""),"INPUT",IF(X188="YES","VALID","INCOMPLETE / INVALID"))</x:f>
        <x:v>INPUT</x:v>
      </x:c>
      <x:c r="AD188" t="str">
        <x:f>IF(X188="YES",P188,"")</x:f>
      </x:c>
      <x:c r="AE188" t="str">
        <x:f>IF(X188="YES",W188,"")</x:f>
      </x:c>
      <x:c r="AF188" t="str">
        <x:f>IF(X188="YES",G188,"")</x:f>
      </x:c>
      <x:c r="AG188" t="str">
        <x:f>IF(AND(Z188="YES",AA188="VALID"),Q188,"")</x:f>
      </x:c>
      <x:c r="AH188" t="str">
        <x:f>IF(AND(Z188="YES",AA188="VALID"),"YES","NO")</x:f>
        <x:v>NO</x:v>
      </x:c>
    </x:row>
    <x:row r="189" ht="15">
      <x:c r="A189" s="161"/>
      <x:c r="B189" s="2"/>
      <x:c r="C189" s="2"/>
      <x:c r="D189" s="2"/>
      <x:c r="E189" s="2"/>
      <x:c r="F189" s="8"/>
      <x:c r="G189" s="8"/>
      <x:c r="H189" s="9"/>
      <x:c r="I189" s="8"/>
      <x:c r="J189" s="8" t="str">
        <x:f t="shared" si="25">IF(OR(NOT(ISNUMBER(G189)),NOT(ISNUMBER(I189))),"",G189-I189)</x:f>
      </x:c>
      <x:c r="K189" s="8" t="str">
        <x:f t="shared" si="26">IF(OR(NOT(ISNUMBER(G189)),NOT(ISNUMBER(H189)),H189&lt;=1),"",G189*H189-1)</x:f>
      </x:c>
      <x:c r="L189" s="2"/>
      <x:c r="M189" s="2"/>
      <x:c r="N189" s="2"/>
      <x:c r="O189" s="2"/>
      <x:c r="P189" s="2" t="str">
        <x:f>IF(OR(E189="",O189=""),"",IF(NOT(OR(O189="1",O189=1,O189="X",O189="2",O189=2)),"",IF(E189="1X",IF(OR(O189="1",O189=1,O189="X"),1,0),IF(E189="X2",IF(OR(O189="X",O189="2",O189=2),1,0),IF(OR(E189="12",E189=12),IF(OR(O189="1",O189=1,O189="2",O189=2),1,0),"")))))</x:f>
      </x:c>
      <x:c r="Q189" s="9" t="str">
        <x:f t="shared" si="27">IF(OR(NOT(ISNUMBER(P189)),NOT(ISNUMBER(H189)),H189&lt;=1),"",IF(P189=1,H189-1,-1))</x:f>
      </x:c>
      <x:c r="R189" s="2"/>
      <x:c r="S189" s="2"/>
      <x:c r="T189" s="2"/>
      <x:c r="U189" s="2"/>
      <x:c r="V189" s="2"/>
      <x:c r="W189" s="14" t="str">
        <x:f t="shared" si="28">IF(OR(NOT(ISNUMBER(G189)),G189&lt;0,G189&gt;1,NOT(ISNUMBER(P189))),"",(G189-P189)^2)</x:f>
      </x:c>
      <x:c r="X189" s="2" t="str">
        <x:f t="shared" si="29">IF(AND(ISNUMBER(A189),ISNUMBER(Y189),Y189&lt;A189,AB189&lt;&gt;"",ISNUMBER(P189),ISNUMBER(G189),G189&gt;=0,G189&lt;=1,OR(M189="DEFENSIV",M189="PRUDENT",M189="MODERAT",M189="RIDICAT",M189="WATCH",M189="NO BET")),"YES","NO")</x:f>
        <x:v>NO</x:v>
      </x:c>
      <x:c r="Y189" s="146"/>
      <x:c r="Z189" t="str">
        <x:f>IF(AND(X189="YES",OR(M189="DEFENSIV",M189="PRUDENT",M189="MODERAT",M189="RIDICAT")),"YES","NO")</x:f>
        <x:v>NO</x:v>
      </x:c>
      <x:c r="AA189" t="str">
        <x:f>IF(NOT(ISNUMBER(H189)),"MISSING",IF(AND(ISNUMBER(H189),H189&gt;1),"VALID","INVALID"))</x:f>
        <x:v>MISSING</x:v>
      </x:c>
      <x:c r="AB189" s="144"/>
      <x:c r="AC189" t="str">
        <x:f>IF(AND(NOT(ISNUMBER(A189)),E189="",NOT(ISNUMBER(G189)),M189="",O189=""),"INPUT",IF(X189="YES","VALID","INCOMPLETE / INVALID"))</x:f>
        <x:v>INPUT</x:v>
      </x:c>
      <x:c r="AD189" t="str">
        <x:f>IF(X189="YES",P189,"")</x:f>
      </x:c>
      <x:c r="AE189" t="str">
        <x:f>IF(X189="YES",W189,"")</x:f>
      </x:c>
      <x:c r="AF189" t="str">
        <x:f>IF(X189="YES",G189,"")</x:f>
      </x:c>
      <x:c r="AG189" t="str">
        <x:f>IF(AND(Z189="YES",AA189="VALID"),Q189,"")</x:f>
      </x:c>
      <x:c r="AH189" t="str">
        <x:f>IF(AND(Z189="YES",AA189="VALID"),"YES","NO")</x:f>
        <x:v>NO</x:v>
      </x:c>
    </x:row>
    <x:row r="190" ht="15">
      <x:c r="A190" s="161"/>
      <x:c r="B190" s="2"/>
      <x:c r="C190" s="2"/>
      <x:c r="D190" s="2"/>
      <x:c r="E190" s="2"/>
      <x:c r="F190" s="8"/>
      <x:c r="G190" s="8"/>
      <x:c r="H190" s="9"/>
      <x:c r="I190" s="8"/>
      <x:c r="J190" s="8" t="str">
        <x:f t="shared" si="25">IF(OR(NOT(ISNUMBER(G190)),NOT(ISNUMBER(I190))),"",G190-I190)</x:f>
      </x:c>
      <x:c r="K190" s="8" t="str">
        <x:f t="shared" si="26">IF(OR(NOT(ISNUMBER(G190)),NOT(ISNUMBER(H190)),H190&lt;=1),"",G190*H190-1)</x:f>
      </x:c>
      <x:c r="L190" s="2"/>
      <x:c r="M190" s="2"/>
      <x:c r="N190" s="2"/>
      <x:c r="O190" s="2"/>
      <x:c r="P190" s="2" t="str">
        <x:f>IF(OR(E190="",O190=""),"",IF(NOT(OR(O190="1",O190=1,O190="X",O190="2",O190=2)),"",IF(E190="1X",IF(OR(O190="1",O190=1,O190="X"),1,0),IF(E190="X2",IF(OR(O190="X",O190="2",O190=2),1,0),IF(OR(E190="12",E190=12),IF(OR(O190="1",O190=1,O190="2",O190=2),1,0),"")))))</x:f>
      </x:c>
      <x:c r="Q190" s="9" t="str">
        <x:f t="shared" si="27">IF(OR(NOT(ISNUMBER(P190)),NOT(ISNUMBER(H190)),H190&lt;=1),"",IF(P190=1,H190-1,-1))</x:f>
      </x:c>
      <x:c r="R190" s="2"/>
      <x:c r="S190" s="2"/>
      <x:c r="T190" s="2"/>
      <x:c r="U190" s="2"/>
      <x:c r="V190" s="2"/>
      <x:c r="W190" s="14" t="str">
        <x:f t="shared" si="28">IF(OR(NOT(ISNUMBER(G190)),G190&lt;0,G190&gt;1,NOT(ISNUMBER(P190))),"",(G190-P190)^2)</x:f>
      </x:c>
      <x:c r="X190" s="2" t="str">
        <x:f t="shared" si="29">IF(AND(ISNUMBER(A190),ISNUMBER(Y190),Y190&lt;A190,AB190&lt;&gt;"",ISNUMBER(P190),ISNUMBER(G190),G190&gt;=0,G190&lt;=1,OR(M190="DEFENSIV",M190="PRUDENT",M190="MODERAT",M190="RIDICAT",M190="WATCH",M190="NO BET")),"YES","NO")</x:f>
        <x:v>NO</x:v>
      </x:c>
      <x:c r="Y190" s="146"/>
      <x:c r="Z190" t="str">
        <x:f>IF(AND(X190="YES",OR(M190="DEFENSIV",M190="PRUDENT",M190="MODERAT",M190="RIDICAT")),"YES","NO")</x:f>
        <x:v>NO</x:v>
      </x:c>
      <x:c r="AA190" t="str">
        <x:f>IF(NOT(ISNUMBER(H190)),"MISSING",IF(AND(ISNUMBER(H190),H190&gt;1),"VALID","INVALID"))</x:f>
        <x:v>MISSING</x:v>
      </x:c>
      <x:c r="AB190" s="144"/>
      <x:c r="AC190" t="str">
        <x:f>IF(AND(NOT(ISNUMBER(A190)),E190="",NOT(ISNUMBER(G190)),M190="",O190=""),"INPUT",IF(X190="YES","VALID","INCOMPLETE / INVALID"))</x:f>
        <x:v>INPUT</x:v>
      </x:c>
      <x:c r="AD190" t="str">
        <x:f>IF(X190="YES",P190,"")</x:f>
      </x:c>
      <x:c r="AE190" t="str">
        <x:f>IF(X190="YES",W190,"")</x:f>
      </x:c>
      <x:c r="AF190" t="str">
        <x:f>IF(X190="YES",G190,"")</x:f>
      </x:c>
      <x:c r="AG190" t="str">
        <x:f>IF(AND(Z190="YES",AA190="VALID"),Q190,"")</x:f>
      </x:c>
      <x:c r="AH190" t="str">
        <x:f>IF(AND(Z190="YES",AA190="VALID"),"YES","NO")</x:f>
        <x:v>NO</x:v>
      </x:c>
    </x:row>
    <x:row r="191" ht="15">
      <x:c r="A191" s="161"/>
      <x:c r="B191" s="2"/>
      <x:c r="C191" s="2"/>
      <x:c r="D191" s="2"/>
      <x:c r="E191" s="2"/>
      <x:c r="F191" s="8"/>
      <x:c r="G191" s="8"/>
      <x:c r="H191" s="9"/>
      <x:c r="I191" s="8"/>
      <x:c r="J191" s="8" t="str">
        <x:f t="shared" si="25">IF(OR(NOT(ISNUMBER(G191)),NOT(ISNUMBER(I191))),"",G191-I191)</x:f>
      </x:c>
      <x:c r="K191" s="8" t="str">
        <x:f t="shared" si="26">IF(OR(NOT(ISNUMBER(G191)),NOT(ISNUMBER(H191)),H191&lt;=1),"",G191*H191-1)</x:f>
      </x:c>
      <x:c r="L191" s="2"/>
      <x:c r="M191" s="2"/>
      <x:c r="N191" s="2"/>
      <x:c r="O191" s="2"/>
      <x:c r="P191" s="2" t="str">
        <x:f>IF(OR(E191="",O191=""),"",IF(NOT(OR(O191="1",O191=1,O191="X",O191="2",O191=2)),"",IF(E191="1X",IF(OR(O191="1",O191=1,O191="X"),1,0),IF(E191="X2",IF(OR(O191="X",O191="2",O191=2),1,0),IF(OR(E191="12",E191=12),IF(OR(O191="1",O191=1,O191="2",O191=2),1,0),"")))))</x:f>
      </x:c>
      <x:c r="Q191" s="9" t="str">
        <x:f t="shared" si="27">IF(OR(NOT(ISNUMBER(P191)),NOT(ISNUMBER(H191)),H191&lt;=1),"",IF(P191=1,H191-1,-1))</x:f>
      </x:c>
      <x:c r="R191" s="2"/>
      <x:c r="S191" s="2"/>
      <x:c r="T191" s="2"/>
      <x:c r="U191" s="2"/>
      <x:c r="V191" s="2"/>
      <x:c r="W191" s="14" t="str">
        <x:f t="shared" si="28">IF(OR(NOT(ISNUMBER(G191)),G191&lt;0,G191&gt;1,NOT(ISNUMBER(P191))),"",(G191-P191)^2)</x:f>
      </x:c>
      <x:c r="X191" s="2" t="str">
        <x:f t="shared" si="29">IF(AND(ISNUMBER(A191),ISNUMBER(Y191),Y191&lt;A191,AB191&lt;&gt;"",ISNUMBER(P191),ISNUMBER(G191),G191&gt;=0,G191&lt;=1,OR(M191="DEFENSIV",M191="PRUDENT",M191="MODERAT",M191="RIDICAT",M191="WATCH",M191="NO BET")),"YES","NO")</x:f>
        <x:v>NO</x:v>
      </x:c>
      <x:c r="Y191" s="146"/>
      <x:c r="Z191" t="str">
        <x:f>IF(AND(X191="YES",OR(M191="DEFENSIV",M191="PRUDENT",M191="MODERAT",M191="RIDICAT")),"YES","NO")</x:f>
        <x:v>NO</x:v>
      </x:c>
      <x:c r="AA191" t="str">
        <x:f>IF(NOT(ISNUMBER(H191)),"MISSING",IF(AND(ISNUMBER(H191),H191&gt;1),"VALID","INVALID"))</x:f>
        <x:v>MISSING</x:v>
      </x:c>
      <x:c r="AB191" s="144"/>
      <x:c r="AC191" t="str">
        <x:f>IF(AND(NOT(ISNUMBER(A191)),E191="",NOT(ISNUMBER(G191)),M191="",O191=""),"INPUT",IF(X191="YES","VALID","INCOMPLETE / INVALID"))</x:f>
        <x:v>INPUT</x:v>
      </x:c>
      <x:c r="AD191" t="str">
        <x:f>IF(X191="YES",P191,"")</x:f>
      </x:c>
      <x:c r="AE191" t="str">
        <x:f>IF(X191="YES",W191,"")</x:f>
      </x:c>
      <x:c r="AF191" t="str">
        <x:f>IF(X191="YES",G191,"")</x:f>
      </x:c>
      <x:c r="AG191" t="str">
        <x:f>IF(AND(Z191="YES",AA191="VALID"),Q191,"")</x:f>
      </x:c>
      <x:c r="AH191" t="str">
        <x:f>IF(AND(Z191="YES",AA191="VALID"),"YES","NO")</x:f>
        <x:v>NO</x:v>
      </x:c>
    </x:row>
    <x:row r="192" ht="15">
      <x:c r="A192" s="161"/>
      <x:c r="B192" s="2"/>
      <x:c r="C192" s="2"/>
      <x:c r="D192" s="2"/>
      <x:c r="E192" s="2"/>
      <x:c r="F192" s="8"/>
      <x:c r="G192" s="8"/>
      <x:c r="H192" s="9"/>
      <x:c r="I192" s="8"/>
      <x:c r="J192" s="8" t="str">
        <x:f t="shared" si="25">IF(OR(NOT(ISNUMBER(G192)),NOT(ISNUMBER(I192))),"",G192-I192)</x:f>
      </x:c>
      <x:c r="K192" s="8" t="str">
        <x:f t="shared" si="26">IF(OR(NOT(ISNUMBER(G192)),NOT(ISNUMBER(H192)),H192&lt;=1),"",G192*H192-1)</x:f>
      </x:c>
      <x:c r="L192" s="2"/>
      <x:c r="M192" s="2"/>
      <x:c r="N192" s="2"/>
      <x:c r="O192" s="2"/>
      <x:c r="P192" s="2" t="str">
        <x:f>IF(OR(E192="",O192=""),"",IF(NOT(OR(O192="1",O192=1,O192="X",O192="2",O192=2)),"",IF(E192="1X",IF(OR(O192="1",O192=1,O192="X"),1,0),IF(E192="X2",IF(OR(O192="X",O192="2",O192=2),1,0),IF(OR(E192="12",E192=12),IF(OR(O192="1",O192=1,O192="2",O192=2),1,0),"")))))</x:f>
      </x:c>
      <x:c r="Q192" s="9" t="str">
        <x:f t="shared" si="27">IF(OR(NOT(ISNUMBER(P192)),NOT(ISNUMBER(H192)),H192&lt;=1),"",IF(P192=1,H192-1,-1))</x:f>
      </x:c>
      <x:c r="R192" s="2"/>
      <x:c r="S192" s="2"/>
      <x:c r="T192" s="2"/>
      <x:c r="U192" s="2"/>
      <x:c r="V192" s="2"/>
      <x:c r="W192" s="14" t="str">
        <x:f t="shared" si="28">IF(OR(NOT(ISNUMBER(G192)),G192&lt;0,G192&gt;1,NOT(ISNUMBER(P192))),"",(G192-P192)^2)</x:f>
      </x:c>
      <x:c r="X192" s="2" t="str">
        <x:f t="shared" si="29">IF(AND(ISNUMBER(A192),ISNUMBER(Y192),Y192&lt;A192,AB192&lt;&gt;"",ISNUMBER(P192),ISNUMBER(G192),G192&gt;=0,G192&lt;=1,OR(M192="DEFENSIV",M192="PRUDENT",M192="MODERAT",M192="RIDICAT",M192="WATCH",M192="NO BET")),"YES","NO")</x:f>
        <x:v>NO</x:v>
      </x:c>
      <x:c r="Y192" s="146"/>
      <x:c r="Z192" t="str">
        <x:f>IF(AND(X192="YES",OR(M192="DEFENSIV",M192="PRUDENT",M192="MODERAT",M192="RIDICAT")),"YES","NO")</x:f>
        <x:v>NO</x:v>
      </x:c>
      <x:c r="AA192" t="str">
        <x:f>IF(NOT(ISNUMBER(H192)),"MISSING",IF(AND(ISNUMBER(H192),H192&gt;1),"VALID","INVALID"))</x:f>
        <x:v>MISSING</x:v>
      </x:c>
      <x:c r="AB192" s="144"/>
      <x:c r="AC192" t="str">
        <x:f>IF(AND(NOT(ISNUMBER(A192)),E192="",NOT(ISNUMBER(G192)),M192="",O192=""),"INPUT",IF(X192="YES","VALID","INCOMPLETE / INVALID"))</x:f>
        <x:v>INPUT</x:v>
      </x:c>
      <x:c r="AD192" t="str">
        <x:f>IF(X192="YES",P192,"")</x:f>
      </x:c>
      <x:c r="AE192" t="str">
        <x:f>IF(X192="YES",W192,"")</x:f>
      </x:c>
      <x:c r="AF192" t="str">
        <x:f>IF(X192="YES",G192,"")</x:f>
      </x:c>
      <x:c r="AG192" t="str">
        <x:f>IF(AND(Z192="YES",AA192="VALID"),Q192,"")</x:f>
      </x:c>
      <x:c r="AH192" t="str">
        <x:f>IF(AND(Z192="YES",AA192="VALID"),"YES","NO")</x:f>
        <x:v>NO</x:v>
      </x:c>
    </x:row>
    <x:row r="193" ht="15">
      <x:c r="A193" s="161"/>
      <x:c r="B193" s="2"/>
      <x:c r="C193" s="2"/>
      <x:c r="D193" s="2"/>
      <x:c r="E193" s="2"/>
      <x:c r="F193" s="8"/>
      <x:c r="G193" s="8"/>
      <x:c r="H193" s="9"/>
      <x:c r="I193" s="8"/>
      <x:c r="J193" s="8" t="str">
        <x:f t="shared" si="25">IF(OR(NOT(ISNUMBER(G193)),NOT(ISNUMBER(I193))),"",G193-I193)</x:f>
      </x:c>
      <x:c r="K193" s="8" t="str">
        <x:f t="shared" si="26">IF(OR(NOT(ISNUMBER(G193)),NOT(ISNUMBER(H193)),H193&lt;=1),"",G193*H193-1)</x:f>
      </x:c>
      <x:c r="L193" s="2"/>
      <x:c r="M193" s="2"/>
      <x:c r="N193" s="2"/>
      <x:c r="O193" s="2"/>
      <x:c r="P193" s="2" t="str">
        <x:f>IF(OR(E193="",O193=""),"",IF(NOT(OR(O193="1",O193=1,O193="X",O193="2",O193=2)),"",IF(E193="1X",IF(OR(O193="1",O193=1,O193="X"),1,0),IF(E193="X2",IF(OR(O193="X",O193="2",O193=2),1,0),IF(OR(E193="12",E193=12),IF(OR(O193="1",O193=1,O193="2",O193=2),1,0),"")))))</x:f>
      </x:c>
      <x:c r="Q193" s="9" t="str">
        <x:f t="shared" si="27">IF(OR(NOT(ISNUMBER(P193)),NOT(ISNUMBER(H193)),H193&lt;=1),"",IF(P193=1,H193-1,-1))</x:f>
      </x:c>
      <x:c r="R193" s="2"/>
      <x:c r="S193" s="2"/>
      <x:c r="T193" s="2"/>
      <x:c r="U193" s="2"/>
      <x:c r="V193" s="2"/>
      <x:c r="W193" s="14" t="str">
        <x:f t="shared" si="28">IF(OR(NOT(ISNUMBER(G193)),G193&lt;0,G193&gt;1,NOT(ISNUMBER(P193))),"",(G193-P193)^2)</x:f>
      </x:c>
      <x:c r="X193" s="2" t="str">
        <x:f t="shared" si="29">IF(AND(ISNUMBER(A193),ISNUMBER(Y193),Y193&lt;A193,AB193&lt;&gt;"",ISNUMBER(P193),ISNUMBER(G193),G193&gt;=0,G193&lt;=1,OR(M193="DEFENSIV",M193="PRUDENT",M193="MODERAT",M193="RIDICAT",M193="WATCH",M193="NO BET")),"YES","NO")</x:f>
        <x:v>NO</x:v>
      </x:c>
      <x:c r="Y193" s="146"/>
      <x:c r="Z193" t="str">
        <x:f>IF(AND(X193="YES",OR(M193="DEFENSIV",M193="PRUDENT",M193="MODERAT",M193="RIDICAT")),"YES","NO")</x:f>
        <x:v>NO</x:v>
      </x:c>
      <x:c r="AA193" t="str">
        <x:f>IF(NOT(ISNUMBER(H193)),"MISSING",IF(AND(ISNUMBER(H193),H193&gt;1),"VALID","INVALID"))</x:f>
        <x:v>MISSING</x:v>
      </x:c>
      <x:c r="AB193" s="144"/>
      <x:c r="AC193" t="str">
        <x:f>IF(AND(NOT(ISNUMBER(A193)),E193="",NOT(ISNUMBER(G193)),M193="",O193=""),"INPUT",IF(X193="YES","VALID","INCOMPLETE / INVALID"))</x:f>
        <x:v>INPUT</x:v>
      </x:c>
      <x:c r="AD193" t="str">
        <x:f>IF(X193="YES",P193,"")</x:f>
      </x:c>
      <x:c r="AE193" t="str">
        <x:f>IF(X193="YES",W193,"")</x:f>
      </x:c>
      <x:c r="AF193" t="str">
        <x:f>IF(X193="YES",G193,"")</x:f>
      </x:c>
      <x:c r="AG193" t="str">
        <x:f>IF(AND(Z193="YES",AA193="VALID"),Q193,"")</x:f>
      </x:c>
      <x:c r="AH193" t="str">
        <x:f>IF(AND(Z193="YES",AA193="VALID"),"YES","NO")</x:f>
        <x:v>NO</x:v>
      </x:c>
    </x:row>
    <x:row r="194" ht="15">
      <x:c r="A194" s="161"/>
      <x:c r="B194" s="2"/>
      <x:c r="C194" s="2"/>
      <x:c r="D194" s="2"/>
      <x:c r="E194" s="2"/>
      <x:c r="F194" s="8"/>
      <x:c r="G194" s="8"/>
      <x:c r="H194" s="9"/>
      <x:c r="I194" s="8"/>
      <x:c r="J194" s="8" t="str">
        <x:f t="shared" si="25">IF(OR(NOT(ISNUMBER(G194)),NOT(ISNUMBER(I194))),"",G194-I194)</x:f>
      </x:c>
      <x:c r="K194" s="8" t="str">
        <x:f t="shared" si="26">IF(OR(NOT(ISNUMBER(G194)),NOT(ISNUMBER(H194)),H194&lt;=1),"",G194*H194-1)</x:f>
      </x:c>
      <x:c r="L194" s="2"/>
      <x:c r="M194" s="2"/>
      <x:c r="N194" s="2"/>
      <x:c r="O194" s="2"/>
      <x:c r="P194" s="2" t="str">
        <x:f>IF(OR(E194="",O194=""),"",IF(NOT(OR(O194="1",O194=1,O194="X",O194="2",O194=2)),"",IF(E194="1X",IF(OR(O194="1",O194=1,O194="X"),1,0),IF(E194="X2",IF(OR(O194="X",O194="2",O194=2),1,0),IF(OR(E194="12",E194=12),IF(OR(O194="1",O194=1,O194="2",O194=2),1,0),"")))))</x:f>
      </x:c>
      <x:c r="Q194" s="9" t="str">
        <x:f t="shared" si="27">IF(OR(NOT(ISNUMBER(P194)),NOT(ISNUMBER(H194)),H194&lt;=1),"",IF(P194=1,H194-1,-1))</x:f>
      </x:c>
      <x:c r="R194" s="2"/>
      <x:c r="S194" s="2"/>
      <x:c r="T194" s="2"/>
      <x:c r="U194" s="2"/>
      <x:c r="V194" s="2"/>
      <x:c r="W194" s="14" t="str">
        <x:f t="shared" si="28">IF(OR(NOT(ISNUMBER(G194)),G194&lt;0,G194&gt;1,NOT(ISNUMBER(P194))),"",(G194-P194)^2)</x:f>
      </x:c>
      <x:c r="X194" s="2" t="str">
        <x:f t="shared" si="29">IF(AND(ISNUMBER(A194),ISNUMBER(Y194),Y194&lt;A194,AB194&lt;&gt;"",ISNUMBER(P194),ISNUMBER(G194),G194&gt;=0,G194&lt;=1,OR(M194="DEFENSIV",M194="PRUDENT",M194="MODERAT",M194="RIDICAT",M194="WATCH",M194="NO BET")),"YES","NO")</x:f>
        <x:v>NO</x:v>
      </x:c>
      <x:c r="Y194" s="146"/>
      <x:c r="Z194" t="str">
        <x:f>IF(AND(X194="YES",OR(M194="DEFENSIV",M194="PRUDENT",M194="MODERAT",M194="RIDICAT")),"YES","NO")</x:f>
        <x:v>NO</x:v>
      </x:c>
      <x:c r="AA194" t="str">
        <x:f>IF(NOT(ISNUMBER(H194)),"MISSING",IF(AND(ISNUMBER(H194),H194&gt;1),"VALID","INVALID"))</x:f>
        <x:v>MISSING</x:v>
      </x:c>
      <x:c r="AB194" s="144"/>
      <x:c r="AC194" t="str">
        <x:f>IF(AND(NOT(ISNUMBER(A194)),E194="",NOT(ISNUMBER(G194)),M194="",O194=""),"INPUT",IF(X194="YES","VALID","INCOMPLETE / INVALID"))</x:f>
        <x:v>INPUT</x:v>
      </x:c>
      <x:c r="AD194" t="str">
        <x:f>IF(X194="YES",P194,"")</x:f>
      </x:c>
      <x:c r="AE194" t="str">
        <x:f>IF(X194="YES",W194,"")</x:f>
      </x:c>
      <x:c r="AF194" t="str">
        <x:f>IF(X194="YES",G194,"")</x:f>
      </x:c>
      <x:c r="AG194" t="str">
        <x:f>IF(AND(Z194="YES",AA194="VALID"),Q194,"")</x:f>
      </x:c>
      <x:c r="AH194" t="str">
        <x:f>IF(AND(Z194="YES",AA194="VALID"),"YES","NO")</x:f>
        <x:v>NO</x:v>
      </x:c>
    </x:row>
    <x:row r="195" ht="15">
      <x:c r="A195" s="161"/>
      <x:c r="B195" s="2"/>
      <x:c r="C195" s="2"/>
      <x:c r="D195" s="2"/>
      <x:c r="E195" s="2"/>
      <x:c r="F195" s="8"/>
      <x:c r="G195" s="8"/>
      <x:c r="H195" s="9"/>
      <x:c r="I195" s="8"/>
      <x:c r="J195" s="8" t="str">
        <x:f t="shared" si="25">IF(OR(NOT(ISNUMBER(G195)),NOT(ISNUMBER(I195))),"",G195-I195)</x:f>
      </x:c>
      <x:c r="K195" s="8" t="str">
        <x:f t="shared" si="26">IF(OR(NOT(ISNUMBER(G195)),NOT(ISNUMBER(H195)),H195&lt;=1),"",G195*H195-1)</x:f>
      </x:c>
      <x:c r="L195" s="2"/>
      <x:c r="M195" s="2"/>
      <x:c r="N195" s="2"/>
      <x:c r="O195" s="2"/>
      <x:c r="P195" s="2" t="str">
        <x:f>IF(OR(E195="",O195=""),"",IF(NOT(OR(O195="1",O195=1,O195="X",O195="2",O195=2)),"",IF(E195="1X",IF(OR(O195="1",O195=1,O195="X"),1,0),IF(E195="X2",IF(OR(O195="X",O195="2",O195=2),1,0),IF(OR(E195="12",E195=12),IF(OR(O195="1",O195=1,O195="2",O195=2),1,0),"")))))</x:f>
      </x:c>
      <x:c r="Q195" s="9" t="str">
        <x:f t="shared" si="27">IF(OR(NOT(ISNUMBER(P195)),NOT(ISNUMBER(H195)),H195&lt;=1),"",IF(P195=1,H195-1,-1))</x:f>
      </x:c>
      <x:c r="R195" s="2"/>
      <x:c r="S195" s="2"/>
      <x:c r="T195" s="2"/>
      <x:c r="U195" s="2"/>
      <x:c r="V195" s="2"/>
      <x:c r="W195" s="14" t="str">
        <x:f t="shared" si="28">IF(OR(NOT(ISNUMBER(G195)),G195&lt;0,G195&gt;1,NOT(ISNUMBER(P195))),"",(G195-P195)^2)</x:f>
      </x:c>
      <x:c r="X195" s="2" t="str">
        <x:f t="shared" si="29">IF(AND(ISNUMBER(A195),ISNUMBER(Y195),Y195&lt;A195,AB195&lt;&gt;"",ISNUMBER(P195),ISNUMBER(G195),G195&gt;=0,G195&lt;=1,OR(M195="DEFENSIV",M195="PRUDENT",M195="MODERAT",M195="RIDICAT",M195="WATCH",M195="NO BET")),"YES","NO")</x:f>
        <x:v>NO</x:v>
      </x:c>
      <x:c r="Y195" s="146"/>
      <x:c r="Z195" t="str">
        <x:f>IF(AND(X195="YES",OR(M195="DEFENSIV",M195="PRUDENT",M195="MODERAT",M195="RIDICAT")),"YES","NO")</x:f>
        <x:v>NO</x:v>
      </x:c>
      <x:c r="AA195" t="str">
        <x:f>IF(NOT(ISNUMBER(H195)),"MISSING",IF(AND(ISNUMBER(H195),H195&gt;1),"VALID","INVALID"))</x:f>
        <x:v>MISSING</x:v>
      </x:c>
      <x:c r="AB195" s="144"/>
      <x:c r="AC195" t="str">
        <x:f>IF(AND(NOT(ISNUMBER(A195)),E195="",NOT(ISNUMBER(G195)),M195="",O195=""),"INPUT",IF(X195="YES","VALID","INCOMPLETE / INVALID"))</x:f>
        <x:v>INPUT</x:v>
      </x:c>
      <x:c r="AD195" t="str">
        <x:f>IF(X195="YES",P195,"")</x:f>
      </x:c>
      <x:c r="AE195" t="str">
        <x:f>IF(X195="YES",W195,"")</x:f>
      </x:c>
      <x:c r="AF195" t="str">
        <x:f>IF(X195="YES",G195,"")</x:f>
      </x:c>
      <x:c r="AG195" t="str">
        <x:f>IF(AND(Z195="YES",AA195="VALID"),Q195,"")</x:f>
      </x:c>
      <x:c r="AH195" t="str">
        <x:f>IF(AND(Z195="YES",AA195="VALID"),"YES","NO")</x:f>
        <x:v>NO</x:v>
      </x:c>
    </x:row>
    <x:row r="196" ht="15">
      <x:c r="A196" s="161"/>
      <x:c r="B196" s="2"/>
      <x:c r="C196" s="2"/>
      <x:c r="D196" s="2"/>
      <x:c r="E196" s="2"/>
      <x:c r="F196" s="8"/>
      <x:c r="G196" s="8"/>
      <x:c r="H196" s="9"/>
      <x:c r="I196" s="8"/>
      <x:c r="J196" s="8" t="str">
        <x:f t="shared" ref="J196:J203" si="30">IF(OR(NOT(ISNUMBER(G196)),NOT(ISNUMBER(I196))),"",G196-I196)</x:f>
      </x:c>
      <x:c r="K196" s="8" t="str">
        <x:f t="shared" ref="K196:K203" si="31">IF(OR(NOT(ISNUMBER(G196)),NOT(ISNUMBER(H196)),H196&lt;=1),"",G196*H196-1)</x:f>
      </x:c>
      <x:c r="L196" s="2"/>
      <x:c r="M196" s="2"/>
      <x:c r="N196" s="2"/>
      <x:c r="O196" s="2"/>
      <x:c r="P196" s="2" t="str">
        <x:f>IF(OR(E196="",O196=""),"",IF(NOT(OR(O196="1",O196=1,O196="X",O196="2",O196=2)),"",IF(E196="1X",IF(OR(O196="1",O196=1,O196="X"),1,0),IF(E196="X2",IF(OR(O196="X",O196="2",O196=2),1,0),IF(OR(E196="12",E196=12),IF(OR(O196="1",O196=1,O196="2",O196=2),1,0),"")))))</x:f>
      </x:c>
      <x:c r="Q196" s="9" t="str">
        <x:f t="shared" ref="Q196:Q203" si="32">IF(OR(NOT(ISNUMBER(P196)),NOT(ISNUMBER(H196)),H196&lt;=1),"",IF(P196=1,H196-1,-1))</x:f>
      </x:c>
      <x:c r="R196" s="2"/>
      <x:c r="S196" s="2"/>
      <x:c r="T196" s="2"/>
      <x:c r="U196" s="2"/>
      <x:c r="V196" s="2"/>
      <x:c r="W196" s="14" t="str">
        <x:f t="shared" ref="W196:W203" si="33">IF(OR(NOT(ISNUMBER(G196)),G196&lt;0,G196&gt;1,NOT(ISNUMBER(P196))),"",(G196-P196)^2)</x:f>
      </x:c>
      <x:c r="X196" s="2" t="str">
        <x:f t="shared" ref="X196:X203" si="34">IF(AND(ISNUMBER(A196),ISNUMBER(Y196),Y196&lt;A196,AB196&lt;&gt;"",ISNUMBER(P196),ISNUMBER(G196),G196&gt;=0,G196&lt;=1,OR(M196="DEFENSIV",M196="PRUDENT",M196="MODERAT",M196="RIDICAT",M196="WATCH",M196="NO BET")),"YES","NO")</x:f>
        <x:v>NO</x:v>
      </x:c>
      <x:c r="Y196" s="146"/>
      <x:c r="Z196" t="str">
        <x:f>IF(AND(X196="YES",OR(M196="DEFENSIV",M196="PRUDENT",M196="MODERAT",M196="RIDICAT")),"YES","NO")</x:f>
        <x:v>NO</x:v>
      </x:c>
      <x:c r="AA196" t="str">
        <x:f>IF(NOT(ISNUMBER(H196)),"MISSING",IF(AND(ISNUMBER(H196),H196&gt;1),"VALID","INVALID"))</x:f>
        <x:v>MISSING</x:v>
      </x:c>
      <x:c r="AB196" s="144"/>
      <x:c r="AC196" t="str">
        <x:f>IF(AND(NOT(ISNUMBER(A196)),E196="",NOT(ISNUMBER(G196)),M196="",O196=""),"INPUT",IF(X196="YES","VALID","INCOMPLETE / INVALID"))</x:f>
        <x:v>INPUT</x:v>
      </x:c>
      <x:c r="AD196" t="str">
        <x:f>IF(X196="YES",P196,"")</x:f>
      </x:c>
      <x:c r="AE196" t="str">
        <x:f>IF(X196="YES",W196,"")</x:f>
      </x:c>
      <x:c r="AF196" t="str">
        <x:f>IF(X196="YES",G196,"")</x:f>
      </x:c>
      <x:c r="AG196" t="str">
        <x:f>IF(AND(Z196="YES",AA196="VALID"),Q196,"")</x:f>
      </x:c>
      <x:c r="AH196" t="str">
        <x:f>IF(AND(Z196="YES",AA196="VALID"),"YES","NO")</x:f>
        <x:v>NO</x:v>
      </x:c>
    </x:row>
    <x:row r="197" ht="15">
      <x:c r="A197" s="161"/>
      <x:c r="B197" s="2"/>
      <x:c r="C197" s="2"/>
      <x:c r="D197" s="2"/>
      <x:c r="E197" s="2"/>
      <x:c r="F197" s="8"/>
      <x:c r="G197" s="8"/>
      <x:c r="H197" s="9"/>
      <x:c r="I197" s="8"/>
      <x:c r="J197" s="8" t="str">
        <x:f t="shared" si="30">IF(OR(NOT(ISNUMBER(G197)),NOT(ISNUMBER(I197))),"",G197-I197)</x:f>
      </x:c>
      <x:c r="K197" s="8" t="str">
        <x:f t="shared" si="31">IF(OR(NOT(ISNUMBER(G197)),NOT(ISNUMBER(H197)),H197&lt;=1),"",G197*H197-1)</x:f>
      </x:c>
      <x:c r="L197" s="2"/>
      <x:c r="M197" s="2"/>
      <x:c r="N197" s="2"/>
      <x:c r="O197" s="2"/>
      <x:c r="P197" s="2" t="str">
        <x:f>IF(OR(E197="",O197=""),"",IF(NOT(OR(O197="1",O197=1,O197="X",O197="2",O197=2)),"",IF(E197="1X",IF(OR(O197="1",O197=1,O197="X"),1,0),IF(E197="X2",IF(OR(O197="X",O197="2",O197=2),1,0),IF(OR(E197="12",E197=12),IF(OR(O197="1",O197=1,O197="2",O197=2),1,0),"")))))</x:f>
      </x:c>
      <x:c r="Q197" s="9" t="str">
        <x:f t="shared" si="32">IF(OR(NOT(ISNUMBER(P197)),NOT(ISNUMBER(H197)),H197&lt;=1),"",IF(P197=1,H197-1,-1))</x:f>
      </x:c>
      <x:c r="R197" s="2"/>
      <x:c r="S197" s="2"/>
      <x:c r="T197" s="2"/>
      <x:c r="U197" s="2"/>
      <x:c r="V197" s="2"/>
      <x:c r="W197" s="14" t="str">
        <x:f t="shared" si="33">IF(OR(NOT(ISNUMBER(G197)),G197&lt;0,G197&gt;1,NOT(ISNUMBER(P197))),"",(G197-P197)^2)</x:f>
      </x:c>
      <x:c r="X197" s="2" t="str">
        <x:f t="shared" si="34">IF(AND(ISNUMBER(A197),ISNUMBER(Y197),Y197&lt;A197,AB197&lt;&gt;"",ISNUMBER(P197),ISNUMBER(G197),G197&gt;=0,G197&lt;=1,OR(M197="DEFENSIV",M197="PRUDENT",M197="MODERAT",M197="RIDICAT",M197="WATCH",M197="NO BET")),"YES","NO")</x:f>
        <x:v>NO</x:v>
      </x:c>
      <x:c r="Y197" s="146"/>
      <x:c r="Z197" t="str">
        <x:f>IF(AND(X197="YES",OR(M197="DEFENSIV",M197="PRUDENT",M197="MODERAT",M197="RIDICAT")),"YES","NO")</x:f>
        <x:v>NO</x:v>
      </x:c>
      <x:c r="AA197" t="str">
        <x:f>IF(NOT(ISNUMBER(H197)),"MISSING",IF(AND(ISNUMBER(H197),H197&gt;1),"VALID","INVALID"))</x:f>
        <x:v>MISSING</x:v>
      </x:c>
      <x:c r="AB197" s="144"/>
      <x:c r="AC197" t="str">
        <x:f>IF(AND(NOT(ISNUMBER(A197)),E197="",NOT(ISNUMBER(G197)),M197="",O197=""),"INPUT",IF(X197="YES","VALID","INCOMPLETE / INVALID"))</x:f>
        <x:v>INPUT</x:v>
      </x:c>
      <x:c r="AD197" t="str">
        <x:f>IF(X197="YES",P197,"")</x:f>
      </x:c>
      <x:c r="AE197" t="str">
        <x:f>IF(X197="YES",W197,"")</x:f>
      </x:c>
      <x:c r="AF197" t="str">
        <x:f>IF(X197="YES",G197,"")</x:f>
      </x:c>
      <x:c r="AG197" t="str">
        <x:f>IF(AND(Z197="YES",AA197="VALID"),Q197,"")</x:f>
      </x:c>
      <x:c r="AH197" t="str">
        <x:f>IF(AND(Z197="YES",AA197="VALID"),"YES","NO")</x:f>
        <x:v>NO</x:v>
      </x:c>
    </x:row>
    <x:row r="198" ht="15">
      <x:c r="A198" s="161"/>
      <x:c r="B198" s="2"/>
      <x:c r="C198" s="2"/>
      <x:c r="D198" s="2"/>
      <x:c r="E198" s="2"/>
      <x:c r="F198" s="8"/>
      <x:c r="G198" s="8"/>
      <x:c r="H198" s="9"/>
      <x:c r="I198" s="8"/>
      <x:c r="J198" s="8" t="str">
        <x:f t="shared" si="30">IF(OR(NOT(ISNUMBER(G198)),NOT(ISNUMBER(I198))),"",G198-I198)</x:f>
      </x:c>
      <x:c r="K198" s="8" t="str">
        <x:f t="shared" si="31">IF(OR(NOT(ISNUMBER(G198)),NOT(ISNUMBER(H198)),H198&lt;=1),"",G198*H198-1)</x:f>
      </x:c>
      <x:c r="L198" s="2"/>
      <x:c r="M198" s="2"/>
      <x:c r="N198" s="2"/>
      <x:c r="O198" s="2"/>
      <x:c r="P198" s="2" t="str">
        <x:f>IF(OR(E198="",O198=""),"",IF(NOT(OR(O198="1",O198=1,O198="X",O198="2",O198=2)),"",IF(E198="1X",IF(OR(O198="1",O198=1,O198="X"),1,0),IF(E198="X2",IF(OR(O198="X",O198="2",O198=2),1,0),IF(OR(E198="12",E198=12),IF(OR(O198="1",O198=1,O198="2",O198=2),1,0),"")))))</x:f>
      </x:c>
      <x:c r="Q198" s="9" t="str">
        <x:f t="shared" si="32">IF(OR(NOT(ISNUMBER(P198)),NOT(ISNUMBER(H198)),H198&lt;=1),"",IF(P198=1,H198-1,-1))</x:f>
      </x:c>
      <x:c r="R198" s="2"/>
      <x:c r="S198" s="2"/>
      <x:c r="T198" s="2"/>
      <x:c r="U198" s="2"/>
      <x:c r="V198" s="2"/>
      <x:c r="W198" s="14" t="str">
        <x:f t="shared" si="33">IF(OR(NOT(ISNUMBER(G198)),G198&lt;0,G198&gt;1,NOT(ISNUMBER(P198))),"",(G198-P198)^2)</x:f>
      </x:c>
      <x:c r="X198" s="2" t="str">
        <x:f t="shared" si="34">IF(AND(ISNUMBER(A198),ISNUMBER(Y198),Y198&lt;A198,AB198&lt;&gt;"",ISNUMBER(P198),ISNUMBER(G198),G198&gt;=0,G198&lt;=1,OR(M198="DEFENSIV",M198="PRUDENT",M198="MODERAT",M198="RIDICAT",M198="WATCH",M198="NO BET")),"YES","NO")</x:f>
        <x:v>NO</x:v>
      </x:c>
      <x:c r="Y198" s="146"/>
      <x:c r="Z198" t="str">
        <x:f>IF(AND(X198="YES",OR(M198="DEFENSIV",M198="PRUDENT",M198="MODERAT",M198="RIDICAT")),"YES","NO")</x:f>
        <x:v>NO</x:v>
      </x:c>
      <x:c r="AA198" t="str">
        <x:f>IF(NOT(ISNUMBER(H198)),"MISSING",IF(AND(ISNUMBER(H198),H198&gt;1),"VALID","INVALID"))</x:f>
        <x:v>MISSING</x:v>
      </x:c>
      <x:c r="AB198" s="144"/>
      <x:c r="AC198" t="str">
        <x:f>IF(AND(NOT(ISNUMBER(A198)),E198="",NOT(ISNUMBER(G198)),M198="",O198=""),"INPUT",IF(X198="YES","VALID","INCOMPLETE / INVALID"))</x:f>
        <x:v>INPUT</x:v>
      </x:c>
      <x:c r="AD198" t="str">
        <x:f>IF(X198="YES",P198,"")</x:f>
      </x:c>
      <x:c r="AE198" t="str">
        <x:f>IF(X198="YES",W198,"")</x:f>
      </x:c>
      <x:c r="AF198" t="str">
        <x:f>IF(X198="YES",G198,"")</x:f>
      </x:c>
      <x:c r="AG198" t="str">
        <x:f>IF(AND(Z198="YES",AA198="VALID"),Q198,"")</x:f>
      </x:c>
      <x:c r="AH198" t="str">
        <x:f>IF(AND(Z198="YES",AA198="VALID"),"YES","NO")</x:f>
        <x:v>NO</x:v>
      </x:c>
    </x:row>
    <x:row r="199" ht="15">
      <x:c r="A199" s="161"/>
      <x:c r="B199" s="2"/>
      <x:c r="C199" s="2"/>
      <x:c r="D199" s="2"/>
      <x:c r="E199" s="2"/>
      <x:c r="F199" s="8"/>
      <x:c r="G199" s="8"/>
      <x:c r="H199" s="9"/>
      <x:c r="I199" s="8"/>
      <x:c r="J199" s="8" t="str">
        <x:f t="shared" si="30">IF(OR(NOT(ISNUMBER(G199)),NOT(ISNUMBER(I199))),"",G199-I199)</x:f>
      </x:c>
      <x:c r="K199" s="8" t="str">
        <x:f t="shared" si="31">IF(OR(NOT(ISNUMBER(G199)),NOT(ISNUMBER(H199)),H199&lt;=1),"",G199*H199-1)</x:f>
      </x:c>
      <x:c r="L199" s="2"/>
      <x:c r="M199" s="2"/>
      <x:c r="N199" s="2"/>
      <x:c r="O199" s="2"/>
      <x:c r="P199" s="2" t="str">
        <x:f>IF(OR(E199="",O199=""),"",IF(NOT(OR(O199="1",O199=1,O199="X",O199="2",O199=2)),"",IF(E199="1X",IF(OR(O199="1",O199=1,O199="X"),1,0),IF(E199="X2",IF(OR(O199="X",O199="2",O199=2),1,0),IF(OR(E199="12",E199=12),IF(OR(O199="1",O199=1,O199="2",O199=2),1,0),"")))))</x:f>
      </x:c>
      <x:c r="Q199" s="9" t="str">
        <x:f t="shared" si="32">IF(OR(NOT(ISNUMBER(P199)),NOT(ISNUMBER(H199)),H199&lt;=1),"",IF(P199=1,H199-1,-1))</x:f>
      </x:c>
      <x:c r="R199" s="2"/>
      <x:c r="S199" s="2"/>
      <x:c r="T199" s="2"/>
      <x:c r="U199" s="2"/>
      <x:c r="V199" s="2"/>
      <x:c r="W199" s="14" t="str">
        <x:f t="shared" si="33">IF(OR(NOT(ISNUMBER(G199)),G199&lt;0,G199&gt;1,NOT(ISNUMBER(P199))),"",(G199-P199)^2)</x:f>
      </x:c>
      <x:c r="X199" s="2" t="str">
        <x:f t="shared" si="34">IF(AND(ISNUMBER(A199),ISNUMBER(Y199),Y199&lt;A199,AB199&lt;&gt;"",ISNUMBER(P199),ISNUMBER(G199),G199&gt;=0,G199&lt;=1,OR(M199="DEFENSIV",M199="PRUDENT",M199="MODERAT",M199="RIDICAT",M199="WATCH",M199="NO BET")),"YES","NO")</x:f>
        <x:v>NO</x:v>
      </x:c>
      <x:c r="Y199" s="146"/>
      <x:c r="Z199" t="str">
        <x:f>IF(AND(X199="YES",OR(M199="DEFENSIV",M199="PRUDENT",M199="MODERAT",M199="RIDICAT")),"YES","NO")</x:f>
        <x:v>NO</x:v>
      </x:c>
      <x:c r="AA199" t="str">
        <x:f>IF(NOT(ISNUMBER(H199)),"MISSING",IF(AND(ISNUMBER(H199),H199&gt;1),"VALID","INVALID"))</x:f>
        <x:v>MISSING</x:v>
      </x:c>
      <x:c r="AB199" s="144"/>
      <x:c r="AC199" t="str">
        <x:f>IF(AND(NOT(ISNUMBER(A199)),E199="",NOT(ISNUMBER(G199)),M199="",O199=""),"INPUT",IF(X199="YES","VALID","INCOMPLETE / INVALID"))</x:f>
        <x:v>INPUT</x:v>
      </x:c>
      <x:c r="AD199" t="str">
        <x:f>IF(X199="YES",P199,"")</x:f>
      </x:c>
      <x:c r="AE199" t="str">
        <x:f>IF(X199="YES",W199,"")</x:f>
      </x:c>
      <x:c r="AF199" t="str">
        <x:f>IF(X199="YES",G199,"")</x:f>
      </x:c>
      <x:c r="AG199" t="str">
        <x:f>IF(AND(Z199="YES",AA199="VALID"),Q199,"")</x:f>
      </x:c>
      <x:c r="AH199" t="str">
        <x:f>IF(AND(Z199="YES",AA199="VALID"),"YES","NO")</x:f>
        <x:v>NO</x:v>
      </x:c>
    </x:row>
    <x:row r="200" ht="15">
      <x:c r="A200" s="161"/>
      <x:c r="B200" s="2"/>
      <x:c r="C200" s="2"/>
      <x:c r="D200" s="2"/>
      <x:c r="E200" s="2"/>
      <x:c r="F200" s="8"/>
      <x:c r="G200" s="8"/>
      <x:c r="H200" s="9"/>
      <x:c r="I200" s="8"/>
      <x:c r="J200" s="8" t="str">
        <x:f t="shared" si="30">IF(OR(NOT(ISNUMBER(G200)),NOT(ISNUMBER(I200))),"",G200-I200)</x:f>
      </x:c>
      <x:c r="K200" s="8" t="str">
        <x:f t="shared" si="31">IF(OR(NOT(ISNUMBER(G200)),NOT(ISNUMBER(H200)),H200&lt;=1),"",G200*H200-1)</x:f>
      </x:c>
      <x:c r="L200" s="2"/>
      <x:c r="M200" s="2"/>
      <x:c r="N200" s="2"/>
      <x:c r="O200" s="2"/>
      <x:c r="P200" s="2" t="str">
        <x:f>IF(OR(E200="",O200=""),"",IF(NOT(OR(O200="1",O200=1,O200="X",O200="2",O200=2)),"",IF(E200="1X",IF(OR(O200="1",O200=1,O200="X"),1,0),IF(E200="X2",IF(OR(O200="X",O200="2",O200=2),1,0),IF(OR(E200="12",E200=12),IF(OR(O200="1",O200=1,O200="2",O200=2),1,0),"")))))</x:f>
      </x:c>
      <x:c r="Q200" s="9" t="str">
        <x:f t="shared" si="32">IF(OR(NOT(ISNUMBER(P200)),NOT(ISNUMBER(H200)),H200&lt;=1),"",IF(P200=1,H200-1,-1))</x:f>
      </x:c>
      <x:c r="R200" s="2"/>
      <x:c r="S200" s="2"/>
      <x:c r="T200" s="2"/>
      <x:c r="U200" s="2"/>
      <x:c r="V200" s="2"/>
      <x:c r="W200" s="14" t="str">
        <x:f t="shared" si="33">IF(OR(NOT(ISNUMBER(G200)),G200&lt;0,G200&gt;1,NOT(ISNUMBER(P200))),"",(G200-P200)^2)</x:f>
      </x:c>
      <x:c r="X200" s="2" t="str">
        <x:f t="shared" si="34">IF(AND(ISNUMBER(A200),ISNUMBER(Y200),Y200&lt;A200,AB200&lt;&gt;"",ISNUMBER(P200),ISNUMBER(G200),G200&gt;=0,G200&lt;=1,OR(M200="DEFENSIV",M200="PRUDENT",M200="MODERAT",M200="RIDICAT",M200="WATCH",M200="NO BET")),"YES","NO")</x:f>
        <x:v>NO</x:v>
      </x:c>
      <x:c r="Y200" s="146"/>
      <x:c r="Z200" t="str">
        <x:f>IF(AND(X200="YES",OR(M200="DEFENSIV",M200="PRUDENT",M200="MODERAT",M200="RIDICAT")),"YES","NO")</x:f>
        <x:v>NO</x:v>
      </x:c>
      <x:c r="AA200" t="str">
        <x:f>IF(NOT(ISNUMBER(H200)),"MISSING",IF(AND(ISNUMBER(H200),H200&gt;1),"VALID","INVALID"))</x:f>
        <x:v>MISSING</x:v>
      </x:c>
      <x:c r="AB200" s="144"/>
      <x:c r="AC200" t="str">
        <x:f>IF(AND(NOT(ISNUMBER(A200)),E200="",NOT(ISNUMBER(G200)),M200="",O200=""),"INPUT",IF(X200="YES","VALID","INCOMPLETE / INVALID"))</x:f>
        <x:v>INPUT</x:v>
      </x:c>
      <x:c r="AD200" t="str">
        <x:f>IF(X200="YES",P200,"")</x:f>
      </x:c>
      <x:c r="AE200" t="str">
        <x:f>IF(X200="YES",W200,"")</x:f>
      </x:c>
      <x:c r="AF200" t="str">
        <x:f>IF(X200="YES",G200,"")</x:f>
      </x:c>
      <x:c r="AG200" t="str">
        <x:f>IF(AND(Z200="YES",AA200="VALID"),Q200,"")</x:f>
      </x:c>
      <x:c r="AH200" t="str">
        <x:f>IF(AND(Z200="YES",AA200="VALID"),"YES","NO")</x:f>
        <x:v>NO</x:v>
      </x:c>
    </x:row>
    <x:row r="201" ht="15">
      <x:c r="A201" s="161"/>
      <x:c r="B201" s="2"/>
      <x:c r="C201" s="2"/>
      <x:c r="D201" s="2"/>
      <x:c r="E201" s="2"/>
      <x:c r="F201" s="8"/>
      <x:c r="G201" s="8"/>
      <x:c r="H201" s="9"/>
      <x:c r="I201" s="8"/>
      <x:c r="J201" s="8" t="str">
        <x:f t="shared" si="30">IF(OR(NOT(ISNUMBER(G201)),NOT(ISNUMBER(I201))),"",G201-I201)</x:f>
      </x:c>
      <x:c r="K201" s="8" t="str">
        <x:f t="shared" si="31">IF(OR(NOT(ISNUMBER(G201)),NOT(ISNUMBER(H201)),H201&lt;=1),"",G201*H201-1)</x:f>
      </x:c>
      <x:c r="L201" s="2"/>
      <x:c r="M201" s="2"/>
      <x:c r="N201" s="2"/>
      <x:c r="O201" s="2"/>
      <x:c r="P201" s="2" t="str">
        <x:f>IF(OR(E201="",O201=""),"",IF(NOT(OR(O201="1",O201=1,O201="X",O201="2",O201=2)),"",IF(E201="1X",IF(OR(O201="1",O201=1,O201="X"),1,0),IF(E201="X2",IF(OR(O201="X",O201="2",O201=2),1,0),IF(OR(E201="12",E201=12),IF(OR(O201="1",O201=1,O201="2",O201=2),1,0),"")))))</x:f>
      </x:c>
      <x:c r="Q201" s="9" t="str">
        <x:f t="shared" si="32">IF(OR(NOT(ISNUMBER(P201)),NOT(ISNUMBER(H201)),H201&lt;=1),"",IF(P201=1,H201-1,-1))</x:f>
      </x:c>
      <x:c r="R201" s="2"/>
      <x:c r="S201" s="2"/>
      <x:c r="T201" s="2"/>
      <x:c r="U201" s="2"/>
      <x:c r="V201" s="2"/>
      <x:c r="W201" s="14" t="str">
        <x:f t="shared" si="33">IF(OR(NOT(ISNUMBER(G201)),G201&lt;0,G201&gt;1,NOT(ISNUMBER(P201))),"",(G201-P201)^2)</x:f>
      </x:c>
      <x:c r="X201" s="2" t="str">
        <x:f t="shared" si="34">IF(AND(ISNUMBER(A201),ISNUMBER(Y201),Y201&lt;A201,AB201&lt;&gt;"",ISNUMBER(P201),ISNUMBER(G201),G201&gt;=0,G201&lt;=1,OR(M201="DEFENSIV",M201="PRUDENT",M201="MODERAT",M201="RIDICAT",M201="WATCH",M201="NO BET")),"YES","NO")</x:f>
        <x:v>NO</x:v>
      </x:c>
      <x:c r="Y201" s="146"/>
      <x:c r="Z201" t="str">
        <x:f>IF(AND(X201="YES",OR(M201="DEFENSIV",M201="PRUDENT",M201="MODERAT",M201="RIDICAT")),"YES","NO")</x:f>
        <x:v>NO</x:v>
      </x:c>
      <x:c r="AA201" t="str">
        <x:f>IF(NOT(ISNUMBER(H201)),"MISSING",IF(AND(ISNUMBER(H201),H201&gt;1),"VALID","INVALID"))</x:f>
        <x:v>MISSING</x:v>
      </x:c>
      <x:c r="AB201" s="144"/>
      <x:c r="AC201" t="str">
        <x:f>IF(AND(NOT(ISNUMBER(A201)),E201="",NOT(ISNUMBER(G201)),M201="",O201=""),"INPUT",IF(X201="YES","VALID","INCOMPLETE / INVALID"))</x:f>
        <x:v>INPUT</x:v>
      </x:c>
      <x:c r="AD201" t="str">
        <x:f>IF(X201="YES",P201,"")</x:f>
      </x:c>
      <x:c r="AE201" t="str">
        <x:f>IF(X201="YES",W201,"")</x:f>
      </x:c>
      <x:c r="AF201" t="str">
        <x:f>IF(X201="YES",G201,"")</x:f>
      </x:c>
      <x:c r="AG201" t="str">
        <x:f>IF(AND(Z201="YES",AA201="VALID"),Q201,"")</x:f>
      </x:c>
      <x:c r="AH201" t="str">
        <x:f>IF(AND(Z201="YES",AA201="VALID"),"YES","NO")</x:f>
        <x:v>NO</x:v>
      </x:c>
    </x:row>
    <x:row r="202" ht="15">
      <x:c r="A202" s="161"/>
      <x:c r="B202" s="2"/>
      <x:c r="C202" s="2"/>
      <x:c r="D202" s="2"/>
      <x:c r="E202" s="2"/>
      <x:c r="F202" s="8"/>
      <x:c r="G202" s="8"/>
      <x:c r="H202" s="9"/>
      <x:c r="I202" s="8"/>
      <x:c r="J202" s="8" t="str">
        <x:f t="shared" si="30">IF(OR(NOT(ISNUMBER(G202)),NOT(ISNUMBER(I202))),"",G202-I202)</x:f>
      </x:c>
      <x:c r="K202" s="8" t="str">
        <x:f t="shared" si="31">IF(OR(NOT(ISNUMBER(G202)),NOT(ISNUMBER(H202)),H202&lt;=1),"",G202*H202-1)</x:f>
      </x:c>
      <x:c r="L202" s="2"/>
      <x:c r="M202" s="2"/>
      <x:c r="N202" s="2"/>
      <x:c r="O202" s="2"/>
      <x:c r="P202" s="2" t="str">
        <x:f>IF(OR(E202="",O202=""),"",IF(NOT(OR(O202="1",O202=1,O202="X",O202="2",O202=2)),"",IF(E202="1X",IF(OR(O202="1",O202=1,O202="X"),1,0),IF(E202="X2",IF(OR(O202="X",O202="2",O202=2),1,0),IF(OR(E202="12",E202=12),IF(OR(O202="1",O202=1,O202="2",O202=2),1,0),"")))))</x:f>
      </x:c>
      <x:c r="Q202" s="9" t="str">
        <x:f t="shared" si="32">IF(OR(NOT(ISNUMBER(P202)),NOT(ISNUMBER(H202)),H202&lt;=1),"",IF(P202=1,H202-1,-1))</x:f>
      </x:c>
      <x:c r="R202" s="2"/>
      <x:c r="S202" s="2"/>
      <x:c r="T202" s="2"/>
      <x:c r="U202" s="2"/>
      <x:c r="V202" s="2"/>
      <x:c r="W202" s="14" t="str">
        <x:f t="shared" si="33">IF(OR(NOT(ISNUMBER(G202)),G202&lt;0,G202&gt;1,NOT(ISNUMBER(P202))),"",(G202-P202)^2)</x:f>
      </x:c>
      <x:c r="X202" s="2" t="str">
        <x:f t="shared" si="34">IF(AND(ISNUMBER(A202),ISNUMBER(Y202),Y202&lt;A202,AB202&lt;&gt;"",ISNUMBER(P202),ISNUMBER(G202),G202&gt;=0,G202&lt;=1,OR(M202="DEFENSIV",M202="PRUDENT",M202="MODERAT",M202="RIDICAT",M202="WATCH",M202="NO BET")),"YES","NO")</x:f>
        <x:v>NO</x:v>
      </x:c>
      <x:c r="Y202" s="146"/>
      <x:c r="Z202" t="str">
        <x:f>IF(AND(X202="YES",OR(M202="DEFENSIV",M202="PRUDENT",M202="MODERAT",M202="RIDICAT")),"YES","NO")</x:f>
        <x:v>NO</x:v>
      </x:c>
      <x:c r="AA202" t="str">
        <x:f>IF(NOT(ISNUMBER(H202)),"MISSING",IF(AND(ISNUMBER(H202),H202&gt;1),"VALID","INVALID"))</x:f>
        <x:v>MISSING</x:v>
      </x:c>
      <x:c r="AB202" s="144"/>
      <x:c r="AC202" t="str">
        <x:f>IF(AND(NOT(ISNUMBER(A202)),E202="",NOT(ISNUMBER(G202)),M202="",O202=""),"INPUT",IF(X202="YES","VALID","INCOMPLETE / INVALID"))</x:f>
        <x:v>INPUT</x:v>
      </x:c>
      <x:c r="AD202" t="str">
        <x:f>IF(X202="YES",P202,"")</x:f>
      </x:c>
      <x:c r="AE202" t="str">
        <x:f>IF(X202="YES",W202,"")</x:f>
      </x:c>
      <x:c r="AF202" t="str">
        <x:f>IF(X202="YES",G202,"")</x:f>
      </x:c>
      <x:c r="AG202" t="str">
        <x:f>IF(AND(Z202="YES",AA202="VALID"),Q202,"")</x:f>
      </x:c>
      <x:c r="AH202" t="str">
        <x:f>IF(AND(Z202="YES",AA202="VALID"),"YES","NO")</x:f>
        <x:v>NO</x:v>
      </x:c>
    </x:row>
    <x:row r="203" ht="15">
      <x:c r="A203" s="161"/>
      <x:c r="B203" s="2"/>
      <x:c r="C203" s="2"/>
      <x:c r="D203" s="2"/>
      <x:c r="E203" s="2"/>
      <x:c r="F203" s="8"/>
      <x:c r="G203" s="8"/>
      <x:c r="H203" s="9"/>
      <x:c r="I203" s="8"/>
      <x:c r="J203" s="8" t="str">
        <x:f t="shared" si="30">IF(OR(NOT(ISNUMBER(G203)),NOT(ISNUMBER(I203))),"",G203-I203)</x:f>
      </x:c>
      <x:c r="K203" s="8" t="str">
        <x:f t="shared" si="31">IF(OR(NOT(ISNUMBER(G203)),NOT(ISNUMBER(H203)),H203&lt;=1),"",G203*H203-1)</x:f>
      </x:c>
      <x:c r="L203" s="2"/>
      <x:c r="M203" s="2"/>
      <x:c r="N203" s="2"/>
      <x:c r="O203" s="2"/>
      <x:c r="P203" s="2" t="str">
        <x:f>IF(OR(E203="",O203=""),"",IF(NOT(OR(O203="1",O203=1,O203="X",O203="2",O203=2)),"",IF(E203="1X",IF(OR(O203="1",O203=1,O203="X"),1,0),IF(E203="X2",IF(OR(O203="X",O203="2",O203=2),1,0),IF(OR(E203="12",E203=12),IF(OR(O203="1",O203=1,O203="2",O203=2),1,0),"")))))</x:f>
      </x:c>
      <x:c r="Q203" s="9" t="str">
        <x:f t="shared" si="32">IF(OR(NOT(ISNUMBER(P203)),NOT(ISNUMBER(H203)),H203&lt;=1),"",IF(P203=1,H203-1,-1))</x:f>
      </x:c>
      <x:c r="R203" s="2"/>
      <x:c r="S203" s="2"/>
      <x:c r="T203" s="2"/>
      <x:c r="U203" s="2"/>
      <x:c r="V203" s="2"/>
      <x:c r="W203" s="14" t="str">
        <x:f t="shared" si="33">IF(OR(NOT(ISNUMBER(G203)),G203&lt;0,G203&gt;1,NOT(ISNUMBER(P203))),"",(G203-P203)^2)</x:f>
      </x:c>
      <x:c r="X203" s="2" t="str">
        <x:f t="shared" si="34">IF(AND(ISNUMBER(A203),ISNUMBER(Y203),Y203&lt;A203,AB203&lt;&gt;"",ISNUMBER(P203),ISNUMBER(G203),G203&gt;=0,G203&lt;=1,OR(M203="DEFENSIV",M203="PRUDENT",M203="MODERAT",M203="RIDICAT",M203="WATCH",M203="NO BET")),"YES","NO")</x:f>
        <x:v>NO</x:v>
      </x:c>
      <x:c r="Y203" s="146"/>
      <x:c r="Z203" t="str">
        <x:f>IF(AND(X203="YES",OR(M203="DEFENSIV",M203="PRUDENT",M203="MODERAT",M203="RIDICAT")),"YES","NO")</x:f>
        <x:v>NO</x:v>
      </x:c>
      <x:c r="AA203" t="str">
        <x:f>IF(NOT(ISNUMBER(H203)),"MISSING",IF(AND(ISNUMBER(H203),H203&gt;1),"VALID","INVALID"))</x:f>
        <x:v>MISSING</x:v>
      </x:c>
      <x:c r="AB203" s="144"/>
      <x:c r="AC203" t="str">
        <x:f>IF(AND(NOT(ISNUMBER(A203)),E203="",NOT(ISNUMBER(G203)),M203="",O203=""),"INPUT",IF(X203="YES","VALID","INCOMPLETE / INVALID"))</x:f>
        <x:v>INPUT</x:v>
      </x:c>
      <x:c r="AD203" t="str">
        <x:f>IF(X203="YES",P203,"")</x:f>
      </x:c>
      <x:c r="AE203" t="str">
        <x:f>IF(X203="YES",W203,"")</x:f>
      </x:c>
      <x:c r="AF203" t="str">
        <x:f>IF(X203="YES",G203,"")</x:f>
      </x:c>
      <x:c r="AG203" t="str">
        <x:f>IF(AND(Z203="YES",AA203="VALID"),Q203,"")</x:f>
      </x:c>
      <x:c r="AH203" t="str">
        <x:f>IF(AND(Z203="YES",AA203="VALID"),"YES","NO")</x:f>
        <x:v>NO</x:v>
      </x:c>
    </x:row>
    <x:row r="204" ht="15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</x:row>
    <x:row r="205" ht="1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</x:row>
    <x:row r="206" ht="15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</x:row>
    <x:row r="207" ht="15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</x:row>
    <x:row r="208" ht="15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</x:row>
    <x:row r="209" ht="15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</x:row>
    <x:row r="210" ht="15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</x:row>
    <x:row r="211" ht="15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</x:row>
    <x:row r="212" ht="15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</x:row>
    <x:row r="213" ht="15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</x:row>
    <x:row r="214" ht="15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</x:row>
    <x:row r="215" ht="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</x:row>
    <x:row r="216" ht="15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</x:row>
    <x:row r="217" ht="15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</x:row>
    <x:row r="218" ht="15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</x:row>
    <x:row r="219" ht="15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</x:row>
    <x:row r="220" ht="15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</x:row>
  </x:sheetData>
  <x:mergeCells>
    <x:mergeCell ref="A1:Q1"/>
  </x:mergeCells>
  <x:dataValidations count="5">
    <x:dataValidation type="list" sqref="E4:E203">
      <x:formula1>"1X,X2,12"</x:formula1>
    </x:dataValidation>
    <x:dataValidation type="list" sqref="M4:M203">
      <x:formula1>"DEFENSIV,PRUDENT,MODERAT,RIDICAT,WATCH,NO BET"</x:formula1>
    </x:dataValidation>
    <x:dataValidation type="list" sqref="O4:O203">
      <x:formula1>"1,X,2"</x:formula1>
    </x:dataValidation>
    <x:dataValidation type="list" sqref="R4:T203">
      <x:formula1>"PASS,PRUDENT,WATCH,FAIL,N/A"</x:formula1>
    </x:dataValidation>
    <x:dataValidation type="list" sqref="U4:U203">
      <x:formula1>"DA,NU"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3" hidden="0" customWidth="1"/>
    <x:col min="2" max="2" width="24" hidden="0" customWidth="1"/>
    <x:col min="4" max="8" width="16" customWidth="1"/>
    <x:col min="3" max="3" width="18" hidden="0" customWidth="1"/>
    <x:col min="4" max="4" width="13" hidden="0" customWidth="1"/>
    <x:col min="5" max="5" width="10" hidden="0" customWidth="1"/>
    <x:col min="6" max="6" width="22" hidden="0" customWidth="1"/>
    <x:col min="7" max="7" width="43" hidden="0" customWidth="1"/>
    <x:col min="8" max="8" width="23" hidden="0" customWidth="1"/>
  </x:cols>
  <x:sheetData>
    <x:row r="1" ht="27.950000762939453" customHeight="1">
      <x:c r="A1" s="18" t="str">
        <x:v>ȘANSĂ DUBLĂ – RECOMANDĂRI</x:v>
      </x:c>
      <x:c r="B1" s="19"/>
      <x:c r="C1" s="19"/>
      <x:c r="D1" s="19"/>
      <x:c r="E1" s="19"/>
      <x:c r="F1" s="19"/>
      <x:c r="G1" s="19"/>
      <x:c r="H1" s="19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15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 ht="15">
      <x:c r="A3" s="20" t="str">
        <x:v>1X, X2 și 12 – stare date și verdict tehnic</x:v>
      </x:c>
      <x:c r="B3" s="19"/>
      <x:c r="C3" s="19"/>
      <x:c r="D3" s="19"/>
      <x:c r="E3" s="19"/>
      <x:c r="F3" s="19"/>
      <x:c r="G3" s="19"/>
      <x:c r="H3" s="19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 ht="15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34" customHeight="1">
      <x:c r="A5" s="188" t="str">
        <x:v>Selecție</x:v>
      </x:c>
      <x:c r="B5" s="188" t="str">
        <x:v>Probabilitate ajustată</x:v>
      </x:c>
      <x:c r="C5" s="188" t="str">
        <x:v>Control</x:v>
      </x:c>
      <x:c r="D5" s="160" t="str">
        <x:v>Scor risc</x:v>
      </x:c>
      <x:c r="E5" s="160" t="str">
        <x:v>Nivel</x:v>
      </x:c>
      <x:c r="F5" s="160" t="str">
        <x:v>Stare date</x:v>
      </x:c>
      <x:c r="G5" s="160" t="str">
        <x:v>Verdict</x:v>
      </x:c>
      <x:c r="H5" s="160" t="str">
        <x:v>Eligibil clasament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 ht="42" customHeight="1">
      <x:c r="A6" s="189" t="str">
        <x:v>1X</x:v>
      </x:c>
      <x:c r="B6" s="190" t="str">
        <x:f>IF(NOT(ISNUMBER('Double_Chance'!F4)),"",'Double_Chance'!F4)</x:f>
      </x:c>
      <x:c r="C6" s="189" t="str">
        <x:f>IF('Double_Chance'!K4="","",'Double_Chance'!K4)</x:f>
        <x:v>INPUT</x:v>
      </x:c>
      <x:c r="D6" s="191" t="str">
        <x:f>IF(NOT(ISNUMBER('Double_Chance'!L4)),"",'Double_Chance'!L4)</x:f>
      </x:c>
      <x:c r="E6" s="191" t="str">
        <x:f>IF(NOT(ISNUMBER('Double_Chance'!M4)),"",'Double_Chance'!M4)</x:f>
      </x:c>
      <x:c r="F6" s="190" t="str">
        <x:f>IF('Double_Chance'!AD4="","",'Double_Chance'!AD4)</x:f>
        <x:v>PENDING</x:v>
      </x:c>
      <x:c r="G6" s="189" t="str">
        <x:f>IF('Double_Chance'!N4="","",'Double_Chance'!N4)</x:f>
        <x:v>VERIFICARE NECESARĂ – NO RANK</x:v>
      </x:c>
      <x:c r="H6" s="189" t="str">
        <x:f>IF('Double_Chance'!AA4="","",'Double_Chance'!AA4)</x:f>
        <x:v>NO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</x:row>
    <x:row r="7" ht="42" customHeight="1">
      <x:c r="A7" s="189" t="str">
        <x:v>X2</x:v>
      </x:c>
      <x:c r="B7" s="190" t="str">
        <x:f>IF(NOT(ISNUMBER('Double_Chance'!F5)),"",'Double_Chance'!F5)</x:f>
      </x:c>
      <x:c r="C7" s="189" t="str">
        <x:f>IF('Double_Chance'!K5="","",'Double_Chance'!K5)</x:f>
        <x:v>INPUT</x:v>
      </x:c>
      <x:c r="D7" s="191" t="str">
        <x:f>IF(NOT(ISNUMBER('Double_Chance'!L5)),"",'Double_Chance'!L5)</x:f>
      </x:c>
      <x:c r="E7" s="191" t="str">
        <x:f>IF(NOT(ISNUMBER('Double_Chance'!M5)),"",'Double_Chance'!M5)</x:f>
      </x:c>
      <x:c r="F7" s="190" t="str">
        <x:f>IF('Double_Chance'!AD5="","",'Double_Chance'!AD5)</x:f>
        <x:v>PENDING</x:v>
      </x:c>
      <x:c r="G7" s="189" t="str">
        <x:f>IF('Double_Chance'!N5="","",'Double_Chance'!N5)</x:f>
        <x:v>VERIFICARE NECESARĂ – NO RANK</x:v>
      </x:c>
      <x:c r="H7" s="189" t="str">
        <x:f>IF('Double_Chance'!AA5="","",'Double_Chance'!AA5)</x:f>
        <x:v>NO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</x:row>
    <x:row r="8" ht="42" customHeight="1">
      <x:c r="A8" s="189" t="str">
        <x:v>12</x:v>
      </x:c>
      <x:c r="B8" s="190" t="str">
        <x:f>IF(NOT(ISNUMBER('Double_Chance'!F6)),"",'Double_Chance'!F6)</x:f>
      </x:c>
      <x:c r="C8" s="189" t="str">
        <x:f>IF('Double_Chance'!K6="","",'Double_Chance'!K6)</x:f>
        <x:v>INPUT</x:v>
      </x:c>
      <x:c r="D8" s="191" t="str">
        <x:f>IF(NOT(ISNUMBER('Double_Chance'!L6)),"",'Double_Chance'!L6)</x:f>
      </x:c>
      <x:c r="E8" s="191" t="str">
        <x:f>IF(NOT(ISNUMBER('Double_Chance'!M6)),"",'Double_Chance'!M6)</x:f>
      </x:c>
      <x:c r="F8" s="190" t="str">
        <x:f>IF('Double_Chance'!AD6="","",'Double_Chance'!AD6)</x:f>
        <x:v>PENDING</x:v>
      </x:c>
      <x:c r="G8" s="189" t="str">
        <x:f>IF('Double_Chance'!N6="","",'Double_Chance'!N6)</x:f>
        <x:v>VERIFICARE NECESARĂ – NO RANK</x:v>
      </x:c>
      <x:c r="H8" s="189" t="str">
        <x:f>IF('Double_Chance'!AA6="","",'Double_Chance'!AA6)</x:f>
        <x:v>NO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</x:row>
    <x:row r="9" ht="15">
      <x:c r="A9" s="189"/>
      <x:c r="B9" s="189"/>
      <x:c r="C9" s="189"/>
      <x:c r="D9" s="189"/>
      <x:c r="E9" s="189"/>
      <x:c r="F9" s="189"/>
      <x:c r="G9" s="189"/>
      <x:c r="H9" s="189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</x:row>
    <x:row r="10" ht="15">
      <x:c r="A10" s="189"/>
      <x:c r="B10" s="189"/>
      <x:c r="C10" s="189"/>
      <x:c r="D10" s="189"/>
      <x:c r="E10" s="189"/>
      <x:c r="F10" s="189"/>
      <x:c r="G10" s="189"/>
      <x:c r="H10" s="189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</x:row>
    <x:row r="11" ht="29" customHeight="1">
      <x:c r="A11" s="189" t="str">
        <x:v>Interpretare</x:v>
      </x:c>
      <x:c r="B11" s="189" t="str">
        <x:v>1X: gazdele nu pierd. X2: oaspeții nu pierd. 12: fără egal.</x:v>
      </x:c>
      <x:c r="C11" s="189"/>
      <x:c r="D11" s="189"/>
      <x:c r="E11" s="189"/>
      <x:c r="F11" s="189"/>
      <x:c r="G11" s="189"/>
      <x:c r="H11" s="189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</x:row>
    <x:row r="12" ht="29" customHeight="1">
      <x:c r="A12" s="189" t="str">
        <x:v>Risc</x:v>
      </x:c>
      <x:c r="B12" s="189" t="str">
        <x:v>Nivel 1: DEFENSIV; 2: PRUDENT; 3: MODERAT; 4: RIDICAT; 5: WATCH / NO BET.</x:v>
      </x:c>
      <x:c r="C12" s="189"/>
      <x:c r="D12" s="189"/>
      <x:c r="E12" s="189"/>
      <x:c r="F12" s="189"/>
      <x:c r="G12" s="189"/>
      <x:c r="H12" s="189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</x:row>
    <x:row r="13" ht="29" customHeight="1">
      <x:c r="A13" s="189" t="str">
        <x:v>1X / X2</x:v>
      </x:c>
      <x:c r="B13" s="189" t="str">
        <x:v>Market failure ≤30% PASS; &gt;30–35% PRUDENT; &gt;35% NO BET.</x:v>
      </x:c>
      <x:c r="C13" s="189"/>
      <x:c r="D13" s="189"/>
      <x:c r="E13" s="189"/>
      <x:c r="F13" s="189"/>
      <x:c r="G13" s="189"/>
      <x:c r="H13" s="189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</x:row>
    <x:row r="14" ht="29" customHeight="1">
      <x:c r="A14" s="192" t="str">
        <x:v>12</x:v>
      </x:c>
      <x:c r="B14" s="189" t="str">
        <x:v>Draw ajustat ≤20% PASS; &gt;20–23% PRUDENT; &gt;23–26% WATCH; &gt;26% NO BET.</x:v>
      </x:c>
      <x:c r="C14" s="189"/>
      <x:c r="D14" s="189"/>
      <x:c r="E14" s="189"/>
      <x:c r="F14" s="189"/>
      <x:c r="G14" s="189"/>
      <x:c r="H14" s="189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</x:row>
    <x:row r="15" ht="29" customHeight="1">
      <x:c r="A15" s="192" t="str">
        <x:v>Probabilitate</x:v>
      </x:c>
      <x:c r="B15" s="189" t="str">
        <x:v>DEFENSIV la 1X/X2 cere nivel 1 și P ajustată ≥82%; PRUDENT cere ≥76%.</x:v>
      </x:c>
      <x:c r="C15" s="189"/>
      <x:c r="D15" s="189"/>
      <x:c r="E15" s="189"/>
      <x:c r="F15" s="189"/>
      <x:c r="G15" s="189"/>
      <x:c r="H15" s="189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</x:row>
    <x:row r="16" ht="29" customHeight="1">
      <x:c r="A16" s="192" t="str">
        <x:v>Incertitudine</x:v>
      </x:c>
      <x:c r="B16" s="189" t="str">
        <x:v>A/B/C: 1 / 2,5 / 5 puncte. Sub 8 meciuri: A devine B și se adaugă 2 puncte.</x:v>
      </x:c>
      <x:c r="C16" s="189"/>
      <x:c r="D16" s="189"/>
      <x:c r="E16" s="189"/>
      <x:c r="F16" s="189"/>
      <x:c r="G16" s="189"/>
      <x:c r="H16" s="189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</x:row>
    <x:row r="17" ht="29" customHeight="1">
      <x:c r="A17" s="192" t="str">
        <x:v>Surse</x:v>
      </x:c>
      <x:c r="B17" s="189" t="str">
        <x:v>PENDING cere verificare; INVALID cere corecție; CRITICAL MISSING conduce la NO BET.</x:v>
      </x:c>
      <x:c r="C17" s="189"/>
      <x:c r="D17" s="189"/>
      <x:c r="E17" s="189"/>
      <x:c r="F17" s="189"/>
      <x:c r="G17" s="189"/>
      <x:c r="H17" s="189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</x:row>
    <x:row r="18" ht="29" customHeight="1">
      <x:c r="A18" s="192" t="str">
        <x:v>Loturi</x:v>
      </x:c>
      <x:c r="B18" s="189" t="str">
        <x:v>PENDING OFFICIAL documentat rămâne condițional; se actualizează la publicarea loturilor.</x:v>
      </x:c>
      <x:c r="C18" s="189"/>
      <x:c r="D18" s="189"/>
      <x:c r="E18" s="189"/>
      <x:c r="F18" s="189"/>
      <x:c r="G18" s="189"/>
      <x:c r="H18" s="189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</x:row>
    <x:row r="19" ht="29" customHeight="1">
      <x:c r="A19" s="192" t="str">
        <x:v>Preț</x:v>
      </x:c>
      <x:c r="B19" s="189" t="str">
        <x:v>Cotele exacte și EV nu influențează verdictul tehnic. Piața 1X2 de-vig este obligatorie.</x:v>
      </x:c>
      <x:c r="C19" s="189"/>
      <x:c r="D19" s="189"/>
      <x:c r="E19" s="189"/>
      <x:c r="F19" s="189"/>
      <x:c r="G19" s="189"/>
      <x:c r="H19" s="189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</x:row>
    <x:row r="20" ht="15">
      <x:c r="A20" s="192"/>
      <x:c r="B20" s="192"/>
      <x:c r="C20" s="192"/>
      <x:c r="D20" s="192"/>
      <x:c r="E20" s="192"/>
      <x:c r="F20" s="192"/>
      <x:c r="G20" s="192"/>
      <x:c r="H20" s="19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</x:row>
    <x:row r="21" ht="15">
      <x:c r="A21" s="192" t="str">
        <x:v>Calibrare 1X</x:v>
      </x:c>
      <x:c r="B21" s="192" t="str">
        <x:f>'Double_Chance'!AF4</x:f>
        <x:v>FĂRĂ ISTORIC</x:v>
      </x:c>
      <x:c r="C21" s="192"/>
      <x:c r="D21" s="192"/>
      <x:c r="E21" s="192"/>
      <x:c r="F21" s="192"/>
      <x:c r="G21" s="192"/>
      <x:c r="H21" s="19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</x:row>
    <x:row r="22" ht="15">
      <x:c r="A22" s="192" t="str">
        <x:v>Calibrare X2</x:v>
      </x:c>
      <x:c r="B22" s="192" t="str">
        <x:f>'Double_Chance'!AF5</x:f>
        <x:v>FĂRĂ ISTORIC</x:v>
      </x:c>
      <x:c r="C22" s="192"/>
      <x:c r="D22" s="192"/>
      <x:c r="E22" s="192"/>
      <x:c r="F22" s="192"/>
      <x:c r="G22" s="192"/>
      <x:c r="H22" s="19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</x:row>
    <x:row r="23" ht="15">
      <x:c r="A23" s="192" t="str">
        <x:v>Calibrare 12</x:v>
      </x:c>
      <x:c r="B23" s="192" t="str">
        <x:f>'Double_Chance'!AF6</x:f>
        <x:v>FĂRĂ ISTORIC</x:v>
      </x:c>
      <x:c r="C23" s="192"/>
      <x:c r="D23" s="192"/>
      <x:c r="E23" s="192"/>
      <x:c r="F23" s="192"/>
      <x:c r="G23" s="192"/>
      <x:c r="H23" s="19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</x:row>
    <x:row r="24" ht="15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</x:row>
    <x:row r="25" ht="1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</x:row>
    <x:row r="26" ht="15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</x:row>
    <x:row r="27" ht="15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</x:row>
    <x:row r="28" ht="15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</x:row>
    <x:row r="29" ht="15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</x:row>
    <x:row r="30" ht="15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</x:row>
    <x:row r="31" ht="15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</x:row>
    <x:row r="32" ht="15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</x:row>
    <x:row r="33" ht="15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</x:row>
    <x:row r="34" ht="15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</x:row>
    <x:row r="35" ht="1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</x:row>
    <x:row r="36" ht="15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</x:row>
    <x:row r="37" ht="15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</x:row>
    <x:row r="38" ht="15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</x:row>
    <x:row r="39" ht="15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</x:row>
    <x:row r="40" ht="15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</x:row>
    <x:row r="41" ht="15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</x:row>
    <x:row r="42" ht="15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</x:row>
    <x:row r="43" ht="15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</x:row>
    <x:row r="44" ht="15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</x:row>
    <x:row r="45" ht="1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</x:row>
    <x:row r="46" ht="15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</x:row>
    <x:row r="47" ht="15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</x:row>
    <x:row r="48" ht="15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</x:row>
    <x:row r="49" ht="15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</x:row>
    <x:row r="50" ht="15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</x:row>
    <x:row r="51" ht="15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</x:row>
    <x:row r="52" ht="15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</x:row>
    <x:row r="53" ht="15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</x:row>
    <x:row r="54" ht="15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</x:row>
    <x:row r="55" ht="1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</x:row>
    <x:row r="56" ht="15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</x:row>
    <x:row r="57" ht="15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</x:row>
    <x:row r="58" ht="15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</x:row>
    <x:row r="59" ht="15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</x:row>
    <x:row r="60" ht="15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</x:row>
    <x:row r="61" ht="15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</x:row>
    <x:row r="62" ht="15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</x:row>
    <x:row r="63" ht="15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</x:row>
    <x:row r="64" ht="15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</x:row>
    <x:row r="65" ht="1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</x:row>
    <x:row r="66" ht="15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</x:row>
    <x:row r="67" ht="15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</x:row>
    <x:row r="68" ht="15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</x:row>
    <x:row r="69" ht="15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</x:row>
    <x:row r="70" ht="15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</x:row>
    <x:row r="71" ht="15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</x:row>
    <x:row r="72" ht="15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</x:row>
    <x:row r="73" ht="15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</x:row>
    <x:row r="74" ht="15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</x:row>
    <x:row r="75" ht="1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</x:row>
    <x:row r="76" ht="15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</x:row>
    <x:row r="77" ht="15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</x:row>
    <x:row r="78" ht="15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</x:row>
    <x:row r="79" ht="15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</x:row>
    <x:row r="80" ht="15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</x:row>
    <x:row r="81" ht="15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</x:row>
    <x:row r="82" ht="15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</x:row>
    <x:row r="83" ht="15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</x:row>
    <x:row r="84" ht="15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</x:row>
    <x:row r="85" ht="1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</x:row>
    <x:row r="86" ht="15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</x:row>
    <x:row r="87" ht="15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</x:row>
    <x:row r="88" ht="15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</x:row>
    <x:row r="89" ht="15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</x:row>
    <x:row r="90" ht="15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</x:row>
    <x:row r="91" ht="15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</x:row>
    <x:row r="92" ht="15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</x:row>
    <x:row r="93" ht="15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</x:row>
    <x:row r="94" ht="15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</x:row>
    <x:row r="95" ht="1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</x:row>
    <x:row r="96" ht="15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</x:row>
    <x:row r="97" ht="15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</x:row>
    <x:row r="98" ht="15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</x:row>
    <x:row r="99" ht="15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</x:row>
    <x:row r="100" ht="15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</x:row>
    <x:row r="101" ht="15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</x:row>
    <x:row r="102" ht="15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</x:row>
    <x:row r="103" ht="15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</x:row>
    <x:row r="104" ht="15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</x:row>
    <x:row r="105" ht="1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</x:row>
    <x:row r="106" ht="15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</x:row>
    <x:row r="107" ht="15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</x:row>
    <x:row r="108" ht="15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</x:row>
    <x:row r="109" ht="15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</x:row>
    <x:row r="110" ht="15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</x:row>
    <x:row r="111" ht="15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</x:row>
    <x:row r="112" ht="15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</x:row>
    <x:row r="113" ht="15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</x:row>
    <x:row r="114" ht="15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</x:row>
    <x:row r="115" ht="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</x:row>
    <x:row r="116" ht="15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</x:row>
    <x:row r="117" ht="15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</x:row>
    <x:row r="118" ht="15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</x:row>
    <x:row r="119" ht="15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</x:row>
    <x:row r="120" ht="15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</x:row>
    <x:row r="121" ht="15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</x:row>
    <x:row r="122" ht="15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</x:row>
    <x:row r="123" ht="15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</x:row>
    <x:row r="124" ht="15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</x:row>
    <x:row r="125" ht="1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</x:row>
    <x:row r="126" ht="15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</x:row>
    <x:row r="127" ht="15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</x:row>
    <x:row r="128" ht="15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</x:row>
    <x:row r="129" ht="15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</x:row>
    <x:row r="130" ht="15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</x:row>
    <x:row r="131" ht="15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</x:row>
    <x:row r="132" ht="15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</x:row>
    <x:row r="133" ht="15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</x:row>
    <x:row r="134" ht="15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</x:row>
    <x:row r="135" ht="1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</x:row>
    <x:row r="136" ht="15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</x:row>
    <x:row r="137" ht="15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</x:row>
    <x:row r="138" ht="15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</x:row>
    <x:row r="139" ht="15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</x:row>
    <x:row r="140" ht="15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</x:row>
    <x:row r="141" ht="15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</x:row>
    <x:row r="142" ht="15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</x:row>
    <x:row r="143" ht="15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</x:row>
    <x:row r="144" ht="15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</x:row>
    <x:row r="145" ht="1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</x:row>
    <x:row r="146" ht="15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</x:row>
    <x:row r="147" ht="15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</x:row>
    <x:row r="148" ht="15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</x:row>
    <x:row r="149" ht="15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</x:row>
    <x:row r="150" ht="15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</x:row>
    <x:row r="151" ht="15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</x:row>
    <x:row r="152" ht="15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</x:row>
    <x:row r="153" ht="15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</x:row>
    <x:row r="154" ht="15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</x:row>
    <x:row r="155" ht="1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</x:row>
    <x:row r="156" ht="15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</x:row>
    <x:row r="157" ht="15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</x:row>
    <x:row r="158" ht="15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</x:row>
    <x:row r="159" ht="15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</x:row>
    <x:row r="160" ht="15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</x:row>
    <x:row r="161" ht="15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</x:row>
    <x:row r="162" ht="15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</x:row>
    <x:row r="163" ht="15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</x:row>
    <x:row r="164" ht="15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</x:row>
    <x:row r="165" ht="1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</x:row>
    <x:row r="166" ht="15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</x:row>
    <x:row r="167" ht="15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</x:row>
    <x:row r="168" ht="15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</x:row>
    <x:row r="169" ht="15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</x:row>
    <x:row r="170" ht="15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</x:row>
    <x:row r="171" ht="15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</x:row>
    <x:row r="172" ht="15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</x:row>
    <x:row r="173" ht="15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</x:row>
    <x:row r="174" ht="15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</x:row>
    <x:row r="175" ht="1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</x:row>
    <x:row r="176" ht="15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</x:row>
    <x:row r="177" ht="15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</x:row>
    <x:row r="178" ht="15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</x:row>
    <x:row r="179" ht="15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</x:row>
    <x:row r="180" ht="15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</x:row>
    <x:row r="181" ht="15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</x:row>
    <x:row r="182" ht="15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</x:row>
    <x:row r="183" ht="15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</x:row>
    <x:row r="184" ht="15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</x:row>
    <x:row r="185" ht="1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</x:row>
    <x:row r="186" ht="15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</x:row>
    <x:row r="187" ht="15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</x:row>
    <x:row r="188" ht="15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</x:row>
    <x:row r="189" ht="15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</x:row>
    <x:row r="190" ht="15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</x:row>
    <x:row r="191" ht="15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</x:row>
    <x:row r="192" ht="15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</x:row>
    <x:row r="193" ht="15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</x:row>
    <x:row r="194" ht="15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</x:row>
    <x:row r="195" ht="1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</x:row>
    <x:row r="196" ht="15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</x:row>
    <x:row r="197" ht="15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</x:row>
    <x:row r="198" ht="15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</x:row>
    <x:row r="199" ht="15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</x:row>
    <x:row r="200" ht="15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</x:row>
    <x:row r="201" ht="15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</x:row>
    <x:row r="202" ht="15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</x:row>
    <x:row r="203" ht="15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</x:row>
    <x:row r="204" ht="15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</x:row>
    <x:row r="205" ht="1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</x:row>
    <x:row r="206" ht="15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</x:row>
    <x:row r="207" ht="15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</x:row>
    <x:row r="208" ht="15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</x:row>
    <x:row r="209" ht="15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</x:row>
    <x:row r="210" ht="15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</x:row>
    <x:row r="211" ht="15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</x:row>
    <x:row r="212" ht="15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</x:row>
    <x:row r="213" ht="15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</x:row>
    <x:row r="214" ht="15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</x:row>
    <x:row r="215" ht="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</x:row>
    <x:row r="216" ht="15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</x:row>
    <x:row r="217" ht="15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</x:row>
    <x:row r="218" ht="15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</x:row>
    <x:row r="219" ht="15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</x:row>
    <x:row r="220" ht="15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</x:row>
  </x:sheetData>
  <x:mergeCells>
    <x:mergeCell ref="A1:H1"/>
    <x:mergeCell ref="A3:H3"/>
    <x:mergeCell ref="B11:H11"/>
    <x:mergeCell ref="B12:H12"/>
    <x:mergeCell ref="B13:H13"/>
    <x:mergeCell ref="B14:H14"/>
    <x:mergeCell ref="B15:H15"/>
    <x:mergeCell ref="B16:H16"/>
    <x:mergeCell ref="B17:H17"/>
    <x:mergeCell ref="B18:H18"/>
    <x:mergeCell ref="B19:H19"/>
  </x:mergeCells>
  <x:conditionalFormatting sqref="H6:H8">
    <x:cfRule type="expression" dxfId="11" priority="1">
      <x:formula>H6="BET"</x:formula>
    </x:cfRule>
    <x:cfRule type="expression" dxfId="10" priority="2">
      <x:formula>H6="PRUDENT"</x:formula>
    </x:cfRule>
    <x:cfRule type="expression" dxfId="9" priority="3">
      <x:formula>OR(H6="WATCH",H6="NO BET")</x:formula>
    </x:cfRule>
  </x:conditionalFormatting>
  <x:conditionalFormatting sqref="G6:G8">
    <x:cfRule type="containsText" dxfId="17" priority="4" operator="containsText" text="NO BET"/>
    <x:cfRule type="containsText" dxfId="18" priority="5" operator="containsText" text="NO RANK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2" width="18" customWidth="1"/>
    <x:col min="3" max="3" width="20" hidden="0" customWidth="1"/>
    <x:col min="4" max="7" width="18" customWidth="1"/>
    <x:col min="8" max="8" width="20" hidden="0" customWidth="1"/>
    <x:col min="9" max="11" width="18" customWidth="1"/>
    <x:col min="12" max="12" width="20" hidden="0" customWidth="1"/>
    <x:col min="2" max="2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15">
      <x:c r="A1" s="179" t="str">
        <x:v>CONTROALE – MARKET DIRECTION, PROTECTED STRENGTH ȘI EGAL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15">
      <x:c r="A2" s="141"/>
      <x:c r="B2" s="141"/>
      <x:c r="C2" s="141"/>
      <x:c r="D2" s="141"/>
      <x:c r="E2" s="141"/>
      <x:c r="F2" s="141"/>
      <x:c r="G2" s="141"/>
      <x:c r="H2" s="141"/>
      <x:c r="I2" s="141"/>
      <x:c r="J2" s="141"/>
      <x:c r="K2" s="141"/>
      <x:c r="L2" s="141"/>
      <x:c r="M2" s="141"/>
      <x:c r="N2" s="141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 ht="27">
      <x:c r="A3" s="180" t="s">
        <x:v>183</x:v>
      </x:c>
      <x:c r="B3" s="180" t="s">
        <x:v>219</x:v>
      </x:c>
      <x:c r="C3" s="180" t="s">
        <x:v>195</x:v>
      </x:c>
      <x:c r="D3" s="180" t="s">
        <x:v>220</x:v>
      </x:c>
      <x:c r="E3" s="180" t="s">
        <x:v>221</x:v>
      </x:c>
      <x:c r="F3" s="180" t="s">
        <x:v>222</x:v>
      </x:c>
      <x:c r="G3" s="180" t="s">
        <x:v>223</x:v>
      </x:c>
      <x:c r="H3" s="180" t="s">
        <x:v>196</x:v>
      </x:c>
      <x:c r="I3" s="180" t="s">
        <x:v>224</x:v>
      </x:c>
      <x:c r="J3" s="180" t="s">
        <x:v>225</x:v>
      </x:c>
      <x:c r="K3" s="180" t="s">
        <x:v>226</x:v>
      </x:c>
      <x:c r="L3" s="180" t="str">
        <x:v>P0 final v4</x:v>
      </x:c>
      <x:c r="M3" s="142"/>
      <x:c r="N3" s="14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 ht="43" customHeight="1">
      <x:c r="A4" s="193" t="s">
        <x:v>162</x:v>
      </x:c>
      <x:c r="B4" s="194" t="str">
        <x:f>IF(NOT(ISNUMBER('Model_1X2'!L8)),"",'Model_1X2'!L8)</x:f>
      </x:c>
      <x:c r="C4" s="193" t="str">
        <x:f>IF(OR('Surse_Date'!L8&lt;&gt;"READY",NOT(ISNUMBER(B4))),"INPUT",IF(ROUND(B4,12)&lt;='Parametri'!B20,"PASS",IF(ROUND(B4,12)&lt;='Parametri'!B21,"PRUDENT","FAIL")))</x:f>
        <x:v>INPUT</x:v>
      </x:c>
      <x:c r="D4" s="194" t="str">
        <x:f>IF(NOT(ISNUMBER('Model_1X2'!J8)),"",'Model_1X2'!J8)</x:f>
      </x:c>
      <x:c r="E4" s="194" t="str">
        <x:f>IF(OR(NOT(ISNUMBER(D4)),NOT(ISNUMBER(B4))),"",D4-B4)</x:f>
      </x:c>
      <x:c r="F4" s="193" t="str">
        <x:f>Input_Meci!B37</x:f>
        <x:v>NU</x:v>
      </x:c>
      <x:c r="G4" s="194" t="str">
        <x:f>IF(OR(NOT(ISNUMBER(B4)),NOT(ISNUMBER('Model_1X2'!D10))),"",B4-'Model_1X2'!D10)</x:f>
      </x:c>
      <x:c r="H4" s="193" t="str">
        <x:f>IF(OR(NOT(ISNUMBER(E4)),NOT(ISNUMBER(G4))),"INPUT",IF(ROUND(E4,12)&gt;=0,"PASS",IF(ROUND(E4,12)&gt;=-'Parametri'!B22,"PRUDENT",IF(AND('Input_Meci'!B37="DA",ROUND(G4,12)&gt;='Parametri'!B23,'Input_Meci'!B39&lt;&gt;""),"PRUDENT","FAIL"))))</x:f>
        <x:v>INPUT</x:v>
      </x:c>
      <x:c r="I4" s="193"/>
      <x:c r="J4" s="193"/>
      <x:c r="K4" s="193"/>
      <x:c r="L4" s="193" t="str">
        <x:f>IF(OR(C4="INPUT",H4="INPUT"),"INPUT",IF(OR(C4="FAIL",H4="FAIL"),"FAIL",IF(OR(C4="PRUDENT",H4="PRUDENT"),"PRUDENT","PASS")))</x:f>
        <x:v>INPUT</x:v>
      </x:c>
      <x:c r="M4" s="142"/>
      <x:c r="N4" s="14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43" customHeight="1">
      <x:c r="A5" s="193" t="s">
        <x:v>163</x:v>
      </x:c>
      <x:c r="B5" s="194" t="str">
        <x:f>IF(NOT(ISNUMBER('Model_1X2'!J8)),"",'Model_1X2'!J8)</x:f>
      </x:c>
      <x:c r="C5" s="193" t="str">
        <x:f>IF(OR('Surse_Date'!L8&lt;&gt;"READY",NOT(ISNUMBER(B5))),"INPUT",IF(ROUND(B5,12)&lt;='Parametri'!B20,"PASS",IF(ROUND(B5,12)&lt;='Parametri'!B21,"PRUDENT","FAIL")))</x:f>
        <x:v>INPUT</x:v>
      </x:c>
      <x:c r="D5" s="194" t="str">
        <x:f>IF(NOT(ISNUMBER('Model_1X2'!L8)),"",'Model_1X2'!L8)</x:f>
      </x:c>
      <x:c r="E5" s="194" t="str">
        <x:f>IF(OR(NOT(ISNUMBER(D5)),NOT(ISNUMBER(B5))),"",D5-B5)</x:f>
      </x:c>
      <x:c r="F5" s="193" t="str">
        <x:f>Input_Meci!B38</x:f>
        <x:v>NU</x:v>
      </x:c>
      <x:c r="G5" s="194" t="str">
        <x:f>IF(OR(NOT(ISNUMBER(B5)),NOT(ISNUMBER('Model_1X2'!B10))),"",B5-'Model_1X2'!B10)</x:f>
      </x:c>
      <x:c r="H5" s="193" t="str">
        <x:f>IF(OR(NOT(ISNUMBER(E5)),NOT(ISNUMBER(G5))),"INPUT",IF(ROUND(E5,12)&gt;=0,"PASS",IF(ROUND(E5,12)&gt;=-'Parametri'!B22,"PRUDENT",IF(AND('Input_Meci'!B38="DA",ROUND(G5,12)&gt;='Parametri'!B23,'Input_Meci'!B40&lt;&gt;""),"PRUDENT","FAIL"))))</x:f>
        <x:v>INPUT</x:v>
      </x:c>
      <x:c r="I5" s="193"/>
      <x:c r="J5" s="193"/>
      <x:c r="K5" s="193"/>
      <x:c r="L5" s="193" t="str">
        <x:f>IF(OR(C5="INPUT",H5="INPUT"),"INPUT",IF(OR(C5="FAIL",H5="FAIL"),"FAIL",IF(OR(C5="PRUDENT",H5="PRUDENT"),"PRUDENT","PASS")))</x:f>
        <x:v>INPUT</x:v>
      </x:c>
      <x:c r="M5" s="142"/>
      <x:c r="N5" s="14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 ht="43" customHeight="1">
      <x:c r="A6" s="193" t="s">
        <x:v>205</x:v>
      </x:c>
      <x:c r="B6" s="193"/>
      <x:c r="C6" s="193"/>
      <x:c r="D6" s="193"/>
      <x:c r="E6" s="193"/>
      <x:c r="F6" s="193"/>
      <x:c r="G6" s="193"/>
      <x:c r="H6" s="193"/>
      <x:c r="I6" s="194" t="str">
        <x:f>IF(OR(NOT(ISNUMBER('Model_1X2'!C10)),NOT(ISNUMBER('Uncertainty_v2'!B10))),"",MIN(1,'Model_1X2'!C10+'Uncertainty_v2'!B10))</x:f>
      </x:c>
      <x:c r="J6" s="194" t="str">
        <x:f>IF(NOT(ISNUMBER('Model_1X2'!K8)),"",'Model_1X2'!K8)</x:f>
      </x:c>
      <x:c r="K6" s="193" t="str">
        <x:f>IF(OR('Surse_Date'!L8&lt;&gt;"READY",NOT(ISNUMBER(I6)),NOT(ISNUMBER(J6))),"INPUT",IF(ROUND(MAX(I6,J6),12)&lt;='Parametri'!B8,"PASS",IF(ROUND(MAX(I6,J6),12)&lt;='Parametri'!B9,"PRUDENT",IF(ROUND(MAX(I6,J6),12)&lt;='Parametri'!B24,"WATCH","FAIL"))))</x:f>
        <x:v>INPUT</x:v>
      </x:c>
      <x:c r="L6" s="193" t="str">
        <x:f>K6</x:f>
        <x:v>INPUT</x:v>
      </x:c>
      <x:c r="M6" s="142"/>
      <x:c r="N6" s="142"/>
      <x:c r="O6" s="2"/>
      <x:c r="P6" s="2"/>
      <x:c r="Q6" s="2"/>
      <x:c r="R6" s="2"/>
      <x:c r="S6" s="2"/>
      <x:c r="T6" s="2"/>
      <x:c r="U6" s="2"/>
      <x:c r="V6" s="2"/>
      <x:c r="W6" s="2"/>
      <x:c r="X6" s="2"/>
    </x:row>
    <x:row r="7" ht="43" customHeight="1">
      <x:c r="A7" s="142"/>
      <x:c r="B7" s="142"/>
      <x:c r="C7" s="142"/>
      <x:c r="D7" s="142"/>
      <x:c r="E7" s="142"/>
      <x:c r="F7" s="142"/>
      <x:c r="G7" s="142"/>
      <x:c r="H7" s="142"/>
      <x:c r="I7" s="142"/>
      <x:c r="J7" s="142"/>
      <x:c r="K7" s="142"/>
      <x:c r="L7" s="142"/>
      <x:c r="M7" s="142"/>
      <x:c r="N7" s="142"/>
      <x:c r="O7" s="2"/>
      <x:c r="P7" s="2"/>
      <x:c r="Q7" s="2"/>
      <x:c r="R7" s="2"/>
      <x:c r="S7" s="2"/>
      <x:c r="T7" s="2"/>
      <x:c r="U7" s="2"/>
      <x:c r="V7" s="2"/>
      <x:c r="W7" s="2"/>
      <x:c r="X7" s="2"/>
    </x:row>
    <x:row r="8" ht="43" customHeight="1">
      <x:c r="A8" s="142"/>
      <x:c r="B8" s="142"/>
      <x:c r="C8" s="142"/>
      <x:c r="D8" s="142"/>
      <x:c r="E8" s="142"/>
      <x:c r="F8" s="142"/>
      <x:c r="G8" s="142"/>
      <x:c r="H8" s="142"/>
      <x:c r="I8" s="142"/>
      <x:c r="J8" s="142"/>
      <x:c r="K8" s="142"/>
      <x:c r="L8" s="142"/>
      <x:c r="M8" s="142"/>
      <x:c r="N8" s="142"/>
      <x:c r="O8" s="2"/>
      <x:c r="P8" s="2"/>
      <x:c r="Q8" s="2"/>
      <x:c r="R8" s="2"/>
      <x:c r="S8" s="2"/>
      <x:c r="T8" s="2"/>
      <x:c r="U8" s="2"/>
      <x:c r="V8" s="2"/>
      <x:c r="W8" s="2"/>
      <x:c r="X8" s="2"/>
    </x:row>
    <x:row r="9" ht="43" customHeight="1">
      <x:c r="A9" s="142"/>
      <x:c r="B9" s="142"/>
      <x:c r="C9" s="142"/>
      <x:c r="D9" s="142"/>
      <x:c r="E9" s="142"/>
      <x:c r="F9" s="142"/>
      <x:c r="G9" s="142"/>
      <x:c r="H9" s="142"/>
      <x:c r="I9" s="142"/>
      <x:c r="J9" s="142"/>
      <x:c r="K9" s="142"/>
      <x:c r="L9" s="142"/>
      <x:c r="M9" s="142"/>
      <x:c r="N9" s="142"/>
      <x:c r="O9" s="2"/>
      <x:c r="P9" s="2"/>
      <x:c r="Q9" s="2"/>
      <x:c r="R9" s="2"/>
      <x:c r="S9" s="2"/>
      <x:c r="T9" s="2"/>
      <x:c r="U9" s="2"/>
      <x:c r="V9" s="2"/>
      <x:c r="W9" s="2"/>
      <x:c r="X9" s="2"/>
    </x:row>
    <x:row r="10" ht="43" customHeight="1">
      <x:c r="A10" s="142"/>
      <x:c r="B10" s="142"/>
      <x:c r="C10" s="142"/>
      <x:c r="D10" s="142"/>
      <x:c r="E10" s="142"/>
      <x:c r="F10" s="142"/>
      <x:c r="G10" s="142"/>
      <x:c r="H10" s="142"/>
      <x:c r="I10" s="142"/>
      <x:c r="J10" s="142"/>
      <x:c r="K10" s="142"/>
      <x:c r="L10" s="142"/>
      <x:c r="M10" s="142"/>
      <x:c r="N10" s="142"/>
      <x:c r="O10" s="2"/>
      <x:c r="P10" s="2"/>
      <x:c r="Q10" s="2"/>
      <x:c r="R10" s="2"/>
      <x:c r="S10" s="2"/>
      <x:c r="T10" s="2"/>
      <x:c r="U10" s="2"/>
      <x:c r="V10" s="2"/>
      <x:c r="W10" s="2"/>
      <x:c r="X10" s="2"/>
    </x:row>
    <x:row r="11" ht="43" customHeight="1">
      <x:c r="A11" s="142"/>
      <x:c r="B11" s="142"/>
      <x:c r="C11" s="142"/>
      <x:c r="D11" s="142"/>
      <x:c r="E11" s="142"/>
      <x:c r="F11" s="142"/>
      <x:c r="G11" s="142"/>
      <x:c r="H11" s="142"/>
      <x:c r="I11" s="142"/>
      <x:c r="J11" s="142"/>
      <x:c r="K11" s="142"/>
      <x:c r="L11" s="142"/>
      <x:c r="M11" s="142"/>
      <x:c r="N11" s="142"/>
      <x:c r="O11" s="2"/>
      <x:c r="P11" s="2"/>
      <x:c r="Q11" s="2"/>
      <x:c r="R11" s="2"/>
      <x:c r="S11" s="2"/>
      <x:c r="T11" s="2"/>
      <x:c r="U11" s="2"/>
      <x:c r="V11" s="2"/>
      <x:c r="W11" s="2"/>
      <x:c r="X11" s="2"/>
    </x:row>
    <x:row r="12" ht="43" customHeight="1">
      <x:c r="A12" s="142"/>
      <x:c r="B12" s="142"/>
      <x:c r="C12" s="142"/>
      <x:c r="D12" s="142"/>
      <x:c r="E12" s="142"/>
      <x:c r="F12" s="142"/>
      <x:c r="G12" s="142"/>
      <x:c r="H12" s="142"/>
      <x:c r="I12" s="142"/>
      <x:c r="J12" s="142"/>
      <x:c r="K12" s="142"/>
      <x:c r="L12" s="142"/>
      <x:c r="M12" s="142"/>
      <x:c r="N12" s="142"/>
      <x:c r="O12" s="2"/>
      <x:c r="P12" s="2"/>
      <x:c r="Q12" s="2"/>
      <x:c r="R12" s="2"/>
      <x:c r="S12" s="2"/>
      <x:c r="T12" s="2"/>
      <x:c r="U12" s="2"/>
      <x:c r="V12" s="2"/>
      <x:c r="W12" s="2"/>
      <x:c r="X12" s="2"/>
    </x:row>
    <x:row r="13" ht="43" customHeight="1">
      <x:c r="A13" s="142"/>
      <x:c r="B13" s="142"/>
      <x:c r="C13" s="142"/>
      <x:c r="D13" s="142"/>
      <x:c r="E13" s="142"/>
      <x:c r="F13" s="142"/>
      <x:c r="G13" s="142"/>
      <x:c r="H13" s="142"/>
      <x:c r="I13" s="142"/>
      <x:c r="J13" s="142"/>
      <x:c r="K13" s="142"/>
      <x:c r="L13" s="142"/>
      <x:c r="M13" s="142"/>
      <x:c r="N13" s="142"/>
      <x:c r="O13" s="2"/>
      <x:c r="P13" s="2"/>
      <x:c r="Q13" s="2"/>
      <x:c r="R13" s="2"/>
      <x:c r="S13" s="2"/>
      <x:c r="T13" s="2"/>
      <x:c r="U13" s="2"/>
      <x:c r="V13" s="2"/>
      <x:c r="W13" s="2"/>
      <x:c r="X13" s="2"/>
    </x:row>
    <x:row r="14" ht="43" customHeight="1">
      <x:c r="A14" s="142"/>
      <x:c r="B14" s="142"/>
      <x:c r="C14" s="142"/>
      <x:c r="D14" s="142"/>
      <x:c r="E14" s="142"/>
      <x:c r="F14" s="142"/>
      <x:c r="G14" s="142"/>
      <x:c r="H14" s="142"/>
      <x:c r="I14" s="142"/>
      <x:c r="J14" s="142"/>
      <x:c r="K14" s="142"/>
      <x:c r="L14" s="142"/>
      <x:c r="M14" s="142"/>
      <x:c r="N14" s="142"/>
      <x:c r="O14" s="2"/>
      <x:c r="P14" s="2"/>
      <x:c r="Q14" s="2"/>
      <x:c r="R14" s="2"/>
      <x:c r="S14" s="2"/>
      <x:c r="T14" s="2"/>
      <x:c r="U14" s="2"/>
      <x:c r="V14" s="2"/>
      <x:c r="W14" s="2"/>
      <x:c r="X14" s="2"/>
    </x:row>
    <x:row r="15" ht="43" customHeight="1">
      <x:c r="A15" s="142"/>
      <x:c r="B15" s="142"/>
      <x:c r="C15" s="142"/>
      <x:c r="D15" s="142"/>
      <x:c r="E15" s="142"/>
      <x:c r="F15" s="142"/>
      <x:c r="G15" s="142"/>
      <x:c r="H15" s="142"/>
      <x:c r="I15" s="142"/>
      <x:c r="J15" s="142"/>
      <x:c r="K15" s="142"/>
      <x:c r="L15" s="142"/>
      <x:c r="M15" s="142"/>
      <x:c r="N15" s="142"/>
      <x:c r="O15" s="2"/>
      <x:c r="P15" s="2"/>
      <x:c r="Q15" s="2"/>
      <x:c r="R15" s="2"/>
      <x:c r="S15" s="2"/>
      <x:c r="T15" s="2"/>
      <x:c r="U15" s="2"/>
      <x:c r="V15" s="2"/>
      <x:c r="W15" s="2"/>
      <x:c r="X15" s="2"/>
    </x:row>
    <x:row r="16" ht="43" customHeight="1">
      <x:c r="A16" s="142"/>
      <x:c r="B16" s="142"/>
      <x:c r="C16" s="142"/>
      <x:c r="D16" s="142"/>
      <x:c r="E16" s="142"/>
      <x:c r="F16" s="142"/>
      <x:c r="G16" s="142"/>
      <x:c r="H16" s="142"/>
      <x:c r="I16" s="142"/>
      <x:c r="J16" s="142"/>
      <x:c r="K16" s="142"/>
      <x:c r="L16" s="142"/>
      <x:c r="M16" s="142"/>
      <x:c r="N16" s="142"/>
      <x:c r="O16" s="2"/>
      <x:c r="P16" s="2"/>
      <x:c r="Q16" s="2"/>
      <x:c r="R16" s="2"/>
      <x:c r="S16" s="2"/>
      <x:c r="T16" s="2"/>
      <x:c r="U16" s="2"/>
      <x:c r="V16" s="2"/>
      <x:c r="W16" s="2"/>
      <x:c r="X16" s="2"/>
    </x:row>
    <x:row r="17" ht="43" customHeight="1">
      <x:c r="A17" s="142"/>
      <x:c r="B17" s="142"/>
      <x:c r="C17" s="142"/>
      <x:c r="D17" s="142"/>
      <x:c r="E17" s="142"/>
      <x:c r="F17" s="142"/>
      <x:c r="G17" s="142"/>
      <x:c r="H17" s="142"/>
      <x:c r="I17" s="142"/>
      <x:c r="J17" s="142"/>
      <x:c r="K17" s="142"/>
      <x:c r="L17" s="142"/>
      <x:c r="M17" s="142"/>
      <x:c r="N17" s="142"/>
      <x:c r="O17" s="2"/>
      <x:c r="P17" s="2"/>
      <x:c r="Q17" s="2"/>
      <x:c r="R17" s="2"/>
      <x:c r="S17" s="2"/>
      <x:c r="T17" s="2"/>
      <x:c r="U17" s="2"/>
      <x:c r="V17" s="2"/>
      <x:c r="W17" s="2"/>
      <x:c r="X17" s="2"/>
    </x:row>
    <x:row r="18" ht="43" customHeight="1">
      <x:c r="A18" s="142"/>
      <x:c r="B18" s="142"/>
      <x:c r="C18" s="142"/>
      <x:c r="D18" s="142"/>
      <x:c r="E18" s="142"/>
      <x:c r="F18" s="142"/>
      <x:c r="G18" s="142"/>
      <x:c r="H18" s="142"/>
      <x:c r="I18" s="142"/>
      <x:c r="J18" s="142"/>
      <x:c r="K18" s="142"/>
      <x:c r="L18" s="142"/>
      <x:c r="M18" s="142"/>
      <x:c r="N18" s="142"/>
      <x:c r="O18" s="2"/>
      <x:c r="P18" s="2"/>
      <x:c r="Q18" s="2"/>
      <x:c r="R18" s="2"/>
      <x:c r="S18" s="2"/>
      <x:c r="T18" s="2"/>
      <x:c r="U18" s="2"/>
      <x:c r="V18" s="2"/>
      <x:c r="W18" s="2"/>
      <x:c r="X18" s="2"/>
    </x:row>
    <x:row r="19" ht="43" customHeight="1">
      <x:c r="A19" s="142"/>
      <x:c r="B19" s="142"/>
      <x:c r="C19" s="142"/>
      <x:c r="D19" s="142"/>
      <x:c r="E19" s="142"/>
      <x:c r="F19" s="142"/>
      <x:c r="G19" s="142"/>
      <x:c r="H19" s="142"/>
      <x:c r="I19" s="142"/>
      <x:c r="J19" s="142"/>
      <x:c r="K19" s="142"/>
      <x:c r="L19" s="142"/>
      <x:c r="M19" s="142"/>
      <x:c r="N19" s="142"/>
      <x:c r="O19" s="2"/>
      <x:c r="P19" s="2"/>
      <x:c r="Q19" s="2"/>
      <x:c r="R19" s="2"/>
      <x:c r="S19" s="2"/>
      <x:c r="T19" s="2"/>
      <x:c r="U19" s="2"/>
      <x:c r="V19" s="2"/>
      <x:c r="W19" s="2"/>
      <x:c r="X19" s="2"/>
    </x:row>
    <x:row r="20" ht="43" customHeight="1">
      <x:c r="A20" s="142"/>
      <x:c r="B20" s="142"/>
      <x:c r="C20" s="142"/>
      <x:c r="D20" s="142"/>
      <x:c r="E20" s="142"/>
      <x:c r="F20" s="142"/>
      <x:c r="G20" s="142"/>
      <x:c r="H20" s="142"/>
      <x:c r="I20" s="142"/>
      <x:c r="J20" s="142"/>
      <x:c r="K20" s="142"/>
      <x:c r="L20" s="142"/>
      <x:c r="M20" s="142"/>
      <x:c r="N20" s="142"/>
      <x:c r="O20" s="2"/>
      <x:c r="P20" s="2"/>
      <x:c r="Q20" s="2"/>
      <x:c r="R20" s="2"/>
      <x:c r="S20" s="2"/>
      <x:c r="T20" s="2"/>
      <x:c r="U20" s="2"/>
      <x:c r="V20" s="2"/>
      <x:c r="W20" s="2"/>
      <x:c r="X20" s="2"/>
    </x:row>
    <x:row r="21" ht="15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</x:row>
    <x:row r="22" ht="15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</x:row>
    <x:row r="23" ht="15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</x:row>
    <x:row r="24" ht="15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</x:row>
    <x:row r="25" ht="1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</x:row>
    <x:row r="26" ht="15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</x:row>
    <x:row r="27" ht="15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</x:row>
    <x:row r="28" ht="15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</x:row>
    <x:row r="29" ht="15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</x:row>
    <x:row r="30" ht="15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</x:row>
    <x:row r="31" ht="15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</x:row>
    <x:row r="32" ht="15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</x:row>
    <x:row r="33" ht="15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</x:row>
    <x:row r="34" ht="15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</x:row>
    <x:row r="35" ht="1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</x:row>
    <x:row r="36" ht="15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</x:row>
    <x:row r="37" ht="15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</x:row>
    <x:row r="38" ht="15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</x:row>
    <x:row r="39" ht="15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</x:row>
    <x:row r="40" ht="15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</x:row>
    <x:row r="41" ht="15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</x:row>
    <x:row r="42" ht="15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</x:row>
    <x:row r="43" ht="15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</x:row>
    <x:row r="44" ht="15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</x:row>
    <x:row r="45" ht="1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</x:row>
    <x:row r="46" ht="15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</x:row>
    <x:row r="47" ht="15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</x:row>
    <x:row r="48" ht="15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</x:row>
    <x:row r="49" ht="15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</x:row>
    <x:row r="50" ht="15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</x:row>
    <x:row r="51" ht="15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</x:row>
    <x:row r="52" ht="15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</x:row>
    <x:row r="53" ht="15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</x:row>
    <x:row r="54" ht="15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</x:row>
    <x:row r="55" ht="1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</x:row>
    <x:row r="56" ht="15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</x:row>
    <x:row r="57" ht="15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</x:row>
    <x:row r="58" ht="15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</x:row>
    <x:row r="59" ht="15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</x:row>
    <x:row r="60" ht="15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</x:row>
    <x:row r="61" ht="15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</x:row>
    <x:row r="62" ht="15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</x:row>
    <x:row r="63" ht="15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</x:row>
    <x:row r="64" ht="15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</x:row>
    <x:row r="65" ht="1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</x:row>
    <x:row r="66" ht="15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</x:row>
    <x:row r="67" ht="15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</x:row>
    <x:row r="68" ht="15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</x:row>
    <x:row r="69" ht="15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</x:row>
    <x:row r="70" ht="15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</x:row>
    <x:row r="71" ht="15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</x:row>
    <x:row r="72" ht="15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</x:row>
    <x:row r="73" ht="15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</x:row>
    <x:row r="74" ht="15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</x:row>
    <x:row r="75" ht="1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</x:row>
    <x:row r="76" ht="15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</x:row>
    <x:row r="77" ht="15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</x:row>
    <x:row r="78" ht="15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</x:row>
    <x:row r="79" ht="15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</x:row>
    <x:row r="80" ht="15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</x:row>
    <x:row r="81" ht="15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</x:row>
    <x:row r="82" ht="15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</x:row>
    <x:row r="83" ht="15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</x:row>
    <x:row r="84" ht="15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</x:row>
    <x:row r="85" ht="1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</x:row>
    <x:row r="86" ht="15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</x:row>
    <x:row r="87" ht="15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</x:row>
    <x:row r="88" ht="15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</x:row>
    <x:row r="89" ht="15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</x:row>
    <x:row r="90" ht="15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</x:row>
    <x:row r="91" ht="15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</x:row>
    <x:row r="92" ht="15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</x:row>
    <x:row r="93" ht="15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</x:row>
    <x:row r="94" ht="15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</x:row>
    <x:row r="95" ht="1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</x:row>
    <x:row r="96" ht="15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</x:row>
    <x:row r="97" ht="15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</x:row>
    <x:row r="98" ht="15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</x:row>
    <x:row r="99" ht="15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</x:row>
    <x:row r="100" ht="15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</x:row>
    <x:row r="101" ht="15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</x:row>
    <x:row r="102" ht="15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</x:row>
    <x:row r="103" ht="15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</x:row>
    <x:row r="104" ht="15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</x:row>
    <x:row r="105" ht="1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</x:row>
    <x:row r="106" ht="15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</x:row>
    <x:row r="107" ht="15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</x:row>
    <x:row r="108" ht="15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</x:row>
    <x:row r="109" ht="15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</x:row>
    <x:row r="110" ht="15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</x:row>
    <x:row r="111" ht="15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</x:row>
    <x:row r="112" ht="15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</x:row>
    <x:row r="113" ht="15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</x:row>
    <x:row r="114" ht="15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</x:row>
    <x:row r="115" ht="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</x:row>
    <x:row r="116" ht="15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</x:row>
    <x:row r="117" ht="15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</x:row>
    <x:row r="118" ht="15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</x:row>
    <x:row r="119" ht="15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</x:row>
    <x:row r="120" ht="15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</x:row>
    <x:row r="121" ht="15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</x:row>
    <x:row r="122" ht="15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</x:row>
    <x:row r="123" ht="15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</x:row>
    <x:row r="124" ht="15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</x:row>
    <x:row r="125" ht="1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</x:row>
    <x:row r="126" ht="15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</x:row>
    <x:row r="127" ht="15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</x:row>
    <x:row r="128" ht="15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</x:row>
    <x:row r="129" ht="15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</x:row>
    <x:row r="130" ht="15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</x:row>
    <x:row r="131" ht="15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</x:row>
    <x:row r="132" ht="15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</x:row>
    <x:row r="133" ht="15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</x:row>
    <x:row r="134" ht="15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</x:row>
    <x:row r="135" ht="1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</x:row>
    <x:row r="136" ht="15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</x:row>
    <x:row r="137" ht="15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</x:row>
    <x:row r="138" ht="15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</x:row>
    <x:row r="139" ht="15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</x:row>
    <x:row r="140" ht="15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</x:row>
    <x:row r="141" ht="15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</x:row>
    <x:row r="142" ht="15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</x:row>
    <x:row r="143" ht="15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</x:row>
    <x:row r="144" ht="15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</x:row>
    <x:row r="145" ht="1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</x:row>
    <x:row r="146" ht="15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</x:row>
    <x:row r="147" ht="15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</x:row>
    <x:row r="148" ht="15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</x:row>
    <x:row r="149" ht="15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</x:row>
    <x:row r="150" ht="15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</x:row>
    <x:row r="151" ht="15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</x:row>
    <x:row r="152" ht="15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</x:row>
    <x:row r="153" ht="15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</x:row>
    <x:row r="154" ht="15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</x:row>
    <x:row r="155" ht="1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</x:row>
    <x:row r="156" ht="15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</x:row>
    <x:row r="157" ht="15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</x:row>
    <x:row r="158" ht="15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</x:row>
    <x:row r="159" ht="15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</x:row>
    <x:row r="160" ht="15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</x:row>
    <x:row r="161" ht="15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</x:row>
    <x:row r="162" ht="15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</x:row>
    <x:row r="163" ht="15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</x:row>
    <x:row r="164" ht="15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</x:row>
    <x:row r="165" ht="1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</x:row>
    <x:row r="166" ht="15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</x:row>
    <x:row r="167" ht="15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</x:row>
    <x:row r="168" ht="15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</x:row>
    <x:row r="169" ht="15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</x:row>
    <x:row r="170" ht="15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</x:row>
    <x:row r="171" ht="15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</x:row>
    <x:row r="172" ht="15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</x:row>
    <x:row r="173" ht="15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</x:row>
    <x:row r="174" ht="15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</x:row>
    <x:row r="175" ht="1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</x:row>
    <x:row r="176" ht="15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</x:row>
    <x:row r="177" ht="15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</x:row>
    <x:row r="178" ht="15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</x:row>
    <x:row r="179" ht="15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</x:row>
    <x:row r="180" ht="15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</x:row>
    <x:row r="181" ht="15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</x:row>
    <x:row r="182" ht="15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</x:row>
    <x:row r="183" ht="15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</x:row>
    <x:row r="184" ht="15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</x:row>
    <x:row r="185" ht="1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</x:row>
    <x:row r="186" ht="15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</x:row>
    <x:row r="187" ht="15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</x:row>
    <x:row r="188" ht="15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</x:row>
    <x:row r="189" ht="15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</x:row>
    <x:row r="190" ht="15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</x:row>
    <x:row r="191" ht="15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</x:row>
    <x:row r="192" ht="15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</x:row>
    <x:row r="193" ht="15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</x:row>
    <x:row r="194" ht="15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</x:row>
    <x:row r="195" ht="1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</x:row>
    <x:row r="196" ht="15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</x:row>
    <x:row r="197" ht="15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</x:row>
    <x:row r="198" ht="15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</x:row>
    <x:row r="199" ht="15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</x:row>
    <x:row r="200" ht="15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</x:row>
    <x:row r="201" ht="15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</x:row>
    <x:row r="202" ht="15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</x:row>
    <x:row r="203" ht="15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</x:row>
    <x:row r="204" ht="15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</x:row>
    <x:row r="205" ht="1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</x:row>
    <x:row r="206" ht="15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</x:row>
    <x:row r="207" ht="15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</x:row>
    <x:row r="208" ht="15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</x:row>
    <x:row r="209" ht="15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</x:row>
    <x:row r="210" ht="15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</x:row>
    <x:row r="211" ht="15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</x:row>
    <x:row r="212" ht="15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</x:row>
    <x:row r="213" ht="15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</x:row>
    <x:row r="214" ht="15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</x:row>
    <x:row r="215" ht="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</x:row>
    <x:row r="216" ht="15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</x:row>
    <x:row r="217" ht="15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</x:row>
    <x:row r="218" ht="15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</x:row>
    <x:row r="219" ht="15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</x:row>
    <x:row r="220" ht="15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</x:row>
  </x:sheetData>
  <x:mergeCells>
    <x:mergeCell ref="A1:L1"/>
  </x:mergeCells>
  <x:conditionalFormatting sqref="C4:C6">
    <x:cfRule type="expression" dxfId="8" priority="1">
      <x:formula>C4="PASS"</x:formula>
    </x:cfRule>
    <x:cfRule type="expression" dxfId="7" priority="2">
      <x:formula>C4="PRUDENT"</x:formula>
    </x:cfRule>
    <x:cfRule type="expression" dxfId="6" priority="3">
      <x:formula>OR(C4="WATCH",C4="FAIL")</x:formula>
    </x:cfRule>
  </x:conditionalFormatting>
  <x:conditionalFormatting sqref="H4:H6">
    <x:cfRule type="expression" dxfId="5" priority="4">
      <x:formula>H4="PASS"</x:formula>
    </x:cfRule>
    <x:cfRule type="expression" dxfId="4" priority="5">
      <x:formula>H4="PRUDENT"</x:formula>
    </x:cfRule>
    <x:cfRule type="expression" dxfId="3" priority="6">
      <x:formula>OR(H4="WATCH",H4="FAIL")</x:formula>
    </x:cfRule>
  </x:conditionalFormatting>
  <x:conditionalFormatting sqref="K4:L6">
    <x:cfRule type="expression" dxfId="2" priority="7">
      <x:formula>K4="PASS"</x:formula>
    </x:cfRule>
    <x:cfRule type="expression" dxfId="1" priority="8">
      <x:formula>K4="PRUDENT"</x:formula>
    </x:cfRule>
    <x:cfRule type="expression" dxfId="0" priority="9">
      <x:formula>OR(K4="WATCH",K4="FAIL")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3" customWidth="1"/>
    <x:col min="2" max="2" width="20" customWidth="1"/>
    <x:col min="3" max="3" width="26" customWidth="1"/>
    <x:col min="4" max="7" width="20" customWidth="1"/>
    <x:col min="8" max="8" width="55" customWidth="1"/>
  </x:cols>
  <x:sheetData>
    <x:row r="1" ht="15">
      <x:c r="A1" s="179" t="str">
        <x:v>INCERTITUDINE – CALCUL UNIC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15">
      <x:c r="A2" s="141"/>
      <x:c r="B2" s="141"/>
      <x:c r="C2" s="141"/>
      <x:c r="D2" s="141"/>
      <x:c r="E2" s="141"/>
      <x:c r="F2" s="141"/>
      <x:c r="G2" s="141"/>
      <x:c r="H2" s="141"/>
      <x:c r="I2" s="141"/>
      <x:c r="J2" s="141"/>
      <x:c r="K2" s="141"/>
      <x:c r="L2" s="141"/>
      <x:c r="M2" s="141"/>
      <x:c r="N2" s="141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 ht="15">
      <x:c r="A3" s="180" t="s">
        <x:v>137</x:v>
      </x:c>
      <x:c r="B3" s="180" t="s">
        <x:v>138</x:v>
      </x:c>
      <x:c r="C3" s="180" t="s">
        <x:v>227</x:v>
      </x:c>
      <x:c r="D3" s="180" t="s">
        <x:v>228</x:v>
      </x:c>
      <x:c r="E3" s="180" t="s">
        <x:v>162</x:v>
      </x:c>
      <x:c r="F3" s="180" t="s">
        <x:v>163</x:v>
      </x:c>
      <x:c r="G3" s="180" t="s">
        <x:v>205</x:v>
      </x:c>
      <x:c r="H3" s="180" t="s">
        <x:v>141</x:v>
      </x:c>
      <x:c r="I3" s="142"/>
      <x:c r="J3" s="142"/>
      <x:c r="K3" s="142"/>
      <x:c r="L3" s="142"/>
      <x:c r="M3" s="142"/>
      <x:c r="N3" s="14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 ht="43" customHeight="1">
      <x:c r="A4" s="193" t="s">
        <x:v>229</x:v>
      </x:c>
      <x:c r="B4" s="193" t="str">
        <x:f>IF(OR(COUNT('Input_Meci'!B36:C36)&lt;&gt;2,MIN('Input_Meci'!B36:C36)&lt;0),"",MIN('Input_Meci'!B36:C36))</x:f>
      </x:c>
      <x:c r="C4" s="193" t="s">
        <x:v>230</x:v>
      </x:c>
      <x:c r="D4" s="193" t="str">
        <x:f>IF(NOT(ISNUMBER(B4)),"INPUT",IF(B4&lt;Parametri!B17,"SMALL SAMPLE","OK"))</x:f>
        <x:v>INPUT</x:v>
      </x:c>
      <x:c r="E4" s="193"/>
      <x:c r="F4" s="193"/>
      <x:c r="G4" s="193"/>
      <x:c r="H4" s="193"/>
      <x:c r="I4" s="142"/>
      <x:c r="J4" s="142"/>
      <x:c r="K4" s="142"/>
      <x:c r="L4" s="142"/>
      <x:c r="M4" s="142"/>
      <x:c r="N4" s="14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43" customHeight="1">
      <x:c r="A5" s="193" t="s">
        <x:v>231</x:v>
      </x:c>
      <x:c r="B5" s="193" t="str">
        <x:f>IF(NOT(ISNUMBER(B4)),"INPUT",IF(B4&lt;Parametri!B17,"DA","NU"))</x:f>
        <x:v>INPUT</x:v>
      </x:c>
      <x:c r="C5" s="193" t="s">
        <x:v>232</x:v>
      </x:c>
      <x:c r="D5" s="193" t="str">
        <x:f t="shared" ref="D5:D10" si="0">B5</x:f>
        <x:v>INPUT</x:v>
      </x:c>
      <x:c r="E5" s="193"/>
      <x:c r="F5" s="193"/>
      <x:c r="G5" s="193"/>
      <x:c r="H5" s="193"/>
      <x:c r="I5" s="142"/>
      <x:c r="J5" s="142"/>
      <x:c r="K5" s="142"/>
      <x:c r="L5" s="142"/>
      <x:c r="M5" s="142"/>
      <x:c r="N5" s="14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 ht="43" customHeight="1">
      <x:c r="A6" s="193" t="s">
        <x:v>233</x:v>
      </x:c>
      <x:c r="B6" s="193" t="str">
        <x:f>Input_Meci!B34</x:f>
        <x:v>B</x:v>
      </x:c>
      <x:c r="C6" s="193" t="s">
        <x:v>108</x:v>
      </x:c>
      <x:c r="D6" s="193" t="str">
        <x:f t="shared" si="0">IF(B6="","",B6)</x:f>
        <x:v>B</x:v>
      </x:c>
      <x:c r="E6" s="193"/>
      <x:c r="F6" s="193"/>
      <x:c r="G6" s="193"/>
      <x:c r="H6" s="193"/>
      <x:c r="I6" s="142"/>
      <x:c r="J6" s="142"/>
      <x:c r="K6" s="142"/>
      <x:c r="L6" s="142"/>
      <x:c r="M6" s="142"/>
      <x:c r="N6" s="142"/>
      <x:c r="O6" s="2"/>
      <x:c r="P6" s="2"/>
      <x:c r="Q6" s="2"/>
      <x:c r="R6" s="2"/>
      <x:c r="S6" s="2"/>
      <x:c r="T6" s="2"/>
      <x:c r="U6" s="2"/>
      <x:c r="V6" s="2"/>
      <x:c r="W6" s="2"/>
      <x:c r="X6" s="2"/>
    </x:row>
    <x:row r="7" ht="43" customHeight="1">
      <x:c r="A7" s="193" t="s">
        <x:v>199</x:v>
      </x:c>
      <x:c r="B7" s="193" t="str">
        <x:f>IF(OR(B5="INPUT",AND(B6&lt;&gt;"A",B6&lt;&gt;"B",B6&lt;&gt;"C")),"",IF(AND(B5="DA",B6="A"),"B",B6))</x:f>
      </x:c>
      <x:c r="C7" s="193" t="s">
        <x:v>234</x:v>
      </x:c>
      <x:c r="D7" s="193" t="str">
        <x:f t="shared" si="0">IF(B7="","",B7)</x:f>
      </x:c>
      <x:c r="E7" s="193"/>
      <x:c r="F7" s="193"/>
      <x:c r="G7" s="193"/>
      <x:c r="H7" s="193"/>
      <x:c r="I7" s="142"/>
      <x:c r="J7" s="142"/>
      <x:c r="K7" s="142"/>
      <x:c r="L7" s="142"/>
      <x:c r="M7" s="142"/>
      <x:c r="N7" s="142"/>
      <x:c r="O7" s="2"/>
      <x:c r="P7" s="2"/>
      <x:c r="Q7" s="2"/>
      <x:c r="R7" s="2"/>
      <x:c r="S7" s="2"/>
      <x:c r="T7" s="2"/>
      <x:c r="U7" s="2"/>
      <x:c r="V7" s="2"/>
      <x:c r="W7" s="2"/>
      <x:c r="X7" s="2"/>
    </x:row>
    <x:row r="8" ht="43" customHeight="1">
      <x:c r="A8" s="193" t="s">
        <x:v>235</x:v>
      </x:c>
      <x:c r="B8" s="194" t="str">
        <x:f>IF(B7="A",Parametri!B13,IF(B7="B",Parametri!B14,IF(B7="C",Parametri!B15,"")))</x:f>
      </x:c>
      <x:c r="C8" s="193" t="s">
        <x:v>236</x:v>
      </x:c>
      <x:c r="D8" s="193" t="str">
        <x:f t="shared" si="0">IF(NOT(ISNUMBER(B8)),"",B8)</x:f>
      </x:c>
      <x:c r="E8" s="193"/>
      <x:c r="F8" s="193"/>
      <x:c r="G8" s="193"/>
      <x:c r="H8" s="193"/>
      <x:c r="I8" s="142"/>
      <x:c r="J8" s="142"/>
      <x:c r="K8" s="142"/>
      <x:c r="L8" s="142"/>
      <x:c r="M8" s="142"/>
      <x:c r="N8" s="142"/>
      <x:c r="O8" s="2"/>
      <x:c r="P8" s="2"/>
      <x:c r="Q8" s="2"/>
      <x:c r="R8" s="2"/>
      <x:c r="S8" s="2"/>
      <x:c r="T8" s="2"/>
      <x:c r="U8" s="2"/>
      <x:c r="V8" s="2"/>
      <x:c r="W8" s="2"/>
      <x:c r="X8" s="2"/>
    </x:row>
    <x:row r="9" ht="43" customHeight="1">
      <x:c r="A9" s="193" t="s">
        <x:v>237</x:v>
      </x:c>
      <x:c r="B9" s="194" t="str">
        <x:f>IF(B5="INPUT","",IF(B5="DA",'Parametri'!B25,0))</x:f>
      </x:c>
      <x:c r="C9" s="193" t="s">
        <x:v>238</x:v>
      </x:c>
      <x:c r="D9" s="193" t="str">
        <x:f t="shared" si="0">IF(NOT(ISNUMBER(B9)),"",B9)</x:f>
      </x:c>
      <x:c r="E9" s="193"/>
      <x:c r="F9" s="193"/>
      <x:c r="G9" s="193"/>
      <x:c r="H9" s="193"/>
      <x:c r="I9" s="142"/>
      <x:c r="J9" s="142"/>
      <x:c r="K9" s="142"/>
      <x:c r="L9" s="142"/>
      <x:c r="M9" s="142"/>
      <x:c r="N9" s="142"/>
      <x:c r="O9" s="2"/>
      <x:c r="P9" s="2"/>
      <x:c r="Q9" s="2"/>
      <x:c r="R9" s="2"/>
      <x:c r="S9" s="2"/>
      <x:c r="T9" s="2"/>
      <x:c r="U9" s="2"/>
      <x:c r="V9" s="2"/>
      <x:c r="W9" s="2"/>
      <x:c r="X9" s="2"/>
    </x:row>
    <x:row r="10" ht="43" customHeight="1">
      <x:c r="A10" s="193" t="s">
        <x:v>187</x:v>
      </x:c>
      <x:c r="B10" s="194" t="str">
        <x:f>IF(COUNT(B8:B9)&lt;&gt;2,"",B8+B9)</x:f>
      </x:c>
      <x:c r="C10" s="193" t="s">
        <x:v>239</x:v>
      </x:c>
      <x:c r="D10" s="193" t="str">
        <x:f t="shared" si="0">IF(NOT(ISNUMBER(B10)),"",B10)</x:f>
      </x:c>
      <x:c r="E10" s="193"/>
      <x:c r="F10" s="193"/>
      <x:c r="G10" s="193"/>
      <x:c r="H10" s="193"/>
      <x:c r="I10" s="142"/>
      <x:c r="J10" s="142"/>
      <x:c r="K10" s="142"/>
      <x:c r="L10" s="142"/>
      <x:c r="M10" s="142"/>
      <x:c r="N10" s="142"/>
      <x:c r="O10" s="2"/>
      <x:c r="P10" s="2"/>
      <x:c r="Q10" s="2"/>
      <x:c r="R10" s="2"/>
      <x:c r="S10" s="2"/>
      <x:c r="T10" s="2"/>
      <x:c r="U10" s="2"/>
      <x:c r="V10" s="2"/>
      <x:c r="W10" s="2"/>
      <x:c r="X10" s="2"/>
    </x:row>
    <x:row r="11" ht="43" customHeight="1">
      <x:c r="A11" s="193"/>
      <x:c r="B11" s="193"/>
      <x:c r="C11" s="193"/>
      <x:c r="D11" s="193"/>
      <x:c r="E11" s="193"/>
      <x:c r="F11" s="193"/>
      <x:c r="G11" s="193"/>
      <x:c r="H11" s="193"/>
      <x:c r="I11" s="142"/>
      <x:c r="J11" s="142"/>
      <x:c r="K11" s="142"/>
      <x:c r="L11" s="142"/>
      <x:c r="M11" s="142"/>
      <x:c r="N11" s="142"/>
      <x:c r="O11" s="2"/>
      <x:c r="P11" s="2"/>
      <x:c r="Q11" s="2"/>
      <x:c r="R11" s="2"/>
      <x:c r="S11" s="2"/>
      <x:c r="T11" s="2"/>
      <x:c r="U11" s="2"/>
      <x:c r="V11" s="2"/>
      <x:c r="W11" s="2"/>
      <x:c r="X11" s="2"/>
    </x:row>
    <x:row r="12" ht="43" customHeight="1">
      <x:c r="A12" s="180" t="s">
        <x:v>240</x:v>
      </x:c>
      <x:c r="B12" s="180" t="s">
        <x:v>241</x:v>
      </x:c>
      <x:c r="C12" s="180" t="s">
        <x:v>242</x:v>
      </x:c>
      <x:c r="D12" s="180" t="s">
        <x:v>243</x:v>
      </x:c>
      <x:c r="E12" s="180" t="s">
        <x:v>162</x:v>
      </x:c>
      <x:c r="F12" s="180" t="s">
        <x:v>163</x:v>
      </x:c>
      <x:c r="G12" s="180" t="s">
        <x:v>205</x:v>
      </x:c>
      <x:c r="H12" s="180" t="s">
        <x:v>227</x:v>
      </x:c>
      <x:c r="I12" s="142"/>
      <x:c r="J12" s="142"/>
      <x:c r="K12" s="142"/>
      <x:c r="L12" s="142"/>
      <x:c r="M12" s="142"/>
      <x:c r="N12" s="142"/>
      <x:c r="O12" s="2"/>
      <x:c r="P12" s="2"/>
      <x:c r="Q12" s="2"/>
      <x:c r="R12" s="2"/>
      <x:c r="S12" s="2"/>
      <x:c r="T12" s="2"/>
      <x:c r="U12" s="2"/>
      <x:c r="V12" s="2"/>
      <x:c r="W12" s="2"/>
      <x:c r="X12" s="2"/>
    </x:row>
    <x:row r="13" ht="43" customHeight="1">
      <x:c r="A13" s="193" t="s">
        <x:v>244</x:v>
      </x:c>
      <x:c r="B13" s="194" t="str">
        <x:f>IF(NOT(ISNUMBER('Model_1X2'!L8)),"",'Model_1X2'!L8)</x:f>
      </x:c>
      <x:c r="C13" s="193" t="n">
        <x:f>IF(NOT(ISNUMBER('Input_Meci'!C41)),"",'Input_Meci'!C41)</x:f>
        <x:v>0</x:v>
      </x:c>
      <x:c r="D13" s="193" t="str">
        <x:f>IF(OR(NOT(ISNUMBER(B13)),NOT(ISNUMBER(C13))),"",IF(B13&lt;'Parametri'!B26,0,IF(C13=2,'Parametri'!B28,IF(C13=1,'Parametri'!B27,0))))</x:f>
      </x:c>
      <x:c r="E13" s="193"/>
      <x:c r="F13" s="193"/>
      <x:c r="G13" s="193"/>
      <x:c r="H13" s="193" t="s">
        <x:v>245</x:v>
      </x:c>
      <x:c r="I13" s="142"/>
      <x:c r="J13" s="142"/>
      <x:c r="K13" s="142"/>
      <x:c r="L13" s="142"/>
      <x:c r="M13" s="142"/>
      <x:c r="N13" s="142"/>
      <x:c r="O13" s="2"/>
      <x:c r="P13" s="2"/>
      <x:c r="Q13" s="2"/>
      <x:c r="R13" s="2"/>
      <x:c r="S13" s="2"/>
      <x:c r="T13" s="2"/>
      <x:c r="U13" s="2"/>
      <x:c r="V13" s="2"/>
      <x:c r="W13" s="2"/>
      <x:c r="X13" s="2"/>
    </x:row>
    <x:row r="14" ht="43" customHeight="1">
      <x:c r="A14" s="142"/>
      <x:c r="B14" s="142"/>
      <x:c r="C14" s="142"/>
      <x:c r="D14" s="142"/>
      <x:c r="E14" s="142"/>
      <x:c r="F14" s="142"/>
      <x:c r="G14" s="142"/>
      <x:c r="H14" s="142"/>
      <x:c r="I14" s="142"/>
      <x:c r="J14" s="142"/>
      <x:c r="K14" s="142"/>
      <x:c r="L14" s="142"/>
      <x:c r="M14" s="142"/>
      <x:c r="N14" s="142"/>
      <x:c r="O14" s="2"/>
      <x:c r="P14" s="2"/>
      <x:c r="Q14" s="2"/>
      <x:c r="R14" s="2"/>
      <x:c r="S14" s="2"/>
      <x:c r="T14" s="2"/>
      <x:c r="U14" s="2"/>
      <x:c r="V14" s="2"/>
      <x:c r="W14" s="2"/>
      <x:c r="X14" s="2"/>
    </x:row>
    <x:row r="15" ht="43" customHeight="1">
      <x:c r="A15" s="142"/>
      <x:c r="B15" s="142"/>
      <x:c r="C15" s="142"/>
      <x:c r="D15" s="142"/>
      <x:c r="E15" s="142"/>
      <x:c r="F15" s="142"/>
      <x:c r="G15" s="142"/>
      <x:c r="H15" s="142"/>
      <x:c r="I15" s="142"/>
      <x:c r="J15" s="142"/>
      <x:c r="K15" s="142"/>
      <x:c r="L15" s="142"/>
      <x:c r="M15" s="142"/>
      <x:c r="N15" s="142"/>
      <x:c r="O15" s="2"/>
      <x:c r="P15" s="2"/>
      <x:c r="Q15" s="2"/>
      <x:c r="R15" s="2"/>
      <x:c r="S15" s="2"/>
      <x:c r="T15" s="2"/>
      <x:c r="U15" s="2"/>
      <x:c r="V15" s="2"/>
      <x:c r="W15" s="2"/>
      <x:c r="X15" s="2"/>
    </x:row>
    <x:row r="16" ht="43" customHeight="1">
      <x:c r="A16" s="142"/>
      <x:c r="B16" s="142"/>
      <x:c r="C16" s="142"/>
      <x:c r="D16" s="142"/>
      <x:c r="E16" s="142"/>
      <x:c r="F16" s="142"/>
      <x:c r="G16" s="142"/>
      <x:c r="H16" s="142"/>
      <x:c r="I16" s="142"/>
      <x:c r="J16" s="142"/>
      <x:c r="K16" s="142"/>
      <x:c r="L16" s="142"/>
      <x:c r="M16" s="142"/>
      <x:c r="N16" s="142"/>
      <x:c r="O16" s="2"/>
      <x:c r="P16" s="2"/>
      <x:c r="Q16" s="2"/>
      <x:c r="R16" s="2"/>
      <x:c r="S16" s="2"/>
      <x:c r="T16" s="2"/>
      <x:c r="U16" s="2"/>
      <x:c r="V16" s="2"/>
      <x:c r="W16" s="2"/>
      <x:c r="X16" s="2"/>
    </x:row>
    <x:row r="17" ht="43" customHeight="1">
      <x:c r="A17" s="142"/>
      <x:c r="B17" s="142"/>
      <x:c r="C17" s="142"/>
      <x:c r="D17" s="142"/>
      <x:c r="E17" s="142"/>
      <x:c r="F17" s="142"/>
      <x:c r="G17" s="142"/>
      <x:c r="H17" s="142"/>
      <x:c r="I17" s="142"/>
      <x:c r="J17" s="142"/>
      <x:c r="K17" s="142"/>
      <x:c r="L17" s="142"/>
      <x:c r="M17" s="142"/>
      <x:c r="N17" s="142"/>
      <x:c r="O17" s="2"/>
      <x:c r="P17" s="2"/>
      <x:c r="Q17" s="2"/>
      <x:c r="R17" s="2"/>
      <x:c r="S17" s="2"/>
      <x:c r="T17" s="2"/>
      <x:c r="U17" s="2"/>
      <x:c r="V17" s="2"/>
      <x:c r="W17" s="2"/>
      <x:c r="X17" s="2"/>
    </x:row>
    <x:row r="18" ht="43" customHeight="1">
      <x:c r="A18" s="142"/>
      <x:c r="B18" s="142"/>
      <x:c r="C18" s="142"/>
      <x:c r="D18" s="142"/>
      <x:c r="E18" s="142"/>
      <x:c r="F18" s="142"/>
      <x:c r="G18" s="142"/>
      <x:c r="H18" s="142"/>
      <x:c r="I18" s="142"/>
      <x:c r="J18" s="142"/>
      <x:c r="K18" s="142"/>
      <x:c r="L18" s="142"/>
      <x:c r="M18" s="142"/>
      <x:c r="N18" s="142"/>
      <x:c r="O18" s="2"/>
      <x:c r="P18" s="2"/>
      <x:c r="Q18" s="2"/>
      <x:c r="R18" s="2"/>
      <x:c r="S18" s="2"/>
      <x:c r="T18" s="2"/>
      <x:c r="U18" s="2"/>
      <x:c r="V18" s="2"/>
      <x:c r="W18" s="2"/>
      <x:c r="X18" s="2"/>
    </x:row>
    <x:row r="19" ht="43" customHeight="1">
      <x:c r="A19" s="142"/>
      <x:c r="B19" s="142"/>
      <x:c r="C19" s="142"/>
      <x:c r="D19" s="142"/>
      <x:c r="E19" s="142"/>
      <x:c r="F19" s="142"/>
      <x:c r="G19" s="142"/>
      <x:c r="H19" s="142"/>
      <x:c r="I19" s="142"/>
      <x:c r="J19" s="142"/>
      <x:c r="K19" s="142"/>
      <x:c r="L19" s="142"/>
      <x:c r="M19" s="142"/>
      <x:c r="N19" s="142"/>
      <x:c r="O19" s="2"/>
      <x:c r="P19" s="2"/>
      <x:c r="Q19" s="2"/>
      <x:c r="R19" s="2"/>
      <x:c r="S19" s="2"/>
      <x:c r="T19" s="2"/>
      <x:c r="U19" s="2"/>
      <x:c r="V19" s="2"/>
      <x:c r="W19" s="2"/>
      <x:c r="X19" s="2"/>
    </x:row>
    <x:row r="20" ht="43" customHeight="1">
      <x:c r="A20" s="142"/>
      <x:c r="B20" s="142"/>
      <x:c r="C20" s="142"/>
      <x:c r="D20" s="142"/>
      <x:c r="E20" s="142"/>
      <x:c r="F20" s="142"/>
      <x:c r="G20" s="142"/>
      <x:c r="H20" s="142"/>
      <x:c r="I20" s="142"/>
      <x:c r="J20" s="142"/>
      <x:c r="K20" s="142"/>
      <x:c r="L20" s="142"/>
      <x:c r="M20" s="142"/>
      <x:c r="N20" s="142"/>
      <x:c r="O20" s="2"/>
      <x:c r="P20" s="2"/>
      <x:c r="Q20" s="2"/>
      <x:c r="R20" s="2"/>
      <x:c r="S20" s="2"/>
      <x:c r="T20" s="2"/>
      <x:c r="U20" s="2"/>
      <x:c r="V20" s="2"/>
      <x:c r="W20" s="2"/>
      <x:c r="X20" s="2"/>
    </x:row>
    <x:row r="21" ht="15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</x:row>
    <x:row r="22" ht="15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</x:row>
    <x:row r="23" ht="15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</x:row>
    <x:row r="24" ht="15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</x:row>
    <x:row r="25" ht="1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</x:row>
    <x:row r="26" ht="15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</x:row>
    <x:row r="27" ht="15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</x:row>
    <x:row r="28" ht="15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</x:row>
    <x:row r="29" ht="15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</x:row>
    <x:row r="30" ht="15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</x:row>
    <x:row r="31" ht="15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</x:row>
    <x:row r="32" ht="15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</x:row>
    <x:row r="33" ht="15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</x:row>
    <x:row r="34" ht="15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</x:row>
    <x:row r="35" ht="1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</x:row>
    <x:row r="36" ht="15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</x:row>
    <x:row r="37" ht="15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</x:row>
    <x:row r="38" ht="15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</x:row>
    <x:row r="39" ht="15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</x:row>
    <x:row r="40" ht="15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</x:row>
    <x:row r="41" ht="15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</x:row>
    <x:row r="42" ht="15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</x:row>
    <x:row r="43" ht="15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</x:row>
    <x:row r="44" ht="15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</x:row>
    <x:row r="45" ht="1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</x:row>
    <x:row r="46" ht="15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</x:row>
    <x:row r="47" ht="15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</x:row>
    <x:row r="48" ht="15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</x:row>
    <x:row r="49" ht="15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</x:row>
    <x:row r="50" ht="15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</x:row>
    <x:row r="51" ht="15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</x:row>
    <x:row r="52" ht="15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</x:row>
    <x:row r="53" ht="15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</x:row>
    <x:row r="54" ht="15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</x:row>
    <x:row r="55" ht="1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</x:row>
    <x:row r="56" ht="15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</x:row>
    <x:row r="57" ht="15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</x:row>
    <x:row r="58" ht="15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</x:row>
    <x:row r="59" ht="15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</x:row>
    <x:row r="60" ht="15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</x:row>
    <x:row r="61" ht="15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</x:row>
    <x:row r="62" ht="15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</x:row>
    <x:row r="63" ht="15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</x:row>
    <x:row r="64" ht="15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</x:row>
    <x:row r="65" ht="1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</x:row>
    <x:row r="66" ht="15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</x:row>
    <x:row r="67" ht="15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</x:row>
    <x:row r="68" ht="15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</x:row>
    <x:row r="69" ht="15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</x:row>
    <x:row r="70" ht="15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</x:row>
    <x:row r="71" ht="15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</x:row>
    <x:row r="72" ht="15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</x:row>
    <x:row r="73" ht="15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</x:row>
    <x:row r="74" ht="15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</x:row>
    <x:row r="75" ht="1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</x:row>
    <x:row r="76" ht="15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</x:row>
    <x:row r="77" ht="15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</x:row>
    <x:row r="78" ht="15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</x:row>
    <x:row r="79" ht="15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</x:row>
    <x:row r="80" ht="15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</x:row>
    <x:row r="81" ht="15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</x:row>
    <x:row r="82" ht="15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</x:row>
    <x:row r="83" ht="15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</x:row>
    <x:row r="84" ht="15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</x:row>
    <x:row r="85" ht="1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</x:row>
    <x:row r="86" ht="15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</x:row>
    <x:row r="87" ht="15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</x:row>
    <x:row r="88" ht="15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</x:row>
    <x:row r="89" ht="15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</x:row>
    <x:row r="90" ht="15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</x:row>
    <x:row r="91" ht="15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</x:row>
    <x:row r="92" ht="15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</x:row>
    <x:row r="93" ht="15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</x:row>
    <x:row r="94" ht="15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</x:row>
    <x:row r="95" ht="1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</x:row>
    <x:row r="96" ht="15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</x:row>
    <x:row r="97" ht="15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</x:row>
    <x:row r="98" ht="15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</x:row>
    <x:row r="99" ht="15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</x:row>
    <x:row r="100" ht="15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</x:row>
    <x:row r="101" ht="15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</x:row>
    <x:row r="102" ht="15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</x:row>
    <x:row r="103" ht="15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</x:row>
    <x:row r="104" ht="15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</x:row>
    <x:row r="105" ht="1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</x:row>
    <x:row r="106" ht="15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</x:row>
    <x:row r="107" ht="15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</x:row>
    <x:row r="108" ht="15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</x:row>
    <x:row r="109" ht="15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</x:row>
    <x:row r="110" ht="15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</x:row>
    <x:row r="111" ht="15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</x:row>
    <x:row r="112" ht="15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</x:row>
    <x:row r="113" ht="15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</x:row>
    <x:row r="114" ht="15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</x:row>
    <x:row r="115" ht="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</x:row>
    <x:row r="116" ht="15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</x:row>
    <x:row r="117" ht="15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</x:row>
    <x:row r="118" ht="15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</x:row>
    <x:row r="119" ht="15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</x:row>
    <x:row r="120" ht="15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</x:row>
    <x:row r="121" ht="15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</x:row>
    <x:row r="122" ht="15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</x:row>
    <x:row r="123" ht="15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</x:row>
    <x:row r="124" ht="15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</x:row>
    <x:row r="125" ht="1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</x:row>
    <x:row r="126" ht="15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</x:row>
    <x:row r="127" ht="15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</x:row>
    <x:row r="128" ht="15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</x:row>
    <x:row r="129" ht="15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</x:row>
    <x:row r="130" ht="15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</x:row>
    <x:row r="131" ht="15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</x:row>
    <x:row r="132" ht="15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</x:row>
    <x:row r="133" ht="15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</x:row>
    <x:row r="134" ht="15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</x:row>
    <x:row r="135" ht="1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</x:row>
    <x:row r="136" ht="15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</x:row>
    <x:row r="137" ht="15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</x:row>
    <x:row r="138" ht="15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</x:row>
    <x:row r="139" ht="15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</x:row>
    <x:row r="140" ht="15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</x:row>
    <x:row r="141" ht="15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</x:row>
    <x:row r="142" ht="15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</x:row>
    <x:row r="143" ht="15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</x:row>
    <x:row r="144" ht="15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</x:row>
    <x:row r="145" ht="1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</x:row>
    <x:row r="146" ht="15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</x:row>
    <x:row r="147" ht="15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</x:row>
    <x:row r="148" ht="15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</x:row>
    <x:row r="149" ht="15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</x:row>
    <x:row r="150" ht="15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</x:row>
    <x:row r="151" ht="15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</x:row>
    <x:row r="152" ht="15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</x:row>
    <x:row r="153" ht="15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</x:row>
    <x:row r="154" ht="15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</x:row>
    <x:row r="155" ht="1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</x:row>
    <x:row r="156" ht="15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</x:row>
    <x:row r="157" ht="15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</x:row>
    <x:row r="158" ht="15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</x:row>
    <x:row r="159" ht="15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</x:row>
    <x:row r="160" ht="15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</x:row>
    <x:row r="161" ht="15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</x:row>
    <x:row r="162" ht="15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</x:row>
    <x:row r="163" ht="15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</x:row>
    <x:row r="164" ht="15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</x:row>
    <x:row r="165" ht="1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</x:row>
    <x:row r="166" ht="15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</x:row>
    <x:row r="167" ht="15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</x:row>
    <x:row r="168" ht="15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</x:row>
    <x:row r="169" ht="15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</x:row>
    <x:row r="170" ht="15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</x:row>
    <x:row r="171" ht="15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</x:row>
    <x:row r="172" ht="15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</x:row>
    <x:row r="173" ht="15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</x:row>
    <x:row r="174" ht="15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</x:row>
    <x:row r="175" ht="1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</x:row>
    <x:row r="176" ht="15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</x:row>
    <x:row r="177" ht="15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</x:row>
    <x:row r="178" ht="15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</x:row>
    <x:row r="179" ht="15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</x:row>
    <x:row r="180" ht="15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</x:row>
    <x:row r="181" ht="15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</x:row>
    <x:row r="182" ht="15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</x:row>
    <x:row r="183" ht="15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</x:row>
    <x:row r="184" ht="15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</x:row>
    <x:row r="185" ht="1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</x:row>
    <x:row r="186" ht="15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</x:row>
    <x:row r="187" ht="15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</x:row>
    <x:row r="188" ht="15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</x:row>
    <x:row r="189" ht="15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</x:row>
    <x:row r="190" ht="15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</x:row>
    <x:row r="191" ht="15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</x:row>
    <x:row r="192" ht="15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</x:row>
    <x:row r="193" ht="15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</x:row>
    <x:row r="194" ht="15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</x:row>
    <x:row r="195" ht="1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</x:row>
    <x:row r="196" ht="15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</x:row>
    <x:row r="197" ht="15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</x:row>
    <x:row r="198" ht="15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</x:row>
    <x:row r="199" ht="15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</x:row>
    <x:row r="200" ht="15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</x:row>
    <x:row r="201" ht="15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</x:row>
    <x:row r="202" ht="15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</x:row>
    <x:row r="203" ht="15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</x:row>
    <x:row r="204" ht="15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</x:row>
    <x:row r="205" ht="1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</x:row>
    <x:row r="206" ht="15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</x:row>
    <x:row r="207" ht="15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</x:row>
    <x:row r="208" ht="15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</x:row>
    <x:row r="209" ht="15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</x:row>
    <x:row r="210" ht="15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</x:row>
    <x:row r="211" ht="15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</x:row>
    <x:row r="212" ht="15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</x:row>
    <x:row r="213" ht="15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</x:row>
    <x:row r="214" ht="15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</x:row>
    <x:row r="215" ht="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</x:row>
    <x:row r="216" ht="15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</x:row>
    <x:row r="217" ht="15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</x:row>
    <x:row r="218" ht="15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</x:row>
    <x:row r="219" ht="15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</x:row>
    <x:row r="220" ht="15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9" width="17" customWidth="1"/>
    <x:col min="10" max="11" width="2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15">
      <x:c r="A1" s="179" t="str">
        <x:v>CALIBRARE – PROBABILITĂȚI ȘI RECOMANDĂRI SEPARATE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15">
      <x:c r="A2" s="141"/>
      <x:c r="B2" s="141"/>
      <x:c r="C2" s="141"/>
      <x:c r="D2" s="141"/>
      <x:c r="E2" s="141"/>
      <x:c r="F2" s="141"/>
      <x:c r="G2" s="141"/>
      <x:c r="H2" s="141"/>
      <x:c r="I2" s="141"/>
      <x:c r="J2" s="141"/>
      <x:c r="K2" s="141"/>
      <x:c r="L2" s="141"/>
      <x:c r="M2" s="141"/>
      <x:c r="N2" s="141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 ht="34" customHeight="1">
      <x:c r="A3" s="180" t="s">
        <x:v>246</x:v>
      </x:c>
      <x:c r="B3" s="180" t="s">
        <x:v>247</x:v>
      </x:c>
      <x:c r="C3" s="180" t="s">
        <x:v>248</x:v>
      </x:c>
      <x:c r="D3" s="180" t="s">
        <x:v>249</x:v>
      </x:c>
      <x:c r="E3" s="180" t="s">
        <x:v>250</x:v>
      </x:c>
      <x:c r="F3" s="180" t="s">
        <x:v>251</x:v>
      </x:c>
      <x:c r="G3" s="180" t="s">
        <x:v>218</x:v>
      </x:c>
      <x:c r="H3" s="180" t="str">
        <x:v>Profit recomandări</x:v>
      </x:c>
      <x:c r="I3" s="180" t="str">
        <x:v>ROI / cotă validă</x:v>
      </x:c>
      <x:c r="J3" s="180" t="s">
        <x:v>252</x:v>
      </x:c>
      <x:c r="K3" s="180" t="s">
        <x:v>253</x:v>
      </x:c>
      <x:c r="L3" s="188" t="str">
        <x:v>N recomandări</x:v>
      </x:c>
      <x:c r="M3" s="188" t="str">
        <x:v>N cote valide</x:v>
      </x:c>
      <x:c r="N3" s="188" t="str">
        <x:v>Hit rate recomandări</x:v>
      </x:c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 ht="43" customHeight="1">
      <x:c r="A4" s="193" t="s">
        <x:v>162</x:v>
      </x:c>
      <x:c r="B4" s="193" t="n">
        <x:f>COUNTIFS(Backtest!$E$4:$E$203,A4,Backtest!$X$4:$X$203,"YES")</x:f>
        <x:v>0</x:v>
      </x:c>
      <x:c r="C4" s="193" t="n">
        <x:f>SUMIFS('Backtest'!$AD$4:$AD$203,'Backtest'!$E$4:$E$203,A4,'Backtest'!$X$4:$X$203,"YES")</x:f>
        <x:v>0</x:v>
      </x:c>
      <x:c r="D4" s="194" t="str">
        <x:f>IF(B4=0,"",C4/B4)</x:f>
      </x:c>
      <x:c r="E4" s="194" t="str">
        <x:f>IF(B4=0,"",SUMIFS('Backtest'!$AF$4:$AF$203,'Backtest'!$E$4:$E$203,A4,'Backtest'!$X$4:$X$203,"YES")/B4)</x:f>
      </x:c>
      <x:c r="F4" s="194" t="str">
        <x:f>IF(OR(NOT(ISNUMBER(D4)),NOT(ISNUMBER(E4))),"",D4-E4)</x:f>
      </x:c>
      <x:c r="G4" s="203" t="str">
        <x:f>IF(B4=0,"",SUMIFS('Backtest'!$AE$4:$AE$203,'Backtest'!$E$4:$E$203,A4,'Backtest'!$X$4:$X$203,"YES")/B4)</x:f>
      </x:c>
      <x:c r="H4" s="194" t="str">
        <x:f>IF(M4=0,"",SUMIFS('Backtest'!$AG$4:$AG$203,'Backtest'!$E$4:$E$203,A4,'Backtest'!$AH$4:$AH$203,"YES"))</x:f>
      </x:c>
      <x:c r="I4" s="194" t="str">
        <x:f>IF(M4=0,"",H4/M4)</x:f>
      </x:c>
      <x:c r="J4" s="193" t="str">
        <x:f>IF(B4&gt;=Parametri!B29,"PASS","INSUFFICIENT N")</x:f>
        <x:v>INSUFFICIENT N</x:v>
      </x:c>
      <x:c r="K4" s="193" t="str">
        <x:f>IF(NOT(ISNUMBER(F4)),"INPUT",IF(ABS(F4)&lt;=Parametri!B30,"PASS","RECALIBRATE"))</x:f>
        <x:v>INPUT</x:v>
      </x:c>
      <x:c r="L4" s="193" t="n">
        <x:f>COUNTIFS('Backtest'!$E$4:$E$203,A4,'Backtest'!$Z$4:$Z$203,"YES")</x:f>
        <x:v>0</x:v>
      </x:c>
      <x:c r="M4" s="193" t="n">
        <x:f>COUNTIFS('Backtest'!$E$4:$E$203,A4,'Backtest'!$AH$4:$AH$203,"YES")</x:f>
        <x:v>0</x:v>
      </x:c>
      <x:c r="N4" s="193" t="str">
        <x:f>IF(L4=0,"",SUMIFS('Backtest'!$P$4:$P$203,'Backtest'!$E$4:$E$203,A4,'Backtest'!$Z$4:$Z$203,"YES")/L4)</x:f>
      </x:c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43" customHeight="1">
      <x:c r="A5" s="193" t="s">
        <x:v>163</x:v>
      </x:c>
      <x:c r="B5" s="193" t="n">
        <x:f>COUNTIFS(Backtest!$E$4:$E$203,A5,Backtest!$X$4:$X$203,"YES")</x:f>
        <x:v>0</x:v>
      </x:c>
      <x:c r="C5" s="193" t="n">
        <x:f>SUMIFS('Backtest'!$AD$4:$AD$203,'Backtest'!$E$4:$E$203,A5,'Backtest'!$X$4:$X$203,"YES")</x:f>
        <x:v>0</x:v>
      </x:c>
      <x:c r="D5" s="194" t="str">
        <x:f>IF(B5=0,"",C5/B5)</x:f>
      </x:c>
      <x:c r="E5" s="194" t="str">
        <x:f>IF(B5=0,"",SUMIFS('Backtest'!$AF$4:$AF$203,'Backtest'!$E$4:$E$203,A5,'Backtest'!$X$4:$X$203,"YES")/B5)</x:f>
      </x:c>
      <x:c r="F5" s="194" t="str">
        <x:f>IF(OR(NOT(ISNUMBER(D5)),NOT(ISNUMBER(E5))),"",D5-E5)</x:f>
      </x:c>
      <x:c r="G5" s="203" t="str">
        <x:f>IF(B5=0,"",SUMIFS('Backtest'!$AE$4:$AE$203,'Backtest'!$E$4:$E$203,A5,'Backtest'!$X$4:$X$203,"YES")/B5)</x:f>
      </x:c>
      <x:c r="H5" s="194" t="str">
        <x:f>IF(M5=0,"",SUMIFS('Backtest'!$AG$4:$AG$203,'Backtest'!$E$4:$E$203,A5,'Backtest'!$AH$4:$AH$203,"YES"))</x:f>
      </x:c>
      <x:c r="I5" s="194" t="str">
        <x:f>IF(M5=0,"",H5/M5)</x:f>
      </x:c>
      <x:c r="J5" s="193" t="str">
        <x:f>IF(B5&gt;=Parametri!B29,"PASS","INSUFFICIENT N")</x:f>
        <x:v>INSUFFICIENT N</x:v>
      </x:c>
      <x:c r="K5" s="193" t="str">
        <x:f>IF(NOT(ISNUMBER(F5)),"INPUT",IF(ABS(F5)&lt;=Parametri!B30,"PASS","RECALIBRATE"))</x:f>
        <x:v>INPUT</x:v>
      </x:c>
      <x:c r="L5" s="193" t="n">
        <x:f>COUNTIFS('Backtest'!$E$4:$E$203,A5,'Backtest'!$Z$4:$Z$203,"YES")</x:f>
        <x:v>0</x:v>
      </x:c>
      <x:c r="M5" s="193" t="n">
        <x:f>COUNTIFS('Backtest'!$E$4:$E$203,A5,'Backtest'!$AH$4:$AH$203,"YES")</x:f>
        <x:v>0</x:v>
      </x:c>
      <x:c r="N5" s="193" t="str">
        <x:f>IF(L5=0,"",SUMIFS('Backtest'!$P$4:$P$203,'Backtest'!$E$4:$E$203,A5,'Backtest'!$Z$4:$Z$203,"YES")/L5)</x:f>
      </x:c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 ht="43" customHeight="1">
      <x:c r="A6" s="193" t="s">
        <x:v>205</x:v>
      </x:c>
      <x:c r="B6" s="193" t="n">
        <x:f>COUNTIFS(Backtest!$E$4:$E$203,A6,Backtest!$X$4:$X$203,"YES")</x:f>
        <x:v>0</x:v>
      </x:c>
      <x:c r="C6" s="193" t="n">
        <x:f>SUMIFS('Backtest'!$AD$4:$AD$203,'Backtest'!$E$4:$E$203,A6,'Backtest'!$X$4:$X$203,"YES")</x:f>
        <x:v>0</x:v>
      </x:c>
      <x:c r="D6" s="194" t="str">
        <x:f>IF(B6=0,"",C6/B6)</x:f>
      </x:c>
      <x:c r="E6" s="194" t="str">
        <x:f>IF(B6=0,"",SUMIFS('Backtest'!$AF$4:$AF$203,'Backtest'!$E$4:$E$203,A6,'Backtest'!$X$4:$X$203,"YES")/B6)</x:f>
      </x:c>
      <x:c r="F6" s="194" t="str">
        <x:f>IF(OR(NOT(ISNUMBER(D6)),NOT(ISNUMBER(E6))),"",D6-E6)</x:f>
      </x:c>
      <x:c r="G6" s="203" t="str">
        <x:f>IF(B6=0,"",SUMIFS('Backtest'!$AE$4:$AE$203,'Backtest'!$E$4:$E$203,A6,'Backtest'!$X$4:$X$203,"YES")/B6)</x:f>
      </x:c>
      <x:c r="H6" s="194" t="str">
        <x:f>IF(M6=0,"",SUMIFS('Backtest'!$AG$4:$AG$203,'Backtest'!$E$4:$E$203,A6,'Backtest'!$AH$4:$AH$203,"YES"))</x:f>
      </x:c>
      <x:c r="I6" s="194" t="str">
        <x:f>IF(M6=0,"",H6/M6)</x:f>
      </x:c>
      <x:c r="J6" s="193" t="str">
        <x:f>IF(B6&gt;=Parametri!B29,"PASS","INSUFFICIENT N")</x:f>
        <x:v>INSUFFICIENT N</x:v>
      </x:c>
      <x:c r="K6" s="193" t="str">
        <x:f>IF(NOT(ISNUMBER(F6)),"INPUT",IF(ABS(F6)&lt;=Parametri!B30,"PASS","RECALIBRATE"))</x:f>
        <x:v>INPUT</x:v>
      </x:c>
      <x:c r="L6" s="193" t="n">
        <x:f>COUNTIFS('Backtest'!$E$4:$E$203,A6,'Backtest'!$Z$4:$Z$203,"YES")</x:f>
        <x:v>0</x:v>
      </x:c>
      <x:c r="M6" s="193" t="n">
        <x:f>COUNTIFS('Backtest'!$E$4:$E$203,A6,'Backtest'!$AH$4:$AH$203,"YES")</x:f>
        <x:v>0</x:v>
      </x:c>
      <x:c r="N6" s="193" t="str">
        <x:f>IF(L6=0,"",SUMIFS('Backtest'!$P$4:$P$203,'Backtest'!$E$4:$E$203,A6,'Backtest'!$Z$4:$Z$203,"YES")/L6)</x:f>
      </x:c>
      <x:c r="O6" s="2"/>
      <x:c r="P6" s="2"/>
      <x:c r="Q6" s="2"/>
      <x:c r="R6" s="2"/>
      <x:c r="S6" s="2"/>
      <x:c r="T6" s="2"/>
      <x:c r="U6" s="2"/>
      <x:c r="V6" s="2"/>
      <x:c r="W6" s="2"/>
      <x:c r="X6" s="2"/>
    </x:row>
    <x:row r="7" ht="43" customHeight="1">
      <x:c r="A7" s="142"/>
      <x:c r="B7" s="142"/>
      <x:c r="C7" s="142"/>
      <x:c r="D7" s="142"/>
      <x:c r="E7" s="142"/>
      <x:c r="F7" s="142"/>
      <x:c r="G7" s="142"/>
      <x:c r="H7" s="142"/>
      <x:c r="I7" s="142"/>
      <x:c r="J7" s="142"/>
      <x:c r="K7" s="142"/>
      <x:c r="L7" s="142"/>
      <x:c r="M7" s="142"/>
      <x:c r="N7" s="142"/>
      <x:c r="O7" s="2"/>
      <x:c r="P7" s="2"/>
      <x:c r="Q7" s="2"/>
      <x:c r="R7" s="2"/>
      <x:c r="S7" s="2"/>
      <x:c r="T7" s="2"/>
      <x:c r="U7" s="2"/>
      <x:c r="V7" s="2"/>
      <x:c r="W7" s="2"/>
      <x:c r="X7" s="2"/>
    </x:row>
    <x:row r="8" ht="43" customHeight="1">
      <x:c r="A8" s="142"/>
      <x:c r="B8" s="142"/>
      <x:c r="C8" s="142"/>
      <x:c r="D8" s="142"/>
      <x:c r="E8" s="142"/>
      <x:c r="F8" s="142"/>
      <x:c r="G8" s="142"/>
      <x:c r="H8" s="142"/>
      <x:c r="I8" s="142"/>
      <x:c r="J8" s="142"/>
      <x:c r="K8" s="142"/>
      <x:c r="L8" s="142"/>
      <x:c r="M8" s="142"/>
      <x:c r="N8" s="142"/>
      <x:c r="O8" s="2"/>
      <x:c r="P8" s="2"/>
      <x:c r="Q8" s="2"/>
      <x:c r="R8" s="2"/>
      <x:c r="S8" s="2"/>
      <x:c r="T8" s="2"/>
      <x:c r="U8" s="2"/>
      <x:c r="V8" s="2"/>
      <x:c r="W8" s="2"/>
      <x:c r="X8" s="2"/>
    </x:row>
    <x:row r="9" ht="43" customHeight="1">
      <x:c r="A9" s="186" t="str">
        <x:v>Calibrarea include toate probabilitățile valide înregistrate prematch, inclusiv WATCH/NO BET.</x:v>
      </x:c>
      <x:c r="B9" s="186"/>
      <x:c r="C9" s="186"/>
      <x:c r="D9" s="186"/>
      <x:c r="E9" s="186"/>
      <x:c r="F9" s="186"/>
      <x:c r="G9" s="186"/>
      <x:c r="H9" s="186"/>
      <x:c r="I9" s="186"/>
      <x:c r="J9" s="186"/>
      <x:c r="K9" s="186"/>
      <x:c r="L9" s="186"/>
      <x:c r="M9" s="186"/>
      <x:c r="N9" s="186"/>
      <x:c r="O9" s="2"/>
      <x:c r="P9" s="2"/>
      <x:c r="Q9" s="2"/>
      <x:c r="R9" s="2"/>
      <x:c r="S9" s="2"/>
      <x:c r="T9" s="2"/>
      <x:c r="U9" s="2"/>
      <x:c r="V9" s="2"/>
      <x:c r="W9" s="2"/>
      <x:c r="X9" s="2"/>
    </x:row>
    <x:row r="10" ht="43" customHeight="1">
      <x:c r="A10" s="186" t="str">
        <x:v>Performanța recomandărilor include DEFENSIV, PRUDENT, MODERAT și RIDICAT. ROI cere cotă validă.</x:v>
      </x:c>
      <x:c r="B10" s="186"/>
      <x:c r="C10" s="186"/>
      <x:c r="D10" s="186"/>
      <x:c r="E10" s="186"/>
      <x:c r="F10" s="186"/>
      <x:c r="G10" s="186"/>
      <x:c r="H10" s="186"/>
      <x:c r="I10" s="186"/>
      <x:c r="J10" s="186"/>
      <x:c r="K10" s="186"/>
      <x:c r="L10" s="186"/>
      <x:c r="M10" s="186"/>
      <x:c r="N10" s="186"/>
      <x:c r="O10" s="2"/>
      <x:c r="P10" s="2"/>
      <x:c r="Q10" s="2"/>
      <x:c r="R10" s="2"/>
      <x:c r="S10" s="2"/>
      <x:c r="T10" s="2"/>
      <x:c r="U10" s="2"/>
      <x:c r="V10" s="2"/>
      <x:c r="W10" s="2"/>
      <x:c r="X10" s="2"/>
    </x:row>
    <x:row r="11" ht="43" customHeight="1">
      <x:c r="A11" s="186" t="str">
        <x:v>Minim 30 observații pe familie; abatere absolută peste 3 puncte procentuale: RECALIBRATE.</x:v>
      </x:c>
      <x:c r="B11" s="186"/>
      <x:c r="C11" s="186"/>
      <x:c r="D11" s="186"/>
      <x:c r="E11" s="186"/>
      <x:c r="F11" s="186"/>
      <x:c r="G11" s="186"/>
      <x:c r="H11" s="186"/>
      <x:c r="I11" s="186"/>
      <x:c r="J11" s="186"/>
      <x:c r="K11" s="186"/>
      <x:c r="L11" s="186"/>
      <x:c r="M11" s="186"/>
      <x:c r="N11" s="186"/>
      <x:c r="O11" s="2"/>
      <x:c r="P11" s="2"/>
      <x:c r="Q11" s="2"/>
      <x:c r="R11" s="2"/>
      <x:c r="S11" s="2"/>
      <x:c r="T11" s="2"/>
      <x:c r="U11" s="2"/>
      <x:c r="V11" s="2"/>
      <x:c r="W11" s="2"/>
      <x:c r="X11" s="2"/>
    </x:row>
    <x:row r="12" ht="43" customHeight="1">
      <x:c r="A12" s="142"/>
      <x:c r="B12" s="142"/>
      <x:c r="C12" s="142"/>
      <x:c r="D12" s="142"/>
      <x:c r="E12" s="142"/>
      <x:c r="F12" s="142"/>
      <x:c r="G12" s="142"/>
      <x:c r="H12" s="142"/>
      <x:c r="I12" s="142"/>
      <x:c r="J12" s="142"/>
      <x:c r="K12" s="142"/>
      <x:c r="L12" s="142"/>
      <x:c r="M12" s="142"/>
      <x:c r="N12" s="142"/>
      <x:c r="O12" s="2"/>
      <x:c r="P12" s="2"/>
      <x:c r="Q12" s="2"/>
      <x:c r="R12" s="2"/>
      <x:c r="S12" s="2"/>
      <x:c r="T12" s="2"/>
      <x:c r="U12" s="2"/>
      <x:c r="V12" s="2"/>
      <x:c r="W12" s="2"/>
      <x:c r="X12" s="2"/>
    </x:row>
    <x:row r="13" ht="43" customHeight="1">
      <x:c r="A13" s="142"/>
      <x:c r="B13" s="142"/>
      <x:c r="C13" s="142"/>
      <x:c r="D13" s="142"/>
      <x:c r="E13" s="142"/>
      <x:c r="F13" s="142"/>
      <x:c r="G13" s="142"/>
      <x:c r="H13" s="142"/>
      <x:c r="I13" s="142"/>
      <x:c r="J13" s="142"/>
      <x:c r="K13" s="142"/>
      <x:c r="L13" s="142"/>
      <x:c r="M13" s="142"/>
      <x:c r="N13" s="142"/>
      <x:c r="O13" s="2"/>
      <x:c r="P13" s="2"/>
      <x:c r="Q13" s="2"/>
      <x:c r="R13" s="2"/>
      <x:c r="S13" s="2"/>
      <x:c r="T13" s="2"/>
      <x:c r="U13" s="2"/>
      <x:c r="V13" s="2"/>
      <x:c r="W13" s="2"/>
      <x:c r="X13" s="2"/>
    </x:row>
    <x:row r="14" ht="43" customHeight="1">
      <x:c r="A14" s="142"/>
      <x:c r="B14" s="142"/>
      <x:c r="C14" s="142"/>
      <x:c r="D14" s="142"/>
      <x:c r="E14" s="142"/>
      <x:c r="F14" s="142"/>
      <x:c r="G14" s="142"/>
      <x:c r="H14" s="142"/>
      <x:c r="I14" s="142"/>
      <x:c r="J14" s="142"/>
      <x:c r="K14" s="142"/>
      <x:c r="L14" s="142"/>
      <x:c r="M14" s="142"/>
      <x:c r="N14" s="142"/>
      <x:c r="O14" s="2"/>
      <x:c r="P14" s="2"/>
      <x:c r="Q14" s="2"/>
      <x:c r="R14" s="2"/>
      <x:c r="S14" s="2"/>
      <x:c r="T14" s="2"/>
      <x:c r="U14" s="2"/>
      <x:c r="V14" s="2"/>
      <x:c r="W14" s="2"/>
      <x:c r="X14" s="2"/>
    </x:row>
    <x:row r="15" ht="43" customHeight="1">
      <x:c r="A15" s="142"/>
      <x:c r="B15" s="142"/>
      <x:c r="C15" s="142"/>
      <x:c r="D15" s="142"/>
      <x:c r="E15" s="142"/>
      <x:c r="F15" s="142"/>
      <x:c r="G15" s="142"/>
      <x:c r="H15" s="142"/>
      <x:c r="I15" s="142"/>
      <x:c r="J15" s="142"/>
      <x:c r="K15" s="142"/>
      <x:c r="L15" s="142"/>
      <x:c r="M15" s="142"/>
      <x:c r="N15" s="142"/>
      <x:c r="O15" s="2"/>
      <x:c r="P15" s="2"/>
      <x:c r="Q15" s="2"/>
      <x:c r="R15" s="2"/>
      <x:c r="S15" s="2"/>
      <x:c r="T15" s="2"/>
      <x:c r="U15" s="2"/>
      <x:c r="V15" s="2"/>
      <x:c r="W15" s="2"/>
      <x:c r="X15" s="2"/>
    </x:row>
    <x:row r="16" ht="43" customHeight="1">
      <x:c r="A16" s="142"/>
      <x:c r="B16" s="142"/>
      <x:c r="C16" s="142"/>
      <x:c r="D16" s="142"/>
      <x:c r="E16" s="142"/>
      <x:c r="F16" s="142"/>
      <x:c r="G16" s="142"/>
      <x:c r="H16" s="142"/>
      <x:c r="I16" s="142"/>
      <x:c r="J16" s="142"/>
      <x:c r="K16" s="142"/>
      <x:c r="L16" s="142"/>
      <x:c r="M16" s="142"/>
      <x:c r="N16" s="142"/>
      <x:c r="O16" s="2"/>
      <x:c r="P16" s="2"/>
      <x:c r="Q16" s="2"/>
      <x:c r="R16" s="2"/>
      <x:c r="S16" s="2"/>
      <x:c r="T16" s="2"/>
      <x:c r="U16" s="2"/>
      <x:c r="V16" s="2"/>
      <x:c r="W16" s="2"/>
      <x:c r="X16" s="2"/>
    </x:row>
    <x:row r="17" ht="43" customHeight="1">
      <x:c r="A17" s="142"/>
      <x:c r="B17" s="142"/>
      <x:c r="C17" s="142"/>
      <x:c r="D17" s="142"/>
      <x:c r="E17" s="142"/>
      <x:c r="F17" s="142"/>
      <x:c r="G17" s="142"/>
      <x:c r="H17" s="142"/>
      <x:c r="I17" s="142"/>
      <x:c r="J17" s="142"/>
      <x:c r="K17" s="142"/>
      <x:c r="L17" s="142"/>
      <x:c r="M17" s="142"/>
      <x:c r="N17" s="142"/>
      <x:c r="O17" s="2"/>
      <x:c r="P17" s="2"/>
      <x:c r="Q17" s="2"/>
      <x:c r="R17" s="2"/>
      <x:c r="S17" s="2"/>
      <x:c r="T17" s="2"/>
      <x:c r="U17" s="2"/>
      <x:c r="V17" s="2"/>
      <x:c r="W17" s="2"/>
      <x:c r="X17" s="2"/>
    </x:row>
    <x:row r="18" ht="43" customHeight="1">
      <x:c r="A18" s="142"/>
      <x:c r="B18" s="142"/>
      <x:c r="C18" s="142"/>
      <x:c r="D18" s="142"/>
      <x:c r="E18" s="142"/>
      <x:c r="F18" s="142"/>
      <x:c r="G18" s="142"/>
      <x:c r="H18" s="142"/>
      <x:c r="I18" s="142"/>
      <x:c r="J18" s="142"/>
      <x:c r="K18" s="142"/>
      <x:c r="L18" s="142"/>
      <x:c r="M18" s="142"/>
      <x:c r="N18" s="142"/>
      <x:c r="O18" s="2"/>
      <x:c r="P18" s="2"/>
      <x:c r="Q18" s="2"/>
      <x:c r="R18" s="2"/>
      <x:c r="S18" s="2"/>
      <x:c r="T18" s="2"/>
      <x:c r="U18" s="2"/>
      <x:c r="V18" s="2"/>
      <x:c r="W18" s="2"/>
      <x:c r="X18" s="2"/>
    </x:row>
    <x:row r="19" ht="43" customHeight="1">
      <x:c r="A19" s="142"/>
      <x:c r="B19" s="142"/>
      <x:c r="C19" s="142"/>
      <x:c r="D19" s="142"/>
      <x:c r="E19" s="142"/>
      <x:c r="F19" s="142"/>
      <x:c r="G19" s="142"/>
      <x:c r="H19" s="142"/>
      <x:c r="I19" s="142"/>
      <x:c r="J19" s="142"/>
      <x:c r="K19" s="142"/>
      <x:c r="L19" s="142"/>
      <x:c r="M19" s="142"/>
      <x:c r="N19" s="142"/>
      <x:c r="O19" s="2"/>
      <x:c r="P19" s="2"/>
      <x:c r="Q19" s="2"/>
      <x:c r="R19" s="2"/>
      <x:c r="S19" s="2"/>
      <x:c r="T19" s="2"/>
      <x:c r="U19" s="2"/>
      <x:c r="V19" s="2"/>
      <x:c r="W19" s="2"/>
      <x:c r="X19" s="2"/>
    </x:row>
    <x:row r="20" ht="43" customHeight="1">
      <x:c r="A20" s="142"/>
      <x:c r="B20" s="142"/>
      <x:c r="C20" s="142"/>
      <x:c r="D20" s="142"/>
      <x:c r="E20" s="142"/>
      <x:c r="F20" s="142"/>
      <x:c r="G20" s="142"/>
      <x:c r="H20" s="142"/>
      <x:c r="I20" s="142"/>
      <x:c r="J20" s="142"/>
      <x:c r="K20" s="142"/>
      <x:c r="L20" s="142"/>
      <x:c r="M20" s="142"/>
      <x:c r="N20" s="142"/>
      <x:c r="O20" s="2"/>
      <x:c r="P20" s="2"/>
      <x:c r="Q20" s="2"/>
      <x:c r="R20" s="2"/>
      <x:c r="S20" s="2"/>
      <x:c r="T20" s="2"/>
      <x:c r="U20" s="2"/>
      <x:c r="V20" s="2"/>
      <x:c r="W20" s="2"/>
      <x:c r="X20" s="2"/>
    </x:row>
    <x:row r="21" ht="15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</x:row>
    <x:row r="22" ht="15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</x:row>
    <x:row r="23" ht="15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</x:row>
    <x:row r="24" ht="15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</x:row>
    <x:row r="25" ht="1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</x:row>
    <x:row r="26" ht="15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</x:row>
    <x:row r="27" ht="15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</x:row>
    <x:row r="28" ht="15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</x:row>
    <x:row r="29" ht="15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</x:row>
    <x:row r="30" ht="15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</x:row>
    <x:row r="31" ht="15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</x:row>
    <x:row r="32" ht="15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</x:row>
    <x:row r="33" ht="15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</x:row>
    <x:row r="34" ht="15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</x:row>
    <x:row r="35" ht="1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</x:row>
    <x:row r="36" ht="15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</x:row>
    <x:row r="37" ht="15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</x:row>
    <x:row r="38" ht="15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</x:row>
    <x:row r="39" ht="15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</x:row>
    <x:row r="40" ht="15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</x:row>
    <x:row r="41" ht="15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</x:row>
    <x:row r="42" ht="15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</x:row>
    <x:row r="43" ht="15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</x:row>
    <x:row r="44" ht="15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</x:row>
    <x:row r="45" ht="1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</x:row>
    <x:row r="46" ht="15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</x:row>
    <x:row r="47" ht="15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</x:row>
    <x:row r="48" ht="15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</x:row>
    <x:row r="49" ht="15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</x:row>
    <x:row r="50" ht="15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</x:row>
    <x:row r="51" ht="15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</x:row>
    <x:row r="52" ht="15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</x:row>
    <x:row r="53" ht="15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</x:row>
    <x:row r="54" ht="15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</x:row>
    <x:row r="55" ht="1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</x:row>
    <x:row r="56" ht="15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</x:row>
    <x:row r="57" ht="15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</x:row>
    <x:row r="58" ht="15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</x:row>
    <x:row r="59" ht="15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</x:row>
    <x:row r="60" ht="15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</x:row>
    <x:row r="61" ht="15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</x:row>
    <x:row r="62" ht="15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</x:row>
    <x:row r="63" ht="15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</x:row>
    <x:row r="64" ht="15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</x:row>
    <x:row r="65" ht="1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</x:row>
    <x:row r="66" ht="15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</x:row>
    <x:row r="67" ht="15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</x:row>
    <x:row r="68" ht="15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</x:row>
    <x:row r="69" ht="15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</x:row>
    <x:row r="70" ht="15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</x:row>
    <x:row r="71" ht="15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</x:row>
    <x:row r="72" ht="15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</x:row>
    <x:row r="73" ht="15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</x:row>
    <x:row r="74" ht="15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</x:row>
    <x:row r="75" ht="1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</x:row>
    <x:row r="76" ht="15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</x:row>
    <x:row r="77" ht="15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</x:row>
    <x:row r="78" ht="15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</x:row>
    <x:row r="79" ht="15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</x:row>
    <x:row r="80" ht="15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</x:row>
    <x:row r="81" ht="15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</x:row>
    <x:row r="82" ht="15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</x:row>
    <x:row r="83" ht="15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</x:row>
    <x:row r="84" ht="15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</x:row>
    <x:row r="85" ht="1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</x:row>
    <x:row r="86" ht="15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</x:row>
    <x:row r="87" ht="15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</x:row>
    <x:row r="88" ht="15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</x:row>
    <x:row r="89" ht="15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</x:row>
    <x:row r="90" ht="15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</x:row>
    <x:row r="91" ht="15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</x:row>
    <x:row r="92" ht="15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</x:row>
    <x:row r="93" ht="15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</x:row>
    <x:row r="94" ht="15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</x:row>
    <x:row r="95" ht="1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</x:row>
    <x:row r="96" ht="15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</x:row>
    <x:row r="97" ht="15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</x:row>
    <x:row r="98" ht="15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</x:row>
    <x:row r="99" ht="15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</x:row>
    <x:row r="100" ht="15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</x:row>
    <x:row r="101" ht="15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</x:row>
    <x:row r="102" ht="15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</x:row>
    <x:row r="103" ht="15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</x:row>
    <x:row r="104" ht="15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</x:row>
    <x:row r="105" ht="1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</x:row>
    <x:row r="106" ht="15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</x:row>
    <x:row r="107" ht="15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</x:row>
    <x:row r="108" ht="15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</x:row>
    <x:row r="109" ht="15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</x:row>
    <x:row r="110" ht="15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</x:row>
    <x:row r="111" ht="15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</x:row>
    <x:row r="112" ht="15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</x:row>
    <x:row r="113" ht="15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</x:row>
    <x:row r="114" ht="15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</x:row>
    <x:row r="115" ht="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</x:row>
    <x:row r="116" ht="15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</x:row>
    <x:row r="117" ht="15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</x:row>
    <x:row r="118" ht="15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</x:row>
    <x:row r="119" ht="15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</x:row>
    <x:row r="120" ht="15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</x:row>
    <x:row r="121" ht="15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</x:row>
    <x:row r="122" ht="15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</x:row>
    <x:row r="123" ht="15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</x:row>
    <x:row r="124" ht="15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</x:row>
    <x:row r="125" ht="1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</x:row>
    <x:row r="126" ht="15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</x:row>
    <x:row r="127" ht="15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</x:row>
    <x:row r="128" ht="15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</x:row>
    <x:row r="129" ht="15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</x:row>
    <x:row r="130" ht="15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</x:row>
    <x:row r="131" ht="15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</x:row>
    <x:row r="132" ht="15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</x:row>
    <x:row r="133" ht="15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</x:row>
    <x:row r="134" ht="15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</x:row>
    <x:row r="135" ht="1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</x:row>
    <x:row r="136" ht="15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</x:row>
    <x:row r="137" ht="15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</x:row>
    <x:row r="138" ht="15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</x:row>
    <x:row r="139" ht="15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</x:row>
    <x:row r="140" ht="15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</x:row>
    <x:row r="141" ht="15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</x:row>
    <x:row r="142" ht="15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</x:row>
    <x:row r="143" ht="15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</x:row>
    <x:row r="144" ht="15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</x:row>
    <x:row r="145" ht="1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</x:row>
    <x:row r="146" ht="15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</x:row>
    <x:row r="147" ht="15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</x:row>
    <x:row r="148" ht="15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</x:row>
    <x:row r="149" ht="15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</x:row>
    <x:row r="150" ht="15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</x:row>
    <x:row r="151" ht="15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</x:row>
    <x:row r="152" ht="15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</x:row>
    <x:row r="153" ht="15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</x:row>
    <x:row r="154" ht="15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</x:row>
    <x:row r="155" ht="1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</x:row>
    <x:row r="156" ht="15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</x:row>
    <x:row r="157" ht="15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</x:row>
    <x:row r="158" ht="15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</x:row>
    <x:row r="159" ht="15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</x:row>
    <x:row r="160" ht="15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</x:row>
    <x:row r="161" ht="15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</x:row>
    <x:row r="162" ht="15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</x:row>
    <x:row r="163" ht="15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</x:row>
    <x:row r="164" ht="15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</x:row>
    <x:row r="165" ht="1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</x:row>
    <x:row r="166" ht="15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</x:row>
    <x:row r="167" ht="15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</x:row>
    <x:row r="168" ht="15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</x:row>
    <x:row r="169" ht="15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</x:row>
    <x:row r="170" ht="15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</x:row>
    <x:row r="171" ht="15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</x:row>
    <x:row r="172" ht="15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</x:row>
    <x:row r="173" ht="15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</x:row>
    <x:row r="174" ht="15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</x:row>
    <x:row r="175" ht="1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</x:row>
    <x:row r="176" ht="15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</x:row>
    <x:row r="177" ht="15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</x:row>
    <x:row r="178" ht="15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</x:row>
    <x:row r="179" ht="15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</x:row>
    <x:row r="180" ht="15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</x:row>
    <x:row r="181" ht="15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</x:row>
    <x:row r="182" ht="15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</x:row>
    <x:row r="183" ht="15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</x:row>
    <x:row r="184" ht="15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</x:row>
    <x:row r="185" ht="1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</x:row>
    <x:row r="186" ht="15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</x:row>
    <x:row r="187" ht="15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</x:row>
    <x:row r="188" ht="15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</x:row>
    <x:row r="189" ht="15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</x:row>
    <x:row r="190" ht="15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</x:row>
    <x:row r="191" ht="15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</x:row>
    <x:row r="192" ht="15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</x:row>
    <x:row r="193" ht="15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</x:row>
    <x:row r="194" ht="15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</x:row>
    <x:row r="195" ht="1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</x:row>
    <x:row r="196" ht="15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</x:row>
    <x:row r="197" ht="15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</x:row>
    <x:row r="198" ht="15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</x:row>
    <x:row r="199" ht="15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</x:row>
    <x:row r="200" ht="15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</x:row>
    <x:row r="201" ht="15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</x:row>
    <x:row r="202" ht="15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</x:row>
    <x:row r="203" ht="15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</x:row>
    <x:row r="204" ht="15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</x:row>
    <x:row r="205" ht="1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</x:row>
    <x:row r="206" ht="15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</x:row>
    <x:row r="207" ht="15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</x:row>
    <x:row r="208" ht="15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</x:row>
    <x:row r="209" ht="15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</x:row>
    <x:row r="210" ht="15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</x:row>
    <x:row r="211" ht="15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</x:row>
    <x:row r="212" ht="15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</x:row>
    <x:row r="213" ht="15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</x:row>
    <x:row r="214" ht="15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</x:row>
    <x:row r="215" ht="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</x:row>
    <x:row r="216" ht="15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</x:row>
    <x:row r="217" ht="15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</x:row>
    <x:row r="218" ht="15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</x:row>
    <x:row r="219" ht="15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</x:row>
    <x:row r="220" ht="15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</x:row>
  </x:sheetData>
  <x:mergeCells>
    <x:mergeCell ref="A1:K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4" hidden="0" customWidth="1"/>
    <x:col min="4" max="4" width="24" hidden="0" customWidth="1"/>
    <x:col min="5" max="5" width="24" hidden="0" customWidth="1"/>
    <x:col min="6" max="6" width="58" hidden="0" customWidth="1"/>
  </x:cols>
  <x:sheetData>
    <x:row r="1">
      <x:c r="A1" s="181" t="str">
        <x:v>FRAGILITATE FAVORIT – CONTROL 1X</x:v>
      </x:c>
      <x:c r="B1" s="181"/>
      <x:c r="C1" s="181"/>
      <x:c r="D1" s="181"/>
      <x:c r="E1" s="181"/>
      <x:c r="F1" s="181"/>
      <x:c r="G1" s="182"/>
      <x:c r="H1" s="182"/>
      <x:c r="I1" s="182"/>
      <x:c r="J1" s="182"/>
      <x:c r="K1" s="182"/>
      <x:c r="L1" s="182"/>
      <x:c r="M1" s="182"/>
      <x:c r="N1" s="182"/>
    </x:row>
    <x:row r="2">
      <x:c r="A2" s="183" t="str">
        <x:v>Se aplică favoritului gazdă foarte scurt. MATERIAL cere minimum două semnale DA și verificări închise.</x:v>
      </x:c>
      <x:c r="B2" s="183"/>
      <x:c r="C2" s="183"/>
      <x:c r="D2" s="183"/>
      <x:c r="E2" s="183"/>
      <x:c r="F2" s="183"/>
      <x:c r="G2" s="182"/>
      <x:c r="H2" s="182"/>
      <x:c r="I2" s="182"/>
      <x:c r="J2" s="182"/>
      <x:c r="K2" s="182"/>
      <x:c r="L2" s="182"/>
      <x:c r="M2" s="182"/>
      <x:c r="N2" s="182"/>
    </x:row>
    <x:row r="3">
      <x:c r="A3" s="183"/>
      <x:c r="B3" s="183"/>
      <x:c r="C3" s="183"/>
      <x:c r="D3" s="183"/>
      <x:c r="E3" s="183"/>
      <x:c r="F3" s="183"/>
      <x:c r="G3" s="183"/>
      <x:c r="H3" s="183"/>
      <x:c r="I3" s="183"/>
      <x:c r="J3" s="183"/>
      <x:c r="K3" s="183"/>
      <x:c r="L3" s="183"/>
      <x:c r="M3" s="183"/>
      <x:c r="N3" s="183"/>
    </x:row>
    <x:row r="4" ht="43" customHeight="1">
      <x:c r="A4" s="184" t="str">
        <x:v>Trigger</x:v>
      </x:c>
      <x:c r="B4" s="184" t="str">
        <x:v>Status</x:v>
      </x:c>
      <x:c r="C4" s="184" t="str">
        <x:v>Sursă</x:v>
      </x:c>
      <x:c r="D4" s="184" t="str">
        <x:v>Rol</x:v>
      </x:c>
      <x:c r="E4" s="184" t="str">
        <x:v>Acțiune</x:v>
      </x:c>
      <x:c r="F4" s="184" t="str">
        <x:v>Notă</x:v>
      </x:c>
      <x:c r="G4" s="183"/>
      <x:c r="H4" s="183"/>
      <x:c r="I4" s="183"/>
      <x:c r="J4" s="183"/>
      <x:c r="K4" s="183"/>
      <x:c r="L4" s="183"/>
      <x:c r="M4" s="183"/>
      <x:c r="N4" s="183"/>
    </x:row>
    <x:row r="5" ht="43" customHeight="1">
      <x:c r="A5" s="204" t="str">
        <x:v>Home favorite foarte scurt</x:v>
      </x:c>
      <x:c r="B5" s="204" t="str">
        <x:f>Input_Meci!B43</x:f>
        <x:v>PENDING</x:v>
      </x:c>
      <x:c r="C5" s="204" t="str">
        <x:v>Input_Meci</x:v>
      </x:c>
      <x:c r="D5" s="204" t="str">
        <x:v>activator audit</x:v>
      </x:c>
      <x:c r="E5" s="204" t="str">
        <x:v>review</x:v>
      </x:c>
      <x:c r="F5" s="204" t="str">
        <x:v>manual; fără prag numeric nou</x:v>
      </x:c>
      <x:c r="G5" s="183"/>
      <x:c r="H5" s="183"/>
      <x:c r="I5" s="183"/>
      <x:c r="J5" s="183"/>
      <x:c r="K5" s="183"/>
      <x:c r="L5" s="183"/>
      <x:c r="M5" s="183"/>
      <x:c r="N5" s="183"/>
    </x:row>
    <x:row r="6" ht="43" customHeight="1">
      <x:c r="A6" s="204" t="str">
        <x:v>Early-season sample</x:v>
      </x:c>
      <x:c r="B6" s="204" t="str">
        <x:f>IF(Uncertainty_v2!B5="DA","DA",IF(Uncertainty_v2!B5="NU","NU","PENDING"))</x:f>
        <x:v>PENDING</x:v>
      </x:c>
      <x:c r="C6" s="204" t="str">
        <x:v>Uncertainty_v2</x:v>
      </x:c>
      <x:c r="D6" s="204" t="str">
        <x:v>fragility</x:v>
      </x:c>
      <x:c r="E6" s="204" t="str">
        <x:v>review</x:v>
      </x:c>
      <x:c r="F6" s="204" t="str">
        <x:v>small sample / prior</x:v>
      </x:c>
      <x:c r="G6" s="183"/>
      <x:c r="H6" s="183"/>
      <x:c r="I6" s="183"/>
      <x:c r="J6" s="183"/>
      <x:c r="K6" s="183"/>
      <x:c r="L6" s="183"/>
      <x:c r="M6" s="183"/>
      <x:c r="N6" s="183"/>
    </x:row>
    <x:row r="7" ht="43" customHeight="1">
      <x:c r="A7" s="204" t="str">
        <x:v>Finishing discrepancies</x:v>
      </x:c>
      <x:c r="B7" s="204" t="str">
        <x:f>Input_Meci!B44</x:f>
        <x:v>PENDING</x:v>
      </x:c>
      <x:c r="C7" s="204" t="str">
        <x:v>Input_Meci</x:v>
      </x:c>
      <x:c r="D7" s="204" t="str">
        <x:v>fragility</x:v>
      </x:c>
      <x:c r="E7" s="204" t="str">
        <x:v>review</x:v>
      </x:c>
      <x:c r="F7" s="204" t="str">
        <x:v>model vs finishing</x:v>
      </x:c>
      <x:c r="G7" s="183"/>
      <x:c r="H7" s="183"/>
      <x:c r="I7" s="183"/>
      <x:c r="J7" s="183"/>
      <x:c r="K7" s="183"/>
      <x:c r="L7" s="183"/>
      <x:c r="M7" s="183"/>
      <x:c r="N7" s="183"/>
    </x:row>
    <x:row r="8" ht="43" customHeight="1">
      <x:c r="A8" s="204" t="str">
        <x:v>Opponent transition / away scoring</x:v>
      </x:c>
      <x:c r="B8" s="204" t="str">
        <x:f>Input_Meci!B45</x:f>
        <x:v>PENDING</x:v>
      </x:c>
      <x:c r="C8" s="204" t="str">
        <x:v>Input_Meci</x:v>
      </x:c>
      <x:c r="D8" s="204" t="str">
        <x:v>fragility</x:v>
      </x:c>
      <x:c r="E8" s="204" t="str">
        <x:v>review</x:v>
      </x:c>
      <x:c r="F8" s="204" t="str">
        <x:v>threat independent</x:v>
      </x:c>
      <x:c r="G8" s="183"/>
      <x:c r="H8" s="183"/>
      <x:c r="I8" s="183"/>
      <x:c r="J8" s="183"/>
      <x:c r="K8" s="183"/>
      <x:c r="L8" s="183"/>
      <x:c r="M8" s="183"/>
      <x:c r="N8" s="183"/>
    </x:row>
    <x:row r="9" ht="43" customHeight="1">
      <x:c r="A9" s="204" t="str">
        <x:v>P1X market-dominant</x:v>
      </x:c>
      <x:c r="B9" s="204" t="str">
        <x:f>Input_Meci!B46</x:f>
        <x:v>PENDING</x:v>
      </x:c>
      <x:c r="C9" s="204" t="str">
        <x:v>Input_Meci</x:v>
      </x:c>
      <x:c r="D9" s="204" t="str">
        <x:v>fragility</x:v>
      </x:c>
      <x:c r="E9" s="204" t="str">
        <x:v>review</x:v>
      </x:c>
      <x:c r="F9" s="204" t="str">
        <x:v>piața conduce aproape singură P1X</x:v>
      </x:c>
      <x:c r="G9" s="183"/>
      <x:c r="H9" s="183"/>
      <x:c r="I9" s="183"/>
      <x:c r="J9" s="183"/>
      <x:c r="K9" s="183"/>
      <x:c r="L9" s="183"/>
      <x:c r="M9" s="183"/>
      <x:c r="N9" s="183"/>
    </x:row>
    <x:row r="10" ht="43" customHeight="1">
      <x:c r="A10" s="204"/>
      <x:c r="B10" s="204"/>
      <x:c r="C10" s="204"/>
      <x:c r="D10" s="204"/>
      <x:c r="E10" s="204"/>
      <x:c r="F10" s="204"/>
      <x:c r="G10" s="183"/>
      <x:c r="H10" s="183"/>
      <x:c r="I10" s="183"/>
      <x:c r="J10" s="183"/>
      <x:c r="K10" s="183"/>
      <x:c r="L10" s="183"/>
      <x:c r="M10" s="183"/>
      <x:c r="N10" s="183"/>
    </x:row>
    <x:row r="11" ht="43" customHeight="1">
      <x:c r="A11" s="204" t="str">
        <x:v>Secondary flags DA</x:v>
      </x:c>
      <x:c r="B11" s="204" t="n">
        <x:f>COUNTIF(B6:B9,"DA")</x:f>
        <x:v>0</x:v>
      </x:c>
      <x:c r="C11" s="204"/>
      <x:c r="D11" s="204" t="str">
        <x:v>audit count</x:v>
      </x:c>
      <x:c r="E11" s="204" t="str">
        <x:v>diagnostic</x:v>
      </x:c>
      <x:c r="F11" s="204" t="str">
        <x:v>nu este hard gate</x:v>
      </x:c>
      <x:c r="G11" s="183"/>
      <x:c r="H11" s="183"/>
      <x:c r="I11" s="183"/>
      <x:c r="J11" s="183"/>
      <x:c r="K11" s="183"/>
      <x:c r="L11" s="183"/>
      <x:c r="M11" s="183"/>
      <x:c r="N11" s="183"/>
    </x:row>
    <x:row r="12" ht="43" customHeight="1">
      <x:c r="A12" s="204" t="str">
        <x:v>Favorite Fragility status</x:v>
      </x:c>
      <x:c r="B12" s="204" t="str">
        <x:f>IF(B5="NU","N/A",IF(B5&lt;&gt;"DA","PENDING",IF(COUNTIF(B6:B9,"DA")+COUNTIF(B6:B9,"NU")&lt;&gt;4,"PENDING",IF(B11&gt;='Parametri'!B48,"MATERIAL",IF(B11=1,"REVIEW","PASS")))))</x:f>
        <x:v>PENDING</x:v>
      </x:c>
      <x:c r="C12" s="204"/>
      <x:c r="D12" s="204" t="str">
        <x:v>risk audit</x:v>
      </x:c>
      <x:c r="E12" s="204" t="str">
        <x:v>+1 Risk Level dacă MATERIAL</x:v>
      </x:c>
      <x:c r="F12" s="204" t="str">
        <x:v>REVIEW înseamnă un semnal DA verificat; PENDING înseamnă audit incomplet.</x:v>
      </x:c>
      <x:c r="G12" s="183"/>
      <x:c r="H12" s="183"/>
      <x:c r="I12" s="183"/>
      <x:c r="J12" s="183"/>
      <x:c r="K12" s="183"/>
      <x:c r="L12" s="183"/>
      <x:c r="M12" s="183"/>
      <x:c r="N12" s="183"/>
    </x:row>
    <x:row r="13" ht="43" customHeight="1">
      <x:c r="A13" s="204" t="str">
        <x:v>Risk surcharge (+level)</x:v>
      </x:c>
      <x:c r="B13" s="204" t="n">
        <x:f>IF(B12="MATERIAL",'Parametri'!B49,0)</x:f>
        <x:v>0</x:v>
      </x:c>
      <x:c r="C13" s="204"/>
      <x:c r="D13" s="204" t="str">
        <x:v>Risk Classification</x:v>
      </x:c>
      <x:c r="E13" s="204" t="str">
        <x:v>0 / +1</x:v>
      </x:c>
      <x:c r="F13" s="204" t="str">
        <x:v>nu poate suprascrie P0 FAIL</x:v>
      </x:c>
      <x:c r="G13" s="183"/>
      <x:c r="H13" s="183"/>
      <x:c r="I13" s="183"/>
      <x:c r="J13" s="183"/>
      <x:c r="K13" s="183"/>
      <x:c r="L13" s="183"/>
      <x:c r="M13" s="183"/>
      <x:c r="N13" s="183"/>
    </x:row>
    <x:row r="14" ht="43" customHeight="1">
      <x:c r="A14" s="204" t="str">
        <x:v>Verificare închisă</x:v>
      </x:c>
      <x:c r="B14" s="204" t="str">
        <x:f>IF(B5="NU","N/A",IF(AND(B12&lt;&gt;"PENDING",'Surse_Date'!L12="READY"),"CLOSED","OPEN"))</x:f>
        <x:v>OPEN</x:v>
      </x:c>
      <x:c r="C14" s="204"/>
      <x:c r="D14" s="204"/>
      <x:c r="E14" s="204"/>
      <x:c r="F14" s="204" t="str">
        <x:v>OPEN împiedică eliberarea 1X; nu modifică automat X2 sau 12.</x:v>
      </x:c>
      <x:c r="G14" s="183"/>
      <x:c r="H14" s="183"/>
      <x:c r="I14" s="183"/>
      <x:c r="J14" s="183"/>
      <x:c r="K14" s="183"/>
      <x:c r="L14" s="183"/>
      <x:c r="M14" s="183"/>
      <x:c r="N14" s="183"/>
    </x:row>
    <x:row r="15" ht="43" customHeight="1">
      <x:c r="A15" s="183"/>
      <x:c r="B15" s="183"/>
      <x:c r="C15" s="183"/>
      <x:c r="D15" s="183"/>
      <x:c r="E15" s="183"/>
      <x:c r="F15" s="183"/>
      <x:c r="G15" s="183"/>
      <x:c r="H15" s="183"/>
      <x:c r="I15" s="183"/>
      <x:c r="J15" s="183"/>
      <x:c r="K15" s="183"/>
      <x:c r="L15" s="183"/>
      <x:c r="M15" s="183"/>
      <x:c r="N15" s="183"/>
    </x:row>
    <x:row r="16" ht="43" customHeight="1">
      <x:c r="A16" s="183"/>
      <x:c r="B16" s="183"/>
      <x:c r="C16" s="183"/>
      <x:c r="D16" s="183"/>
      <x:c r="E16" s="183"/>
      <x:c r="F16" s="183"/>
      <x:c r="G16" s="183"/>
      <x:c r="H16" s="183"/>
      <x:c r="I16" s="183"/>
      <x:c r="J16" s="183"/>
      <x:c r="K16" s="183"/>
      <x:c r="L16" s="183"/>
      <x:c r="M16" s="183"/>
      <x:c r="N16" s="183"/>
    </x:row>
    <x:row r="17" ht="43" customHeight="1">
      <x:c r="A17" s="183"/>
      <x:c r="B17" s="183"/>
      <x:c r="C17" s="183"/>
      <x:c r="D17" s="183"/>
      <x:c r="E17" s="183"/>
      <x:c r="F17" s="183"/>
      <x:c r="G17" s="183"/>
      <x:c r="H17" s="183"/>
      <x:c r="I17" s="183"/>
      <x:c r="J17" s="183"/>
      <x:c r="K17" s="183"/>
      <x:c r="L17" s="183"/>
      <x:c r="M17" s="183"/>
      <x:c r="N17" s="183"/>
    </x:row>
    <x:row r="18" ht="43" customHeight="1">
      <x:c r="A18" s="183"/>
      <x:c r="B18" s="183"/>
      <x:c r="C18" s="183"/>
      <x:c r="D18" s="183"/>
      <x:c r="E18" s="183"/>
      <x:c r="F18" s="183"/>
      <x:c r="G18" s="183"/>
      <x:c r="H18" s="183"/>
      <x:c r="I18" s="183"/>
      <x:c r="J18" s="183"/>
      <x:c r="K18" s="183"/>
      <x:c r="L18" s="183"/>
      <x:c r="M18" s="183"/>
      <x:c r="N18" s="183"/>
    </x:row>
    <x:row r="19" ht="43" customHeight="1">
      <x:c r="A19" s="183"/>
      <x:c r="B19" s="183"/>
      <x:c r="C19" s="183"/>
      <x:c r="D19" s="183"/>
      <x:c r="E19" s="183"/>
      <x:c r="F19" s="183"/>
      <x:c r="G19" s="183"/>
      <x:c r="H19" s="183"/>
      <x:c r="I19" s="183"/>
      <x:c r="J19" s="183"/>
      <x:c r="K19" s="183"/>
      <x:c r="L19" s="183"/>
      <x:c r="M19" s="183"/>
      <x:c r="N19" s="183"/>
    </x:row>
    <x:row r="20" ht="43" customHeight="1">
      <x:c r="A20" s="183"/>
      <x:c r="B20" s="183"/>
      <x:c r="C20" s="183"/>
      <x:c r="D20" s="183"/>
      <x:c r="E20" s="183"/>
      <x:c r="F20" s="183"/>
      <x:c r="G20" s="183"/>
      <x:c r="H20" s="183"/>
      <x:c r="I20" s="183"/>
      <x:c r="J20" s="183"/>
      <x:c r="K20" s="183"/>
      <x:c r="L20" s="183"/>
      <x:c r="M20" s="183"/>
      <x:c r="N20" s="183"/>
    </x:row>
  </x:sheetData>
  <x:mergeCells>
    <x:mergeCell ref="A1:F1"/>
    <x:mergeCell ref="A2:F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88" hidden="0" customWidth="1"/>
    <x:col min="3" max="3" width="68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24" customHeight="1">
      <x:c r="A1" s="137" t="str">
        <x:v>ISTORIC CORECȚII – OPTIMIZAT_V2</x:v>
      </x:c>
      <x:c r="B1" s="137"/>
      <x:c r="C1" s="137"/>
      <x:c r="D1" s="137"/>
      <x:c r="E1" s="137"/>
      <x:c r="F1" s="137"/>
      <x:c r="G1" s="137"/>
      <x:c r="H1" s="137"/>
    </x:row>
    <x:row r="2">
      <x:c r="A2" s="138"/>
      <x:c r="B2" s="138"/>
      <x:c r="C2" s="138"/>
      <x:c r="D2" s="138"/>
      <x:c r="E2" s="138"/>
      <x:c r="F2" s="138"/>
      <x:c r="G2" s="138"/>
      <x:c r="H2" s="138"/>
    </x:row>
    <x:row r="3" ht="34" customHeight="1">
      <x:c r="A3" s="188" t="str">
        <x:v>Problemă</x:v>
      </x:c>
      <x:c r="B3" s="188" t="str">
        <x:v>Corecție implementată</x:v>
      </x:c>
      <x:c r="C3" s="188" t="str">
        <x:v>Efect</x:v>
      </x:c>
    </x:row>
    <x:row r="4" ht="43" customHeight="1">
      <x:c r="A4" s="206" t="str">
        <x:v>Verdict nivel 5</x:v>
      </x:c>
      <x:c r="B4" s="206" t="str">
        <x:v>Ramură explicită WATCH / NO BET; risc și probabilitate aplicate împreună.</x:v>
      </x:c>
      <x:c r="C4" s="206" t="str">
        <x:v>Elimină PRUDENT/MODERAT la nivel 5.</x:v>
      </x:c>
      <x:c r="D4" s="140"/>
      <x:c r="E4" s="140"/>
      <x:c r="F4" s="140"/>
      <x:c r="G4" s="140"/>
      <x:c r="H4" s="140"/>
    </x:row>
    <x:row r="5" ht="43" customHeight="1">
      <x:c r="A5" s="202" t="str">
        <x:v>Haircut 12</x:v>
      </x:c>
      <x:c r="B5" s="202" t="str">
        <x:v>Draw Gate citește Uncertainty_v2!B10.</x:v>
      </x:c>
      <x:c r="C5" s="202" t="str">
        <x:v>Aceeași reducere în probabilitate și control.</x:v>
      </x:c>
      <x:c r="D5" s="47"/>
      <x:c r="E5" s="47"/>
      <x:c r="F5" s="47"/>
    </x:row>
    <x:row r="6" ht="43" customHeight="1">
      <x:c r="A6" s="202" t="str">
        <x:v>Integritate</x:v>
      </x:c>
      <x:c r="B6" s="202" t="str">
        <x:v>Interval, sumă, fixture, cronologie și ponderi validate.</x:v>
      </x:c>
      <x:c r="C6" s="202" t="str">
        <x:v>120% nu poate fi ascuns prin normalizare.</x:v>
      </x:c>
      <x:c r="D6" s="47"/>
      <x:c r="E6" s="47"/>
      <x:c r="F6" s="47"/>
    </x:row>
    <x:row r="7" ht="43" customHeight="1">
      <x:c r="A7" s="202" t="str">
        <x:v>Date și surse</x:v>
      </x:c>
      <x:c r="B7" s="202" t="str">
        <x:v>Surse_Date păstrează status, source, cutoff, N și trasabilitate.</x:v>
      </x:c>
      <x:c r="C7" s="202" t="str">
        <x:v>PENDING separat de risc; input critic lipsă conduce la NO BET.</x:v>
      </x:c>
      <x:c r="D7" s="47"/>
      <x:c r="E7" s="47"/>
      <x:c r="F7" s="47"/>
    </x:row>
    <x:row r="8" ht="43" customHeight="1">
      <x:c r="A8" s="202" t="str">
        <x:v>Fragilitate</x:v>
      </x:c>
      <x:c r="B8" s="202" t="str">
        <x:v>PENDING nu este PASS; închiderea este verificată separat pentru 1X.</x:v>
      </x:c>
      <x:c r="C8" s="202" t="str">
        <x:v>Audit incomplet nu eliberează selecția.</x:v>
      </x:c>
      <x:c r="D8" s="47"/>
      <x:c r="E8" s="47"/>
      <x:c r="F8" s="47"/>
    </x:row>
    <x:row r="9" ht="43" customHeight="1">
      <x:c r="A9" s="202" t="str">
        <x:v>Backtest X2</x:v>
      </x:c>
      <x:c r="B9" s="202" t="str">
        <x:v>Toate formulele folosesc literalul X2.</x:v>
      </x:c>
      <x:c r="C9" s="202" t="str">
        <x:v>Hit corect pe toate cele 200 de rânduri.</x:v>
      </x:c>
      <x:c r="D9" s="47"/>
      <x:c r="E9" s="47"/>
      <x:c r="F9" s="47"/>
    </x:row>
    <x:row r="10" ht="43" customHeight="1">
      <x:c r="A10" s="202" t="str">
        <x:v>Calibrare și recomandări</x:v>
      </x:c>
      <x:c r="B10" s="202" t="str">
        <x:v>Subseturi separate; DEFENSIV inclus; timestamp prematch obligatoriu.</x:v>
      </x:c>
      <x:c r="C10" s="202" t="str">
        <x:v>Calibrare și ROI cu denominatori corecți.</x:v>
      </x:c>
      <x:c r="D10" s="47"/>
      <x:c r="E10" s="47"/>
      <x:c r="F10" s="47"/>
    </x:row>
    <x:row r="11" ht="43" customHeight="1">
      <x:c r="A11" s="202" t="str">
        <x:v>Cote lipsă</x:v>
      </x:c>
      <x:c r="B11" s="202" t="str">
        <x:v>Profit/ROI necalculate fără cotă validă; Hit/Brier independente.</x:v>
      </x:c>
      <x:c r="C11" s="202" t="str">
        <x:v>Lipsa prețului nu devine pierdere.</x:v>
      </x:c>
      <x:c r="D11" s="47"/>
      <x:c r="E11" s="47"/>
      <x:c r="F11" s="47"/>
    </x:row>
    <x:row r="12" ht="43" customHeight="1">
      <x:c r="A12" s="202" t="str">
        <x:v>Controale afișate</x:v>
      </x:c>
      <x:c r="B12" s="202" t="str">
        <x:v>Loss_Risk și Draw_Risk reflectă controalele active.</x:v>
      </x:c>
      <x:c r="C12" s="202" t="str">
        <x:v>Fără selectoare paralele contradictorii.</x:v>
      </x:c>
      <x:c r="D12" s="47"/>
      <x:c r="E12" s="47"/>
      <x:c r="F12" s="47"/>
    </x:row>
    <x:row r="13" ht="43" customHeight="1">
      <x:c r="A13" s="202" t="str">
        <x:v>Documentație</x:v>
      </x:c>
      <x:c r="B13" s="202" t="str">
        <x:v>Ghid actual înlocuiește cerința istorică de value pozitiv și pragurile vechi.</x:v>
      </x:c>
      <x:c r="C13" s="202" t="str">
        <x:v>Aliniere cu Cadru v5 și Matrice v4.</x:v>
      </x:c>
    </x:row>
    <x:row r="14" ht="43" customHeight="1">
      <x:c r="A14" s="202" t="str">
        <x:v>Modele externe</x:v>
      </x:c>
      <x:c r="B14" s="202" t="str">
        <x:v>Păstrate 50/25/25; surse și integrarea contextului documentate.</x:v>
      </x:c>
      <x:c r="C14" s="202" t="str">
        <x:v>Nu se introduce un motor sportiv necalibrat.</x:v>
      </x:c>
    </x:row>
    <x:row r="15" ht="43" customHeight="1">
      <x:c r="A15" s="206" t="str">
        <x:v>Praguri istorice</x:v>
      </x:c>
      <x:c r="B15" s="206" t="str">
        <x:v>Loss 18/24 și Draw 22/28 retrase din hard gates active.</x:v>
      </x:c>
      <x:c r="C15" s="206" t="str">
        <x:v>Nu se reactivează reguli vechi automat.</x:v>
      </x:c>
      <x:c r="D15" s="140"/>
      <x:c r="E15" s="140"/>
      <x:c r="F15" s="140"/>
      <x:c r="G15" s="140"/>
      <x:c r="H15" s="140"/>
    </x:row>
    <x:row r="16" ht="43" customHeight="1">
      <x:c r="A16" s="202" t="str">
        <x:v>Preț / EV</x:v>
      </x:c>
      <x:c r="B16" s="202" t="str">
        <x:v>Cotele exacte și EV sunt în afara lanțului verdictului.</x:v>
      </x:c>
      <x:c r="C16" s="202" t="str">
        <x:v>Probabilitățile pieței 1X2 rămân obligatorii.</x:v>
      </x:c>
      <x:c r="D16" s="47"/>
      <x:c r="E16" s="47"/>
      <x:c r="F16" s="47"/>
    </x:row>
    <x:row r="17">
      <x:c r="A17" s="47"/>
      <x:c r="B17" s="47"/>
      <x:c r="C17" s="47"/>
      <x:c r="D17" s="47"/>
      <x:c r="E17" s="47"/>
      <x:c r="F17" s="47"/>
    </x:row>
    <x:row r="18">
      <x:c r="A18" s="47"/>
      <x:c r="B18" s="47"/>
      <x:c r="C18" s="47"/>
      <x:c r="D18" s="47"/>
      <x:c r="E18" s="47"/>
      <x:c r="F18" s="47"/>
    </x:row>
    <x:row r="19">
      <x:c r="A19" s="47"/>
      <x:c r="B19" s="47"/>
      <x:c r="C19" s="47"/>
      <x:c r="D19" s="47"/>
      <x:c r="E19" s="47"/>
      <x:c r="F19" s="47"/>
    </x:row>
    <x:row r="20">
      <x:c r="A20" s="47"/>
      <x:c r="B20" s="47"/>
      <x:c r="C20" s="47"/>
      <x:c r="D20" s="47"/>
      <x:c r="E20" s="47"/>
      <x:c r="F20" s="47"/>
    </x:row>
    <x:row r="21">
      <x:c r="A21" s="47"/>
      <x:c r="B21" s="47"/>
      <x:c r="C21" s="47"/>
      <x:c r="D21" s="47"/>
      <x:c r="E21" s="47"/>
      <x:c r="F21" s="47"/>
    </x:row>
    <x:row r="22">
      <x:c r="A22" s="47"/>
      <x:c r="B22" s="47"/>
      <x:c r="C22" s="47"/>
      <x:c r="D22" s="47"/>
      <x:c r="E22" s="47"/>
      <x:c r="F22" s="47"/>
    </x:row>
    <x:row r="23">
      <x:c r="A23" s="47"/>
      <x:c r="B23" s="47"/>
      <x:c r="C23" s="47"/>
      <x:c r="D23" s="47"/>
      <x:c r="E23" s="47"/>
      <x:c r="F23" s="47"/>
    </x:row>
    <x:row r="24">
      <x:c r="A24" s="47"/>
      <x:c r="B24" s="47"/>
      <x:c r="C24" s="47"/>
      <x:c r="D24" s="47"/>
      <x:c r="E24" s="47"/>
      <x:c r="F24" s="47"/>
    </x:row>
    <x:row r="25">
      <x:c r="A25" s="47"/>
      <x:c r="B25" s="47"/>
      <x:c r="C25" s="47"/>
      <x:c r="D25" s="47"/>
      <x:c r="E25" s="47"/>
      <x:c r="F25" s="47"/>
    </x:row>
    <x:row r="28">
      <x:c r="A28" s="140"/>
      <x:c r="B28" s="140"/>
      <x:c r="C28" s="140"/>
      <x:c r="D28" s="140"/>
      <x:c r="E28" s="140"/>
      <x:c r="F28" s="140"/>
      <x:c r="G28" s="140"/>
      <x:c r="H28" s="140"/>
    </x:row>
    <x:row r="29">
      <x:c r="A29" s="47"/>
      <x:c r="B29" s="47"/>
      <x:c r="C29" s="47"/>
      <x:c r="D29" s="47"/>
      <x:c r="E29" s="47"/>
      <x:c r="F29" s="47"/>
    </x:row>
    <x:row r="30">
      <x:c r="A30" s="47"/>
      <x:c r="B30" s="47"/>
      <x:c r="C30" s="47"/>
      <x:c r="D30" s="47"/>
      <x:c r="E30" s="47"/>
      <x:c r="F30" s="47"/>
    </x:row>
    <x:row r="31">
      <x:c r="A31" s="47"/>
      <x:c r="B31" s="47"/>
      <x:c r="C31" s="47"/>
      <x:c r="D31" s="47"/>
      <x:c r="E31" s="47"/>
      <x:c r="F31" s="47"/>
    </x:row>
    <x:row r="32">
      <x:c r="A32" s="47"/>
      <x:c r="B32" s="47"/>
      <x:c r="C32" s="47"/>
      <x:c r="D32" s="47"/>
      <x:c r="E32" s="47"/>
      <x:c r="F32" s="47"/>
    </x:row>
    <x:row r="33">
      <x:c r="A33" s="47"/>
      <x:c r="B33" s="47"/>
      <x:c r="C33" s="47"/>
      <x:c r="D33" s="47"/>
      <x:c r="E33" s="47"/>
      <x:c r="F33" s="47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05" hidden="0" customWidth="1"/>
    <x:col min="3" max="3" width="39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24" customHeight="1">
      <x:c r="A1" s="170" t="str">
        <x:v>GHID MODEL ȘANSĂ DUBLĂ</x:v>
      </x:c>
      <x:c r="B1" s="167"/>
      <x:c r="C1" s="167"/>
      <x:c r="D1" s="137"/>
      <x:c r="E1" s="137"/>
      <x:c r="F1" s="137"/>
      <x:c r="G1" s="137"/>
      <x:c r="H1" s="137"/>
    </x:row>
    <x:row r="2">
      <x:c r="A2" s="168"/>
      <x:c r="B2" s="168"/>
      <x:c r="C2" s="168"/>
      <x:c r="D2" s="138"/>
      <x:c r="E2" s="138"/>
      <x:c r="F2" s="138"/>
      <x:c r="G2" s="138"/>
      <x:c r="H2" s="138"/>
    </x:row>
    <x:row r="3" ht="34" customHeight="1">
      <x:c r="A3" s="188" t="str">
        <x:v>Temă</x:v>
      </x:c>
      <x:c r="B3" s="188" t="str">
        <x:v>Regulă actuală</x:v>
      </x:c>
      <x:c r="C3" s="188" t="str">
        <x:v>Unde se aplică</x:v>
      </x:c>
    </x:row>
    <x:row r="4" ht="44" customHeight="1">
      <x:c r="A4" s="205" t="str">
        <x:v>Fișier</x:v>
      </x:c>
      <x:c r="B4" s="205" t="str">
        <x:v>optimizat_V2: remediere funcțională și documentară; piețe 1X, X2 și 12.</x:v>
      </x:c>
      <x:c r="C4" s="205" t="str">
        <x:v>CHANGELOG_VERSIUNI</x:v>
      </x:c>
      <x:c r="D4" s="140"/>
      <x:c r="E4" s="140"/>
      <x:c r="F4" s="140"/>
      <x:c r="G4" s="140"/>
      <x:c r="H4" s="140"/>
    </x:row>
    <x:row r="5" ht="44" customHeight="1">
      <x:c r="A5" s="193" t="str">
        <x:v>Metodologie</x:v>
      </x:c>
      <x:c r="B5" s="193" t="str">
        <x:v>Se păstrează ponderile, pragurile active și coeficienții existenți; corecțiile modifică rezultatele care încălcau regulile.</x:v>
      </x:c>
      <x:c r="C5" s="193" t="str">
        <x:v>Parametri</x:v>
      </x:c>
      <x:c r="D5" s="47"/>
      <x:c r="E5" s="47"/>
      <x:c r="F5" s="47"/>
    </x:row>
    <x:row r="6" ht="44" customHeight="1">
      <x:c r="A6" s="193" t="str">
        <x:v>Referințe</x:v>
      </x:c>
      <x:c r="B6" s="193" t="str">
        <x:v>Cadru_unificat_analiza_si_risc_pariuri_v5 și Matrice_lipsa_date_v4.</x:v>
      </x:c>
      <x:c r="C6" s="193" t="str">
        <x:v>Documente proiect</x:v>
      </x:c>
      <x:c r="D6" s="47"/>
      <x:c r="E6" s="47"/>
      <x:c r="F6" s="47"/>
    </x:row>
    <x:row r="7" ht="44" customHeight="1">
      <x:c r="A7" s="193" t="str">
        <x:v>Ordine</x:v>
      </x:c>
      <x:c r="B7" s="193" t="str">
        <x:v>Date și integritate; controale tehnice; risc; probabilitate ajustată; eligibilitate.</x:v>
      </x:c>
      <x:c r="C7" s="193" t="str">
        <x:v>Model_1X2 / Double_Chance</x:v>
      </x:c>
      <x:c r="D7" s="47"/>
      <x:c r="E7" s="47"/>
      <x:c r="F7" s="47"/>
    </x:row>
    <x:row r="8" ht="44" customHeight="1">
      <x:c r="A8" s="193" t="str">
        <x:v>Piață 1X</x:v>
      </x:c>
      <x:c r="B8" s="193" t="str">
        <x:v>Câștigă la victorie gazde sau egal. Rezultatul exclus este victoria oaspeților.</x:v>
      </x:c>
      <x:c r="C8" s="193" t="str">
        <x:v>Double_Chance, rând 4</x:v>
      </x:c>
      <x:c r="D8" s="47"/>
      <x:c r="E8" s="47"/>
      <x:c r="F8" s="47"/>
    </x:row>
    <x:row r="9" ht="44" customHeight="1">
      <x:c r="A9" s="193" t="str">
        <x:v>Piață X2</x:v>
      </x:c>
      <x:c r="B9" s="193" t="str">
        <x:v>Câștigă la egal sau victorie oaspeți. Rezultatul exclus este victoria gazdelor.</x:v>
      </x:c>
      <x:c r="C9" s="193" t="str">
        <x:v>Double_Chance, rând 5</x:v>
      </x:c>
      <x:c r="D9" s="47"/>
      <x:c r="E9" s="47"/>
      <x:c r="F9" s="47"/>
    </x:row>
    <x:row r="10" ht="44" customHeight="1">
      <x:c r="A10" s="193" t="str">
        <x:v>Piață 12</x:v>
      </x:c>
      <x:c r="B10" s="193" t="str">
        <x:v>Câștigă când nu este egal. Failure relevant: egalul.</x:v>
      </x:c>
      <x:c r="C10" s="193" t="str">
        <x:v>Double_Chance, rând 6</x:v>
      </x:c>
      <x:c r="D10" s="47"/>
      <x:c r="E10" s="47"/>
      <x:c r="F10" s="47"/>
    </x:row>
    <x:row r="11" ht="44" customHeight="1">
      <x:c r="A11" s="193" t="str">
        <x:v>Modele externe</x:v>
      </x:c>
      <x:c r="B11" s="193" t="str">
        <x:v>P(1), P(X), P(2) se introduc pentru modelul de scor și modelul de forță, împreună cu sursa și momentul prematch.</x:v>
      </x:c>
      <x:c r="C11" s="193" t="str">
        <x:v>Model_1X2, rândurile 6–7</x:v>
      </x:c>
      <x:c r="D11" s="47"/>
      <x:c r="E11" s="47"/>
      <x:c r="F11" s="47"/>
    </x:row>
    <x:row r="12" ht="44" customHeight="1">
      <x:c r="A12" s="193" t="str">
        <x:v>Statistici sportive</x:v>
      </x:c>
      <x:c r="B12" s="193" t="str">
        <x:v>GF/GA, xG/xGA, formă, Elo și absențele din Input_Meci sunt context pentru modelele externe. Nu există un motor intern nou de estimare a lor.</x:v>
      </x:c>
      <x:c r="C12" s="193" t="str">
        <x:v>Input_Meci / Surse_Date</x:v>
      </x:c>
      <x:c r="D12" s="47"/>
      <x:c r="E12" s="47"/>
      <x:c r="F12" s="47"/>
    </x:row>
    <x:row r="13" ht="44" customHeight="1">
      <x:c r="A13" s="193" t="str">
        <x:v>Context material</x:v>
      </x:c>
      <x:c r="B13" s="193" t="str">
        <x:v>Integrarea contextului în modele se confirmă și se explică în Surse_Date. Nu se aplică din nou aceeași corecție arbitrară.</x:v>
      </x:c>
      <x:c r="C13" s="193" t="str">
        <x:v>Surse_Date, rând 11</x:v>
      </x:c>
      <x:c r="D13" s="47"/>
      <x:c r="E13" s="47"/>
      <x:c r="F13" s="47"/>
    </x:row>
    <x:row r="14" ht="44" customHeight="1">
      <x:c r="A14" s="193" t="str">
        <x:v>Integritate</x:v>
      </x:c>
      <x:c r="B14" s="193" t="str">
        <x:v>Trei probabilități numerice între 0 și 1; suma trebuie să fie în toleranța de 0,02 față de 1. În afara toleranței: INVALID.</x:v>
      </x:c>
      <x:c r="C14" s="193" t="str">
        <x:v>Model_1X2, coloana F</x:v>
      </x:c>
      <x:c r="D14" s="47"/>
      <x:c r="E14" s="47"/>
      <x:c r="F14" s="47"/>
    </x:row>
    <x:row r="15" ht="44" customHeight="1">
      <x:c r="A15" s="193" t="str">
        <x:v>Normalizare</x:v>
      </x:c>
      <x:c r="B15" s="193" t="str">
        <x:v>Fiecare distribuție validă se normalizează înainte de combinare. O sumă de 120% nu este normalizată automat.</x:v>
      </x:c>
      <x:c r="C15" s="193" t="str">
        <x:v>Model_1X2, J6:L8</x:v>
      </x:c>
      <x:c r="D15" s="47"/>
      <x:c r="E15" s="47"/>
      <x:c r="F15" s="47"/>
    </x:row>
    <x:row r="16" ht="44" customHeight="1">
      <x:c r="A16" s="193" t="str">
        <x:v>Combinare</x:v>
      </x:c>
      <x:c r="B16" s="193" t="str">
        <x:v>50% model de scor, 25% model de forță și 25% probabilități de piață de-vig.</x:v>
      </x:c>
      <x:c r="C16" s="193" t="str">
        <x:v>Model_1X2, rândurile 9–10</x:v>
      </x:c>
      <x:c r="D16" s="47"/>
      <x:c r="E16" s="47"/>
      <x:c r="F16" s="47"/>
    </x:row>
    <x:row r="17" ht="44" customHeight="1">
      <x:c r="A17" s="193" t="str">
        <x:v>Fixture</x:v>
      </x:c>
      <x:c r="B17" s="193" t="str">
        <x:v>Numele, ordinea gazde/oaspeți, liga, kickoff-ul și terenul trebuie confirmate pentru toate sursele.</x:v>
      </x:c>
      <x:c r="C17" s="193" t="str">
        <x:v>Input_Meci / Surse_Date</x:v>
      </x:c>
      <x:c r="D17" s="47"/>
      <x:c r="E17" s="47"/>
      <x:c r="F17" s="47"/>
    </x:row>
    <x:row r="18" ht="44" customHeight="1">
      <x:c r="A18" s="193" t="str">
        <x:v>Probabilitate ajustată</x:v>
      </x:c>
      <x:c r="B18" s="193" t="str">
        <x:v>P ajustată = max(0, P model selecție − haircut unic). Piața intră deja în blend și în riscul conservator.</x:v>
      </x:c>
      <x:c r="C18" s="193" t="str">
        <x:v>Double_Chance, F</x:v>
      </x:c>
      <x:c r="D18" s="47"/>
      <x:c r="E18" s="47"/>
      <x:c r="F18" s="47"/>
    </x:row>
    <x:row r="19" ht="44" customHeight="1">
      <x:c r="A19" s="193" t="str">
        <x:v>Haircut</x:v>
      </x:c>
      <x:c r="B19" s="193" t="str">
        <x:v>Confidence A = 1 punct procentual; B = 2,5 puncte; C = 5 puncte.</x:v>
      </x:c>
      <x:c r="C19" s="193" t="str">
        <x:v>Uncertainty_v2</x:v>
      </x:c>
      <x:c r="D19" s="47"/>
      <x:c r="E19" s="47"/>
      <x:c r="F19" s="47"/>
    </x:row>
    <x:row r="20" ht="44" customHeight="1">
      <x:c r="A20" s="193" t="str">
        <x:v>Eșantion mic</x:v>
      </x:c>
      <x:c r="B20" s="193" t="str">
        <x:v>N curent &lt; 8 cere prior/shrinkage documentat extern; A este plafonat la B, apoi se adaugă 2 puncte procentuale.</x:v>
      </x:c>
      <x:c r="C20" s="193" t="str">
        <x:v>Surse_Date / Uncertainty_v2</x:v>
      </x:c>
      <x:c r="D20" s="47"/>
      <x:c r="E20" s="47"/>
      <x:c r="F20" s="47"/>
    </x:row>
    <x:row r="21" ht="44" customHeight="1">
      <x:c r="A21" s="193" t="str">
        <x:v>Eșantion necunoscut</x:v>
      </x:c>
      <x:c r="B21" s="193" t="str">
        <x:v>N necompletat nu este zero și nu este tratat ca eșantion suficient. Necesită verificare.</x:v>
      </x:c>
      <x:c r="C21" s="193" t="str">
        <x:v>Surse_Date, rând 9</x:v>
      </x:c>
      <x:c r="D21" s="47"/>
      <x:c r="E21" s="47"/>
      <x:c r="F21" s="47"/>
    </x:row>
    <x:row r="22" ht="44" customHeight="1">
      <x:c r="A22" s="193" t="str">
        <x:v>Prior</x:v>
      </x:c>
      <x:c r="B22" s="193" t="str">
        <x:v>Se înregistrează N prior, sursa, cutoff-ul și metoda, plus confirmarea integrării în modelele externe.</x:v>
      </x:c>
      <x:c r="C22" s="193" t="str">
        <x:v>Surse_Date, rând 10</x:v>
      </x:c>
      <x:c r="D22" s="47"/>
      <x:c r="E22" s="47"/>
      <x:c r="F22" s="47"/>
    </x:row>
    <x:row r="23" ht="44" customHeight="1">
      <x:c r="A23" s="193" t="str">
        <x:v>VERIFIED / DERIVED</x:v>
      </x:c>
      <x:c r="B23" s="193" t="str">
        <x:v>Date verificate sau derivate cu sursă, metodă și trasabilitate; nu sunt lipsă de date.</x:v>
      </x:c>
      <x:c r="C23" s="193" t="str">
        <x:v>Surse_Date</x:v>
      </x:c>
    </x:row>
    <x:row r="24" ht="44" customHeight="1">
      <x:c r="A24" s="193" t="str">
        <x:v>AVAILABLE - NOT CHECKED</x:v>
      </x:c>
      <x:c r="B24" s="193" t="str">
        <x:v>Verificarea este neînchisă. PENDING / NO RANK pentru inputurile obligatorii, fără nivel 5 artificial.</x:v>
      </x:c>
      <x:c r="C24" s="193" t="str">
        <x:v>Surse_Date</x:v>
      </x:c>
    </x:row>
    <x:row r="25" ht="44" customHeight="1">
      <x:c r="A25" s="205" t="str">
        <x:v>PENDING OFFICIAL</x:v>
      </x:c>
      <x:c r="B25" s="205" t="str">
        <x:v>Context G1 condițional, cu sursă și plan REFRESH PRE-XI; nu este hard fail generic.</x:v>
      </x:c>
      <x:c r="C25" s="205" t="str">
        <x:v>Surse_Date, rând 11</x:v>
      </x:c>
      <x:c r="D25" s="140"/>
      <x:c r="E25" s="140"/>
      <x:c r="F25" s="140"/>
      <x:c r="G25" s="140"/>
      <x:c r="H25" s="140"/>
    </x:row>
    <x:row r="26" ht="44" customHeight="1">
      <x:c r="A26" s="193" t="str">
        <x:v>NOT AVAILABLE / CONFLICT</x:v>
      </x:c>
      <x:c r="B26" s="193" t="str">
        <x:v>Dacă afectează inputul critic, se declară CRITICAL MISSING și NO BET. Indisponibilitatea se declară numai după căutare.</x:v>
      </x:c>
      <x:c r="C26" s="193" t="str">
        <x:v>Surse_Date</x:v>
      </x:c>
      <x:c r="D26" s="47"/>
      <x:c r="E26" s="47"/>
      <x:c r="F26" s="47"/>
    </x:row>
    <x:row r="27" ht="44" customHeight="1">
      <x:c r="A27" s="193" t="str">
        <x:v>Invalid</x:v>
      </x:c>
      <x:c r="B27" s="193" t="str">
        <x:v>Valori, distribuții sau cronologie nevalide: INPUT INVALID – NO RANK. Se corectează intrarea, nu se inventează o probabilitate.</x:v>
      </x:c>
      <x:c r="C27" s="193" t="str">
        <x:v>Model_1X2 / Double_Chance</x:v>
      </x:c>
      <x:c r="D27" s="47"/>
      <x:c r="E27" s="47"/>
      <x:c r="F27" s="47"/>
    </x:row>
    <x:row r="28" ht="44" customHeight="1">
      <x:c r="A28" s="193" t="str">
        <x:v>Pfail conservator</x:v>
      </x:c>
      <x:c r="B28" s="193" t="str">
        <x:v>max(probabilitate model a rezultatului exclus, probabilitate piață normalizată a rezultatului exclus).</x:v>
      </x:c>
      <x:c r="C28" s="193" t="str">
        <x:v>Double_Chance, Y</x:v>
      </x:c>
      <x:c r="D28" s="47"/>
      <x:c r="E28" s="47"/>
      <x:c r="F28" s="47"/>
    </x:row>
    <x:row r="29" ht="44" customHeight="1">
      <x:c r="A29" s="193" t="str">
        <x:v>Market Direction</x:v>
      </x:c>
      <x:c r="B29" s="193" t="str">
        <x:v>1X: P piață(2); X2: P piață(1). ≤30% PASS; &gt;30–35% PRUDENT; &gt;35% FAIL.</x:v>
      </x:c>
      <x:c r="C29" s="193" t="str">
        <x:v>P0_Gates_v2</x:v>
      </x:c>
      <x:c r="D29" s="47"/>
      <x:c r="E29" s="47"/>
      <x:c r="F29" s="47"/>
    </x:row>
    <x:row r="30" ht="44" customHeight="1">
      <x:c r="A30" s="193" t="str">
        <x:v>Protected Strength</x:v>
      </x:c>
      <x:c r="B30" s="193" t="str">
        <x:v>Diferența piață între echipa protejată și adversar: ≥0 PASS; de la −5 pp până sub 0 PRUDENT; sub −5 pp FAIL fără override valid.</x:v>
      </x:c>
      <x:c r="C30" s="193" t="str">
        <x:v>P0_Gates_v2</x:v>
      </x:c>
      <x:c r="D30" s="47"/>
      <x:c r="E30" s="47"/>
      <x:c r="F30" s="47"/>
    </x:row>
    <x:row r="31" ht="44" customHeight="1">
      <x:c r="A31" s="193" t="str">
        <x:v>Override</x:v>
      </x:c>
      <x:c r="B31" s="193" t="str">
        <x:v>Numai la Protected Strength: DA, explicație cantitativă și avantaj model față de piață ≥7 puncte procentuale. Nu anulează Market Direction FAIL.</x:v>
      </x:c>
      <x:c r="C31" s="193" t="str">
        <x:v>Input_Meci / P0_Gates_v2</x:v>
      </x:c>
      <x:c r="D31" s="47"/>
      <x:c r="E31" s="47"/>
      <x:c r="F31" s="47"/>
    </x:row>
    <x:row r="32" ht="44" customHeight="1">
      <x:c r="A32" s="193" t="str">
        <x:v>Draw ajustat</x:v>
      </x:c>
      <x:c r="B32" s="193" t="str">
        <x:v>max(P egal model + haircut unic, P egal piață); componenta model este plafonată la 1.</x:v>
      </x:c>
      <x:c r="C32" s="193" t="str">
        <x:v>P0_Gates_v2, I6:K6</x:v>
      </x:c>
      <x:c r="D32" s="47"/>
      <x:c r="E32" s="47"/>
      <x:c r="F32" s="47"/>
    </x:row>
    <x:row r="33" ht="44" customHeight="1">
      <x:c r="A33" s="193" t="str">
        <x:v>Draw Gate</x:v>
      </x:c>
      <x:c r="B33" s="193" t="str">
        <x:v>≤20% PASS; &gt;20–23% PRUDENT; &gt;23–26% WATCH; &gt;26% FAIL / NO BET. PASS permite DEFENSIV numai la nivel 1.</x:v>
      </x:c>
      <x:c r="C33" s="193" t="str">
        <x:v>Draw_Risk / Double_Chance</x:v>
      </x:c>
      <x:c r="D33" s="47"/>
      <x:c r="E33" s="47"/>
      <x:c r="F33" s="47"/>
    </x:row>
    <x:row r="34" ht="44" customHeight="1">
      <x:c r="A34" s="193" t="str">
        <x:v>Favorit deplasare</x:v>
      </x:c>
      <x:c r="B34" s="193" t="str">
        <x:v>La P piață(2) ≥55%: context negativ 1 adaugă 5 puncte de risc; context 2 adaugă 10.</x:v>
      </x:c>
      <x:c r="C34" s="193" t="str">
        <x:v>Uncertainty_v2</x:v>
      </x:c>
      <x:c r="D34" s="47"/>
      <x:c r="E34" s="47"/>
      <x:c r="F34" s="47"/>
    </x:row>
    <x:row r="35" ht="44" customHeight="1">
      <x:c r="A35" s="193" t="str">
        <x:v>Fragilitate 1X</x:v>
      </x:c>
      <x:c r="B35" s="193" t="str">
        <x:v>Home favorit foarte scurt: verifică eșantion, finishing, transition threat și dependența de piață. Minimum două DA: MATERIAL, +1 nivel.</x:v>
      </x:c>
      <x:c r="C35" s="193" t="str">
        <x:v>Favorite_Fragility_v4</x:v>
      </x:c>
      <x:c r="D35" s="47"/>
      <x:c r="E35" s="47"/>
      <x:c r="F35" s="47"/>
    </x:row>
    <x:row r="36" ht="44" customHeight="1">
      <x:c r="A36" s="193" t="str">
        <x:v>Fragilitate incompletă</x:v>
      </x:c>
      <x:c r="B36" s="193" t="str">
        <x:v>PENDING nu poate fi PASS. OPEN blochează eliberarea 1X până la închiderea verificărilor aplicabile.</x:v>
      </x:c>
      <x:c r="C36" s="193" t="str">
        <x:v>Favorite_Fragility_v4 / Surse_Date</x:v>
      </x:c>
      <x:c r="D36" s="47"/>
      <x:c r="E36" s="47"/>
      <x:c r="F36" s="47"/>
    </x:row>
    <x:row r="37" ht="44" customHeight="1">
      <x:c r="A37" s="193" t="str">
        <x:v>Scor 1X/X2</x:v>
      </x:c>
      <x:c r="B37" s="193" t="str">
        <x:v>Rotunjire: 180 × Pfail + 200 × haircut + 10 pentru fiecare gate PRUDENT; X2 include surcharge deplasare; FAIL adaugă 60. Plafon 100.</x:v>
      </x:c>
      <x:c r="C37" s="193" t="str">
        <x:v>Double_Chance, L4:L5</x:v>
      </x:c>
      <x:c r="D37" s="47"/>
      <x:c r="E37" s="47"/>
      <x:c r="F37" s="47"/>
    </x:row>
    <x:row r="38" ht="44" customHeight="1">
      <x:c r="A38" s="193" t="str">
        <x:v>Scor 12</x:v>
      </x:c>
      <x:c r="B38" s="193" t="str">
        <x:v>Rotunjire: 200 × Pfail + 120 × haircut + 10 dacă Draw PRUDENT, 35 dacă WATCH, 60 dacă FAIL. Plafon 100.</x:v>
      </x:c>
      <x:c r="C38" s="193" t="str">
        <x:v>Double_Chance, L6</x:v>
      </x:c>
      <x:c r="D38" s="47"/>
      <x:c r="E38" s="47"/>
      <x:c r="F38" s="47"/>
    </x:row>
    <x:row r="39" ht="44" customHeight="1">
      <x:c r="A39" s="193" t="str">
        <x:v>Nivel 1</x:v>
      </x:c>
      <x:c r="B39" s="193" t="str">
        <x:v>Scor 0–20 înaintea majorărilor. DEFENSIV posibil dacă toate celelalte condiții sunt îndeplinite.</x:v>
      </x:c>
      <x:c r="C39" s="193" t="str">
        <x:v>Double_Chance</x:v>
      </x:c>
      <x:c r="D39" s="47"/>
      <x:c r="E39" s="47"/>
      <x:c r="F39" s="47"/>
    </x:row>
    <x:row r="40" ht="44" customHeight="1">
      <x:c r="A40" s="193" t="str">
        <x:v>Nivel 2</x:v>
      </x:c>
      <x:c r="B40" s="193" t="str">
        <x:v>Scor 21–40 înaintea majorărilor. Verdict cel mult PRUDENT.</x:v>
      </x:c>
      <x:c r="C40" s="193" t="str">
        <x:v>Double_Chance</x:v>
      </x:c>
      <x:c r="D40" s="47"/>
      <x:c r="E40" s="47"/>
      <x:c r="F40" s="47"/>
    </x:row>
    <x:row r="41" ht="44" customHeight="1">
      <x:c r="A41" s="193" t="str">
        <x:v>Nivel 3</x:v>
      </x:c>
      <x:c r="B41" s="193" t="str">
        <x:v>Scor 41–60 înaintea majorărilor. Verdict cel mult MODERAT.</x:v>
      </x:c>
      <x:c r="C41" s="193" t="str">
        <x:v>Double_Chance</x:v>
      </x:c>
      <x:c r="D41" s="47"/>
      <x:c r="E41" s="47"/>
      <x:c r="F41" s="47"/>
    </x:row>
    <x:row r="42" ht="44" customHeight="1">
      <x:c r="A42" s="193" t="str">
        <x:v>Nivel 4</x:v>
      </x:c>
      <x:c r="B42" s="193" t="str">
        <x:v>Scor 61–80 înaintea majorărilor. RIDICAT.</x:v>
      </x:c>
      <x:c r="C42" s="193" t="str">
        <x:v>Double_Chance</x:v>
      </x:c>
      <x:c r="D42" s="47"/>
      <x:c r="E42" s="47"/>
      <x:c r="F42" s="47"/>
    </x:row>
    <x:row r="43" ht="44" customHeight="1">
      <x:c r="A43" s="193" t="str">
        <x:v>Nivel 5</x:v>
      </x:c>
      <x:c r="B43" s="193" t="str">
        <x:v>Scor peste 80, majorare la 5 ori hard fail. Numai WATCH / NO BET.</x:v>
      </x:c>
      <x:c r="C43" s="193" t="str">
        <x:v>Double_Chance</x:v>
      </x:c>
      <x:c r="D43" s="47"/>
      <x:c r="E43" s="47"/>
      <x:c r="F43" s="47"/>
    </x:row>
    <x:row r="44" ht="44" customHeight="1">
      <x:c r="A44" s="193" t="str">
        <x:v>Praguri P ajustată</x:v>
      </x:c>
      <x:c r="B44" s="193" t="str">
        <x:v>1X/X2: DEFENSIV cere nivel 1, gate PASS și P ajustată ≥82%. PRUDENT cere ≥76% și nivel compatibil. Sub prag: MODERAT dacă riscul permite.</x:v>
      </x:c>
      <x:c r="C44" s="193" t="str">
        <x:v>Double_Chance, N4:N5</x:v>
      </x:c>
      <x:c r="D44" s="47"/>
      <x:c r="E44" s="47"/>
      <x:c r="F44" s="47"/>
    </x:row>
    <x:row r="45" ht="44" customHeight="1">
      <x:c r="A45" s="193" t="str">
        <x:v>Eligibilitate</x:v>
      </x:c>
      <x:c r="B45" s="193" t="str">
        <x:v>Clasamentul include numai date închise, controale PASS/PRUDENT și nivel sub 5. Eticheta DEFENSIV are eligibilitate proprie.</x:v>
      </x:c>
      <x:c r="C45" s="193" t="str">
        <x:v>Double_Chance, AA și AE</x:v>
      </x:c>
      <x:c r="D45" s="47"/>
      <x:c r="E45" s="47"/>
      <x:c r="F45" s="47"/>
    </x:row>
    <x:row r="46" ht="44" customHeight="1">
      <x:c r="A46" s="193" t="str">
        <x:v>Indicatori secundari</x:v>
      </x:c>
      <x:c r="B46" s="193" t="str">
        <x:v>Mismatch model–piață, concentrarea 0–0/1–1 și flag-urile contextuale sunt diagnostice. Nu sunt selectoare paralele.</x:v>
      </x:c>
      <x:c r="C46" s="193" t="str">
        <x:v>Loss_Risk / Draw_Risk</x:v>
      </x:c>
      <x:c r="D46" s="47"/>
      <x:c r="E46" s="47"/>
      <x:c r="F46" s="47"/>
    </x:row>
    <x:row r="47" ht="44" customHeight="1">
      <x:c r="A47" s="193" t="str">
        <x:v>Praguri retrase</x:v>
      </x:c>
      <x:c r="B47" s="193" t="str">
        <x:v>18/24% pentru loss și 22/28% pentru draw nu sunt hard gates active. Valorile istorice rămân doar în istoricul schimbărilor sau explicit marcate.</x:v>
      </x:c>
      <x:c r="C47" s="193" t="str">
        <x:v>Parametri / CHANGELOG_VERSIUNI</x:v>
      </x:c>
      <x:c r="D47" s="47"/>
      <x:c r="E47" s="47"/>
      <x:c r="F47" s="47"/>
    </x:row>
    <x:row r="48" ht="44" customHeight="1">
      <x:c r="A48" s="193" t="str">
        <x:v>Preț și EV</x:v>
      </x:c>
      <x:c r="B48" s="193" t="str">
        <x:v>Cotele 1X/X2/12 și Edge/EV nu decid verdictul tehnic. EV și profitul din Backtest sunt analize economice ulterioare.</x:v>
      </x:c>
      <x:c r="C48" s="193" t="str">
        <x:v>Double_Chance / Backtest</x:v>
      </x:c>
      <x:c r="D48" s="47"/>
      <x:c r="E48" s="47"/>
      <x:c r="F48" s="47"/>
    </x:row>
    <x:row r="49" ht="44" customHeight="1">
      <x:c r="A49" s="193" t="str">
        <x:v>Snapshot prematch</x:v>
      </x:c>
      <x:c r="B49" s="193" t="str">
        <x:v>În Backtest, predicția se păstrează ca valoare la momentul analizei; timestamp-ul trebuie să fie anterior kickoff-ului și sursa snapshot-ului completată.</x:v>
      </x:c>
      <x:c r="C49" s="193" t="str">
        <x:v>Backtest, A, Y, AB</x:v>
      </x:c>
      <x:c r="D49" s="47"/>
      <x:c r="E49" s="47"/>
      <x:c r="F49" s="47"/>
    </x:row>
    <x:row r="50" ht="44" customHeight="1">
      <x:c r="A50" s="193" t="str">
        <x:v>Rezultat</x:v>
      </x:c>
      <x:c r="B50" s="193" t="str">
        <x:v>Hit se calculează identic pentru 1X, X2 și 12 în fiecare rând. Rezultatul invalid sau lipsă rămâne necalculat.</x:v>
      </x:c>
      <x:c r="C50" s="193" t="str">
        <x:v>Backtest, P</x:v>
      </x:c>
      <x:c r="D50" s="47"/>
      <x:c r="E50" s="47"/>
      <x:c r="F50" s="47"/>
    </x:row>
    <x:row r="51" ht="44" customHeight="1">
      <x:c r="A51" s="193" t="str">
        <x:v>Calibrare</x:v>
      </x:c>
      <x:c r="B51" s="193" t="str">
        <x:v>Include toate probabilitățile valide înregistrate prematch, inclusiv cele cu WATCH/NO BET. Familiile 1X/X2/12 se evaluează separat.</x:v>
      </x:c>
      <x:c r="C51" s="193" t="str">
        <x:v>Backtest, X / WalkForward_Calibration</x:v>
      </x:c>
      <x:c r="D51" s="47"/>
      <x:c r="E51" s="47"/>
      <x:c r="F51" s="47"/>
    </x:row>
    <x:row r="52" ht="44" customHeight="1">
      <x:c r="A52" s="193" t="str">
        <x:v>Recomandări</x:v>
      </x:c>
      <x:c r="B52" s="193" t="str">
        <x:v>Performanța recomandărilor include DEFENSIV, PRUDENT, MODERAT, RIDICAT. WATCH și NO BET sunt excluse din acest subset.</x:v>
      </x:c>
      <x:c r="C52" s="193" t="str">
        <x:v>Backtest, Z</x:v>
      </x:c>
      <x:c r="D52" s="47"/>
      <x:c r="E52" s="47"/>
      <x:c r="F52" s="47"/>
    </x:row>
    <x:row r="53" ht="44" customHeight="1">
      <x:c r="A53" s="193" t="str">
        <x:v>Cotă lipsă</x:v>
      </x:c>
      <x:c r="B53" s="193" t="str">
        <x:v>Hit și Brier pot fi calculate fără cotă. Profitul și ROI cer cotă numerică &gt;1.</x:v>
      </x:c>
      <x:c r="C53" s="193" t="str">
        <x:v>Backtest, Q, W, AA, AH</x:v>
      </x:c>
      <x:c r="D53" s="47"/>
      <x:c r="E53" s="47"/>
      <x:c r="F53" s="47"/>
    </x:row>
    <x:row r="54" ht="44" customHeight="1">
      <x:c r="A54" s="193" t="str">
        <x:v>Prag calibrare</x:v>
      </x:c>
      <x:c r="B54" s="193" t="str">
        <x:v>Minimum 30 observații pe familie; abatere absolută între hit rate și P medie &gt;3 puncte: RECALIBRATE. Nu este un hard gate nou prematch.</x:v>
      </x:c>
      <x:c r="C54" s="193" t="str">
        <x:v>WalkForward_Calibration</x:v>
      </x:c>
    </x:row>
    <x:row r="55" ht="44" customHeight="1">
      <x:c r="A55" s="193" t="str">
        <x:v>Utilizare</x:v>
      </x:c>
      <x:c r="B55" s="193" t="str">
        <x:v>Completați Input_Meci și modelele externe, închideți Surse_Date, citiți Dashboard. Folosiți Backtest numai cu snapshot-uri prematch și rezultate reale.</x:v>
      </x:c>
      <x:c r="C55" s="193" t="str">
        <x:v>Flux de lucru</x:v>
      </x:c>
    </x:row>
    <x:row r="56" ht="44" customHeight="1">
      <x:c r="A56" s="205" t="str">
        <x:v>Limită de validare</x:v>
      </x:c>
      <x:c r="B56" s="205" t="str">
        <x:v>Corecția tehnică nu demonstrează acuratețea predictivă. Aceasta se măsoară pe istoric real, fără informații de după kickoff.</x:v>
      </x:c>
      <x:c r="C56" s="205" t="str">
        <x:v>WalkForward_Calibration</x:v>
      </x:c>
      <x:c r="D56" s="140"/>
      <x:c r="E56" s="140"/>
      <x:c r="F56" s="140"/>
      <x:c r="G56" s="140"/>
      <x:c r="H56" s="140"/>
    </x:row>
    <x:row r="57">
      <x:c r="A57" s="193"/>
      <x:c r="B57" s="193"/>
      <x:c r="C57" s="193"/>
      <x:c r="D57" s="47"/>
      <x:c r="E57" s="47"/>
      <x:c r="F57" s="47"/>
    </x:row>
    <x:row r="58">
      <x:c r="A58" s="142"/>
      <x:c r="B58" s="142"/>
      <x:c r="C58" s="142"/>
      <x:c r="D58" s="47"/>
      <x:c r="E58" s="47"/>
      <x:c r="F58" s="47"/>
    </x:row>
    <x:row r="59">
      <x:c r="A59" s="142"/>
      <x:c r="B59" s="142"/>
      <x:c r="C59" s="142"/>
      <x:c r="D59" s="47"/>
      <x:c r="E59" s="47"/>
      <x:c r="F59" s="47"/>
    </x:row>
    <x:row r="60">
      <x:c r="A60" s="142"/>
      <x:c r="B60" s="142"/>
      <x:c r="C60" s="142"/>
      <x:c r="D60" s="47"/>
      <x:c r="E60" s="47"/>
      <x:c r="F60" s="47"/>
    </x:row>
    <x:row r="61">
      <x:c r="A61" s="47"/>
      <x:c r="B61" s="47"/>
      <x:c r="C61" s="47"/>
      <x:c r="D61" s="47"/>
      <x:c r="E61" s="47"/>
      <x:c r="F61" s="47"/>
    </x:row>
    <x:row r="62">
      <x:c r="A62" s="47"/>
      <x:c r="B62" s="47"/>
      <x:c r="C62" s="47"/>
      <x:c r="D62" s="47"/>
      <x:c r="E62" s="47"/>
      <x:c r="F62" s="47"/>
    </x:row>
    <x:row r="63">
      <x:c r="A63" s="47"/>
      <x:c r="B63" s="47"/>
      <x:c r="C63" s="47"/>
      <x:c r="D63" s="47"/>
      <x:c r="E63" s="47"/>
      <x:c r="F63" s="47"/>
    </x:row>
    <x:row r="64">
      <x:c r="A64" s="47"/>
      <x:c r="B64" s="47"/>
      <x:c r="C64" s="47"/>
      <x:c r="D64" s="47"/>
      <x:c r="E64" s="47"/>
      <x:c r="F64" s="47"/>
    </x:row>
    <x:row r="65">
      <x:c r="A65" s="47"/>
      <x:c r="B65" s="47"/>
      <x:c r="C65" s="47"/>
      <x:c r="D65" s="47"/>
      <x:c r="E65" s="47"/>
      <x:c r="F65" s="47"/>
    </x:row>
    <x:row r="66">
      <x:c r="A66" s="47"/>
      <x:c r="B66" s="47"/>
      <x:c r="C66" s="47"/>
      <x:c r="D66" s="47"/>
      <x:c r="E66" s="47"/>
      <x:c r="F66" s="47"/>
    </x:row>
    <x:row r="67">
      <x:c r="A67" s="47"/>
      <x:c r="B67" s="47"/>
      <x:c r="C67" s="47"/>
      <x:c r="D67" s="47"/>
      <x:c r="E67" s="47"/>
      <x:c r="F67" s="47"/>
    </x:row>
    <x:row r="68">
      <x:c r="A68" s="47"/>
      <x:c r="B68" s="47"/>
      <x:c r="C68" s="47"/>
      <x:c r="D68" s="47"/>
      <x:c r="E68" s="47"/>
      <x:c r="F68" s="47"/>
    </x:row>
    <x:row r="69">
      <x:c r="A69" s="47"/>
      <x:c r="B69" s="47"/>
      <x:c r="C69" s="47"/>
      <x:c r="D69" s="47"/>
      <x:c r="E69" s="47"/>
      <x:c r="F69" s="47"/>
    </x:row>
    <x:row r="70">
      <x:c r="A70" s="47"/>
      <x:c r="B70" s="47"/>
      <x:c r="C70" s="47"/>
      <x:c r="D70" s="47"/>
      <x:c r="E70" s="47"/>
      <x:c r="F70" s="47"/>
    </x:row>
    <x:row r="71">
      <x:c r="A71" s="47"/>
      <x:c r="B71" s="47"/>
      <x:c r="C71" s="47"/>
      <x:c r="D71" s="47"/>
      <x:c r="E71" s="47"/>
      <x:c r="F71" s="47"/>
    </x:row>
    <x:row r="72">
      <x:c r="A72" s="47"/>
      <x:c r="B72" s="47"/>
      <x:c r="C72" s="47"/>
      <x:c r="D72" s="47"/>
      <x:c r="E72" s="47"/>
      <x:c r="F72" s="47"/>
    </x:row>
    <x:row r="73">
      <x:c r="A73" s="47"/>
      <x:c r="B73" s="47"/>
      <x:c r="C73" s="47"/>
      <x:c r="D73" s="47"/>
      <x:c r="E73" s="47"/>
      <x:c r="F73" s="47"/>
    </x:row>
    <x:row r="74">
      <x:c r="A74" s="47"/>
      <x:c r="B74" s="47"/>
      <x:c r="C74" s="47"/>
      <x:c r="D74" s="47"/>
      <x:c r="E74" s="47"/>
      <x:c r="F74" s="47"/>
    </x:row>
    <x:row r="75">
      <x:c r="A75" s="47"/>
      <x:c r="B75" s="47"/>
      <x:c r="C75" s="47"/>
      <x:c r="D75" s="47"/>
      <x:c r="E75" s="47"/>
      <x:c r="F75" s="47"/>
    </x:row>
    <x:row r="76">
      <x:c r="A76" s="47"/>
      <x:c r="B76" s="47"/>
      <x:c r="C76" s="47"/>
      <x:c r="D76" s="47"/>
      <x:c r="E76" s="47"/>
      <x:c r="F76" s="47"/>
    </x:row>
    <x:row r="77">
      <x:c r="A77" s="47"/>
      <x:c r="B77" s="47"/>
      <x:c r="C77" s="47"/>
      <x:c r="D77" s="47"/>
      <x:c r="E77" s="47"/>
      <x:c r="F77" s="47"/>
    </x:row>
    <x:row r="78">
      <x:c r="A78" s="47"/>
      <x:c r="B78" s="47"/>
      <x:c r="C78" s="47"/>
      <x:c r="D78" s="47"/>
      <x:c r="E78" s="47"/>
      <x:c r="F78" s="47"/>
    </x:row>
    <x:row r="79">
      <x:c r="A79" s="47"/>
      <x:c r="B79" s="47"/>
      <x:c r="C79" s="47"/>
      <x:c r="D79" s="47"/>
      <x:c r="E79" s="47"/>
      <x:c r="F79" s="47"/>
    </x:row>
    <x:row r="80">
      <x:c r="A80" s="47"/>
      <x:c r="B80" s="47"/>
      <x:c r="C80" s="47"/>
      <x:c r="D80" s="47"/>
      <x:c r="E80" s="47"/>
      <x:c r="F80" s="47"/>
    </x:row>
    <x:row r="81">
      <x:c r="A81" s="47"/>
      <x:c r="B81" s="47"/>
      <x:c r="C81" s="47"/>
      <x:c r="D81" s="47"/>
      <x:c r="E81" s="47"/>
      <x:c r="F81" s="47"/>
    </x:row>
    <x:row r="82">
      <x:c r="A82" s="47"/>
      <x:c r="B82" s="47"/>
      <x:c r="C82" s="47"/>
      <x:c r="D82" s="47"/>
      <x:c r="E82" s="47"/>
      <x:c r="F82" s="47"/>
    </x:row>
    <x:row r="83">
      <x:c r="A83" s="47"/>
      <x:c r="B83" s="47"/>
      <x:c r="C83" s="47"/>
      <x:c r="D83" s="47"/>
      <x:c r="E83" s="47"/>
      <x:c r="F83" s="47"/>
    </x:row>
    <x:row r="84">
      <x:c r="A84" s="47"/>
      <x:c r="B84" s="47"/>
      <x:c r="C84" s="47"/>
      <x:c r="D84" s="47"/>
      <x:c r="E84" s="47"/>
      <x:c r="F84" s="47"/>
    </x:row>
    <x:row r="87">
      <x:c r="A87" s="140"/>
      <x:c r="B87" s="140"/>
      <x:c r="C87" s="140"/>
      <x:c r="D87" s="140"/>
      <x:c r="E87" s="140"/>
      <x:c r="F87" s="140"/>
      <x:c r="G87" s="140"/>
      <x:c r="H87" s="140"/>
    </x:row>
    <x:row r="88">
      <x:c r="A88" s="47"/>
      <x:c r="B88" s="47"/>
      <x:c r="C88" s="47"/>
      <x:c r="D88" s="47"/>
    </x:row>
    <x:row r="89">
      <x:c r="A89" s="47"/>
      <x:c r="B89" s="47"/>
      <x:c r="C89" s="47"/>
      <x:c r="D89" s="47"/>
    </x:row>
    <x:row r="90">
      <x:c r="A90" s="47"/>
      <x:c r="B90" s="47"/>
      <x:c r="C90" s="47"/>
      <x:c r="D90" s="47"/>
    </x:row>
    <x:row r="91">
      <x:c r="A91" s="47"/>
      <x:c r="B91" s="47"/>
      <x:c r="C91" s="47"/>
      <x:c r="D91" s="47"/>
    </x:row>
    <x:row r="92">
      <x:c r="A92" s="47"/>
      <x:c r="B92" s="47"/>
      <x:c r="C92" s="47"/>
      <x:c r="D92" s="47"/>
    </x:row>
    <x:row r="93">
      <x:c r="A93" s="47"/>
      <x:c r="B93" s="47"/>
      <x:c r="C93" s="47"/>
      <x:c r="D93" s="47"/>
    </x:row>
    <x:row r="94">
      <x:c r="A94" s="47"/>
      <x:c r="B94" s="47"/>
      <x:c r="C94" s="47"/>
      <x:c r="D94" s="47"/>
    </x:row>
    <x:row r="95">
      <x:c r="A95" s="47"/>
      <x:c r="B95" s="47"/>
      <x:c r="C95" s="47"/>
      <x:c r="D95" s="47"/>
    </x:row>
    <x:row r="96">
      <x:c r="A96" s="47"/>
      <x:c r="B96" s="47"/>
      <x:c r="C96" s="47"/>
      <x:c r="D96" s="47"/>
    </x:row>
    <x:row r="97">
      <x:c r="A97" s="47"/>
      <x:c r="B97" s="47"/>
      <x:c r="C97" s="47"/>
      <x:c r="D97" s="47"/>
    </x:row>
    <x:row r="98">
      <x:c r="A98" s="47"/>
      <x:c r="B98" s="47"/>
      <x:c r="C98" s="47"/>
      <x:c r="D98" s="47"/>
    </x:row>
    <x:row r="99">
      <x:c r="A99" s="47"/>
      <x:c r="B99" s="47"/>
      <x:c r="C99" s="47"/>
      <x:c r="D99" s="47"/>
    </x:row>
    <x:row r="100">
      <x:c r="A100" s="47"/>
      <x:c r="B100" s="47"/>
      <x:c r="C100" s="47"/>
      <x:c r="D100" s="47"/>
    </x:row>
    <x:row r="103">
      <x:c r="A103" s="140"/>
      <x:c r="B103" s="140"/>
      <x:c r="C103" s="140"/>
      <x:c r="D103" s="140"/>
      <x:c r="E103" s="140"/>
      <x:c r="F103" s="140"/>
      <x:c r="G103" s="140"/>
      <x:c r="H103" s="140"/>
    </x:row>
    <x:row r="104">
      <x:c r="A104" s="47"/>
      <x:c r="B104" s="47"/>
      <x:c r="C104" s="47"/>
      <x:c r="D104" s="47"/>
      <x:c r="E104" s="47"/>
      <x:c r="F104" s="47"/>
    </x:row>
    <x:row r="105">
      <x:c r="A105" s="47"/>
      <x:c r="B105" s="47"/>
      <x:c r="C105" s="47"/>
      <x:c r="D105" s="47"/>
      <x:c r="E105" s="47"/>
      <x:c r="F105" s="47"/>
    </x:row>
    <x:row r="106">
      <x:c r="A106" s="47"/>
      <x:c r="B106" s="47"/>
      <x:c r="C106" s="47"/>
      <x:c r="D106" s="47"/>
      <x:c r="E106" s="47"/>
      <x:c r="F106" s="47"/>
    </x:row>
    <x:row r="107">
      <x:c r="A107" s="47"/>
      <x:c r="B107" s="47"/>
      <x:c r="C107" s="47"/>
      <x:c r="D107" s="47"/>
      <x:c r="E107" s="47"/>
      <x:c r="F107" s="47"/>
    </x:row>
    <x:row r="108">
      <x:c r="A108" s="47"/>
      <x:c r="B108" s="47"/>
      <x:c r="C108" s="47"/>
      <x:c r="D108" s="47"/>
      <x:c r="E108" s="47"/>
      <x:c r="F108" s="47"/>
    </x:row>
    <x:row r="109">
      <x:c r="A109" s="47"/>
      <x:c r="B109" s="47"/>
      <x:c r="C109" s="47"/>
      <x:c r="D109" s="47"/>
      <x:c r="E109" s="47"/>
      <x:c r="F109" s="47"/>
    </x:row>
    <x:row r="110">
      <x:c r="A110" s="47"/>
      <x:c r="B110" s="47"/>
      <x:c r="C110" s="47"/>
      <x:c r="D110" s="47"/>
      <x:c r="E110" s="47"/>
      <x:c r="F110" s="47"/>
    </x:row>
    <x:row r="111">
      <x:c r="A111" s="47"/>
      <x:c r="B111" s="47"/>
      <x:c r="C111" s="47"/>
      <x:c r="D111" s="47"/>
      <x:c r="E111" s="47"/>
      <x:c r="F111" s="47"/>
    </x:row>
    <x:row r="112">
      <x:c r="A112" s="47"/>
      <x:c r="B112" s="47"/>
      <x:c r="C112" s="47"/>
      <x:c r="D112" s="47"/>
      <x:c r="E112" s="47"/>
      <x:c r="F112" s="47"/>
    </x:row>
    <x:row r="113">
      <x:c r="A113" s="47"/>
      <x:c r="B113" s="47"/>
      <x:c r="C113" s="47"/>
      <x:c r="D113" s="47"/>
      <x:c r="E113" s="47"/>
      <x:c r="F113" s="47"/>
    </x:row>
    <x:row r="114">
      <x:c r="A114" s="47"/>
      <x:c r="B114" s="47"/>
      <x:c r="C114" s="47"/>
      <x:c r="D114" s="47"/>
      <x:c r="E114" s="47"/>
      <x:c r="F114" s="47"/>
    </x:row>
    <x:row r="115">
      <x:c r="A115" s="47"/>
      <x:c r="B115" s="47"/>
      <x:c r="C115" s="47"/>
      <x:c r="D115" s="47"/>
      <x:c r="E115" s="47"/>
      <x:c r="F115" s="47"/>
    </x:row>
    <x:row r="116">
      <x:c r="A116" s="47"/>
      <x:c r="B116" s="47"/>
      <x:c r="C116" s="47"/>
      <x:c r="D116" s="47"/>
      <x:c r="E116" s="47"/>
      <x:c r="F116" s="47"/>
    </x:row>
    <x:row r="117">
      <x:c r="A117" s="47"/>
      <x:c r="B117" s="47"/>
      <x:c r="C117" s="47"/>
      <x:c r="D117" s="47"/>
      <x:c r="E117" s="47"/>
      <x:c r="F117" s="47"/>
    </x:row>
    <x:row r="118">
      <x:c r="A118" s="47"/>
      <x:c r="B118" s="47"/>
      <x:c r="C118" s="47"/>
      <x:c r="D118" s="47"/>
      <x:c r="E118" s="47"/>
      <x:c r="F118" s="47"/>
    </x:row>
    <x:row r="119">
      <x:c r="A119" s="47"/>
      <x:c r="B119" s="47"/>
      <x:c r="C119" s="47"/>
      <x:c r="D119" s="47"/>
      <x:c r="E119" s="47"/>
      <x:c r="F119" s="47"/>
    </x:row>
    <x:row r="120">
      <x:c r="A120" s="47"/>
      <x:c r="B120" s="47"/>
      <x:c r="C120" s="47"/>
      <x:c r="D120" s="47"/>
      <x:c r="E120" s="47"/>
      <x:c r="F120" s="47"/>
    </x:row>
    <x:row r="121">
      <x:c r="A121" s="47"/>
      <x:c r="B121" s="47"/>
      <x:c r="C121" s="47"/>
      <x:c r="D121" s="47"/>
      <x:c r="E121" s="47"/>
      <x:c r="F121" s="47"/>
    </x:row>
    <x:row r="122">
      <x:c r="A122" s="47"/>
      <x:c r="B122" s="47"/>
      <x:c r="C122" s="47"/>
      <x:c r="D122" s="47"/>
      <x:c r="E122" s="47"/>
      <x:c r="F122" s="47"/>
    </x:row>
    <x:row r="123">
      <x:c r="A123" s="47"/>
      <x:c r="B123" s="47"/>
      <x:c r="C123" s="47"/>
      <x:c r="D123" s="47"/>
      <x:c r="E123" s="47"/>
      <x:c r="F123" s="47"/>
    </x:row>
    <x:row r="124">
      <x:c r="A124" s="47"/>
      <x:c r="B124" s="47"/>
      <x:c r="C124" s="47"/>
      <x:c r="D124" s="47"/>
      <x:c r="E124" s="47"/>
      <x:c r="F124" s="47"/>
    </x:row>
    <x:row r="125">
      <x:c r="A125" s="47"/>
      <x:c r="B125" s="47"/>
      <x:c r="C125" s="47"/>
      <x:c r="D125" s="47"/>
      <x:c r="E125" s="47"/>
      <x:c r="F125" s="47"/>
    </x:row>
    <x:row r="126">
      <x:c r="A126" s="47"/>
      <x:c r="B126" s="47"/>
      <x:c r="C126" s="47"/>
      <x:c r="D126" s="47"/>
      <x:c r="E126" s="47"/>
      <x:c r="F126" s="47"/>
    </x:row>
    <x:row r="127">
      <x:c r="A127" s="47"/>
      <x:c r="B127" s="47"/>
      <x:c r="C127" s="47"/>
      <x:c r="D127" s="47"/>
      <x:c r="E127" s="47"/>
      <x:c r="F127" s="47"/>
    </x:row>
    <x:row r="128">
      <x:c r="A128" s="47"/>
      <x:c r="B128" s="47"/>
      <x:c r="C128" s="47"/>
      <x:c r="D128" s="47"/>
      <x:c r="E128" s="47"/>
      <x:c r="F128" s="47"/>
    </x:row>
    <x:row r="129">
      <x:c r="A129" s="47"/>
      <x:c r="B129" s="47"/>
      <x:c r="C129" s="47"/>
      <x:c r="D129" s="47"/>
      <x:c r="E129" s="47"/>
      <x:c r="F129" s="47"/>
    </x:row>
    <x:row r="130">
      <x:c r="A130" s="47"/>
      <x:c r="B130" s="47"/>
      <x:c r="C130" s="47"/>
      <x:c r="D130" s="47"/>
      <x:c r="E130" s="47"/>
      <x:c r="F130" s="47"/>
    </x:row>
    <x:row r="131">
      <x:c r="A131" s="47"/>
      <x:c r="B131" s="47"/>
      <x:c r="C131" s="47"/>
      <x:c r="D131" s="47"/>
      <x:c r="E131" s="47"/>
      <x:c r="F131" s="47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6" hidden="0" customWidth="1"/>
    <x:col min="3" max="3" width="29" hidden="0" customWidth="1"/>
    <x:col min="4" max="4" width="40" hidden="0" customWidth="1"/>
    <x:col min="5" max="5" width="22" hidden="0" customWidth="1"/>
    <x:col min="6" max="6" width="22" hidden="0" customWidth="1"/>
    <x:col min="7" max="7" width="11" hidden="0" customWidth="1"/>
    <x:col min="8" max="8" width="11" hidden="0" customWidth="1"/>
    <x:col min="9" max="9" width="42" hidden="0" customWidth="1"/>
    <x:col min="10" max="10" width="16" hidden="0" customWidth="1"/>
    <x:col min="11" max="11" width="30" hidden="0" customWidth="1"/>
    <x:col min="12" max="12" width="24" hidden="0" customWidth="1"/>
  </x:cols>
  <x:sheetData>
    <x:row r="1">
      <x:c r="A1" s="149" t="str">
        <x:v>SURSE ȘI STAREA DATELOR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</x:row>
    <x:row r="2">
      <x:c r="A2" s="141" t="str">
        <x:v>Completați câmpurile galbene. Datele și sursele trebuie să corespundă aceluiași meci și momentului prematch.</x:v>
      </x:c>
      <x:c r="B2" s="141"/>
      <x:c r="C2" s="141"/>
      <x:c r="D2" s="141"/>
      <x:c r="E2" s="141"/>
      <x:c r="F2" s="141"/>
      <x:c r="G2" s="141"/>
      <x:c r="H2" s="141"/>
      <x:c r="I2" s="141"/>
      <x:c r="J2" s="141"/>
      <x:c r="K2" s="141"/>
      <x:c r="L2" s="141"/>
    </x:row>
    <x:row r="3">
      <x:c r="A3" s="141"/>
      <x:c r="B3" s="141"/>
      <x:c r="C3" s="141"/>
      <x:c r="D3" s="141"/>
      <x:c r="E3" s="141"/>
      <x:c r="F3" s="141"/>
      <x:c r="G3" s="141"/>
      <x:c r="H3" s="141"/>
      <x:c r="I3" s="141"/>
      <x:c r="J3" s="141"/>
      <x:c r="K3" s="141"/>
      <x:c r="L3" s="141"/>
    </x:row>
    <x:row r="4" ht="34" customHeight="1">
      <x:c r="A4" s="188" t="str">
        <x:v>Componentă</x:v>
      </x:c>
      <x:c r="B4" s="188" t="str">
        <x:v>Rol</x:v>
      </x:c>
      <x:c r="C4" s="188" t="str">
        <x:v>Data Status</x:v>
      </x:c>
      <x:c r="D4" s="188" t="str">
        <x:v>Sursă / URL / provider</x:v>
      </x:c>
      <x:c r="E4" s="188" t="str">
        <x:v>Verificat la</x:v>
      </x:c>
      <x:c r="F4" s="188" t="str">
        <x:v>Cutoff date</x:v>
      </x:c>
      <x:c r="G4" s="188" t="str">
        <x:v>N gazde</x:v>
      </x:c>
      <x:c r="H4" s="188" t="str">
        <x:v>N oaspeți</x:v>
      </x:c>
      <x:c r="I4" s="188" t="str">
        <x:v>Metodă / trasabilitate</x:v>
      </x:c>
      <x:c r="J4" s="188" t="str">
        <x:v>Același meci?</x:v>
      </x:c>
      <x:c r="K4" s="188" t="str">
        <x:v>Tratament context / prior</x:v>
      </x:c>
      <x:c r="L4" s="188" t="str">
        <x:v>Rezultat validare</x:v>
      </x:c>
    </x:row>
    <x:row r="5" ht="55" customHeight="1">
      <x:c r="A5" s="193" t="str">
        <x:v>Fixture</x:v>
      </x:c>
      <x:c r="B5" s="193" t="str">
        <x:v>G0</x:v>
      </x:c>
      <x:c r="C5" s="195" t="str">
        <x:v>AVAILABLE - NOT CHECKED</x:v>
      </x:c>
      <x:c r="D5" s="195"/>
      <x:c r="E5" s="196"/>
      <x:c r="F5" s="196"/>
      <x:c r="G5" s="195"/>
      <x:c r="H5" s="195"/>
      <x:c r="I5" s="195"/>
      <x:c r="J5" s="195"/>
      <x:c r="K5" s="195"/>
      <x:c r="L5" s="193" t="str">
        <x:f>IF(OR(C5="NOT AVAILABLE",C5="SOURCE CONFLICT"),"CRITICAL MISSING",IF(OR(C5="VERIFIED",C5="DERIVED",C5="PRIOR / SHRINKAGE"),IF(OR(D5="",COUNT(E5:F5)&lt;&gt;2,I5="",J5="",NOT(ISNUMBER('Input_Meci'!B6))),"PENDING",IF(OR(J5&lt;&gt;"DA",E5&gt;'Input_Meci'!B6,F5&gt;'Input_Meci'!B6,F5&gt;E5),"INVALID","READY")),"PENDING"))</x:f>
        <x:v>PENDING</x:v>
      </x:c>
    </x:row>
    <x:row r="6" ht="55" customHeight="1">
      <x:c r="A6" s="193" t="str">
        <x:v>Model de scor extern</x:v>
      </x:c>
      <x:c r="B6" s="193" t="str">
        <x:v>G0</x:v>
      </x:c>
      <x:c r="C6" s="195" t="str">
        <x:v>AVAILABLE - NOT CHECKED</x:v>
      </x:c>
      <x:c r="D6" s="195"/>
      <x:c r="E6" s="196"/>
      <x:c r="F6" s="196"/>
      <x:c r="G6" s="195"/>
      <x:c r="H6" s="195"/>
      <x:c r="I6" s="195"/>
      <x:c r="J6" s="195"/>
      <x:c r="K6" s="195"/>
      <x:c r="L6" s="193" t="str">
        <x:f>IF(OR(C6="NOT AVAILABLE",C6="SOURCE CONFLICT"),"CRITICAL MISSING",IF(OR(C6="VERIFIED",C6="DERIVED",C6="PRIOR / SHRINKAGE"),IF(OR(D6="",COUNT(E6:F6)&lt;&gt;2,I6="",J6="",NOT(ISNUMBER('Input_Meci'!B6))),"PENDING",IF(OR(J6&lt;&gt;"DA",E6&gt;'Input_Meci'!B6,F6&gt;'Input_Meci'!B6,F6&gt;E6),"INVALID","READY")),"PENDING"))</x:f>
        <x:v>PENDING</x:v>
      </x:c>
    </x:row>
    <x:row r="7" ht="55" customHeight="1">
      <x:c r="A7" s="193" t="str">
        <x:v>Model de forță extern</x:v>
      </x:c>
      <x:c r="B7" s="193" t="str">
        <x:v>G0</x:v>
      </x:c>
      <x:c r="C7" s="195" t="str">
        <x:v>AVAILABLE - NOT CHECKED</x:v>
      </x:c>
      <x:c r="D7" s="195"/>
      <x:c r="E7" s="196"/>
      <x:c r="F7" s="196"/>
      <x:c r="G7" s="195"/>
      <x:c r="H7" s="195"/>
      <x:c r="I7" s="195"/>
      <x:c r="J7" s="195"/>
      <x:c r="K7" s="195"/>
      <x:c r="L7" s="193" t="str">
        <x:f>IF(OR(C7="NOT AVAILABLE",C7="SOURCE CONFLICT"),"CRITICAL MISSING",IF(OR(C7="VERIFIED",C7="DERIVED",C7="PRIOR / SHRINKAGE"),IF(OR(D7="",COUNT(E7:F7)&lt;&gt;2,I7="",J7="",NOT(ISNUMBER('Input_Meci'!B6))),"PENDING",IF(OR(J7&lt;&gt;"DA",E7&gt;'Input_Meci'!B6,F7&gt;'Input_Meci'!B6,F7&gt;E7),"INVALID","READY")),"PENDING"))</x:f>
        <x:v>PENDING</x:v>
      </x:c>
    </x:row>
    <x:row r="8" ht="55" customHeight="1">
      <x:c r="A8" s="193" t="str">
        <x:v>Piață 1X2 de-vig</x:v>
      </x:c>
      <x:c r="B8" s="193" t="str">
        <x:v>G0</x:v>
      </x:c>
      <x:c r="C8" s="195" t="str">
        <x:v>AVAILABLE - NOT CHECKED</x:v>
      </x:c>
      <x:c r="D8" s="197" t="str">
        <x:f>IF('Input_Meci'!B42="","",'Input_Meci'!B42)</x:f>
      </x:c>
      <x:c r="E8" s="196"/>
      <x:c r="F8" s="196"/>
      <x:c r="G8" s="195"/>
      <x:c r="H8" s="195"/>
      <x:c r="I8" s="195"/>
      <x:c r="J8" s="195"/>
      <x:c r="K8" s="195"/>
      <x:c r="L8" s="193" t="str">
        <x:f>IF(OR(C8="NOT AVAILABLE",C8="SOURCE CONFLICT"),"CRITICAL MISSING",IF(OR(C8="VERIFIED",C8="DERIVED",C8="PRIOR / SHRINKAGE"),IF(OR(D8="",COUNT(E8:F8)&lt;&gt;2,I8="",J8="",NOT(ISNUMBER('Input_Meci'!B6))),"PENDING",IF(OR(J8&lt;&gt;"DA",E8&gt;'Input_Meci'!B6,F8&gt;'Input_Meci'!B6,F8&gt;E8),"INVALID","READY")),"PENDING"))</x:f>
        <x:v>PENDING</x:v>
      </x:c>
    </x:row>
    <x:row r="9" ht="55" customHeight="1">
      <x:c r="A9" s="193" t="str">
        <x:v>Eșantion curent H/A</x:v>
      </x:c>
      <x:c r="B9" s="193" t="str">
        <x:v>G0</x:v>
      </x:c>
      <x:c r="C9" s="195" t="str">
        <x:v>AVAILABLE - NOT CHECKED</x:v>
      </x:c>
      <x:c r="D9" s="195"/>
      <x:c r="E9" s="196"/>
      <x:c r="F9" s="196"/>
      <x:c r="G9" s="197" t="str">
        <x:f>IF(NOT(ISNUMBER('Input_Meci'!B36)),"",'Input_Meci'!B36)</x:f>
      </x:c>
      <x:c r="H9" s="197" t="str">
        <x:f>IF(NOT(ISNUMBER('Input_Meci'!C36)),"",'Input_Meci'!C36)</x:f>
      </x:c>
      <x:c r="I9" s="195"/>
      <x:c r="J9" s="195"/>
      <x:c r="K9" s="195"/>
      <x:c r="L9" s="193" t="str">
        <x:f>IF(OR(C9="NOT AVAILABLE",C9="SOURCE CONFLICT"),"CRITICAL MISSING",IF(OR(COUNT(G9:H9)&lt;&gt;2,NOT(ISNUMBER('Input_Meci'!B36)),NOT(ISNUMBER('Input_Meci'!C36))),"PENDING",IF(OR(MIN(G9:H9)&lt;0,MOD(G9,1)&lt;&gt;0,MOD(H9,1)&lt;&gt;0),"INVALID",IF(OR(C9="NOT AVAILABLE",C9="SOURCE CONFLICT"),"CRITICAL MISSING",IF(OR(C9="VERIFIED",C9="DERIVED",C9="PRIOR / SHRINKAGE",C9="SMALL SAMPLE"),IF(OR(D9="",COUNT(E9:F9)&lt;&gt;2,I9="",J9="",NOT(ISNUMBER('Input_Meci'!B6))),"PENDING",IF(OR(J9&lt;&gt;"DA",E9&gt;'Input_Meci'!B6,F9&gt;'Input_Meci'!B6,F9&gt;E9),"INVALID","READY")),"PENDING")))))</x:f>
        <x:v>PENDING</x:v>
      </x:c>
    </x:row>
    <x:row r="10" ht="55" customHeight="1">
      <x:c r="A10" s="193" t="str">
        <x:v>Prior / shrinkage</x:v>
      </x:c>
      <x:c r="B10" s="193" t="str">
        <x:v>CONDIȚIONAL</x:v>
      </x:c>
      <x:c r="C10" s="195" t="str">
        <x:v>AVAILABLE - NOT CHECKED</x:v>
      </x:c>
      <x:c r="D10" s="195"/>
      <x:c r="E10" s="196"/>
      <x:c r="F10" s="196"/>
      <x:c r="G10" s="195"/>
      <x:c r="H10" s="195"/>
      <x:c r="I10" s="195"/>
      <x:c r="J10" s="195"/>
      <x:c r="K10" s="195"/>
      <x:c r="L10" s="193" t="str">
        <x:f>IF(L9&lt;&gt;"READY","PENDING",IF(MIN(G9:H9)&gt;='Parametri'!B17,"N/A",IF(OR(C10="NOT AVAILABLE",C10="SOURCE CONFLICT"),"CRITICAL MISSING",IF(OR(COUNT(G10:H10)&lt;&gt;2,K10&lt;&gt;"INTEGRAT IN MODELE"),"PENDING",IF(MIN(G10:H10)&lt;=0,"INVALID",IF(OR(C10="NOT AVAILABLE",C10="SOURCE CONFLICT"),"CRITICAL MISSING",IF(OR(C10="VERIFIED",C10="DERIVED",C10="PRIOR / SHRINKAGE"),IF(OR(D10="",COUNT(E10:F10)&lt;&gt;2,I10="",J10="",NOT(ISNUMBER('Input_Meci'!B6))),"PENDING",IF(OR(J10&lt;&gt;"DA",E10&gt;'Input_Meci'!B6,F10&gt;'Input_Meci'!B6,F10&gt;E10),"INVALID","READY")),"PENDING")))))))</x:f>
        <x:v>PENDING</x:v>
      </x:c>
    </x:row>
    <x:row r="11" ht="55" customHeight="1">
      <x:c r="A11" s="193" t="str">
        <x:v>Context și absențe</x:v>
      </x:c>
      <x:c r="B11" s="193" t="str">
        <x:v>G1</x:v>
      </x:c>
      <x:c r="C11" s="195" t="str">
        <x:v>AVAILABLE - NOT CHECKED</x:v>
      </x:c>
      <x:c r="D11" s="195"/>
      <x:c r="E11" s="196"/>
      <x:c r="F11" s="196"/>
      <x:c r="G11" s="195"/>
      <x:c r="H11" s="195"/>
      <x:c r="I11" s="195"/>
      <x:c r="J11" s="195"/>
      <x:c r="K11" s="195"/>
      <x:c r="L11" s="193" t="str">
        <x:f>IF(OR(K11="IMPACT NEREZOLVAT",C11="SOURCE CONFLICT"),"REVIEW",IF(OR(AND(C11="PENDING OFFICIAL",K11="REFRESH PRE-XI"),AND(OR(C11="NOT AVAILABLE",C11="PROXY ONLY"),OR(K11="INTEGRAT IN MODELE",K11="FARA IMPACT MATERIAL"))),IF(IF(OR(D11="",COUNT(E11:F11)&lt;&gt;2,I11="",J11="",NOT(ISNUMBER('Input_Meci'!B6))),"PENDING",IF(OR(J11&lt;&gt;"DA",E11&gt;'Input_Meci'!B6,F11&gt;'Input_Meci'!B6,F11&gt;E11),"INVALID","READY"))="READY","CONDITIONAL",IF(OR(D11="",COUNT(E11:F11)&lt;&gt;2,I11="",J11="",NOT(ISNUMBER('Input_Meci'!B6))),"PENDING",IF(OR(J11&lt;&gt;"DA",E11&gt;'Input_Meci'!B6,F11&gt;'Input_Meci'!B6,F11&gt;E11),"INVALID","READY"))),IF(OR(K11="INTEGRAT IN MODELE",K11="FARA IMPACT MATERIAL"),IF(OR(C11="NOT AVAILABLE",C11="SOURCE CONFLICT"),"REVIEW",IF(OR(C11="VERIFIED",C11="DERIVED",C11="PRIOR / SHRINKAGE"),IF(OR(D11="",COUNT(E11:F11)&lt;&gt;2,I11="",J11="",NOT(ISNUMBER('Input_Meci'!B6))),"PENDING",IF(OR(J11&lt;&gt;"DA",E11&gt;'Input_Meci'!B6,F11&gt;'Input_Meci'!B6,F11&gt;E11),"INVALID","READY")),"PENDING")),"PENDING")))</x:f>
        <x:v>PENDING</x:v>
      </x:c>
    </x:row>
    <x:row r="12" ht="55" customHeight="1">
      <x:c r="A12" s="193" t="str">
        <x:v>Fragilitate favorit 1X</x:v>
      </x:c>
      <x:c r="B12" s="193" t="str">
        <x:v>CONDIȚIONAL</x:v>
      </x:c>
      <x:c r="C12" s="195" t="str">
        <x:v>AVAILABLE - NOT CHECKED</x:v>
      </x:c>
      <x:c r="D12" s="195"/>
      <x:c r="E12" s="196"/>
      <x:c r="F12" s="196"/>
      <x:c r="G12" s="195"/>
      <x:c r="H12" s="195"/>
      <x:c r="I12" s="195"/>
      <x:c r="J12" s="195"/>
      <x:c r="K12" s="195"/>
      <x:c r="L12" s="193" t="str">
        <x:f>IF('Input_Meci'!B43="NU","N/A",IF('Input_Meci'!B43&lt;&gt;"DA","PENDING",IF(OR(C12="NOT AVAILABLE",C12="SOURCE CONFLICT"),"REVIEW",IF(OR(C12="VERIFIED",C12="DERIVED",C12="PRIOR / SHRINKAGE"),IF(OR(D12="",COUNT(E12:F12)&lt;&gt;2,I12="",J12="",NOT(ISNUMBER('Input_Meci'!B6))),"PENDING",IF(OR(J12&lt;&gt;"DA",E12&gt;'Input_Meci'!B6,F12&gt;'Input_Meci'!B6,F12&gt;E12),"INVALID","READY")),"PENDING"))))</x:f>
        <x:v>PENDING</x:v>
      </x:c>
    </x:row>
    <x:row r="13">
      <x:c r="A13" s="198"/>
      <x:c r="B13" s="198"/>
      <x:c r="C13" s="198"/>
      <x:c r="D13" s="198"/>
      <x:c r="E13" s="198"/>
      <x:c r="F13" s="198"/>
      <x:c r="G13" s="198"/>
      <x:c r="H13" s="198"/>
      <x:c r="I13" s="198"/>
      <x:c r="J13" s="198"/>
      <x:c r="K13" s="198"/>
      <x:c r="L13" s="198"/>
    </x:row>
    <x:row r="14">
      <x:c r="A14" s="198"/>
      <x:c r="B14" s="198"/>
      <x:c r="C14" s="198"/>
      <x:c r="D14" s="198"/>
      <x:c r="E14" s="198"/>
      <x:c r="F14" s="198"/>
      <x:c r="G14" s="198"/>
      <x:c r="H14" s="198"/>
      <x:c r="I14" s="198"/>
      <x:c r="J14" s="198"/>
      <x:c r="K14" s="198"/>
      <x:c r="L14" s="198"/>
    </x:row>
    <x:row r="15">
      <x:c r="A15" s="198" t="str">
        <x:v>Stare comună</x:v>
      </x:c>
      <x:c r="B15" s="198"/>
      <x:c r="C15" s="198"/>
      <x:c r="D15" s="198"/>
      <x:c r="E15" s="198"/>
      <x:c r="F15" s="198"/>
      <x:c r="G15" s="198"/>
      <x:c r="H15" s="198"/>
      <x:c r="I15" s="198"/>
      <x:c r="J15" s="198"/>
      <x:c r="K15" s="198"/>
      <x:c r="L15" s="198" t="str">
        <x:f>IF(COUNTIF(L5:L10,"CRITICAL MISSING")&gt;0,"CRITICAL MISSING",IF(COUNTIF(L5:L11,"INVALID")&gt;0,"INVALID",IF(OR(COUNTIF(L5:L11,"PENDING")&gt;0,COUNTIF(L5:L11,"REVIEW")&gt;0),"PENDING",IF(L11="CONDITIONAL","CONDITIONAL","READY"))))</x:f>
        <x:v>PENDING</x:v>
      </x:c>
    </x:row>
    <x:row r="16">
      <x:c r="A16" s="198"/>
      <x:c r="B16" s="198"/>
      <x:c r="C16" s="198"/>
      <x:c r="D16" s="198"/>
      <x:c r="E16" s="198"/>
      <x:c r="F16" s="198"/>
      <x:c r="G16" s="198"/>
      <x:c r="H16" s="198"/>
      <x:c r="I16" s="198"/>
      <x:c r="J16" s="198"/>
      <x:c r="K16" s="198"/>
      <x:c r="L16" s="198"/>
    </x:row>
    <x:row r="17">
      <x:c r="A17" s="198"/>
      <x:c r="B17" s="198"/>
      <x:c r="C17" s="198"/>
      <x:c r="D17" s="198"/>
      <x:c r="E17" s="198"/>
      <x:c r="F17" s="198"/>
      <x:c r="G17" s="198"/>
      <x:c r="H17" s="198"/>
      <x:c r="I17" s="198"/>
      <x:c r="J17" s="198"/>
      <x:c r="K17" s="198"/>
      <x:c r="L17" s="198"/>
    </x:row>
    <x:row r="18">
      <x:c r="A18" s="198" t="str">
        <x:v>VERIFIED / DERIVED</x:v>
      </x:c>
      <x:c r="B18" s="198" t="str">
        <x:v>Date verificate sau derivate cu metodă și trasabilitate.</x:v>
      </x:c>
      <x:c r="C18" s="198"/>
      <x:c r="D18" s="198"/>
      <x:c r="E18" s="198"/>
      <x:c r="F18" s="198"/>
      <x:c r="G18" s="198"/>
      <x:c r="H18" s="198"/>
      <x:c r="I18" s="198"/>
      <x:c r="J18" s="198"/>
      <x:c r="K18" s="198"/>
      <x:c r="L18" s="198"/>
    </x:row>
    <x:row r="19">
      <x:c r="A19" s="198" t="str">
        <x:v>PENDING</x:v>
      </x:c>
      <x:c r="B19" s="198" t="str">
        <x:v>Verificare necesară. Nu este o probabilitate și nu înseamnă automat nivel 5.</x:v>
      </x:c>
      <x:c r="C19" s="198"/>
      <x:c r="D19" s="198"/>
      <x:c r="E19" s="198"/>
      <x:c r="F19" s="198"/>
      <x:c r="G19" s="198"/>
      <x:c r="H19" s="198"/>
      <x:c r="I19" s="198"/>
      <x:c r="J19" s="198"/>
      <x:c r="K19" s="198"/>
      <x:c r="L19" s="198"/>
    </x:row>
    <x:row r="20">
      <x:c r="A20" s="198" t="str">
        <x:v>CRITICAL MISSING</x:v>
      </x:c>
      <x:c r="B20" s="198" t="str">
        <x:v>Input critic NOT AVAILABLE sau SOURCE CONFLICT: NO BET pentru selecția afectată.</x:v>
      </x:c>
      <x:c r="C20" s="198"/>
      <x:c r="D20" s="198"/>
      <x:c r="E20" s="198"/>
      <x:c r="F20" s="198"/>
      <x:c r="G20" s="198"/>
      <x:c r="H20" s="198"/>
      <x:c r="I20" s="198"/>
      <x:c r="J20" s="198"/>
      <x:c r="K20" s="198"/>
      <x:c r="L20" s="198"/>
    </x:row>
    <x:row r="21">
      <x:c r="A21" s="198" t="str">
        <x:v>CONDITIONAL</x:v>
      </x:c>
      <x:c r="B21" s="198" t="str">
        <x:v>Context G1 documentat; se păstrează refresh-ul, fără un hard fail generic.</x:v>
      </x:c>
      <x:c r="C21" s="198"/>
      <x:c r="D21" s="198"/>
      <x:c r="E21" s="198"/>
      <x:c r="F21" s="198"/>
      <x:c r="G21" s="198"/>
      <x:c r="H21" s="198"/>
      <x:c r="I21" s="198"/>
      <x:c r="J21" s="198"/>
      <x:c r="K21" s="198"/>
      <x:c r="L21" s="198"/>
    </x:row>
    <x:row r="22">
      <x:c r="A22" s="198" t="str">
        <x:v>N/A</x:v>
      </x:c>
      <x:c r="B22" s="198" t="str">
        <x:v>Priorul nu este necesar la N ≥ 8 sau auditul favoritului nu se aplică.</x:v>
      </x:c>
      <x:c r="C22" s="198"/>
      <x:c r="D22" s="198"/>
      <x:c r="E22" s="198"/>
      <x:c r="F22" s="198"/>
      <x:c r="G22" s="198"/>
      <x:c r="H22" s="198"/>
      <x:c r="I22" s="198"/>
      <x:c r="J22" s="198"/>
      <x:c r="K22" s="198"/>
      <x:c r="L22" s="198"/>
    </x:row>
    <x:row r="23">
      <x:c r="A23" s="198" t="str">
        <x:v>Prior extern</x:v>
      </x:c>
      <x:c r="B23" s="198" t="str">
        <x:v>N curent se introduce în Input_Meci; N prior, sursa și metoda se documentează aici.</x:v>
      </x:c>
      <x:c r="C23" s="198"/>
      <x:c r="D23" s="198"/>
      <x:c r="E23" s="198"/>
      <x:c r="F23" s="198"/>
      <x:c r="G23" s="198"/>
      <x:c r="H23" s="198"/>
      <x:c r="I23" s="198"/>
      <x:c r="J23" s="198"/>
      <x:c r="K23" s="198"/>
      <x:c r="L23" s="198"/>
    </x:row>
    <x:row r="24">
      <x:c r="A24" s="198" t="str">
        <x:v>Momente</x:v>
      </x:c>
      <x:c r="B24" s="198" t="str">
        <x:v>Verificat la și cutoff sunt date Excel cu oră; ambele trebuie să fie cel târziu la kickoff.</x:v>
      </x:c>
      <x:c r="C24" s="198"/>
      <x:c r="D24" s="198"/>
      <x:c r="E24" s="198"/>
      <x:c r="F24" s="198"/>
      <x:c r="G24" s="198"/>
      <x:c r="H24" s="198"/>
      <x:c r="I24" s="198"/>
      <x:c r="J24" s="198"/>
      <x:c r="K24" s="198"/>
      <x:c r="L24" s="198"/>
    </x:row>
    <x:row r="25">
      <x:c r="A25" s="198" t="str">
        <x:v>Matrice de referință</x:v>
      </x:c>
      <x:c r="B25" s="198" t="str">
        <x:v>Matrice_lipsa_date_v4; Cadru_unificat_analiza_si_risc_pariuri_v5.</x:v>
      </x:c>
      <x:c r="C25" s="198"/>
      <x:c r="D25" s="198"/>
      <x:c r="E25" s="198"/>
      <x:c r="F25" s="198"/>
      <x:c r="G25" s="198"/>
      <x:c r="H25" s="198"/>
      <x:c r="I25" s="198"/>
      <x:c r="J25" s="198"/>
      <x:c r="K25" s="198"/>
      <x:c r="L25" s="198"/>
    </x:row>
  </x:sheetData>
  <x:dataValidations count="3">
    <x:dataValidation type="list" sqref="C5:C12">
      <x:formula1>"VERIFIED,DERIVED,AVAILABLE - NOT CHECKED,PENDING OFFICIAL,SMALL SAMPLE,PRIOR / SHRINKAGE,PROXY ONLY,SOURCE CONFLICT,NOT AVAILABLE"</x:formula1>
    </x:dataValidation>
    <x:dataValidation type="list" sqref="J5:J12">
      <x:formula1>"DA,NU"</x:formula1>
    </x:dataValidation>
    <x:dataValidation type="list" sqref="K10:K11">
      <x:formula1>"INTEGRAT IN MODELE,FARA IMPACT MATERIAL,REFRESH PRE-XI,IMPACT NEREZOLVAT"</x:formula1>
    </x:dataValidation>
  </x:dataValidations>
  <x:pageMargins left="0.7" right="0.7" top="0.75" bottom="0.75" header="0.3" footer="0.3"/>
</x:worksheet>
</file>