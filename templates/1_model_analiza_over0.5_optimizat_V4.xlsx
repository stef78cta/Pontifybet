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4583788b8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671f1b7130d4eda"/>
    <x:sheet xmlns:r="http://schemas.openxmlformats.org/officeDocument/2006/relationships" name="Analize meciuri" sheetId="2" r:id="Rd251df4c09b349a4"/>
    <x:sheet xmlns:r="http://schemas.openxmlformats.org/officeDocument/2006/relationships" name="Setari model" sheetId="3" r:id="Ra325caeb65f24efa"/>
    <x:sheet xmlns:r="http://schemas.openxmlformats.org/officeDocument/2006/relationships" name="Surse cercetare" sheetId="5" r:id="Ra8620a7150dd4290"/>
    <x:sheet xmlns:r="http://schemas.openxmlformats.org/officeDocument/2006/relationships" name="Backtest" sheetId="6" r:id="Re99ffaf8c0c6407f"/>
    <x:sheet xmlns:r="http://schemas.openxmlformats.org/officeDocument/2006/relationships" name="Risk_Classification" sheetId="10" r:id="R00766521e8b24ed0"/>
    <x:sheet xmlns:r="http://schemas.openxmlformats.org/officeDocument/2006/relationships" name="ZeroMass_Gate_v4" sheetId="12" r:id="Re2ff2e0dc7494826"/>
    <x:sheet xmlns:r="http://schemas.openxmlformats.org/officeDocument/2006/relationships" name="Frozen_Predictions" sheetId="13" r:id="Rd00f25eafe3e4803"/>
    <x:sheet xmlns:r="http://schemas.openxmlformats.org/officeDocument/2006/relationships" name="Settlement" sheetId="14" r:id="R8fee511aa6da4046"/>
    <x:sheet xmlns:r="http://schemas.openxmlformats.org/officeDocument/2006/relationships" name="Risk_Level_Summary" sheetId="15" r:id="Raff71b86c4ed4444"/>
    <x:sheet xmlns:r="http://schemas.openxmlformats.org/officeDocument/2006/relationships" name="Calibration" sheetId="16" r:id="Ra37d9b0e366e4cb4"/>
    <x:sheet xmlns:r="http://schemas.openxmlformats.org/officeDocument/2006/relationships" name="Fail_Distribution" sheetId="17" r:id="R2112db5a5dc04d1c"/>
    <x:sheet xmlns:r="http://schemas.openxmlformats.org/officeDocument/2006/relationships" name="League_Summary" sheetId="18" r:id="R4ab7db2187954d77"/>
    <x:sheet xmlns:r="http://schemas.openxmlformats.org/officeDocument/2006/relationships" name="Monthly_Summary" sheetId="19" r:id="R225ba271a88b4095"/>
    <x:sheet xmlns:r="http://schemas.openxmlformats.org/officeDocument/2006/relationships" name="Builder_Marginal_Fails" sheetId="20" r:id="R62f9af1403c94f19"/>
    <x:sheet xmlns:r="http://schemas.openxmlformats.org/officeDocument/2006/relationships" name="Backtest_Summary" sheetId="21" r:id="R85eba5e461c74a5f"/>
    <x:sheet xmlns:r="http://schemas.openxmlformats.org/officeDocument/2006/relationships" name="ZeroMass_WF_v4" sheetId="22" r:id="Rec9f319c423f4811"/>
    <x:sheet xmlns:r="http://schemas.openxmlformats.org/officeDocument/2006/relationships" name="ZeroMass_Gate_v5" sheetId="25" r:id="Rd21728e7df9b4e9d"/>
    <x:sheet xmlns:r="http://schemas.openxmlformats.org/officeDocument/2006/relationships" name="CHANGELOG_VERSIUNI" sheetId="32" r:id="R66c0d5c5bae04de4"/>
    <x:sheet xmlns:r="http://schemas.openxmlformats.org/officeDocument/2006/relationships" name="DOCUMENTATIE_MODEL" sheetId="33" r:id="R22e62756141c41ab"/>
  </x:sheets>
</x:workbook>
</file>

<file path=xl/comments1.xml><?xml version="1.0" encoding="utf-8"?>
<x:comments xmlns:x="http://schemas.openxmlformats.org/spreadsheetml/2006/main">
  <x:authors>
    <x:author>tc={53EDB77E-1F81-426A-8B2A-A6D3544862EA}</x:author>
    <x:author>tc={19FC4335-1EF8-4E39-B899-CCFC2F7EB4D4}</x:author>
    <x:author>tc={1A0F8E5A-8664-401D-B428-69A72FFD4ECF}</x:author>
  </x:authors>
  <x:commentList>
    <x:comment ref="BQ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λ bază combină șase componente cu ponderi preluate din foaia Setari model, în funcție de tipul competiției.</x:t>
        </x:r>
      </x:text>
    </x:comment>
    <x:comment ref="BW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 centrală: P(Over 0,5)=1−P(0−0). P(0−0) pornește din Poisson și este calibrată cu rata 0−0 a competiției și frecvențele empirice ale echipelor.</x:t>
        </x:r>
      </x:text>
    </x:comment>
    <x:comment ref="CE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Confidence Score nu este probabilitatea pariului. Măsoară completitudinea, eșantionul, acordul componentelor, calitatea surselor, confirmarea loturilor și contradicțiile.</x:t>
        </x:r>
      </x:text>
    </x:comment>
  </x:commentList>
</x:comments>
</file>

<file path=xl/comments2.xml><?xml version="1.0" encoding="utf-8"?>
<x:comments xmlns:x="http://schemas.openxmlformats.org/spreadsheetml/2006/main">
  <x:authors>
    <x:author>tc={6E38F5A0-7D2A-4B53-B441-3D403B7491A7}</x:author>
    <x:author>tc={AAB2E068-DFDA-4484-865E-499D8EF2E954}</x:author>
  </x:authors>
  <x:commentList>
    <x:comment ref="B12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Ponderea de 45% face ca nucleul «λ moderat + finishing slab + xGF relevant» să fie componenta dominantă a scorului v5. Pragurile de selecție nu sunt schimbate.</x:t>
        </x:r>
      </x:text>
    </x:comment>
    <x:comment ref="B12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Majorarea maximă de 20% se aplică probabilității P0, nu probabilității Over 0,5. Capurile 90/91/92/94% rămân identice cu v4.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<x:sst xmlns:x="http://schemas.openxmlformats.org/spreadsheetml/2006/main">
  <x:si>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DASHBOARD – ANALIZĂ PARIU OVER 0,5 GOLURI</x:t>
  </x:si>
  <x:si>
    <x:t xml:space="preserve">Componentă λ</x:t>
  </x:si>
  <x:si>
    <x:t xml:space="preserve">Valoare</x:t>
  </x:si>
  <x:si>
    <x:t xml:space="preserve">Match ID</x:t>
  </x:si>
  <x:si>
    <x:t xml:space="preserve">DEMO-LIGA-001</x:t>
  </x:si>
  <x:si>
    <x:t xml:space="preserve">λ sezon goluri</x:t>
  </x:si>
  <x:si>
    <x:t xml:space="preserve">λ sezon xG</x:t>
  </x:si>
  <x:si>
    <x:t xml:space="preserve">MECI ANALIZAT</x:t>
  </x:si>
  <x:si>
    <x:t xml:space="preserve">λ recent goluri</x:t>
  </x:si>
  <x:si>
    <x:t xml:space="preserve">Gazde</x:t>
  </x:si>
  <x:si>
    <x:t xml:space="preserve">Oaspeți</x:t>
  </x:si>
  <x:si>
    <x:t xml:space="preserve">Competiție</x:t>
  </x:si>
  <x:si>
    <x:t xml:space="preserve">Tip</x:t>
  </x:si>
  <x:si>
    <x:t xml:space="preserve">λ recent xG</x:t>
  </x:si>
  <x:si>
    <x:t xml:space="preserve">Data</x:t>
  </x:si>
  <x:si>
    <x:t xml:space="preserve">Context</x:t>
  </x:si>
  <x:si>
    <x:t xml:space="preserve">Surse calitate</x:t>
  </x:si>
  <x:si>
    <x:t xml:space="preserve">Loturi confirmate</x:t>
  </x:si>
  <x:si>
    <x:t xml:space="preserve">λ H2H</x:t>
  </x:si>
  <x:si>
    <x:t xml:space="preserve">λ piață</x:t>
  </x:si>
  <x:si>
    <x:t xml:space="preserve">INDICATORI PRINCIPALI</x:t>
  </x:si>
  <x:si>
    <x:t xml:space="preserve">P0 recalibrat v5</x:t>
  </x:si>
  <x:si>
    <x:t xml:space="preserve">P Over 0,5 v5</x:t>
  </x:si>
  <x:si>
    <x:t xml:space="preserve">Cotă fair v5</x:t>
  </x:si>
  <x:si>
    <x:t xml:space="preserve">Confidence v5</x:t>
  </x:si>
  <x:si>
    <x:t xml:space="preserve">Cotă bookmaker</x:t>
  </x:si>
  <x:si>
    <x:t xml:space="preserve">Prob. piață reală</x:t>
  </x:si>
  <x:si>
    <x:t xml:space="preserve">Edge v5</x:t>
  </x:si>
  <x:si>
    <x:t xml:space="preserve">EV v5</x:t>
  </x:si>
  <x:si>
    <x:t xml:space="preserve">DECIZIE</x:t>
  </x:si>
  <x:si>
    <x:t xml:space="preserve">Steag risc</x:t>
  </x:si>
  <x:si>
    <x:t xml:space="preserve">Verdict final</x:t>
  </x:si>
  <x:si>
    <x:t xml:space="preserve">FILTRU DE CALITATE ȘI VALOARE</x:t>
  </x:si>
  <x:si>
    <x:t xml:space="preserve">Condiție</x:t>
  </x:si>
  <x:si>
    <x:t xml:space="preserve">Rezultat</x:t>
  </x:si>
  <x:si>
    <x:t xml:space="preserve">Status</x:t>
  </x:si>
  <x:si>
    <x:t xml:space="preserve">Probabilitatea ≥ prag recomandat</x:t>
  </x:si>
  <x:si>
    <x:t xml:space="preserve">Confidence ≥ prag recomandat</x:t>
  </x:si>
  <x:si>
    <x:t xml:space="preserve">Edge ≥ prag recomandat</x:t>
  </x:si>
  <x:si>
    <x:t xml:space="preserve">EV ≥ prag recomandat</x:t>
  </x:si>
  <x:si>
    <x:t xml:space="preserve">Completitudine ≥ 70%</x:t>
  </x:si>
  <x:si>
    <x:t xml:space="preserve">Indicator cercetare</x:t>
  </x:si>
  <x:si>
    <x:t xml:space="preserve">Scor eșantion ≥ 70%</x:t>
  </x:si>
  <x:si>
    <x:t xml:space="preserve">Website-uri consultate</x:t>
  </x:si>
  <x:si>
    <x:t xml:space="preserve">Acord componente ≥ 60%</x:t>
  </x:si>
  <x:si>
    <x:t xml:space="preserve">Risc diferit de RIDICAT</x:t>
  </x:si>
  <x:si>
    <x:t xml:space="preserve">Data cercetării</x:t>
  </x:si>
  <x:si>
    <x:t xml:space="preserve">Metodologie</x:t>
  </x:si>
  <x:si>
    <x:t xml:space="preserve">RAȚIONAMENT ȘI SURSE</x:t>
  </x:si>
  <x:si>
    <x:t xml:space="preserve">MODEL ANALIZĂ OVER 0,5 GOLURI – BAZĂ MULTI-MECI</x:t>
  </x:si>
  <x:si>
    <x:t xml:space="preserve">EXTENSIE METODOLOGIE v1.1 – MODEL OVER 0,5 V2</x:t>
  </x:si>
  <x:si>
    <x:t xml:space="preserve">UPDATE P0 30.08 – MODEL OVER 0,5 V3 | ZERO-MASS TEAM + LIGĂ</x:t>
  </x:si>
  <x:si>
    <x:t xml:space="preserve">MODEL OVER 0,5 V5 – UPDATE INCREMENTAL LOW-CONVERSION</x:t>
  </x:si>
  <x:si>
    <x:t xml:space="preserve">INFORMAȚII MECI</x:t>
  </x:si>
  <x:si>
    <x:t xml:space="preserve">SEZON HOME/AWAY</x:t>
  </x:si>
  <x:si>
    <x:t xml:space="preserve">FORMĂ RECENTĂ</x:t>
  </x:si>
  <x:si>
    <x:t xml:space="preserve">H2H ȘI COMPETIȚIE</x:t>
  </x:si>
  <x:si>
    <x:t xml:space="preserve">PIAȚĂ ȘI CALITATE</x:t>
  </x:si>
  <x:si>
    <x:t xml:space="preserve">CONTEXT</x:t>
  </x:si>
  <x:si>
    <x:t xml:space="preserve">NOTE ȘI SURSE</x:t>
  </x:si>
  <x:si>
    <x:t xml:space="preserve">CALCULE AUTOMATE</x:t>
  </x:si>
  <x:si>
    <x:t xml:space="preserve">INTRĂRI V2: REGIM • CALITATE • LINEUP • LIVE • PORTOFOLIU</x:t>
  </x:si>
  <x:si>
    <x:t xml:space="preserve">CALCULE ȘI DECIZIE V2</x:t>
  </x:si>
  <x:si>
    <x:t xml:space="preserve">INTRĂRI ZERO-RISK V3</x:t>
  </x:si>
  <x:si>
    <x:t xml:space="preserve">RECALIBRARE ZIP/DC, PLAFOANE ȘI DECIZIE V3</x:t>
  </x:si>
  <x:si>
    <x:t xml:space="preserve">INTRĂRI RECENTE V5</x:t>
  </x:si>
  <x:si>
    <x:t xml:space="preserve">ZERO-MASS GATE V5 • FĂRĂ RELAXAREA PRAGURILOR</x:t>
  </x:si>
  <x:si>
    <x:t xml:space="preserve">Tip înregistrare</x:t>
  </x:si>
  <x:si>
    <x:t xml:space="preserve">Tip competiție</x:t>
  </x:si>
  <x:si>
    <x:t xml:space="preserve">Etapă/context</x:t>
  </x:si>
  <x:si>
    <x:t xml:space="preserve">N gazde acasă</x:t>
  </x:si>
  <x:si>
    <x:t xml:space="preserve">GF gazde acasă</x:t>
  </x:si>
  <x:si>
    <x:t xml:space="preserve">GA gazde acasă</x:t>
  </x:si>
  <x:si>
    <x:t xml:space="preserve">xGF gazde acasă</x:t>
  </x:si>
  <x:si>
    <x:t xml:space="preserve">xGA gazde acasă</x:t>
  </x:si>
  <x:si>
    <x:t xml:space="preserve">O0.5 gazde acasă</x:t>
  </x:si>
  <x:si>
    <x:t xml:space="preserve">FTS gazde acasă</x:t>
  </x:si>
  <x:si>
    <x:t xml:space="preserve">N oaspeți deplasare</x:t>
  </x:si>
  <x:si>
    <x:t xml:space="preserve">GF oaspeți deplasare</x:t>
  </x:si>
  <x:si>
    <x:t xml:space="preserve">GA oaspeți deplasare</x:t>
  </x:si>
  <x:si>
    <x:t xml:space="preserve">xGF oaspeți deplasare</x:t>
  </x:si>
  <x:si>
    <x:t xml:space="preserve">xGA oaspeți deplasare</x:t>
  </x:si>
  <x:si>
    <x:t xml:space="preserve">O0.5 oaspeți deplasare</x:t>
  </x:si>
  <x:si>
    <x:t xml:space="preserve">FTS oaspeți deplasare</x:t>
  </x:si>
  <x:si>
    <x:t xml:space="preserve">N recent gazde</x:t>
  </x:si>
  <x:si>
    <x:t xml:space="preserve">GF recent gazde</x:t>
  </x:si>
  <x:si>
    <x:t xml:space="preserve">GA recent gazde</x:t>
  </x:si>
  <x:si>
    <x:t xml:space="preserve">xGF recent gazde</x:t>
  </x:si>
  <x:si>
    <x:t xml:space="preserve">xGA recent gazde</x:t>
  </x:si>
  <x:si>
    <x:t xml:space="preserve">N recent oaspeți</x:t>
  </x:si>
  <x:si>
    <x:t xml:space="preserve">GF recent oaspeți</x:t>
  </x:si>
  <x:si>
    <x:t xml:space="preserve">GA recent oaspeți</x:t>
  </x:si>
  <x:si>
    <x:t xml:space="preserve">xGF recent oaspeți</x:t>
  </x:si>
  <x:si>
    <x:t xml:space="preserve">xGA recent oaspeți</x:t>
  </x:si>
  <x:si>
    <x:t xml:space="preserve">N H2H</x:t>
  </x:si>
  <x:si>
    <x:t xml:space="preserve">Goluri medii H2H</x:t>
  </x:si>
  <x:si>
    <x:t xml:space="preserve">O0.5 H2H</x:t>
  </x:si>
  <x:si>
    <x:t xml:space="preserve">Medie goluri gazde comp.</x:t>
  </x:si>
  <x:si>
    <x:t xml:space="preserve">Medie goluri oaspeți comp.</x:t>
  </x:si>
  <x:si>
    <x:t xml:space="preserve">Medie total goluri comp.</x:t>
  </x:si>
  <x:si>
    <x:t xml:space="preserve">Rată 0-0 competiție</x:t>
  </x:si>
  <x:si>
    <x:t xml:space="preserve">N meciuri competiție</x:t>
  </x:si>
  <x:si>
    <x:t xml:space="preserve">Cotă 1</x:t>
  </x:si>
  <x:si>
    <x:t xml:space="preserve">Cotă X</x:t>
  </x:si>
  <x:si>
    <x:t xml:space="preserve">Cotă 2</x:t>
  </x:si>
  <x:si>
    <x:t xml:space="preserve">Cotă Over 0.5</x:t>
  </x:si>
  <x:si>
    <x:t xml:space="preserve">Cotă Under 0.5</x:t>
  </x:si>
  <x:si>
    <x:t xml:space="preserve">Calitate surse (1-5)</x:t>
  </x:si>
  <x:si>
    <x:t xml:space="preserve">Echipe start confirmate (0/1)</x:t>
  </x:si>
  <x:si>
    <x:t xml:space="preserve">Motivație (-2..2)</x:t>
  </x:si>
  <x:si>
    <x:t xml:space="preserve">Deschidere tactică (-2..2)</x:t>
  </x:si>
  <x:si>
    <x:t xml:space="preserve">Atac/absențe (-2..2)</x:t>
  </x:si>
  <x:si>
    <x:t xml:space="preserve">Apărare/absențe (-2..2)</x:t>
  </x:si>
  <x:si>
    <x:t xml:space="preserve">Rotație (-2..2)</x:t>
  </x:si>
  <x:si>
    <x:t xml:space="preserve">Oboseală (-2..2)</x:t>
  </x:si>
  <x:si>
    <x:t xml:space="preserve">Meteo (-2..2)</x:t>
  </x:si>
  <x:si>
    <x:t xml:space="preserve">Teren (-2..2)</x:t>
  </x:si>
  <x:si>
    <x:t xml:space="preserve">Arbitru/penalty (-2..2)</x:t>
  </x:si>
  <x:si>
    <x:t xml:space="preserve">Context tur/retur (-2..2)</x:t>
  </x:si>
  <x:si>
    <x:t xml:space="preserve">Dezechilibru valoric (-2..2)</x:t>
  </x:si>
  <x:si>
    <x:t xml:space="preserve">Contradicții date (0-2)</x:t>
  </x:si>
  <x:si>
    <x:t xml:space="preserve">Raționament analist</x:t>
  </x:si>
  <x:si>
    <x:t xml:space="preserve">Surse meci (URL-uri)</x:t>
  </x:si>
  <x:si>
    <x:t xml:space="preserve">Prob. piață O0.5</x:t>
  </x:si>
  <x:si>
    <x:t xml:space="preserve">λ bază</x:t>
  </x:si>
  <x:si>
    <x:t xml:space="preserve">Multiplicator context</x:t>
  </x:si>
  <x:si>
    <x:t xml:space="preserve">λ ajustat</x:t>
  </x:si>
  <x:si>
    <x:t xml:space="preserve">P(0-0) Poisson</x:t>
  </x:si>
  <x:si>
    <x:t xml:space="preserve">Factor zero ligă</x:t>
  </x:si>
  <x:si>
    <x:t xml:space="preserve">P0 calibrat</x:t>
  </x:si>
  <x:si>
    <x:t xml:space="preserve">P Over 0.5</x:t>
  </x:si>
  <x:si>
    <x:t xml:space="preserve">Cotă fair</x:t>
  </x:si>
  <x:si>
    <x:t xml:space="preserve">Prob. piață</x:t>
  </x:si>
  <x:si>
    <x:t xml:space="preserve">Edge</x:t>
  </x:si>
  <x:si>
    <x:t xml:space="preserve">EV</x:t>
  </x:si>
  <x:si>
    <x:t xml:space="preserve">Completitudine</x:t>
  </x:si>
  <x:si>
    <x:t xml:space="preserve">Scor eșantion</x:t>
  </x:si>
  <x:si>
    <x:t xml:space="preserve">Acord componente</x:t>
  </x:si>
  <x:si>
    <x:t xml:space="preserve">Confidence Score</x:t>
  </x:si>
  <x:si>
    <x:t xml:space="preserve">Verdict</x:t>
  </x:si>
  <x:si>
    <x:t xml:space="preserve">Raționament automat</x:t>
  </x:si>
  <x:si>
    <x:t xml:space="preserve">Surse consolidate</x:t>
  </x:si>
  <x:si>
    <x:t xml:space="preserve">Etapa numerică</x:t>
  </x:si>
  <x:si>
    <x:t xml:space="preserve">Gazde promovate (0/1)</x:t>
  </x:si>
  <x:si>
    <x:t xml:space="preserve">Oaspeți promovate (0/1)</x:t>
  </x:si>
  <x:si>
    <x:t xml:space="preserve">SOT gazde/meci</x:t>
  </x:si>
  <x:si>
    <x:t xml:space="preserve">SOT oaspeți/meci</x:t>
  </x:si>
  <x:si>
    <x:t xml:space="preserve">Big chances gazde/meci</x:t>
  </x:si>
  <x:si>
    <x:t xml:space="preserve">Big chances oaspeți/meci</x:t>
  </x:si>
  <x:si>
    <x:t xml:space="preserve">xG/șut gazde</x:t>
  </x:si>
  <x:si>
    <x:t xml:space="preserve">xG/șut oaspeți</x:t>
  </x:si>
  <x:si>
    <x:t xml:space="preserve">Touches box gazde/meci</x:t>
  </x:si>
  <x:si>
    <x:t xml:space="preserve">Touches box oaspeți/meci</x:t>
  </x:si>
  <x:si>
    <x:t xml:space="preserve">Set-piece xG gazde/meci</x:t>
  </x:si>
  <x:si>
    <x:t xml:space="preserve">Set-piece xG oaspeți/meci</x:t>
  </x:si>
  <x:si>
    <x:t xml:space="preserve">Cross-heavy gazde (0-2)</x:t>
  </x:si>
  <x:si>
    <x:t xml:space="preserve">Cross-heavy oaspeți (0-2)</x:t>
  </x:si>
  <x:si>
    <x:t xml:space="preserve">Atacant-cheie gazde disponibil</x:t>
  </x:si>
  <x:si>
    <x:t xml:space="preserve">Atacant-cheie oaspeți disponibil</x:t>
  </x:si>
  <x:si>
    <x:t xml:space="preserve">Portar-cheie gazde disponibil</x:t>
  </x:si>
  <x:si>
    <x:t xml:space="preserve">Portar-cheie oaspeți disponibil</x:t>
  </x:si>
  <x:si>
    <x:t xml:space="preserve">Cotă O0.5 opening</x:t>
  </x:si>
  <x:si>
    <x:t xml:space="preserve">Cotă O0.5 closing</x:t>
  </x:si>
  <x:si>
    <x:t xml:space="preserve">Mod analiză</x:t>
  </x:si>
  <x:si>
    <x:t xml:space="preserve">Minut live</x:t>
  </x:si>
  <x:si>
    <x:t xml:space="preserve">Scor gazde live</x:t>
  </x:si>
  <x:si>
    <x:t xml:space="preserve">Scor oaspeți live</x:t>
  </x:si>
  <x:si>
    <x:t xml:space="preserve">xG gazde live</x:t>
  </x:si>
  <x:si>
    <x:t xml:space="preserve">xG oaspeți live</x:t>
  </x:si>
  <x:si>
    <x:t xml:space="preserve">SOT gazde live</x:t>
  </x:si>
  <x:si>
    <x:t xml:space="preserve">SOT oaspeți live</x:t>
  </x:si>
  <x:si>
    <x:t xml:space="preserve">Big chances gazde live</x:t>
  </x:si>
  <x:si>
    <x:t xml:space="preserve">Big chances oaspeți live</x:t>
  </x:si>
  <x:si>
    <x:t xml:space="preserve">Roșu gazde</x:t>
  </x:si>
  <x:si>
    <x:t xml:space="preserve">Roșu oaspeți</x:t>
  </x:si>
  <x:si>
    <x:t xml:space="preserve">Cotă O0.5 live</x:t>
  </x:si>
  <x:si>
    <x:t xml:space="preserve">Nr. selecții bilet</x:t>
  </x:si>
  <x:si>
    <x:t xml:space="preserve">Corelație portofoliu</x:t>
  </x:si>
  <x:si>
    <x:t xml:space="preserve">Bankroll</x:t>
  </x:si>
  <x:si>
    <x:t xml:space="preserve">Limită miză zilnică</x:t>
  </x:si>
  <x:si>
    <x:t xml:space="preserve">Fracție Kelly</x:t>
  </x:si>
  <x:si>
    <x:t xml:space="preserve">Factor calitate ofensivă</x:t>
  </x:si>
  <x:si>
    <x:t xml:space="preserve">Factor regim</x:t>
  </x:si>
  <x:si>
    <x:t xml:space="preserve">Factor lineup P0</x:t>
  </x:si>
  <x:si>
    <x:t xml:space="preserve">P0 ZIP/regim v2</x:t>
  </x:si>
  <x:si>
    <x:t xml:space="preserve">P Over0.5 v2</x:t>
  </x:si>
  <x:si>
    <x:t xml:space="preserve">Cotă fair v2</x:t>
  </x:si>
  <x:si>
    <x:t xml:space="preserve">Prob. piață reală v2</x:t>
  </x:si>
  <x:si>
    <x:t xml:space="preserve">Edge v2</x:t>
  </x:si>
  <x:si>
    <x:t xml:space="preserve">EV – IGNORAT v6</x:t>
  </x:si>
  <x:si>
    <x:t xml:space="preserve">Confidence v2</x:t>
  </x:si>
  <x:si>
    <x:t xml:space="preserve">Incertitudine ±</x:t>
  </x:si>
  <x:si>
    <x:t xml:space="preserve">Cap probabilitate</x:t>
  </x:si>
  <x:si>
    <x:t xml:space="preserve">Gate selecție tehnic v6</x:t>
  </x:si>
  <x:si>
    <x:t xml:space="preserve">P Over0.5 live</x:t>
  </x:si>
  <x:si>
    <x:t xml:space="preserve">EV live – IGNORAT v6</x:t>
  </x:si>
  <x:si>
    <x:t xml:space="preserve">Verdict tehnic v6</x:t>
  </x:si>
  <x:si>
    <x:t xml:space="preserve">Motiv verdict v6</x:t>
  </x:si>
  <x:si>
    <x:t xml:space="preserve">Miză recomandată % bankroll</x:t>
  </x:si>
  <x:si>
    <x:t xml:space="preserve">Miză recomandată lei</x:t>
  </x:si>
  <x:si>
    <x:t xml:space="preserve">Control portofoliu</x:t>
  </x:si>
  <x:si>
    <x:t xml:space="preserve">CLV</x:t>
  </x:si>
  <x:si>
    <x:t xml:space="preserve">Raționament v2</x:t>
  </x:si>
  <x:si>
    <x:t xml:space="preserve">Minut minim live activ</x:t>
  </x:si>
  <x:si>
    <x:t xml:space="preserve">Cap intensitate live activ</x:t>
  </x:si>
  <x:si>
    <x:t xml:space="preserve">λ rezidual live v2</x:t>
  </x:si>
  <x:si>
    <x:t xml:space="preserve">Rată 0-0 gazde acasă</x:t>
  </x:si>
  <x:si>
    <x:t xml:space="preserve">Rată 0-0 oaspeți deplasare</x:t>
  </x:si>
  <x:si>
    <x:t xml:space="preserve">Clean sheet gazde acasă</x:t>
  </x:si>
  <x:si>
    <x:t xml:space="preserve">Clean sheet oaspeți deplasare</x:t>
  </x:si>
  <x:si>
    <x:t xml:space="preserve">Rată 0-0 HT gazde acasă</x:t>
  </x:si>
  <x:si>
    <x:t xml:space="preserve">Rată 0-0 HT oaspeți deplasare</x:t>
  </x:si>
  <x:si>
    <x:t xml:space="preserve">Finishing vs xG gazde</x:t>
  </x:si>
  <x:si>
    <x:t xml:space="preserve">Finishing vs xG oaspeți</x:t>
  </x:si>
  <x:si>
    <x:t xml:space="preserve">Risc 0-0 team-specific</x:t>
  </x:si>
  <x:si>
    <x:t xml:space="preserve">Risc blank×clean-sheet reciproc</x:t>
  </x:si>
  <x:si>
    <x:t xml:space="preserve">Risc finishing</x:t>
  </x:si>
  <x:si>
    <x:t xml:space="preserve">Factor zero-mass v3</x:t>
  </x:si>
  <x:si>
    <x:t xml:space="preserve">P0 recalibrat v3</x:t>
  </x:si>
  <x:si>
    <x:t xml:space="preserve">Zero-risk complet</x:t>
  </x:si>
  <x:si>
    <x:t xml:space="preserve">Clasă zero-risk</x:t>
  </x:si>
  <x:si>
    <x:t xml:space="preserve">Cap probabilitate v3</x:t>
  </x:si>
  <x:si>
    <x:t xml:space="preserve">P Over0.5 v3</x:t>
  </x:si>
  <x:si>
    <x:t xml:space="preserve">Cotă fair v3</x:t>
  </x:si>
  <x:si>
    <x:t xml:space="preserve">Edge v3</x:t>
  </x:si>
  <x:si>
    <x:t xml:space="preserve">EV v3</x:t>
  </x:si>
  <x:si>
    <x:t xml:space="preserve">Confidence v3</x:t>
  </x:si>
  <x:si>
    <x:t xml:space="preserve">Gate selecție v3</x:t>
  </x:si>
  <x:si>
    <x:t xml:space="preserve">Verdict v3</x:t>
  </x:si>
  <x:si>
    <x:t xml:space="preserve">Motiv verdict v3</x:t>
  </x:si>
  <x:si>
    <x:t xml:space="preserve">Raționament v3</x:t>
  </x:si>
  <x:si>
    <x:t xml:space="preserve">Blank recent gazde</x:t>
  </x:si>
  <x:si>
    <x:t xml:space="preserve">Blank recent oaspeți</x:t>
  </x:si>
  <x:si>
    <x:t xml:space="preserve">Nr. 0-0 recente gazde</x:t>
  </x:si>
  <x:si>
    <x:t xml:space="preserve">Nr. 0-0 recente oaspeți</x:t>
  </x:si>
  <x:si>
    <x:t xml:space="preserve">Finishing recent gazde</x:t>
  </x:si>
  <x:si>
    <x:t xml:space="preserve">Finishing recent oaspeți</x:t>
  </x:si>
  <x:si>
    <x:t xml:space="preserve">Indice chance creation recent</x:t>
  </x:si>
  <x:si>
    <x:t xml:space="preserve">Ambele echipe blank recent</x:t>
  </x:si>
  <x:si>
    <x:t xml:space="preserve">Clean-sheet advers relevant</x:t>
  </x:si>
  <x:si>
    <x:t xml:space="preserve">λ moderat + finishing slab</x:t>
  </x:si>
  <x:si>
    <x:t xml:space="preserve">Acumulare 0-0 recentă</x:t>
  </x:si>
  <x:si>
    <x:t xml:space="preserve">Scor low-conversion v5</x:t>
  </x:si>
  <x:si>
    <x:t xml:space="preserve">Multiplicator P0 low-conversion</x:t>
  </x:si>
  <x:si>
    <x:t xml:space="preserve">P Over0.5 v5</x:t>
  </x:si>
  <x:si>
    <x:t xml:space="preserve">Motiv verdict v5</x:t>
  </x:si>
  <x:si>
    <x:t xml:space="preserve">Raționament v5</x:t>
  </x:si>
  <x:si>
    <x:t xml:space="preserve">Data Status</x:t>
  </x:si>
  <x:si>
    <x:t xml:space="preserve">Data Quality Risk</x:t>
  </x:si>
  <x:si>
    <x:t xml:space="preserve">Zero-Mass Risk</x:t>
  </x:si>
  <x:si>
    <x:t xml:space="preserve">Context Risk</x:t>
  </x:si>
  <x:si>
    <x:t xml:space="preserve">Model Uncertainty</x:t>
  </x:si>
  <x:si>
    <x:t xml:space="preserve">Compound Risk</x:t>
  </x:si>
  <x:si>
    <x:t xml:space="preserve">Risk Score</x:t>
  </x:si>
  <x:si>
    <x:t xml:space="preserve">Risk Level Base</x:t>
  </x:si>
  <x:si>
    <x:t xml:space="preserve">Final Risk Level</x:t>
  </x:si>
  <x:si>
    <x:t xml:space="preserve">Risk Class</x:t>
  </x:si>
  <x:si>
    <x:t xml:space="preserve">Risk Trace</x:t>
  </x:si>
  <x:si>
    <x:t xml:space="preserve">DEMO – înlocuiește</x:t>
  </x:si>
  <x:si>
    <x:t xml:space="preserve">Liga demonstrativă</x:t>
  </x:si>
  <x:si>
    <x:t xml:space="preserve">Campionat intern</x:t>
  </x:si>
  <x:si>
    <x:t xml:space="preserve">Etapa 7</x:t>
  </x:si>
  <x:si>
    <x:t xml:space="preserve">Gazde Demo A</x:t>
  </x:si>
  <x:si>
    <x:t xml:space="preserve">Oaspeți Demo B</x:t>
  </x:si>
  <x:si>
    <x:t xml:space="preserve">Exemplu pentru campionat; confirmați loturile și cotele înainte de utilizare.</x:t>
  </x:si>
  <x:si>
    <x:t xml:space="preserve">https://footystats.org/ ; https://understat.com/</x:t>
  </x:si>
  <x:si>
    <x:t xml:space="preserve">Pre-match</x:t>
  </x:si>
  <x:si>
    <x:t xml:space="preserve">DEMO-CUPA-002</x:t>
  </x:si>
  <x:si>
    <x:t xml:space="preserve">Cupă demonstrativă</x:t>
  </x:si>
  <x:si>
    <x:t xml:space="preserve">Cupa interna</x:t>
  </x:si>
  <x:si>
    <x:t xml:space="preserve">Tur eliminatoriu</x:t>
  </x:si>
  <x:si>
    <x:t xml:space="preserve">Favorită Demo</x:t>
  </x:si>
  <x:si>
    <x:t xml:space="preserve">Outsider Demo</x:t>
  </x:si>
  <x:si>
    <x:t xml:space="preserve">Diferență de valoare mare, dar rotația și lipsa informațiilor despre primul 11 reduc încrederea.</x:t>
  </x:si>
  <x:si>
    <x:t xml:space="preserve">https://www.transfermarkt.com/ ; https://www.sofascore.com/</x:t>
  </x:si>
  <x:si>
    <x:t xml:space="preserve">DEMO-EURO-TUR-003</x:t>
  </x:si>
  <x:si>
    <x:t xml:space="preserve">Competiție UEFA demonstrativă</x:t>
  </x:si>
  <x:si>
    <x:t xml:space="preserve">Europa - tur</x:t>
  </x:si>
  <x:si>
    <x:t xml:space="preserve">Play-off, tur</x:t>
  </x:si>
  <x:si>
    <x:t xml:space="preserve">Club Euro A</x:t>
  </x:si>
  <x:si>
    <x:t xml:space="preserve">Club Euro B</x:t>
  </x:si>
  <x:si>
    <x:t xml:space="preserve">Tur european echilibrat; contextul poate fi prudent, dar xG și piața susțin existența unui gol.</x:t>
  </x:si>
  <x:si>
    <x:t xml:space="preserve">https://www.uefa.com/ ; https://theanalyst.com/</x:t>
  </x:si>
  <x:si>
    <x:t xml:space="preserve">DEMO-EURO-RET-004</x:t>
  </x:si>
  <x:si>
    <x:t xml:space="preserve">Europa - retur</x:t>
  </x:si>
  <x:si>
    <x:t xml:space="preserve">Retur; gazdele trebuie să recupereze un gol</x:t>
  </x:si>
  <x:si>
    <x:t xml:space="preserve">Club Retur A</x:t>
  </x:si>
  <x:si>
    <x:t xml:space="preserve">Club Retur B</x:t>
  </x:si>
  <x:si>
    <x:t xml:space="preserve">Scorul agregat obligă gazdele să atace; ponderea contextului este mai mare la retur.</x:t>
  </x:si>
  <x:si>
    <x:t xml:space="preserve">https://www.uefa.com/ ; https://www.fotmob.com/</x:t>
  </x:si>
  <x:si>
    <x:t xml:space="preserve">DEMO-AMICAL-005</x:t>
  </x:si>
  <x:si>
    <x:t xml:space="preserve">Amical demonstrativ</x:t>
  </x:si>
  <x:si>
    <x:t xml:space="preserve">Amical</x:t>
  </x:si>
  <x:si>
    <x:t xml:space="preserve">Pregătire</x:t>
  </x:si>
  <x:si>
    <x:t xml:space="preserve">Selecționată Demo A</x:t>
  </x:si>
  <x:si>
    <x:t xml:space="preserve">Selecționată Demo B</x:t>
  </x:si>
  <x:si>
    <x:t xml:space="preserve">Amical cu eșantion mic și rotație probabilă; modelul trebuie să poată evita selecția.</x:t>
  </x:si>
  <x:si>
    <x:t xml:space="preserve">https://www.livescore.com/en/ ; https://www.goal.com/</x:t>
  </x:si>
  <x:si>
    <x:t xml:space="preserve">MODEL ADAPTIV OVER 0,5 GOLURI – SETĂRI ȘI PONDERI</x:t>
  </x:si>
  <x:si>
    <x:t xml:space="preserve">Ponderile se aplică automat după tipul competiției. Toate celulele albastre sunt ipoteze editabile.</x:t>
  </x:si>
  <x:si>
    <x:t xml:space="preserve">Sezon goluri</x:t>
  </x:si>
  <x:si>
    <x:t xml:space="preserve">Sezon xG</x:t>
  </x:si>
  <x:si>
    <x:t xml:space="preserve">Recent goluri</x:t>
  </x:si>
  <x:si>
    <x:t xml:space="preserve">Recent xG</x:t>
  </x:si>
  <x:si>
    <x:t xml:space="preserve">H2H</x:t>
  </x:si>
  <x:si>
    <x:t xml:space="preserve">Piață</x:t>
  </x:si>
  <x:si>
    <x:t xml:space="preserve">Intensitate context</x:t>
  </x:si>
  <x:si>
    <x:t xml:space="preserve">Multiplicator încredere</x:t>
  </x:si>
  <x:si>
    <x:t xml:space="preserve">Control</x:t>
  </x:si>
  <x:si>
    <x:t xml:space="preserve">International</x:t>
  </x:si>
  <x:si>
    <x:t xml:space="preserve">Turneu neutru</x:t>
  </x:si>
  <x:si>
    <x:t xml:space="preserve">COEFICIENȚI CONTEXTUALI (intrare -2…+2)</x:t>
  </x:si>
  <x:si>
    <x:t xml:space="preserve">Factor</x:t>
  </x:si>
  <x:si>
    <x:t xml:space="preserve">Impact pe punct</x:t>
  </x:si>
  <x:si>
    <x:t xml:space="preserve">Interpretare</x:t>
  </x:si>
  <x:si>
    <x:t xml:space="preserve">Motivație</x:t>
  </x:si>
  <x:si>
    <x:t xml:space="preserve">+ dacă obiectivul impune marcarea; - dacă remiza/gestionarea este suficientă</x:t>
  </x:si>
  <x:si>
    <x:t xml:space="preserve">Deschidere tactică</x:t>
  </x:si>
  <x:si>
    <x:t xml:space="preserve">+ joc vertical/presing; - bloc jos și ritm lent</x:t>
  </x:si>
  <x:si>
    <x:t xml:space="preserve">Atac / absențe</x:t>
  </x:si>
  <x:si>
    <x:t xml:space="preserve">+ titulari ofensivi disponibili; - absențe la finalizare/creație</x:t>
  </x:si>
  <x:si>
    <x:t xml:space="preserve">Apărare / absențe</x:t>
  </x:si>
  <x:si>
    <x:t xml:space="preserve">+ apărări slăbite; - defensive complete și stabile</x:t>
  </x:si>
  <x:si>
    <x:t xml:space="preserve">Rotație</x:t>
  </x:si>
  <x:si>
    <x:t xml:space="preserve">Efect net estimat; poate crește erorile sau reduce calitatea atacului</x:t>
  </x:si>
  <x:si>
    <x:t xml:space="preserve">Oboseală</x:t>
  </x:si>
  <x:si>
    <x:t xml:space="preserve">Efect net, ținând cont de zile de odihnă, minute și deplasări</x:t>
  </x:si>
  <x:si>
    <x:t xml:space="preserve">Meteo</x:t>
  </x:si>
  <x:si>
    <x:t xml:space="preserve">- pentru vânt/ploaie/căldură severă; 0 pentru condiții normale</x:t>
  </x:si>
  <x:si>
    <x:t xml:space="preserve">Teren</x:t>
  </x:si>
  <x:si>
    <x:t xml:space="preserve">- pentru suprafață slabă; + pentru suprafață rapidă și bună</x:t>
  </x:si>
  <x:si>
    <x:t xml:space="preserve">Arbitru / penalty</x:t>
  </x:si>
  <x:si>
    <x:t xml:space="preserve">Pondere mică: rata brută este puternic influențată de echipele arbitrate</x:t>
  </x:si>
  <x:si>
    <x:t xml:space="preserve">Context tur/retur</x:t>
  </x:si>
  <x:si>
    <x:t xml:space="preserve">+ când scorul agregat obligă atacul; - când ambele pot temporiza</x:t>
  </x:si>
  <x:si>
    <x:t xml:space="preserve">Dezechilibru valoric</x:t>
  </x:si>
  <x:si>
    <x:t xml:space="preserve">+ când favorita poate produce singură golul; - dacă favorita rotește masiv</x:t>
  </x:si>
  <x:si>
    <x:t xml:space="preserve">IPOTEZE GLOBALE ȘI PRAGURI DE DECIZIE</x:t>
  </x:si>
  <x:si>
    <x:t xml:space="preserve">Parametru</x:t>
  </x:si>
  <x:si>
    <x:t xml:space="preserve">Rol în model</x:t>
  </x:si>
  <x:si>
    <x:t xml:space="preserve">k shrinkage sezon</x:t>
  </x:si>
  <x:si>
    <x:t xml:space="preserve">Eșantioanele mici sunt trase spre media competiției</x:t>
  </x:si>
  <x:si>
    <x:t xml:space="preserve">k shrinkage recent</x:t>
  </x:si>
  <x:si>
    <x:t xml:space="preserve">Reduce supra-reacția la ultimele rezultate</x:t>
  </x:si>
  <x:si>
    <x:t xml:space="preserve">Marjă implicită când lipsește Under 0,5</x:t>
  </x:si>
  <x:si>
    <x:t xml:space="preserve">Corecție aproximativă; preferă ambele cote când sunt disponibile</x:t>
  </x:si>
  <x:si>
    <x:t xml:space="preserve">Pondere max. calibrare 0-0 ligă</x:t>
  </x:si>
  <x:si>
    <x:t xml:space="preserve">Corectează abaterea Poisson folosind rata reală de 0-0</x:t>
  </x:si>
  <x:si>
    <x:t xml:space="preserve">Pondere max. zero empiric echipe</x:t>
  </x:si>
  <x:si>
    <x:t xml:space="preserve">Integrează frecvențele O0,5 home/away</x:t>
  </x:si>
  <x:si>
    <x:t xml:space="preserve">Prag P recomandat</x:t>
  </x:si>
  <x:si>
    <x:t xml:space="preserve">Probabilitate minimă pentru recomandare fermă</x:t>
  </x:si>
  <x:si>
    <x:t xml:space="preserve">Prag Confidence recomandat</x:t>
  </x:si>
  <x:si>
    <x:t xml:space="preserve">Încredere minimă</x:t>
  </x:si>
  <x:si>
    <x:t xml:space="preserve">Prag Edge recomandat</x:t>
  </x:si>
  <x:si>
    <x:t xml:space="preserve">Avantaj minim față de piață</x:t>
  </x:si>
  <x:si>
    <x:t xml:space="preserve">Prag EV recomandat</x:t>
  </x:si>
  <x:si>
    <x:t xml:space="preserve">Randament așteptat minim pe unitate</x:t>
  </x:si>
  <x:si>
    <x:t xml:space="preserve">Prag P cu prudență</x:t>
  </x:si>
  <x:si>
    <x:t xml:space="preserve">Probabilitate minimă pentru recomandare prudentă</x:t>
  </x:si>
  <x:si>
    <x:t xml:space="preserve">Prag Confidence cu prudență</x:t>
  </x:si>
  <x:si>
    <x:t xml:space="preserve">Încredere minimă pentru zona prudentă</x:t>
  </x:si>
  <x:si>
    <x:t xml:space="preserve">Prag Edge cu prudență</x:t>
  </x:si>
  <x:si>
    <x:t xml:space="preserve">Avantaj minim pentru zona prudentă</x:t>
  </x:si>
  <x:si>
    <x:t xml:space="preserve">Prag P neconcludent</x:t>
  </x:si>
  <x:si>
    <x:t xml:space="preserve">Sub acest nivel pariul este evitat</x:t>
  </x:si>
  <x:si>
    <x:t xml:space="preserve">Prag Confidence neconcludent</x:t>
  </x:si>
  <x:si>
    <x:t xml:space="preserve">Țintă eșantion</x:t>
  </x:si>
  <x:si>
    <x:t xml:space="preserve">Folosită la scorul de robustețe</x:t>
  </x:si>
  <x:si>
    <x:t xml:space="preserve">Toleranță dispersie componente</x:t>
  </x:si>
  <x:si>
    <x:t xml:space="preserve">Penalizează componentele contradictorii</x:t>
  </x:si>
  <x:si>
    <x:t xml:space="preserve">Țintă completitudine numerică</x:t>
  </x:si>
  <x:si>
    <x:t xml:space="preserve">Număr orientativ de intrări utile</x:t>
  </x:si>
  <x:si>
    <x:t xml:space="preserve">Pondere completitudine</x:t>
  </x:si>
  <x:si>
    <x:t xml:space="preserve">Pondere eșantion</x:t>
  </x:si>
  <x:si>
    <x:t xml:space="preserve">Pondere acord componente</x:t>
  </x:si>
  <x:si>
    <x:t xml:space="preserve">Pondere calitate surse</x:t>
  </x:si>
  <x:si>
    <x:t xml:space="preserve">Pondere echipe start</x:t>
  </x:si>
  <x:si>
    <x:t xml:space="preserve">Penalizare contradicție / nivel</x:t>
  </x:si>
  <x:si>
    <x:t xml:space="preserve">Scădere din Confidence Score</x:t>
  </x:si>
  <x:si>
    <x:t xml:space="preserve">Multiplicator context minim</x:t>
  </x:si>
  <x:si>
    <x:t xml:space="preserve">Limită de robustețe</x:t>
  </x:si>
  <x:si>
    <x:t xml:space="preserve">Multiplicator context maxim</x:t>
  </x:si>
  <x:si>
    <x:t xml:space="preserve">METODOLOGIE v1.1 – PARAMETRI IMPLEMENTAȚI ÎN V2</x:t>
  </x:si>
  <x:si>
    <x:t xml:space="preserve">Regulă operațională</x:t>
  </x:si>
  <x:si>
    <x:t xml:space="preserve">Eșantion minim early season</x:t>
  </x:si>
  <x:si>
    <x:t xml:space="preserve">Sub acest număr real home/away se aplică plafonul early.</x:t>
  </x:si>
  <x:si>
    <x:t xml:space="preserve">Cap probabilitate early/regim</x:t>
  </x:si>
  <x:si>
    <x:t xml:space="preserve">Plafon pentru eșantion &lt;5, promovate sau etapa 1.</x:t>
  </x:si>
  <x:si>
    <x:t xml:space="preserve">Cap probabilitate standard</x:t>
  </x:si>
  <x:si>
    <x:t xml:space="preserve">Plafon fără confirmarea completă a pieței și loturilor.</x:t>
  </x:si>
  <x:si>
    <x:t xml:space="preserve">Cap probabilitate confirmat</x:t>
  </x:si>
  <x:si>
    <x:t xml:space="preserve">Permis doar cu loturi, disponibilități-cheie și cotă reală.</x:t>
  </x:si>
  <x:si>
    <x:t xml:space="preserve">Majorare P0 regim major</x:t>
  </x:si>
  <x:si>
    <x:t xml:space="preserve">+25% P0 pentru promovate/etapa 1.</x:t>
  </x:si>
  <x:si>
    <x:t xml:space="preserve">Majorare P0 etapele 2-3</x:t>
  </x:si>
  <x:si>
    <x:t xml:space="preserve">+10% P0 în tranziția de început de sezon.</x:t>
  </x:si>
  <x:si>
    <x:t xml:space="preserve">N minim calibrare ligă</x:t>
  </x:si>
  <x:si>
    <x:t xml:space="preserve">Factorul zero al ligii ajunge la greutate maximă la 250 meciuri.</x:t>
  </x:si>
  <x:si>
    <x:t xml:space="preserve">Pondere max. zero real ligă v2</x:t>
  </x:si>
  <x:si>
    <x:t xml:space="preserve">Greutatea maximă a masei empirice 0-0 în ZIP.</x:t>
  </x:si>
  <x:si>
    <x:t xml:space="preserve">SOT bază / echipă</x:t>
  </x:si>
  <x:si>
    <x:t xml:space="preserve">Reper pentru calitatea ofensivă.</x:t>
  </x:si>
  <x:si>
    <x:t xml:space="preserve">Big chances bază / echipă</x:t>
  </x:si>
  <x:si>
    <x:t xml:space="preserve">Reper pentru ocazii mari.</x:t>
  </x:si>
  <x:si>
    <x:t xml:space="preserve">xG/șut bază</x:t>
  </x:si>
  <x:si>
    <x:t xml:space="preserve">Reper pentru calitatea medie a șuturilor.</x:t>
  </x:si>
  <x:si>
    <x:t xml:space="preserve">Touches box bază / echipă</x:t>
  </x:si>
  <x:si>
    <x:t xml:space="preserve">Reper pentru prezența în careu.</x:t>
  </x:si>
  <x:si>
    <x:t xml:space="preserve">Set-piece xG bază / echipă</x:t>
  </x:si>
  <x:si>
    <x:t xml:space="preserve">Reper pentru faze fixe.</x:t>
  </x:si>
  <x:si>
    <x:t xml:space="preserve">Factor calitate minim</x:t>
  </x:si>
  <x:si>
    <x:t xml:space="preserve">Limită inferioară pentru ajustarea calității ofensive.</x:t>
  </x:si>
  <x:si>
    <x:t xml:space="preserve">Factor calitate maxim</x:t>
  </x:si>
  <x:si>
    <x:t xml:space="preserve">Limită superioară pentru ajustarea calității ofensive.</x:t>
  </x:si>
  <x:si>
    <x:t xml:space="preserve">Penalizare cross-heavy / nivel</x:t>
  </x:si>
  <x:si>
    <x:t xml:space="preserve">Reduce factorul de calitate pentru volum steril de centrări.</x:t>
  </x:si>
  <x:si>
    <x:t xml:space="preserve">Majorare P0 atacant-cheie absent</x:t>
  </x:si>
  <x:si>
    <x:t xml:space="preserve">+8% P0 pentru fiecare atacant-cheie absent.</x:t>
  </x:si>
  <x:si>
    <x:t xml:space="preserve">Ajustare P0 portar-cheie absent</x:t>
  </x:si>
  <x:si>
    <x:t xml:space="preserve">-6% P0 pentru fiecare portar-cheie absent.</x:t>
  </x:si>
  <x:si>
    <x:t xml:space="preserve">Confidence minim selecție finală</x:t>
  </x:si>
  <x:si>
    <x:t xml:space="preserve">Prag separat de probabilitatea statistică.</x:t>
  </x:si>
  <x:si>
    <x:t xml:space="preserve">Interval de incertitudine bază</x:t>
  </x:si>
  <x:si>
    <x:t xml:space="preserve">Semilățime orientativă; crește când informația lipsește.</x:t>
  </x:si>
  <x:si>
    <x:t xml:space="preserve">Nr. maxim selecții portofoliu</x:t>
  </x:si>
  <x:si>
    <x:t xml:space="preserve">Control: 1–5 selecții independente.</x:t>
  </x:si>
  <x:si>
    <x:t xml:space="preserve">Corelație maximă portofoliu</x:t>
  </x:si>
  <x:si>
    <x:t xml:space="preserve">Peste prag, combinația este blocată.</x:t>
  </x:si>
  <x:si>
    <x:t xml:space="preserve">Fracție Kelly implicită</x:t>
  </x:si>
  <x:si>
    <x:t xml:space="preserve">Kelly fracționat, folosit dacă rândul nu are altă valoare.</x:t>
  </x:si>
  <x:si>
    <x:t xml:space="preserve">Limită miză zilnică implicită</x:t>
  </x:si>
  <x:si>
    <x:t xml:space="preserve">Maximum 2% din bankroll/zi dacă nu se completează altă limită.</x:t>
  </x:si>
  <x:si>
    <x:t xml:space="preserve">Minut minim modul live</x:t>
  </x:si>
  <x:si>
    <x:t xml:space="preserve">Nu se emite selecție live înainte de minutul 20.</x:t>
  </x:si>
  <x:si>
    <x:t xml:space="preserve">Cap factor intensitate live</x:t>
  </x:si>
  <x:si>
    <x:t xml:space="preserve">Protejează contra extrapolării excesive a ritmului live.</x:t>
  </x:si>
  <x:si>
    <x:t xml:space="preserve">UPDATE P0 30.08 – PARAMETRI ZERO-MASS V3</x:t>
  </x:si>
  <x:si>
    <x:t xml:space="preserve">Rată 0-0 echipă de referință</x:t>
  </x:si>
  <x:si>
    <x:t xml:space="preserve">Etalon pentru riscul 0-0 combinat home/away.</x:t>
  </x:si>
  <x:si>
    <x:t xml:space="preserve">Risc blank×CS de referință</x:t>
  </x:si>
  <x:si>
    <x:t xml:space="preserve">Etalon pentru FTS al unei echipe × clean sheet-ul advers.</x:t>
  </x:si>
  <x:si>
    <x:t xml:space="preserve">Rată 0-0 HT de referință</x:t>
  </x:si>
  <x:si>
    <x:t xml:space="preserve">Etalon pentru ritmul fără gol în prima repriză.</x:t>
  </x:si>
  <x:si>
    <x:t xml:space="preserve">Pondere risc 0-0 team-specific</x:t>
  </x:si>
  <x:si>
    <x:t xml:space="preserve">Pondere în factorul zero-mass v3.</x:t>
  </x:si>
  <x:si>
    <x:t xml:space="preserve">Pondere blank×clean-sheet reciproc</x:t>
  </x:si>
  <x:si>
    <x:t xml:space="preserve">Ponderea interacțiunii atac fără gol × apărare fără gol primit.</x:t>
  </x:si>
  <x:si>
    <x:t xml:space="preserve">Pondere finishing vs xG</x:t>
  </x:si>
  <x:si>
    <x:t xml:space="preserve">Penalizează subperformanța comună la finalizare.</x:t>
  </x:si>
  <x:si>
    <x:t xml:space="preserve">Factor zero-mass minim</x:t>
  </x:si>
  <x:si>
    <x:t xml:space="preserve">Limită inferioară pentru ajustarea ZIP/DC.</x:t>
  </x:si>
  <x:si>
    <x:t xml:space="preserve">Factor zero-mass maxim</x:t>
  </x:si>
  <x:si>
    <x:t xml:space="preserve">Limită superioară anti-extrapolare.</x:t>
  </x:si>
  <x:si>
    <x:t xml:space="preserve">Factor ≤ prag: masă la zero controlată.</x:t>
  </x:si>
  <x:si>
    <x:t xml:space="preserve">Factor &gt; prag: risc 0-0 ridicat.</x:t>
  </x:si>
  <x:si>
    <x:t xml:space="preserve">P0 maxim recalibrat v3</x:t>
  </x:si>
  <x:si>
    <x:t xml:space="preserve">Plafon tehnic al probabilității 0-0.</x:t>
  </x:si>
  <x:si>
    <x:t xml:space="preserve">Peste 90% nu este permis cu date zero-risk incomplete sau risc ridicat.</x:t>
  </x:si>
  <x:si>
    <x:t xml:space="preserve">Plafon pentru clasa MEDIU.</x:t>
  </x:si>
  <x:si>
    <x:t xml:space="preserve">Prag confirmare piață zero-risk</x:t>
  </x:si>
  <x:si>
    <x:t xml:space="preserve">Probabilitatea implicită reală minimă a pieței.</x:t>
  </x:si>
  <x:si>
    <x:t xml:space="preserve">Penalizare confidence zero-risk incomplet</x:t>
  </x:si>
  <x:si>
    <x:t xml:space="preserve">Puncte scăzute când setul P0 v3 nu este complet.</x:t>
  </x:si>
  <x:si>
    <x:t xml:space="preserve">Penalizare confidence risc mediu</x:t>
  </x:si>
  <x:si>
    <x:t xml:space="preserve">Puncte scăzute pentru clasa MEDIU.</x:t>
  </x:si>
  <x:si>
    <x:t xml:space="preserve">Penalizare confidence risc ridicat</x:t>
  </x:si>
  <x:si>
    <x:t xml:space="preserve">Puncte scăzute pentru clasa RIDICAT.</x:t>
  </x:si>
  <x:si>
    <x:t xml:space="preserve">UPDATE INCREMENTAL V5 – LOW-CONVERSION DESPITE CHANCE CREATION</x:t>
  </x:si>
  <x:si>
    <x:t xml:space="preserve">Prag blank recent / echipă</x:t>
  </x:si>
  <x:si>
    <x:t xml:space="preserve">Semnal activ când fiecare echipă are blank rate recent ≥20%.</x:t>
  </x:si>
  <x:si>
    <x:t xml:space="preserve">Prag clean-sheet advers relevant</x:t>
  </x:si>
  <x:si>
    <x:t xml:space="preserve">Semnal activ când blank-ul unei echipe întâlnește CS advers ≥30%.</x:t>
  </x:si>
  <x:si>
    <x:t xml:space="preserve">λ moderat minim</x:t>
  </x:si>
  <x:si>
    <x:t xml:space="preserve">Limita inferioară a ferestrei λ moderate.</x:t>
  </x:si>
  <x:si>
    <x:t xml:space="preserve">λ moderat maxim</x:t>
  </x:si>
  <x:si>
    <x:t xml:space="preserve">Limita superioară a ferestrei λ moderate.</x:t>
  </x:si>
  <x:si>
    <x:t xml:space="preserve">Prag finishing recent slab</x:t>
  </x:si>
  <x:si>
    <x:t xml:space="preserve">Media GF/xGF recent ≤0,90 indică conversie slabă.</x:t>
  </x:si>
  <x:si>
    <x:t xml:space="preserve">xGF recent minim – chance creation</x:t>
  </x:si>
  <x:si>
    <x:t xml:space="preserve">Necesită ocazii create; evită confundarea atacului inert cu subfinalizarea.</x:t>
  </x:si>
  <x:si>
    <x:t xml:space="preserve">Prag rată 0-0 recent acumulată</x:t>
  </x:si>
  <x:si>
    <x:t xml:space="preserve">Semnal când cel puțin o echipă are ≥20% rezultate 0-0 în fereastra recentă.</x:t>
  </x:si>
  <x:si>
    <x:t xml:space="preserve">N minim recent pentru 0-0</x:t>
  </x:si>
  <x:si>
    <x:t xml:space="preserve">Eșantion minim pentru semnalul de acumulare 0-0.</x:t>
  </x:si>
  <x:si>
    <x:t xml:space="preserve">Pondere blank bilateral</x:t>
  </x:si>
  <x:si>
    <x:t xml:space="preserve">Pondere în scorul low-conversion.</x:t>
  </x:si>
  <x:si>
    <x:t xml:space="preserve">Pondere clean-sheet advers</x:t>
  </x:si>
  <x:si>
    <x:t xml:space="preserve">Pondere nucleu low-conversion</x:t>
  </x:si>
  <x:si>
    <x:t xml:space="preserve">Cea mai mare pondere: λ moderat + finishing slab + xGF relevant.</x:t>
  </x:si>
  <x:si>
    <x:t xml:space="preserve">Pondere acumulare 0-0 recentă</x:t>
  </x:si>
  <x:si>
    <x:t xml:space="preserve">Majorare P0 maximă low-conversion</x:t>
  </x:si>
  <x:si>
    <x:t xml:space="preserve">Majorare incrementală maximă a P0; nu modifică plafoanele 90/91/92/94%.</x:t>
  </x:si>
  <x:si>
    <x:t xml:space="preserve">Penalizare Confidence maximă</x:t>
  </x:si>
  <x:si>
    <x:t xml:space="preserve">Penalizare maximă, proporțională cu scorul low-conversion.</x:t>
  </x:si>
  <x:si>
    <x:t xml:space="preserve">Valoare / status</x:t>
  </x:si>
  <x:si>
    <x:t xml:space="preserve">REGISTRU SURSE – CERCETARE OVER 0,5 GOLURI</x:t>
  </x:si>
  <x:si>
    <x:t xml:space="preserve">Nr.</x:t>
  </x:si>
  <x:si>
    <x:t xml:space="preserve">Website / instituție</x:t>
  </x:si>
  <x:si>
    <x:t xml:space="preserve">Categorie</x:t>
  </x:si>
  <x:si>
    <x:t xml:space="preserve">URL</x:t>
  </x:si>
  <x:si>
    <x:t xml:space="preserve">Utilizare în model</x:t>
  </x:si>
  <x:si>
    <x:t xml:space="preserve">Observație extrasă</x:t>
  </x:si>
  <x:si>
    <x:t xml:space="preserve">Nivel evidență</x:t>
  </x:si>
  <x:si>
    <x:t xml:space="preserve">Data consultării</x:t>
  </x:si>
  <x:si>
    <x:t xml:space="preserve">Hudl / StatsBomb</x:t>
  </x:si>
  <x:si>
    <x:t xml:space="preserve">xG</x:t>
  </x:si>
  <x:si>
    <x:t xml:space="preserve">https://statsbomb.com/soccer-metrics/expected-goals-xg-explained/</x:t>
  </x:si>
  <x:si>
    <x:t xml:space="preserve">Definiție și factori xG</x:t>
  </x:si>
  <x:si>
    <x:t xml:space="preserve">xG măsoară probabilitatea unei șanse; modelele diferă prin informația inclusă</x:t>
  </x:si>
  <x:si>
    <x:t xml:space="preserve">A – metodologie</x:t>
  </x:si>
  <x:si>
    <x:t xml:space="preserve">Understat</x:t>
  </x:si>
  <x:si>
    <x:t xml:space="preserve">xG / statistici</x:t>
  </x:si>
  <x:si>
    <x:t xml:space="preserve">https://understat.com/</x:t>
  </x:si>
  <x:si>
    <x:t xml:space="preserve">xG echipe și jucători</x:t>
  </x:si>
  <x:si>
    <x:t xml:space="preserve">Folosește date de șut și model propriu; util pentru tendințe, cu limită de acoperire</x:t>
  </x:si>
  <x:si>
    <x:t xml:space="preserve">B</x:t>
  </x:si>
  <x:si>
    <x:t xml:space="preserve">FotMob</x:t>
  </x:si>
  <x:si>
    <x:t xml:space="preserve">statistici / loturi</x:t>
  </x:si>
  <x:si>
    <x:t xml:space="preserve">https://www.fotmob.com/</x:t>
  </x:si>
  <x:si>
    <x:t xml:space="preserve">Formă, xG, șuturi, loturi</x:t>
  </x:si>
  <x:si>
    <x:t xml:space="preserve">Verificare rapidă a meciurilor și a formei recente</x:t>
  </x:si>
  <x:si>
    <x:t xml:space="preserve">Sofascore</x:t>
  </x:si>
  <x:si>
    <x:t xml:space="preserve">statistici live</x:t>
  </x:si>
  <x:si>
    <x:t xml:space="preserve">https://www.sofascore.com/</x:t>
  </x:si>
  <x:si>
    <x:t xml:space="preserve">Ultimele 10, statistici, cote</x:t>
  </x:si>
  <x:si>
    <x:t xml:space="preserve">Triangulare formă și evoluție cote</x:t>
  </x:si>
  <x:si>
    <x:t xml:space="preserve">Flashscore</x:t>
  </x:si>
  <x:si>
    <x:t xml:space="preserve">rezultate / H2H</x:t>
  </x:si>
  <x:si>
    <x:t xml:space="preserve">https://www.flashscore.com/</x:t>
  </x:si>
  <x:si>
    <x:t xml:space="preserve">Rezultate, program, H2H</x:t>
  </x:si>
  <x:si>
    <x:t xml:space="preserve">Verificare cronologie și program</x:t>
  </x:si>
  <x:si>
    <x:t xml:space="preserve">Soccerway</x:t>
  </x:si>
  <x:si>
    <x:t xml:space="preserve">rezultate / loturi</x:t>
  </x:si>
  <x:si>
    <x:t xml:space="preserve">https://www.soccerway.com/</x:t>
  </x:si>
  <x:si>
    <x:t xml:space="preserve">Rezultate, clasamente, meciuri</x:t>
  </x:si>
  <x:si>
    <x:t xml:space="preserve">Istoric competiții și calendar</x:t>
  </x:si>
  <x:si>
    <x:t xml:space="preserve">FootyStats</x:t>
  </x:si>
  <x:si>
    <x:t xml:space="preserve">statistici over/under</x:t>
  </x:si>
  <x:si>
    <x:t xml:space="preserve">https://footystats.org/</x:t>
  </x:si>
  <x:si>
    <x:t xml:space="preserve">O0,5, FTS, clean sheets, home/away</x:t>
  </x:si>
  <x:si>
    <x:t xml:space="preserve">Oferă separat ratele O0,5 și spliturile home/away</x:t>
  </x:si>
  <x:si>
    <x:t xml:space="preserve">SoccerStats</x:t>
  </x:si>
  <x:si>
    <x:t xml:space="preserve">statistici ligă</x:t>
  </x:si>
  <x:si>
    <x:t xml:space="preserve">https://www.soccerstats.com/</x:t>
  </x:si>
  <x:si>
    <x:t xml:space="preserve">Form tables, medii goluri, 0–0</x:t>
  </x:si>
  <x:si>
    <x:t xml:space="preserve">Util pentru media ligii și rata 0–0</x:t>
  </x:si>
  <x:si>
    <x:t xml:space="preserve">StatBunker</x:t>
  </x:si>
  <x:si>
    <x:t xml:space="preserve">statistici agregate</x:t>
  </x:si>
  <x:si>
    <x:t xml:space="preserve">https://www.statbunker.com/</x:t>
  </x:si>
  <x:si>
    <x:t xml:space="preserve">Echipe, jucători, arbitri</x:t>
  </x:si>
  <x:si>
    <x:t xml:space="preserve">Verificare secundară și eșantioane</x:t>
  </x:si>
  <x:si>
    <x:t xml:space="preserve">Football-Data.co.uk</x:t>
  </x:si>
  <x:si>
    <x:t xml:space="preserve">date și cote istorice</x:t>
  </x:si>
  <x:si>
    <x:t xml:space="preserve">https://www.football-data.co.uk/</x:t>
  </x:si>
  <x:si>
    <x:t xml:space="preserve">Rezultate și cote</x:t>
  </x:si>
  <x:si>
    <x:t xml:space="preserve">Backtesting, probabilități de piață și CLV</x:t>
  </x:si>
  <x:si>
    <x:t xml:space="preserve">A/B – date</x:t>
  </x:si>
  <x:si>
    <x:t xml:space="preserve">ClubElo</x:t>
  </x:si>
  <x:si>
    <x:t xml:space="preserve">rating echipe</x:t>
  </x:si>
  <x:si>
    <x:t xml:space="preserve">http://clubelo.com/</x:t>
  </x:si>
  <x:si>
    <x:t xml:space="preserve">Forță relativă</x:t>
  </x:si>
  <x:si>
    <x:t xml:space="preserve">Diferența de nivel între ligi și echipe</x:t>
  </x:si>
  <x:si>
    <x:t xml:space="preserve">Transfermarkt</x:t>
  </x:si>
  <x:si>
    <x:t xml:space="preserve">loturi / absențe</x:t>
  </x:si>
  <x:si>
    <x:t xml:space="preserve">https://www.transfermarkt.com/</x:t>
  </x:si>
  <x:si>
    <x:t xml:space="preserve">Lot, accidentări, suspendări, valoare</x:t>
  </x:si>
  <x:si>
    <x:t xml:space="preserve">Context de lot și dezechilibru valoric</x:t>
  </x:si>
  <x:si>
    <x:t xml:space="preserve">PhysioRoom</x:t>
  </x:si>
  <x:si>
    <x:t xml:space="preserve">accidentări</x:t>
  </x:si>
  <x:si>
    <x:t xml:space="preserve">https://www.physioroom.com/</x:t>
  </x:si>
  <x:si>
    <x:t xml:space="preserve">Verificare absențe</x:t>
  </x:si>
  <x:si>
    <x:t xml:space="preserve">Folosit doar cu confirmare oficială</x:t>
  </x:si>
  <x:si>
    <x:t xml:space="preserve">C</x:t>
  </x:si>
  <x:si>
    <x:t xml:space="preserve">RotoWire Soccer</x:t>
  </x:si>
  <x:si>
    <x:t xml:space="preserve">loturi / lineups</x:t>
  </x:si>
  <x:si>
    <x:t xml:space="preserve">https://www.rotowire.com/soccer/</x:t>
  </x:si>
  <x:si>
    <x:t xml:space="preserve">Predicții de echipe și absențe</x:t>
  </x:si>
  <x:si>
    <x:t xml:space="preserve">Util aproape de start, dar necesită confirmare</x:t>
  </x:si>
  <x:si>
    <x:t xml:space="preserve">B/C</x:t>
  </x:si>
  <x:si>
    <x:t xml:space="preserve">BeSoccer</x:t>
  </x:si>
  <x:si>
    <x:t xml:space="preserve">https://www.besoccer.com/</x:t>
  </x:si>
  <x:si>
    <x:t xml:space="preserve">Formă, clasament, știri</x:t>
  </x:si>
  <x:si>
    <x:t xml:space="preserve">Triangulare secundară</x:t>
  </x:si>
  <x:si>
    <x:t xml:space="preserve">UEFA</x:t>
  </x:si>
  <x:si>
    <x:t xml:space="preserve">oficial</x:t>
  </x:si>
  <x:si>
    <x:t xml:space="preserve">https://www.uefa.com/</x:t>
  </x:si>
  <x:si>
    <x:t xml:space="preserve">Regulamente, loturi, rezultate, coeficienți</x:t>
  </x:si>
  <x:si>
    <x:t xml:space="preserve">Sursa primară pentru competiții europene și context tur/retur</x:t>
  </x:si>
  <x:si>
    <x:t xml:space="preserve">A – oficial</x:t>
  </x:si>
  <x:si>
    <x:t xml:space="preserve">FIFA</x:t>
  </x:si>
  <x:si>
    <x:t xml:space="preserve">https://www.fifa.com/</x:t>
  </x:si>
  <x:si>
    <x:t xml:space="preserve">Competiții internaționale, clasamente</x:t>
  </x:si>
  <x:si>
    <x:t xml:space="preserve">Sursa primară pentru turnee internaționale</x:t>
  </x:si>
  <x:si>
    <x:t xml:space="preserve">Premier League Stats</x:t>
  </x:si>
  <x:si>
    <x:t xml:space="preserve">oficial / statistici</x:t>
  </x:si>
  <x:si>
    <x:t xml:space="preserve">https://www.premierleague.com/en/stats</x:t>
  </x:si>
  <x:si>
    <x:t xml:space="preserve">Statistici oficiale de ligă</x:t>
  </x:si>
  <x:si>
    <x:t xml:space="preserve">Control pentru datele Premier League</x:t>
  </x:si>
  <x:si>
    <x:t xml:space="preserve">Bundesliga Stats</x:t>
  </x:si>
  <x:si>
    <x:t xml:space="preserve">https://www.bundesliga.com/en/bundesliga/stats</x:t>
  </x:si>
  <x:si>
    <x:t xml:space="preserve">Goluri, șuturi, cluburi</x:t>
  </x:si>
  <x:si>
    <x:t xml:space="preserve">Control pentru datele Bundesliga</x:t>
  </x:si>
  <x:si>
    <x:t xml:space="preserve">Opta Analyst</x:t>
  </x:si>
  <x:si>
    <x:t xml:space="preserve">analiză / modele</x:t>
  </x:si>
  <x:si>
    <x:t xml:space="preserve">https://theanalyst.com/</x:t>
  </x:si>
  <x:si>
    <x:t xml:space="preserve">xG, power rankings, predicții</x:t>
  </x:si>
  <x:si>
    <x:t xml:space="preserve">Modelele combină performanță, forța adversarului și simulări</x:t>
  </x:si>
  <x:si>
    <x:t xml:space="preserve">A/B</x:t>
  </x:si>
  <x:si>
    <x:t xml:space="preserve">Stats Perform</x:t>
  </x:si>
  <x:si>
    <x:t xml:space="preserve">furnizor date</x:t>
  </x:si>
  <x:si>
    <x:t xml:space="preserve">https://www.statsperform.com/</x:t>
  </x:si>
  <x:si>
    <x:t xml:space="preserve">Definiții și date Opta</x:t>
  </x:si>
  <x:si>
    <x:t xml:space="preserve">xG integrează numeroase variabile și eșantioane istorice mari</x:t>
  </x:si>
  <x:si>
    <x:t xml:space="preserve">Total Football Analysis</x:t>
  </x:si>
  <x:si>
    <x:t xml:space="preserve">analiză tactică</x:t>
  </x:si>
  <x:si>
    <x:t xml:space="preserve">https://totalfootballanalysis.com/</x:t>
  </x:si>
  <x:si>
    <x:t xml:space="preserve">Stil, roluri, tactici</x:t>
  </x:si>
  <x:si>
    <x:t xml:space="preserve">Calibrarea manuală a deschiderii tactice</x:t>
  </x:si>
  <x:si>
    <x:t xml:space="preserve">football-data.org</x:t>
  </x:si>
  <x:si>
    <x:t xml:space="preserve">API date</x:t>
  </x:si>
  <x:si>
    <x:t xml:space="preserve">https://www.football-data.org/</x:t>
  </x:si>
  <x:si>
    <x:t xml:space="preserve">Program, rezultate, clasamente</x:t>
  </x:si>
  <x:si>
    <x:t xml:space="preserve">Automatizare și verificare structurată</x:t>
  </x:si>
  <x:si>
    <x:t xml:space="preserve">API-Football</x:t>
  </x:si>
  <x:si>
    <x:t xml:space="preserve">https://www.api-football.com/</x:t>
  </x:si>
  <x:si>
    <x:t xml:space="preserve">Fixtures, lineups, injuries, odds</x:t>
  </x:si>
  <x:si>
    <x:t xml:space="preserve">Automatizare; calitatea depinde de competiție</x:t>
  </x:si>
  <x:si>
    <x:t xml:space="preserve">Kaggle Datasets</x:t>
  </x:si>
  <x:si>
    <x:t xml:space="preserve">date deschise</x:t>
  </x:si>
  <x:si>
    <x:t xml:space="preserve">https://www.kaggle.com/datasets</x:t>
  </x:si>
  <x:si>
    <x:t xml:space="preserve">Seturi pentru testare</x:t>
  </x:si>
  <x:si>
    <x:t xml:space="preserve">Verifică licența, sursa și prospețimea înainte de folosire</x:t>
  </x:si>
  <x:si>
    <x:t xml:space="preserve">Hudl StatsBomb Open Data</x:t>
  </x:si>
  <x:si>
    <x:t xml:space="preserve">https://github.com/hudl/open-data</x:t>
  </x:si>
  <x:si>
    <x:t xml:space="preserve">Evenimente și șuturi</x:t>
  </x:si>
  <x:si>
    <x:t xml:space="preserve">Reproductibilitate pentru xG și validări</x:t>
  </x:si>
  <x:si>
    <x:t xml:space="preserve">Meteoblue</x:t>
  </x:si>
  <x:si>
    <x:t xml:space="preserve">meteo</x:t>
  </x:si>
  <x:si>
    <x:t xml:space="preserve">https://www.meteoblue.com/</x:t>
  </x:si>
  <x:si>
    <x:t xml:space="preserve">Prognoză locală</x:t>
  </x:si>
  <x:si>
    <x:t xml:space="preserve">Folosit aproape de start; efect contextual, pondere mică</x:t>
  </x:si>
  <x:si>
    <x:t xml:space="preserve">Weather Underground</x:t>
  </x:si>
  <x:si>
    <x:t xml:space="preserve">https://www.wunderground.com/</x:t>
  </x:si>
  <x:si>
    <x:t xml:space="preserve">Prognoză și observații</x:t>
  </x:si>
  <x:si>
    <x:t xml:space="preserve">Confirmare meteo locală</x:t>
  </x:si>
  <x:si>
    <x:t xml:space="preserve">The Weather Channel</x:t>
  </x:si>
  <x:si>
    <x:t xml:space="preserve">https://weather.com/</x:t>
  </x:si>
  <x:si>
    <x:t xml:space="preserve">Prognoză</x:t>
  </x:si>
  <x:si>
    <x:t xml:space="preserve">Confirmare secundară pentru condiții extreme</x:t>
  </x:si>
  <x:si>
    <x:t xml:space="preserve">AccuWeather</x:t>
  </x:si>
  <x:si>
    <x:t xml:space="preserve">https://www.accuweather.com/</x:t>
  </x:si>
  <x:si>
    <x:t xml:space="preserve">Triangulare vânt/ploaie/temperatură</x:t>
  </x:si>
  <x:si>
    <x:t xml:space="preserve">ESPN Soccer</x:t>
  </x:si>
  <x:si>
    <x:t xml:space="preserve">știri / loturi</x:t>
  </x:si>
  <x:si>
    <x:t xml:space="preserve">https://www.espn.com/soccer/</x:t>
  </x:si>
  <x:si>
    <x:t xml:space="preserve">Preview, rezultate, știri</x:t>
  </x:si>
  <x:si>
    <x:t xml:space="preserve">Context și confirmări pentru competiții majore</x:t>
  </x:si>
  <x:si>
    <x:t xml:space="preserve">Sky Sports Football</x:t>
  </x:si>
  <x:si>
    <x:t xml:space="preserve">https://www.skysports.com/football</x:t>
  </x:si>
  <x:si>
    <x:t xml:space="preserve">Știri, lineups, preview</x:t>
  </x:si>
  <x:si>
    <x:t xml:space="preserve">Context pentru ligile britanice</x:t>
  </x:si>
  <x:si>
    <x:t xml:space="preserve">Goal.com</x:t>
  </x:si>
  <x:si>
    <x:t xml:space="preserve">https://www.goal.com/</x:t>
  </x:si>
  <x:si>
    <x:t xml:space="preserve">Știri și transferuri</x:t>
  </x:si>
  <x:si>
    <x:t xml:space="preserve">Sursă secundară; necesită confirmare</x:t>
  </x:si>
  <x:si>
    <x:t xml:space="preserve">Betfair Betting</x:t>
  </x:si>
  <x:si>
    <x:t xml:space="preserve">analize / piață</x:t>
  </x:si>
  <x:si>
    <x:t xml:space="preserve">https://betting.betfair.com/football/</x:t>
  </x:si>
  <x:si>
    <x:t xml:space="preserve">Preview și explicații de piață</x:t>
  </x:si>
  <x:si>
    <x:t xml:space="preserve">Analizele folosesc formă, accidentări și date istorice; nu se copiază pronosticul</x:t>
  </x:si>
  <x:si>
    <x:t xml:space="preserve">Action Network</x:t>
  </x:si>
  <x:si>
    <x:t xml:space="preserve">piață / proiecții</x:t>
  </x:si>
  <x:si>
    <x:t xml:space="preserve">https://www.actionnetwork.com/soccer</x:t>
  </x:si>
  <x:si>
    <x:t xml:space="preserve">Cote, proiecții, semnale</x:t>
  </x:si>
  <x:si>
    <x:t xml:space="preserve">Comparație de piață și idei de validare</x:t>
  </x:si>
  <x:si>
    <x:t xml:space="preserve">Wizard of Odds</x:t>
  </x:si>
  <x:si>
    <x:t xml:space="preserve">matematică pariuri</x:t>
  </x:si>
  <x:si>
    <x:t xml:space="preserve">https://wizardofodds.com/games/sports-betting/</x:t>
  </x:si>
  <x:si>
    <x:t xml:space="preserve">Probabilități, avantaj, house edge</x:t>
  </x:si>
  <x:si>
    <x:t xml:space="preserve">Separă probabilitatea de payoff și valoare</x:t>
  </x:si>
  <x:si>
    <x:t xml:space="preserve">BettingExpert</x:t>
  </x:si>
  <x:si>
    <x:t xml:space="preserve">tipster / comunitate</x:t>
  </x:si>
  <x:si>
    <x:t xml:space="preserve">https://www.bettingexpert.com/</x:t>
  </x:si>
  <x:si>
    <x:t xml:space="preserve">Preview și opinii</x:t>
  </x:si>
  <x:si>
    <x:t xml:space="preserve">Folosit doar ca sursă de contradicții/ipoteze</x:t>
  </x:si>
  <x:si>
    <x:t xml:space="preserve">D</x:t>
  </x:si>
  <x:si>
    <x:t xml:space="preserve">OLBG</x:t>
  </x:si>
  <x:si>
    <x:t xml:space="preserve">comunitate pariuri</x:t>
  </x:si>
  <x:si>
    <x:t xml:space="preserve">https://www.olbg.com/</x:t>
  </x:si>
  <x:si>
    <x:t xml:space="preserve">Opinii și strategii</x:t>
  </x:si>
  <x:si>
    <x:t xml:space="preserve">Nu intră direct în λ; poate semnala știri de verificat</x:t>
  </x:si>
  <x:si>
    <x:t xml:space="preserve">BetClan</x:t>
  </x:si>
  <x:si>
    <x:t xml:space="preserve">predicții</x:t>
  </x:si>
  <x:si>
    <x:t xml:space="preserve">https://www.betclan.com/</x:t>
  </x:si>
  <x:si>
    <x:t xml:space="preserve">Comparație externă</x:t>
  </x:si>
  <x:si>
    <x:t xml:space="preserve">Semnal slab, nu sursă primară</x:t>
  </x:si>
  <x:si>
    <x:t xml:space="preserve">PredictZ</x:t>
  </x:si>
  <x:si>
    <x:t xml:space="preserve">predicții / statistici</x:t>
  </x:si>
  <x:si>
    <x:t xml:space="preserve">https://www.predictz.com/</x:t>
  </x:si>
  <x:si>
    <x:t xml:space="preserve">Predicții și rezultate</x:t>
  </x:si>
  <x:si>
    <x:t xml:space="preserve">Doar benchmark extern</x:t>
  </x:si>
  <x:si>
    <x:t xml:space="preserve">Forebet</x:t>
  </x:si>
  <x:si>
    <x:t xml:space="preserve">predicții matematice</x:t>
  </x:si>
  <x:si>
    <x:t xml:space="preserve">https://www.forebet.com/</x:t>
  </x:si>
  <x:si>
    <x:t xml:space="preserve">Model extern și scor probabil</x:t>
  </x:si>
  <x:si>
    <x:t xml:space="preserve">Benchmark, fără a substitui modelul propriu</x:t>
  </x:si>
  <x:si>
    <x:t xml:space="preserve">C/D</x:t>
  </x:si>
  <x:si>
    <x:t xml:space="preserve">WinDrawWin</x:t>
  </x:si>
  <x:si>
    <x:t xml:space="preserve">predicții / formă</x:t>
  </x:si>
  <x:si>
    <x:t xml:space="preserve">https://www.windrawwin.com/</x:t>
  </x:si>
  <x:si>
    <x:t xml:space="preserve">Formă, cote, predicții</x:t>
  </x:si>
  <x:si>
    <x:t xml:space="preserve">Benchmark și triangulare</x:t>
  </x:si>
  <x:si>
    <x:t xml:space="preserve">BetStudy</x:t>
  </x:si>
  <x:si>
    <x:t xml:space="preserve">statistici / tips</x:t>
  </x:si>
  <x:si>
    <x:t xml:space="preserve">https://www.betstudy.com/</x:t>
  </x:si>
  <x:si>
    <x:t xml:space="preserve">Statistici și predicții</x:t>
  </x:si>
  <x:si>
    <x:t xml:space="preserve">Semnal secundar</x:t>
  </x:si>
  <x:si>
    <x:t xml:space="preserve">Statarea</x:t>
  </x:si>
  <x:si>
    <x:t xml:space="preserve">statistici / predicții</x:t>
  </x:si>
  <x:si>
    <x:t xml:space="preserve">https://www.statarea.com/</x:t>
  </x:si>
  <x:si>
    <x:t xml:space="preserve">Formă și comparații</x:t>
  </x:si>
  <x:si>
    <x:t xml:space="preserve">Semnal secundar, verifică datele</x:t>
  </x:si>
  <x:si>
    <x:t xml:space="preserve">SoccerPunter</x:t>
  </x:si>
  <x:si>
    <x:t xml:space="preserve">predicții / comunitate</x:t>
  </x:si>
  <x:si>
    <x:t xml:space="preserve">https://www.soccerpunter.com/</x:t>
  </x:si>
  <x:si>
    <x:t xml:space="preserve">Predicții și statistici</x:t>
  </x:si>
  <x:si>
    <x:t xml:space="preserve">Folosit pentru opinii contradictorii</x:t>
  </x:si>
  <x:si>
    <x:t xml:space="preserve">Covers Soccer Forum</x:t>
  </x:si>
  <x:si>
    <x:t xml:space="preserve">forum</x:t>
  </x:si>
  <x:si>
    <x:t xml:space="preserve">https://www.covers.com/forum/soccer-36</x:t>
  </x:si>
  <x:si>
    <x:t xml:space="preserve">Discuții pariori</x:t>
  </x:si>
  <x:si>
    <x:t xml:space="preserve">Ipoteze comunitare, fără greutate statistică directă</x:t>
  </x:si>
  <x:si>
    <x:t xml:space="preserve">E – forum</x:t>
  </x:si>
  <x:si>
    <x:t xml:space="preserve">Reddit SoccerBetting</x:t>
  </x:si>
  <x:si>
    <x:t xml:space="preserve">https://www.reddit.com/r/SoccerBetting/</x:t>
  </x:si>
  <x:si>
    <x:t xml:space="preserve">Experiențe și strategii</x:t>
  </x:si>
  <x:si>
    <x:t xml:space="preserve">Discuțiile O0,5 avertizează că rata mare de reușită nu implică automat valoare</x:t>
  </x:si>
  <x:si>
    <x:t xml:space="preserve">Kickform / ThePuntersPage</x:t>
  </x:si>
  <x:si>
    <x:t xml:space="preserve">https://www.kickform.com/</x:t>
  </x:si>
  <x:si>
    <x:t xml:space="preserve">Predicții și formă</x:t>
  </x:si>
  <x:si>
    <x:t xml:space="preserve">Benchmark secundar</x:t>
  </x:si>
  <x:si>
    <x:t xml:space="preserve">SoccerVista</x:t>
  </x:si>
  <x:si>
    <x:t xml:space="preserve">https://www.soccervista.com/</x:t>
  </x:si>
  <x:si>
    <x:t xml:space="preserve">H2H, cote, predicții</x:t>
  </x:si>
  <x:si>
    <x:t xml:space="preserve">Benchmark extern; site-ul însuși nu garantează selecțiile</x:t>
  </x:si>
  <x:si>
    <x:t xml:space="preserve">SportyTrader</x:t>
  </x:si>
  <x:si>
    <x:t xml:space="preserve">analize pariuri</x:t>
  </x:si>
  <x:si>
    <x:t xml:space="preserve">https://www.sportytrader.com/en/betting-tips/football/</x:t>
  </x:si>
  <x:si>
    <x:t xml:space="preserve">Preview și tipuri de piață</x:t>
  </x:si>
  <x:si>
    <x:t xml:space="preserve">Idei de context, nu input primar</x:t>
  </x:si>
  <x:si>
    <x:t xml:space="preserve">MightyTips</x:t>
  </x:si>
  <x:si>
    <x:t xml:space="preserve">https://www.mightytips.com/football-predictions/</x:t>
  </x:si>
  <x:si>
    <x:t xml:space="preserve">Preview și selecții</x:t>
  </x:si>
  <x:si>
    <x:t xml:space="preserve">Doar comparație externă</x:t>
  </x:si>
  <x:si>
    <x:t xml:space="preserve">BetMines</x:t>
  </x:si>
  <x:si>
    <x:t xml:space="preserve">https://betmines.com/</x:t>
  </x:si>
  <x:si>
    <x:t xml:space="preserve">Analize și cote</x:t>
  </x:si>
  <x:si>
    <x:t xml:space="preserve">Doar benchmark; verifică sursa datelor</x:t>
  </x:si>
  <x:si>
    <x:t xml:space="preserve">AiScore</x:t>
  </x:si>
  <x:si>
    <x:t xml:space="preserve">live scores</x:t>
  </x:si>
  <x:si>
    <x:t xml:space="preserve">https://www.aiscore.com/</x:t>
  </x:si>
  <x:si>
    <x:t xml:space="preserve">Program, rezultate, statistici</x:t>
  </x:si>
  <x:si>
    <x:t xml:space="preserve">Verificare secundară a programului și formei</x:t>
  </x:si>
  <x:si>
    <x:t xml:space="preserve">LiveScore</x:t>
  </x:si>
  <x:si>
    <x:t xml:space="preserve">rezultate / știri</x:t>
  </x:si>
  <x:si>
    <x:t xml:space="preserve">https://www.livescore.com/en/</x:t>
  </x:si>
  <x:si>
    <x:t xml:space="preserve">Rezultate și program</x:t>
  </x:si>
  <x:si>
    <x:t xml:space="preserve">Confirmare de bază</x:t>
  </x:si>
  <x:si>
    <x:t xml:space="preserve">Sportsbook Review Forum</x:t>
  </x:si>
  <x:si>
    <x:t xml:space="preserve">https://www.sportsbookreview.com/forum/soccer-betting/</x:t>
  </x:si>
  <x:si>
    <x:t xml:space="preserve">Discuții despre piețe</x:t>
  </x:si>
  <x:si>
    <x:t xml:space="preserve">Ipoteze și sentiment, fără greutate directă</x:t>
  </x:si>
  <x:si>
    <x:t xml:space="preserve">Punters Lounge Forum</x:t>
  </x:si>
  <x:si>
    <x:t xml:space="preserve">https://forum.punterslounge.com/</x:t>
  </x:si>
  <x:si>
    <x:t xml:space="preserve">Discuții și jurnale</x:t>
  </x:si>
  <x:si>
    <x:t xml:space="preserve">Util doar pentru idei de verificat</x:t>
  </x:si>
  <x:si>
    <x:t xml:space="preserve">Dixon &amp; Coles (JRSS C)</x:t>
  </x:si>
  <x:si>
    <x:t xml:space="preserve">academic / Poisson</x:t>
  </x:si>
  <x:si>
    <x:t xml:space="preserve">https://academic.oup.com/jrsssc/article/46/2/265/6990546</x:t>
  </x:si>
  <x:si>
    <x:t xml:space="preserve">Model Poisson dinamic</x:t>
  </x:si>
  <x:si>
    <x:t xml:space="preserve">Corecția scorurilor mici și performanța dinamică justifică depășirea Poisson simplu</x:t>
  </x:si>
  <x:si>
    <x:t xml:space="preserve">A – academic</x:t>
  </x:si>
  <x:si>
    <x:t xml:space="preserve">Maher (1982)</x:t>
  </x:si>
  <x:si>
    <x:t xml:space="preserve">https://onlinelibrary.wiley.com/doi/abs/10.1111/j.1467-9574.1982.tb00782.x</x:t>
  </x:si>
  <x:si>
    <x:t xml:space="preserve">Atac, apărare, avantaj teren</x:t>
  </x:si>
  <x:si>
    <x:t xml:space="preserve">Fundamentează intensități separate pe echipă</x:t>
  </x:si>
  <x:si>
    <x:t xml:space="preserve">Karlis &amp; Ntzoufras</x:t>
  </x:si>
  <x:si>
    <x:t xml:space="preserve">academic / Poisson bivariat</x:t>
  </x:si>
  <x:si>
    <x:t xml:space="preserve">https://www2.stat-athens.aueb.gr/~jbn/papers2/08_Karlis_Ntzoufras_2003_RSSD.pdf</x:t>
  </x:si>
  <x:si>
    <x:t xml:space="preserve">Dependența scorurilor</x:t>
  </x:si>
  <x:si>
    <x:t xml:space="preserve">Poisson bivariat poate îmbunătăți ajustarea remizelor</x:t>
  </x:si>
  <x:si>
    <x:t xml:space="preserve">PMC – fixture congestion injuries</x:t>
  </x:si>
  <x:si>
    <x:t xml:space="preserve">academic / oboseală</x:t>
  </x:si>
  <x:si>
    <x:t xml:space="preserve">https://pmc.ncbi.nlm.nih.gov/articles/PMC9758680/</x:t>
  </x:si>
  <x:si>
    <x:t xml:space="preserve">Congestie și accidentări</x:t>
  </x:si>
  <x:si>
    <x:t xml:space="preserve">Congestia poate crește incidența accidentărilor; efectul pe goluri rămâne contextual</x:t>
  </x:si>
  <x:si>
    <x:t xml:space="preserve">PubMed – congested fixtures</x:t>
  </x:si>
  <x:si>
    <x:t xml:space="preserve">academic / tactică</x:t>
  </x:si>
  <x:si>
    <x:t xml:space="preserve">https://pubmed.ncbi.nlm.nih.gov/25765524/</x:t>
  </x:si>
  <x:si>
    <x:t xml:space="preserve">Performanță fizică și tactică</x:t>
  </x:si>
  <x:si>
    <x:t xml:space="preserve">Zilele de odihnă trebuie tratate ca factor contextual, nu regulă mecanică</x:t>
  </x:si>
  <x:si>
    <x:t xml:space="preserve">Wiley – Temperature and Productivity in Soccer</x:t>
  </x:si>
  <x:si>
    <x:t xml:space="preserve">academic / meteo</x:t>
  </x:si>
  <x:si>
    <x:t xml:space="preserve">https://onlinelibrary.wiley.com/doi/10.1111/kykl.70029</x:t>
  </x:si>
  <x:si>
    <x:t xml:space="preserve">Temperatură și productivitate</x:t>
  </x:si>
  <x:si>
    <x:t xml:space="preserve">Susține includerea meteo cu pondere limitată</x:t>
  </x:si>
  <x:si>
    <x:t xml:space="preserve">CIES Football Observatory</x:t>
  </x:si>
  <x:si>
    <x:t xml:space="preserve">cercetare / disciplină</x:t>
  </x:si>
  <x:si>
    <x:t xml:space="preserve">https://football-observatory.com/IMG/sites/mr/mr57/en/</x:t>
  </x:si>
  <x:si>
    <x:t xml:space="preserve">Cartonașe și diferențe între țări</x:t>
  </x:si>
  <x:si>
    <x:t xml:space="preserve">Rata de cartonașe diferă între competiții; contextul arbitrului cere normalizare</x:t>
  </x:si>
  <x:si>
    <x:t xml:space="preserve">Spanish Journal of Sports Psychology</x:t>
  </x:si>
  <x:si>
    <x:t xml:space="preserve">academic / arbitraj</x:t>
  </x:si>
  <x:si>
    <x:t xml:space="preserve">https://sjsp.aearedo.es/index.php/sjsp/article/view/home-advantage-influence-officiating-decisions</x:t>
  </x:si>
  <x:si>
    <x:t xml:space="preserve">Home advantage și arbitraj</x:t>
  </x:si>
  <x:si>
    <x:t xml:space="preserve">Arbitrajul poate influența avantajul terenului, dar efectul este contextual</x:t>
  </x:si>
  <x:si>
    <x:t xml:space="preserve">arXiv – Home Field Advantage EPL</x:t>
  </x:si>
  <x:si>
    <x:t xml:space="preserve">academic / teren propriu</x:t>
  </x:si>
  <x:si>
    <x:t xml:space="preserve">https://arxiv.org/abs/2205.07193</x:t>
  </x:si>
  <x:si>
    <x:t xml:space="preserve">Avantaj acasă</x:t>
  </x:si>
  <x:si>
    <x:t xml:space="preserve">Efectul terenului propriu apare mai mult în indicatorii ofensivi decât defensivi</x:t>
  </x:si>
  <x:si>
    <x:t xml:space="preserve">A/B – preprint</x:t>
  </x:si>
  <x:si>
    <x:t xml:space="preserve">arXiv – Bivariate Poisson home advantage</x:t>
  </x:si>
  <x:si>
    <x:t xml:space="preserve">https://arxiv.org/abs/2012.14949</x:t>
  </x:si>
  <x:si>
    <x:t xml:space="preserve">Estimarea avantajului acasă</x:t>
  </x:si>
  <x:si>
    <x:t xml:space="preserve">Poisson bivariat poate reduce biasul față de regresia liniară în rezultate neliniare</x:t>
  </x:si>
  <x:si>
    <x:t xml:space="preserve">11Stat</x:t>
  </x:si>
  <x:si>
    <x:t xml:space="preserve">modelare / confidence</x:t>
  </x:si>
  <x:si>
    <x:t xml:space="preserve">https://www.11stat.com/</x:t>
  </x:si>
  <x:si>
    <x:t xml:space="preserve">Acord între modele și quality gate</x:t>
  </x:si>
  <x:si>
    <x:t xml:space="preserve">Divergența modelelor și datele subțiri trebuie să reducă încrederea</x:t>
  </x:si>
  <x:si>
    <x:t xml:space="preserve">FootyMetrics</x:t>
  </x:si>
  <x:si>
    <x:t xml:space="preserve">strategie / CLV</x:t>
  </x:si>
  <x:si>
    <x:t xml:space="preserve">https://www.footymetrics.com/learn/what-is-closing-line-value</x:t>
  </x:si>
  <x:si>
    <x:t xml:space="preserve">Closing Line Value</x:t>
  </x:si>
  <x:si>
    <x:t xml:space="preserve">CLV este indicator de proces pe termen lung, nu garanție pe un pariu</x:t>
  </x:si>
  <x:si>
    <x:t xml:space="preserve">StatsBet</x:t>
  </x:si>
  <x:si>
    <x:t xml:space="preserve">strategie / EV</x:t>
  </x:si>
  <x:si>
    <x:t xml:space="preserve">https://statsbet.org/blog/ultimate-guide-value-betting-football</x:t>
  </x:si>
  <x:si>
    <x:t xml:space="preserve">EV și value betting</x:t>
  </x:si>
  <x:si>
    <x:t xml:space="preserve">Reușita mare nu este suficientă; probabilitatea trebuie comparată cu prețul</x:t>
  </x:si>
  <x:si>
    <x:t xml:space="preserve">Backtest intern – constatare 30.08.2026</x:t>
  </x:si>
  <x:si>
    <x:t xml:space="preserve">validare / calibrare</x:t>
  </x:si>
  <x:si>
    <x:t xml:space="preserve">Fișier rezultate 30.08.2026</x:t>
  </x:si>
  <x:si>
    <x:t xml:space="preserve">Zero-mass Over 0,5</x:t>
  </x:si>
  <x:si>
    <x:t xml:space="preserve">4 rezultate 0–0; două selecții aveau P=94%. Justifică update-ul P0 team+ligă și gate-ul &gt;92%.</x:t>
  </x:si>
  <x:si>
    <x:t xml:space="preserve">A – backtest intern</x:t>
  </x:si>
  <x:si>
    <x:t xml:space="preserve">BACKTEST, CALIBRARE ȘI CLOSING LINE VALUE</x:t>
  </x:si>
  <x:si>
    <x:t xml:space="preserve">REZUMAT BACKTEST</x:t>
  </x:si>
  <x:si>
    <x:t xml:space="preserve">VALIDARE OUT-OF-SAMPLE PE CLASA ZERO-RISK V5</x:t>
  </x:si>
  <x:si>
    <x:t xml:space="preserve">P model v5 O0.5</x:t>
  </x:si>
  <x:si>
    <x:t xml:space="preserve">Cotă plasată</x:t>
  </x:si>
  <x:si>
    <x:t xml:space="preserve">Cotă închidere</x:t>
  </x:si>
  <x:si>
    <x:t xml:space="preserve">Rezultat O0.5 (1/0)</x:t>
  </x:si>
  <x:si>
    <x:t xml:space="preserve">Profit 1u</x:t>
  </x:si>
  <x:si>
    <x:t xml:space="preserve">Brier Score</x:t>
  </x:si>
  <x:si>
    <x:t xml:space="preserve">Log-loss</x:t>
  </x:si>
  <x:si>
    <x:t xml:space="preserve">Verdict v5</x:t>
  </x:si>
  <x:si>
    <x:t xml:space="preserve">Clasă zero-risk v5</x:t>
  </x:si>
  <x:si>
    <x:t xml:space="preserve">Indicator</x:t>
  </x:si>
  <x:si>
    <x:t xml:space="preserve">Brier mediu</x:t>
  </x:si>
  <x:si>
    <x:t xml:space="preserve">Log-loss mediu</x:t>
  </x:si>
  <x:si>
    <x:t xml:space="preserve">P medie</x:t>
  </x:si>
  <x:si>
    <x:t xml:space="preserve">Rată reală</x:t>
  </x:si>
  <x:si>
    <x:t xml:space="preserve">Pariuri evaluate</x:t>
  </x:si>
  <x:si>
    <x:t xml:space="preserve">SCĂZUT</x:t>
  </x:si>
  <x:si>
    <x:t xml:space="preserve">Rată reușită</x:t>
  </x:si>
  <x:si>
    <x:t xml:space="preserve">MEDIU</x:t>
  </x:si>
  <x:si>
    <x:t xml:space="preserve">ROI</x:t>
  </x:si>
  <x:si>
    <x:t xml:space="preserve">RIDICAT</x:t>
  </x:si>
  <x:si>
    <x:t xml:space="preserve">NEDETERMINAT</x:t>
  </x:si>
  <x:si>
    <x:t xml:space="preserve">CLV mediu</x:t>
  </x:si>
  <x:si>
    <x:t xml:space="preserve">Bin probabilitate</x:t>
  </x:si>
  <x:si>
    <x:t xml:space="preserve">Diferență calibrare</x:t>
  </x:si>
  <x:si>
    <x:t xml:space="preserve">75%–80%</x:t>
  </x:si>
  <x:si>
    <x:t xml:space="preserve">80%–85%</x:t>
  </x:si>
  <x:si>
    <x:t xml:space="preserve">85%–88%</x:t>
  </x:si>
  <x:si>
    <x:t xml:space="preserve">88%–90%</x:t>
  </x:si>
  <x:si>
    <x:t xml:space="preserve">90%–92%</x:t>
  </x:si>
  <x:si>
    <x:t xml:space="preserve">92%–94%</x:t>
  </x:si>
  <x:si>
    <x:t xml:space="preserve">94%–96%</x:t>
  </x:si>
  <x:si>
    <x:t xml:space="preserve">96%–98%</x:t>
  </x:si>
  <x:si>
    <x:t xml:space="preserve">98%–100%</x:t>
  </x:si>
  <x:si>
    <x:t xml:space="preserve">Componentă</x:t>
  </x:si>
  <x:si>
    <x:t xml:space="preserve">Pondere activă</x:t>
  </x:si>
  <x:si>
    <x:t xml:space="preserve">Scor 0–100</x:t>
  </x:si>
  <x:si>
    <x:t xml:space="preserve">Definiție operațională</x:t>
  </x:si>
  <x:si>
    <x:t xml:space="preserve">Sursă în Analize meciuri</x:t>
  </x:si>
  <x:si>
    <x:t xml:space="preserve">FI × GK; parametri B97:B98</x:t>
  </x:si>
  <x:si>
    <x:t xml:space="preserve">Abaterea contextuală și contradicțiile de date</x:t>
  </x:si>
  <x:si>
    <x:t xml:space="preserve">BR + BG</x:t>
  </x:si>
  <x:si>
    <x:t xml:space="preserve">Suprapunerea low-conversion și a contradicțiilor</x:t>
  </x:si>
  <x:si>
    <x:t xml:space="preserve">GJ + BG</x:t>
  </x:si>
  <x:si>
    <x:t xml:space="preserve">Total</x:t>
  </x:si>
  <x:si>
    <x:t xml:space="preserve">Ponderi normalizate proporțional; raportul relativ v7 este păstrat</x:t>
  </x:si>
  <x:si>
    <x:t xml:space="preserve">Nivel</x:t>
  </x:si>
  <x:si>
    <x:t xml:space="preserve">Acțiune</x:t>
  </x:si>
  <x:si>
    <x:t xml:space="preserve">Regulă comună</x:t>
  </x:si>
  <x:si>
    <x:t xml:space="preserve">Rol</x:t>
  </x:si>
  <x:si>
    <x:t xml:space="preserve">Observație</x:t>
  </x:si>
  <x:si>
    <x:t xml:space="preserve">Risc structural implicit</x:t>
  </x:si>
  <x:si>
    <x:t xml:space="preserve">Baseline piață</x:t>
  </x:si>
  <x:si>
    <x:t xml:space="preserve">Poate urca/coborî operațional după gate-uri</x:t>
  </x:si>
  <x:si>
    <x:t xml:space="preserve">Failure mode dominant</x:t>
  </x:si>
  <x:si>
    <x:t xml:space="preserve">0–0 / zero-mass</x:t>
  </x:si>
  <x:si>
    <x:t xml:space="preserve">Driver principal</x:t>
  </x:si>
  <x:si>
    <x:t xml:space="preserve">Trebuie raportat în orice recomandare</x:t>
  </x:si>
  <x:si>
    <x:t xml:space="preserve">Hard gate override</x:t>
  </x:si>
  <x:si>
    <x:t xml:space="preserve">EV / pricing gate</x:t>
  </x:si>
  <x:si>
    <x:t xml:space="preserve">Builder eligibility</x:t>
  </x:si>
  <x:si>
    <x:t xml:space="preserve">Numai dacă verdictul modelului-sursă NU este WATCH/NO BET și toate P0 sunt PASS</x:t>
  </x:si>
  <x:si>
    <x:t xml:space="preserve">Arhitectură comună</x:t>
  </x:si>
  <x:si>
    <x:t xml:space="preserve">Se aplică tuturor modelelor-sursă</x:t>
  </x:si>
  <x:si>
    <x:t xml:space="preserve">Ordine ranking</x:t>
  </x:si>
  <x:si>
    <x:t xml:space="preserve">Pondere</x:t>
  </x:si>
  <x:si>
    <x:t xml:space="preserve">Risk Score calculat</x:t>
  </x:si>
  <x:si>
    <x:t xml:space="preserve">G0 / Hard Gate</x:t>
  </x:si>
  <x:si>
    <x:t xml:space="preserve">ZERO-MASS GATE v2 – OVER 0,5</x:t>
  </x:si>
  <x:si>
    <x:t xml:space="preserve">Valoare / Status</x:t>
  </x:si>
  <x:si>
    <x:t xml:space="preserve">Prag / sens</x:t>
  </x:si>
  <x:si>
    <x:t xml:space="preserve">Sursa 1</x:t>
  </x:si>
  <x:si>
    <x:t xml:space="preserve">Sursa 2</x:t>
  </x:si>
  <x:si>
    <x:t xml:space="preserve">Team blank-rate recent H/A</x:t>
  </x:si>
  <x:si>
    <x:t xml:space="preserve">mai mic = mai bun</x:t>
  </x:si>
  <x:si>
    <x:t xml:space="preserve">P0/P1 zero-mass</x:t>
  </x:si>
  <x:si>
    <x:t xml:space="preserve">Opponent clean-sheet recent H/A</x:t>
  </x:si>
  <x:si>
    <x:t xml:space="preserve">0–0 rate relevant</x:t>
  </x:si>
  <x:si>
    <x:t xml:space="preserve">P0 zero-mass</x:t>
  </x:si>
  <x:si>
    <x:t xml:space="preserve">Pace / low-tempo score (0–100)</x:t>
  </x:si>
  <x:si>
    <x:t xml:space="preserve">≤40 preferat</x:t>
  </x:si>
  <x:si>
    <x:t xml:space="preserve">P0/P1</x:t>
  </x:si>
  <x:si>
    <x:t xml:space="preserve">Lineup ofensiv confirmat</x:t>
  </x:si>
  <x:si>
    <x:t xml:space="preserve">PASS</x:t>
  </x:si>
  <x:si>
    <x:t xml:space="preserve">P0</x:t>
  </x:si>
  <x:si>
    <x:t xml:space="preserve">Surse independente care confirmă zero-mass scăzut</x:t>
  </x:si>
  <x:si>
    <x:t xml:space="preserve">minimum 2</x:t>
  </x:si>
  <x:si>
    <x:t xml:space="preserve">Zero-mass status</x:t>
  </x:si>
  <x:si>
    <x:t xml:space="preserve">Calcul / Gate</x:t>
  </x:si>
  <x:si>
    <x:t xml:space="preserve">Regulă</x:t>
  </x:si>
  <x:si>
    <x:t xml:space="preserve">P model brut</x:t>
  </x:si>
  <x:si>
    <x:t xml:space="preserve">Confirmări independente</x:t>
  </x:si>
  <x:si>
    <x:t xml:space="preserve">&gt;=2</x:t>
  </x:si>
  <x:si>
    <x:t xml:space="preserve">Lineup</x:t>
  </x:si>
  <x:si>
    <x:t xml:space="preserve">Zero-mass</x:t>
  </x:si>
  <x:si>
    <x:t xml:space="preserve">Cap P</x:t>
  </x:si>
  <x:si>
    <x:t xml:space="preserve">94% dacă toate confirmă; altfel max 90%</x:t>
  </x:si>
  <x:si>
    <x:t xml:space="preserve">P finală</x:t>
  </x:si>
  <x:si>
    <x:t xml:space="preserve">MIN(P model, Cap P)</x:t>
  </x:si>
  <x:si>
    <x:t xml:space="preserve">FROZEN PREDICTIONS – WALK-FORWARD / NO LOOK-AHEAD</x:t>
  </x:si>
  <x:si>
    <x:t xml:space="preserve">V5 LOW-CONVERSION FROZEN FIELDS</x:t>
  </x:si>
  <x:si>
    <x:t xml:space="preserve">Save as values before kickoff. Do not overwrite pre-match probabilities after results.</x:t>
  </x:si>
  <x:si>
    <x:t xml:space="preserve">Copy as values before kickoff; never recompute with post-match outcomes.</x:t>
  </x:si>
  <x:si>
    <x:t xml:space="preserve">Snapshot_ID</x:t>
  </x:si>
  <x:si>
    <x:t xml:space="preserve">Snapshot_TS</x:t>
  </x:si>
  <x:si>
    <x:t xml:space="preserve">Match_Date</x:t>
  </x:si>
  <x:si>
    <x:t xml:space="preserve">Country</x:t>
  </x:si>
  <x:si>
    <x:t xml:space="preserve">League</x:t>
  </x:si>
  <x:si>
    <x:t xml:space="preserve">Home</x:t>
  </x:si>
  <x:si>
    <x:t xml:space="preserve">Away</x:t>
  </x:si>
  <x:si>
    <x:t xml:space="preserve">Market</x:t>
  </x:si>
  <x:si>
    <x:t xml:space="preserve">Line</x:t>
  </x:si>
  <x:si>
    <x:t xml:space="preserve">Model_Version</x:t>
  </x:si>
  <x:si>
    <x:t xml:space="preserve">P_Model</x:t>
  </x:si>
  <x:si>
    <x:t xml:space="preserve">P_Final</x:t>
  </x:si>
  <x:si>
    <x:t xml:space="preserve">Risk_Level</x:t>
  </x:si>
  <x:si>
    <x:t xml:space="preserve">Hard_Gates</x:t>
  </x:si>
  <x:si>
    <x:t xml:space="preserve">Data_Grade</x:t>
  </x:si>
  <x:si>
    <x:t xml:space="preserve">PreMatch_Frozen</x:t>
  </x:si>
  <x:si>
    <x:t xml:space="preserve">P0_model</x:t>
  </x:si>
  <x:si>
    <x:t xml:space="preserve">P0_empirical_HA</x:t>
  </x:si>
  <x:si>
    <x:t xml:space="preserve">P0_league</x:t>
  </x:si>
  <x:si>
    <x:t xml:space="preserve">P0_calibrated</x:t>
  </x:si>
  <x:si>
    <x:t xml:space="preserve">BlankRate_H</x:t>
  </x:si>
  <x:si>
    <x:t xml:space="preserve">BlankRate_A</x:t>
  </x:si>
  <x:si>
    <x:t xml:space="preserve">Opponent_CS_HA</x:t>
  </x:si>
  <x:si>
    <x:t xml:space="preserve">ZeroMassConfirmationCount</x:t>
  </x:si>
  <x:si>
    <x:t xml:space="preserve">Lineup_Status</x:t>
  </x:si>
  <x:si>
    <x:t xml:space="preserve">P_Cap</x:t>
  </x:si>
  <x:si>
    <x:t xml:space="preserve">ZeroMass_Status</x:t>
  </x:si>
  <x:si>
    <x:t xml:space="preserve">Candidate_Threshold_ID</x:t>
  </x:si>
  <x:si>
    <x:t xml:space="preserve">Notes</x:t>
  </x:si>
  <x:si>
    <x:t xml:space="preserve">BlankRecent_H</x:t>
  </x:si>
  <x:si>
    <x:t xml:space="preserve">BlankRecent_A</x:t>
  </x:si>
  <x:si>
    <x:t xml:space="preserve">Recent00_Count_H</x:t>
  </x:si>
  <x:si>
    <x:t xml:space="preserve">Recent00_Count_A</x:t>
  </x:si>
  <x:si>
    <x:t xml:space="preserve">RecentFinishing_H</x:t>
  </x:si>
  <x:si>
    <x:t xml:space="preserve">RecentFinishing_A</x:t>
  </x:si>
  <x:si>
    <x:t xml:space="preserve">ChanceCreation_Index</x:t>
  </x:si>
  <x:si>
    <x:t xml:space="preserve">BothBlank_Flag</x:t>
  </x:si>
  <x:si>
    <x:t xml:space="preserve">OpponentCS_Flag</x:t>
  </x:si>
  <x:si>
    <x:t xml:space="preserve">ModerateLambdaWeakFinishing_Flag</x:t>
  </x:si>
  <x:si>
    <x:t xml:space="preserve">Recent00_Accumulation_Flag</x:t>
  </x:si>
  <x:si>
    <x:t xml:space="preserve">LowConversion_Score</x:t>
  </x:si>
  <x:si>
    <x:t xml:space="preserve">LowConversion_P0_Multiplier</x:t>
  </x:si>
  <x:si>
    <x:t xml:space="preserve">P0_v5</x:t>
  </x:si>
  <x:si>
    <x:t xml:space="preserve">ZeroRisk_v5</x:t>
  </x:si>
  <x:si>
    <x:t xml:space="preserve">P_Cap_v5</x:t>
  </x:si>
  <x:si>
    <x:t xml:space="preserve">P_Final_v5</x:t>
  </x:si>
  <x:si>
    <x:t xml:space="preserve">DEPRECATED v6 – SETTLEMENT ELIMINAT DIN ANALIZA MODELULUI</x:t>
  </x:si>
  <x:si>
    <x:t xml:space="preserve">Foaia rămâne doar pentru compatibilitate/audit istoric. Nu este folosită în verdict, Risk Score, ranking sau Builder eligibility.</x:t>
  </x:si>
  <x:si>
    <x:t xml:space="preserve">P_Final_Frozen</x:t>
  </x:si>
  <x:si>
    <x:t xml:space="preserve">Outcome_1_0</x:t>
  </x:si>
  <x:si>
    <x:t xml:space="preserve">Profit_1u</x:t>
  </x:si>
  <x:si>
    <x:t xml:space="preserve">Score_H</x:t>
  </x:si>
  <x:si>
    <x:t xml:space="preserve">Score_A</x:t>
  </x:si>
  <x:si>
    <x:t xml:space="preserve">Fail_Mode</x:t>
  </x:si>
  <x:si>
    <x:t xml:space="preserve">Settlement_Source</x:t>
  </x:si>
  <x:si>
    <x:t xml:space="preserve">Settled_TS</x:t>
  </x:si>
  <x:si>
    <x:t xml:space="preserve">Brier</x:t>
  </x:si>
  <x:si>
    <x:t xml:space="preserve">LogLoss</x:t>
  </x:si>
  <x:si>
    <x:t xml:space="preserve">Hard_Gates_Frozen</x:t>
  </x:si>
  <x:si>
    <x:t xml:space="preserve">Verdict_Frozen</x:t>
  </x:si>
  <x:si>
    <x:t xml:space="preserve">RISK LEVEL SUMMARY</x:t>
  </x:si>
  <x:si>
    <x:t xml:space="preserve">Evaluate levels 1–5 separately; hard-gate fail overrides score.</x:t>
  </x:si>
  <x:si>
    <x:t xml:space="preserve">Risk Level</x:t>
  </x:si>
  <x:si>
    <x:t xml:space="preserve">N</x:t>
  </x:si>
  <x:si>
    <x:t xml:space="preserve">Wins</x:t>
  </x:si>
  <x:si>
    <x:t xml:space="preserve">Hit Rate</x:t>
  </x:si>
  <x:si>
    <x:t xml:space="preserve">Fail Rate</x:t>
  </x:si>
  <x:si>
    <x:t xml:space="preserve">CALIBRATION – FROZEN P_FINAL</x:t>
  </x:si>
  <x:si>
    <x:t xml:space="preserve">Calibration uses only frozen probabilities and settled outcomes.</x:t>
  </x:si>
  <x:si>
    <x:t xml:space="preserve">P low</x:t>
  </x:si>
  <x:si>
    <x:t xml:space="preserve">P high</x:t>
  </x:si>
  <x:si>
    <x:t xml:space="preserve">Mean P</x:t>
  </x:si>
  <x:si>
    <x:t xml:space="preserve">Observed Rate</x:t>
  </x:si>
  <x:si>
    <x:t xml:space="preserve">Calibration Gap</x:t>
  </x:si>
  <x:si>
    <x:t xml:space="preserve">FAIL DISTRIBUTION</x:t>
  </x:si>
  <x:si>
    <x:t xml:space="preserve">Code failure modes only after settlement; use for threshold diagnostics, not retroactive tuning.</x:t>
  </x:si>
  <x:si>
    <x:t xml:space="preserve">Fail Mode</x:t>
  </x:si>
  <x:si>
    <x:t xml:space="preserve">Fails</x:t>
  </x:si>
  <x:si>
    <x:t xml:space="preserve">Share of Fails</x:t>
  </x:si>
  <x:si>
    <x:t xml:space="preserve">Model relevance</x:t>
  </x:si>
  <x:si>
    <x:t xml:space="preserve">0-0</x:t>
  </x:si>
  <x:si>
    <x:t xml:space="preserve">Home blank / attack failure</x:t>
  </x:si>
  <x:si>
    <x:t xml:space="preserve">Away blank / attack failure</x:t>
  </x:si>
  <x:si>
    <x:t xml:space="preserve">Opponent clean-sheet interaction</x:t>
  </x:si>
  <x:si>
    <x:t xml:space="preserve">Low tempo</x:t>
  </x:si>
  <x:si>
    <x:t xml:space="preserve">Lineup / data confirmation</x:t>
  </x:si>
  <x:si>
    <x:t xml:space="preserve">Other</x:t>
  </x:si>
  <x:si>
    <x:t xml:space="preserve">LEAGUE SUMMARY</x:t>
  </x:si>
  <x:si>
    <x:t xml:space="preserve">Enter leagues in column A. Threshold changes require stable effects across multiple leagues.</x:t>
  </x:si>
  <x:si>
    <x:t xml:space="preserve">Stability</x:t>
  </x:si>
  <x:si>
    <x:t xml:space="preserve">MONTHLY SUMMARY</x:t>
  </x:si>
  <x:si>
    <x:t xml:space="preserve">Monitor temporal drift; do not adopt a threshold that works in one month only.</x:t>
  </x:si>
  <x:si>
    <x:t xml:space="preserve">Month Start</x:t>
  </x:si>
  <x:si>
    <x:t xml:space="preserve">BUILDER MARGINAL FAILS</x:t>
  </x:si>
  <x:si>
    <x:t xml:space="preserve">Common audit interface; populated primarily in Bet Builder.</x:t>
  </x:si>
  <x:si>
    <x:t xml:space="preserve">Builder_ID</x:t>
  </x:si>
  <x:si>
    <x:t xml:space="preserve">Builder_Type</x:t>
  </x:si>
  <x:si>
    <x:t xml:space="preserve">Match</x:t>
  </x:si>
  <x:si>
    <x:t xml:space="preserve">Failed_Leg</x:t>
  </x:si>
  <x:si>
    <x:t xml:space="preserve">Source_Model</x:t>
  </x:si>
  <x:si>
    <x:t xml:space="preserve">Leg_P</x:t>
  </x:si>
  <x:si>
    <x:t xml:space="preserve">Leg_Risk</x:t>
  </x:si>
  <x:si>
    <x:t xml:space="preserve">Source_Gates</x:t>
  </x:si>
  <x:si>
    <x:t xml:space="preserve">Correlation</x:t>
  </x:si>
  <x:si>
    <x:t xml:space="preserve">Uncertainty</x:t>
  </x:si>
  <x:si>
    <x:t xml:space="preserve">Marginal_Fail_Contribution</x:t>
  </x:si>
  <x:si>
    <x:t xml:space="preserve">N/A</x:t>
  </x:si>
  <x:si>
    <x:t xml:space="preserve">Standard interface; populate in Bet Builder v6.</x:t>
  </x:si>
  <x:si>
    <x:t xml:space="preserve">BACKTEST SUMMARY – WALK-FORWARD GOVERNANCE</x:t>
  </x:si>
  <x:si>
    <x:t xml:space="preserve">No threshold change from retrospective hit-rate alone. Require frozen OOS evidence, Wilson CI, Brier, Log-loss, calibration, fail distribution and multi-league stability.</x:t>
  </x:si>
  <x:si>
    <x:t xml:space="preserve">Metric</x:t>
  </x:si>
  <x:si>
    <x:t xml:space="preserve">Walk-forward value</x:t>
  </x:si>
  <x:si>
    <x:t xml:space="preserve">Meaning</x:t>
  </x:si>
  <x:si>
    <x:t xml:space="preserve">Threshold-change role</x:t>
  </x:si>
  <x:si>
    <x:t xml:space="preserve">Reference evidence</x:t>
  </x:si>
  <x:si>
    <x:t xml:space="preserve">Reference N / value</x:t>
  </x:si>
  <x:si>
    <x:t xml:space="preserve">Reference Wilson / metric</x:t>
  </x:si>
  <x:si>
    <x:t xml:space="preserve">Settled N</x:t>
  </x:si>
  <x:si>
    <x:t xml:space="preserve">Frozen + settled observations</x:t>
  </x:si>
  <x:si>
    <x:t xml:space="preserve">OOS volume</x:t>
  </x:si>
  <x:si>
    <x:t xml:space="preserve">Backtest sheet exists but contains 0 populated predictions; no numeric threshold change is supportable.</x:t>
  </x:si>
  <x:si>
    <x:t xml:space="preserve">REFERENCE ≠ candidate OOS</x:t>
  </x:si>
  <x:si>
    <x:t xml:space="preserve">Outcome=1</x:t>
  </x:si>
  <x:si>
    <x:t xml:space="preserve">Numerator</x:t>
  </x:si>
  <x:si>
    <x:t xml:space="preserve">Hit rate</x:t>
  </x:si>
  <x:si>
    <x:t xml:space="preserve">Observed rate</x:t>
  </x:si>
  <x:si>
    <x:t xml:space="preserve">Diagnostic only</x:t>
  </x:si>
  <x:si>
    <x:t xml:space="preserve">Wilson 95% low</x:t>
  </x:si>
  <x:si>
    <x:t xml:space="preserve">Lower bound</x:t>
  </x:si>
  <x:si>
    <x:t xml:space="preserve">Required</x:t>
  </x:si>
  <x:si>
    <x:t xml:space="preserve">Wilson 95% high</x:t>
  </x:si>
  <x:si>
    <x:t xml:space="preserve">Upper bound</x:t>
  </x:si>
  <x:si>
    <x:t xml:space="preserve">Mean P Final</x:t>
  </x:si>
  <x:si>
    <x:t xml:space="preserve">Frozen mean probability</x:t>
  </x:si>
  <x:si>
    <x:t xml:space="preserve">Calibration</x:t>
  </x:si>
  <x:si>
    <x:t xml:space="preserve">Calibration gap</x:t>
  </x:si>
  <x:si>
    <x:t xml:space="preserve">Mean P - hit rate</x:t>
  </x:si>
  <x:si>
    <x:t xml:space="preserve">Lower is better</x:t>
  </x:si>
  <x:si>
    <x:t xml:space="preserve">Leagues evaluated</x:t>
  </x:si>
  <x:si>
    <x:t xml:space="preserve">Number of leagues</x:t>
  </x:si>
  <x:si>
    <x:t xml:space="preserve">Stable leagues</x:t>
  </x:si>
  <x:si>
    <x:t xml:space="preserve">Stable calibration leagues</x:t>
  </x:si>
  <x:si>
    <x:t xml:space="preserve">Threshold decision</x:t>
  </x:si>
  <x:si>
    <x:t xml:space="preserve">KEEP CURRENT</x:t>
  </x:si>
  <x:si>
    <x:t xml:space="preserve">Manual governance</x:t>
  </x:si>
  <x:si>
    <x:t xml:space="preserve">Change only after non-degrading multi-metric OOS result</x:t>
  </x:si>
  <x:si>
    <x:t xml:space="preserve">MANUAL</x:t>
  </x:si>
  <x:si>
    <x:t xml:space="preserve">OVER 0,5 v4 – ZERO-MASS WALK-FORWARD FIELDS</x:t>
  </x:si>
  <x:si>
    <x:t xml:space="preserve">v4 structural logic retained; no threshold or architecture is relaxed without strict OOS evidence.</x:t>
  </x:si>
  <x:si>
    <x:t xml:space="preserve">Field</x:t>
  </x:si>
  <x:si>
    <x:t xml:space="preserve">Value</x:t>
  </x:si>
  <x:si>
    <x:t xml:space="preserve">Role</x:t>
  </x:si>
  <x:si>
    <x:t xml:space="preserve">Rule</x:t>
  </x:si>
  <x:si>
    <x:t xml:space="preserve">OOS status</x:t>
  </x:si>
  <x:si>
    <x:t xml:space="preserve">Builder</x:t>
  </x:si>
  <x:si>
    <x:t xml:space="preserve">Model zero probability</x:t>
  </x:si>
  <x:si>
    <x:t xml:space="preserve">Current zero-mass engine</x:t>
  </x:si>
  <x:si>
    <x:t xml:space="preserve">MONITOR</x:t>
  </x:si>
  <x:si>
    <x:t xml:space="preserve">source</x:t>
  </x:si>
  <x:si>
    <x:t xml:space="preserve">Empirical H/A zero mass</x:t>
  </x:si>
  <x:si>
    <x:t xml:space="preserve">Frozen sample only</x:t>
  </x:si>
  <x:si>
    <x:t xml:space="preserve">League prior</x:t>
  </x:si>
  <x:si>
    <x:t xml:space="preserve">Shrink to league</x:t>
  </x:si>
  <x:si>
    <x:t xml:space="preserve">Final P(0-0) risk</x:t>
  </x:si>
  <x:si>
    <x:t xml:space="preserve">Freeze pre-match</x:t>
  </x:si>
  <x:si>
    <x:t xml:space="preserve">NO THRESHOLD CHANGE</x:t>
  </x:si>
  <x:si>
    <x:t xml:space="preserve">Home blank</x:t>
  </x:si>
  <x:si>
    <x:t xml:space="preserve">Away blank</x:t>
  </x:si>
  <x:si>
    <x:t xml:space="preserve">Opponent clean-sheet H/A</x:t>
  </x:si>
  <x:si>
    <x:t xml:space="preserve">Independent confirmations</x:t>
  </x:si>
  <x:si>
    <x:t xml:space="preserve">&gt;=2 for &gt;92% zone</x:t>
  </x:si>
  <x:si>
    <x:t xml:space="preserve">UNCHANGED HARD</x:t>
  </x:si>
  <x:si>
    <x:t xml:space="preserve">hard</x:t>
  </x:si>
  <x:si>
    <x:t xml:space="preserve">UNKNOWN</x:t>
  </x:si>
  <x:si>
    <x:t xml:space="preserve">Offensive lineup</x:t>
  </x:si>
  <x:si>
    <x:t xml:space="preserve">CONFIRMED for &gt;92% zone</x:t>
  </x:si>
  <x:si>
    <x:t xml:space="preserve">SCĂZUT/MEDIU/RIDICAT</x:t>
  </x:si>
  <x:si>
    <x:t xml:space="preserve">Existing v4 classes</x:t>
  </x:si>
  <x:si>
    <x:t xml:space="preserve">UNCHANGED</x:t>
  </x:si>
  <x:si>
    <x:t xml:space="preserve">Probability cap</x:t>
  </x:si>
  <x:si>
    <x:t xml:space="preserve">94% only if low zero-mass + &gt;=2 confirmations + confirmed lineup; otherwise existing 90–92% bands</x:t>
  </x:si>
  <x:si>
    <x:t xml:space="preserve">Final O0.5 probability</x:t>
  </x:si>
  <x:si>
    <x:t xml:space="preserve">MIN(1-P0_calibrated,P_Cap)</x:t>
  </x:si>
  <x:si>
    <x:t xml:space="preserve">AUDIT</x:t>
  </x:si>
  <x:si>
    <x:t xml:space="preserve">ZERO-MASS GATE V5 – LOW-CONVERSION AUDIT</x:t>
  </x:si>
  <x:si>
    <x:t xml:space="preserve">Prag / referință</x:t>
  </x:si>
  <x:si>
    <x:t xml:space="preserve">Input</x:t>
  </x:si>
  <x:si>
    <x:t xml:space="preserve">blank recent</x:t>
  </x:si>
  <x:si>
    <x:t xml:space="preserve">Semnal</x:t>
  </x:si>
  <x:si>
    <x:t xml:space="preserve">DA întărește P0</x:t>
  </x:si>
  <x:si>
    <x:t xml:space="preserve">Model</x:t>
  </x:si>
  <x:si>
    <x:t xml:space="preserve">fereastră moderată 1,60–2,60</x:t>
  </x:si>
  <x:si>
    <x:t xml:space="preserve">Calcul</x:t>
  </x:si>
  <x:si>
    <x:t xml:space="preserve">sub 0,90 = slab</x:t>
  </x:si>
  <x:si>
    <x:t xml:space="preserve">confirmă că există ocazii</x:t>
  </x:si>
  <x:si>
    <x:t xml:space="preserve">Nucleu</x:t>
  </x:si>
  <x:si>
    <x:t xml:space="preserve">pondere 45%</x:t>
  </x:si>
  <x:si>
    <x:t xml:space="preserve">cel puțin o echipă</x:t>
  </x:si>
  <x:si>
    <x:t xml:space="preserve">Scor low-conversion</x:t>
  </x:si>
  <x:si>
    <x:t xml:space="preserve">Scor</x:t>
  </x:si>
  <x:si>
    <x:t xml:space="preserve">0–100%</x:t>
  </x:si>
  <x:si>
    <x:t xml:space="preserve">Multiplicator P0</x:t>
  </x:si>
  <x:si>
    <x:t xml:space="preserve">Ajustare</x:t>
  </x:si>
  <x:si>
    <x:t xml:space="preserve">maxim 1,20x</x:t>
  </x:si>
  <x:si>
    <x:t xml:space="preserve">probabilitate 0-0</x:t>
  </x:si>
  <x:si>
    <x:t xml:space="preserve">Date v5 complete</x:t>
  </x:si>
  <x:si>
    <x:t xml:space="preserve">Hard gate</x:t>
  </x:si>
  <x:si>
    <x:t xml:space="preserve">DA obligatoriu</x:t>
  </x:si>
  <x:si>
    <x:t xml:space="preserve">SCĂZUT obligatoriu</x:t>
  </x:si>
  <x:si>
    <x:t xml:space="preserve">Cap probabilitate v5</x:t>
  </x:si>
  <x:si>
    <x:t xml:space="preserve">Plafon</x:t>
  </x:si>
  <x:si>
    <x:t xml:space="preserve">90/91/92/94% neschimbat</x:t>
  </x:si>
  <x:si>
    <x:t xml:space="preserve">Forecast</x:t>
  </x:si>
  <x:si>
    <x:t xml:space="preserve">după P0 și cap</x:t>
  </x:si>
  <x:si>
    <x:t xml:space="preserve">Gate selecție v5</x:t>
  </x:si>
  <x:si>
    <x:t xml:space="preserve">Decizie</x:t>
  </x:si>
  <x:si>
    <x:t xml:space="preserve">rezultat final</x:t>
  </x:si>
  <x:si>
    <x:t xml:space="preserve">CHANGELOG VERSIUNI – consolidare foi Update / WF_Update</x:t>
  </x:si>
  <x:si>
    <x:t xml:space="preserve">Conținut consolidat exclusiv pentru prezentare/audit; motorul activ și formulele nu sunt mutate.</x:t>
  </x:si>
  <x:si>
    <x:t xml:space="preserve">SURSĂ CONSOLIDATĂ: Update_v4</x:t>
  </x:si>
  <x:si>
    <x:t xml:space="preserve">UPDATE METODOLOGIE – v4</x:t>
  </x:si>
  <x:si>
    <x:t xml:space="preserve">Prioritate</x:t>
  </x:si>
  <x:si>
    <x:t xml:space="preserve">Update</x:t>
  </x:si>
  <x:si>
    <x:t xml:space="preserve">Problemă / motiv</x:t>
  </x:si>
  <x:si>
    <x:t xml:space="preserve">Implementare</x:t>
  </x:si>
  <x:si>
    <x:t xml:space="preserve">Impact risc</x:t>
  </x:si>
  <x:si>
    <x:t xml:space="preserve">Zero-Mass Gate v2</x:t>
  </x:si>
  <x:si>
    <x:t xml:space="preserve">P mare poate ascunde masă reală la 0–0</x:t>
  </x:si>
  <x:si>
    <x:t xml:space="preserve">P&gt;90% numai dacă zero-mass este confirmată de minimum două surse independente.</x:t>
  </x:si>
  <x:si>
    <x:t xml:space="preserve">Sheet ZeroMass_Gate_v4 + cap probabilitate</x:t>
  </x:si>
  <x:si>
    <x:t xml:space="preserve">Reduce false confidence 90%+</x:t>
  </x:si>
  <x:si>
    <x:t xml:space="preserve">Confirmare pe componente</x:t>
  </x:si>
  <x:si>
    <x:t xml:space="preserve">Un singur proxy nu este suficient</x:t>
  </x:si>
  <x:si>
    <x:t xml:space="preserve">Team blank-rate + opponent clean-sheet + pace + lineup; minimum 2 surse independente pentru confirmare.</x:t>
  </x:si>
  <x:si>
    <x:t xml:space="preserve">Input configurabil; gate final</x:t>
  </x:si>
  <x:si>
    <x:t xml:space="preserve">Risc Data Quality</x:t>
  </x:si>
  <x:si>
    <x:t xml:space="preserve">P1</x:t>
  </x:si>
  <x:si>
    <x:t xml:space="preserve">Separare P_model / P_cap / P_final</x:t>
  </x:si>
  <x:si>
    <x:t xml:space="preserve">Cap-ul trebuie auditat</x:t>
  </x:si>
  <x:si>
    <x:t xml:space="preserve">Se păstrează probabilitatea brută și se aplică plafonul numai la final.</x:t>
  </x:si>
  <x:si>
    <x:t xml:space="preserve">Câmpuri distincte</x:t>
  </x:si>
  <x:si>
    <x:t xml:space="preserve">Auditabilitate</x:t>
  </x:si>
  <x:si>
    <x:t xml:space="preserve">SURSĂ CONSOLIDATĂ: WF_Update_v4</x:t>
  </x:si>
  <x:si>
    <x:t xml:space="preserve">UPDATE O0.5 v4 – WALK-FORWARD / OOS GOVERNANCE</x:t>
  </x:si>
  <x:si>
    <x:t xml:space="preserve">No populated frozen OOS cohort is present in v4.</x:t>
  </x:si>
  <x:si>
    <x:t xml:space="preserve">Priority</x:t>
  </x:si>
  <x:si>
    <x:t xml:space="preserve">Change</x:t>
  </x:si>
  <x:si>
    <x:t xml:space="preserve">Evidence status</x:t>
  </x:si>
  <x:si>
    <x:t xml:space="preserve">Operational rule</x:t>
  </x:si>
  <x:si>
    <x:t xml:space="preserve">Threshold action</x:t>
  </x:si>
  <x:si>
    <x:t xml:space="preserve">Builder impact</x:t>
  </x:si>
  <x:si>
    <x:t xml:space="preserve">Audit note</x:t>
  </x:si>
  <x:si>
    <x:t xml:space="preserve">Explicit zero-mass fields</x:t>
  </x:si>
  <x:si>
    <x:t xml:space="preserve">Insufficient strict OOS</x:t>
  </x:si>
  <x:si>
    <x:t xml:space="preserve">Keep Zero-Mass Gate hard and freeze all components</x:t>
  </x:si>
  <x:si>
    <x:t xml:space="preserve">KEEP caps/gates</x:t>
  </x:si>
  <x:si>
    <x:t xml:space="preserve">WATCH/FAIL excluded</x:t>
  </x:si>
  <x:si>
    <x:t xml:space="preserve">No structural v4 change</x:t>
  </x:si>
  <x:si>
    <x:t xml:space="preserve">Audit metrics</x:t>
  </x:si>
  <x:si>
    <x:t xml:space="preserve">Need future frozen cohort</x:t>
  </x:si>
  <x:si>
    <x:t xml:space="preserve">Use Wilson/Brier/LogLoss/calibration/league/month sheets</x:t>
  </x:si>
  <x:si>
    <x:t xml:space="preserve">NO threshold change</x:t>
  </x:si>
  <x:si>
    <x:t xml:space="preserve">Eligibility unchanged</x:t>
  </x:si>
  <x:si>
    <x:t xml:space="preserve">Threshold review only after stable multi-league OOS</x:t>
  </x:si>
  <x:si>
    <x:t xml:space="preserve">SURSĂ CONSOLIDATĂ: Update_v5</x:t>
  </x:si>
  <x:si>
    <x:t xml:space="preserve">UPDATE METODOLOGIE – OVER 0,5 V5</x:t>
  </x:si>
  <x:si>
    <x:t xml:space="preserve">Modificare</x:t>
  </x:si>
  <x:si>
    <x:t xml:space="preserve">Problemă tratată</x:t>
  </x:si>
  <x:si>
    <x:t xml:space="preserve">Praguri</x:t>
  </x:si>
  <x:si>
    <x:t xml:space="preserve">Low-conversion core cu pondere 45%</x:t>
  </x:si>
  <x:si>
    <x:t xml:space="preserve">λ moderat poate ascunde conversie slabă în pofida ocaziilor</x:t>
  </x:si>
  <x:si>
    <x:t xml:space="preserve">Ajustarea P0 se activează numai cu λ moderat + finishing slab + xGF relevant</x:t>
  </x:si>
  <x:si>
    <x:t xml:space="preserve">GH:GK și setări B115:B125</x:t>
  </x:si>
  <x:si>
    <x:t xml:space="preserve">Neschimbate</x:t>
  </x:si>
  <x:si>
    <x:t xml:space="preserve">Blank recent bilateral + CS advers</x:t>
  </x:si>
  <x:si>
    <x:t xml:space="preserve">Ambele echipe pot rata golul chiar dacă totalul xG pare acceptabil</x:t>
  </x:si>
  <x:si>
    <x:t xml:space="preserve">Semnalele întăresc scorul numai când nucleul low-conversion este activ</x:t>
  </x:si>
  <x:si>
    <x:t xml:space="preserve">FY:FZ, GF:GG</x:t>
  </x:si>
  <x:si>
    <x:t xml:space="preserve">Un singur 0-0 izolat nu trebuie supraevaluat</x:t>
  </x:si>
  <x:si>
    <x:t xml:space="preserve">Necesită N recent ≥5 și rată 0-0 ≥20% la cel puțin o echipă</x:t>
  </x:si>
  <x:si>
    <x:t xml:space="preserve">GA:GB și GI</x:t>
  </x:si>
  <x:si>
    <x:t xml:space="preserve">Fără relaxare</x:t>
  </x:si>
  <x:si>
    <x:t xml:space="preserve">Ajustarea incrementală nu justifică BET suplimentar</x:t>
  </x:si>
  <x:si>
    <x:t xml:space="preserve">Cap 90/91/92/94%, lineup, piață, portofoliu, Confidence și EV rămân hard gates</x:t>
  </x:si>
  <x:si>
    <x:t xml:space="preserve">GO:GV</x:t>
  </x:si>
  <x:si>
    <x:t xml:space="preserve">Fără modificări</x:t>
  </x:si>
  <x:si>
    <x:t xml:space="preserve">SURSĂ CONSOLIDATĂ: Update_v6</x:t>
  </x:si>
  <x:si>
    <x:t xml:space="preserve">UPDATE v6 – Over 0,5</x:t>
  </x:si>
  <x:si>
    <x:t xml:space="preserve">Impact</x:t>
  </x:si>
  <x:si>
    <x:t xml:space="preserve">Praguri vechi</x:t>
  </x:si>
  <x:si>
    <x:t xml:space="preserve">EV removed</x:t>
  </x:si>
  <x:si>
    <x:t xml:space="preserve">pre-match and live EV cells blank; final verdict does not test EV</x:t>
  </x:si>
  <x:si>
    <x:t xml:space="preserve">technical model only</x:t>
  </x:si>
  <x:si>
    <x:t xml:space="preserve">Zero-Mass thresholds/caps unchanged</x:t>
  </x:si>
  <x:si>
    <x:t xml:space="preserve">P2</x:t>
  </x:si>
  <x:si>
    <x:t xml:space="preserve">Odds optional</x:t>
  </x:si>
  <x:si>
    <x:t xml:space="preserve">real odds no longer required by selection gate</x:t>
  </x:si>
  <x:si>
    <x:t xml:space="preserve">removes false WATCH due missing price</x:t>
  </x:si>
  <x:si>
    <x:t xml:space="preserve">unchanged</x:t>
  </x:si>
  <x:si>
    <x:t xml:space="preserve">P3</x:t>
  </x:si>
  <x:si>
    <x:t xml:space="preserve">PRE-XI vs FINAL-XI</x:t>
  </x:si>
  <x:si>
    <x:t xml:space="preserve">official XI required conditionally for &gt;90% premium band; otherwise conditional haircut</x:t>
  </x:si>
  <x:si>
    <x:t xml:space="preserve">better early pre-match usability</x:t>
  </x:si>
  <x:si>
    <x:t xml:space="preserve">caps unchanged</x:t>
  </x:si>
  <x:si>
    <x:t xml:space="preserve">P4</x:t>
  </x:si>
  <x:si>
    <x:t xml:space="preserve">Data readiness</x:t>
  </x:si>
  <x:si>
    <x:t xml:space="preserve">AVAILABLE/SMALL SAMPLE/PENDING OFFICIAL distinguished</x:t>
  </x:si>
  <x:si>
    <x:t xml:space="preserve">less false LIPSA DATE</x:t>
  </x:si>
  <x:si>
    <x:t xml:space="preserve">P5</x:t>
  </x:si>
  <x:si>
    <x:t xml:space="preserve">Settlement removed</x:t>
  </x:si>
  <x:si>
    <x:t xml:space="preserve">historical sheet deprecated</x:t>
  </x:si>
  <x:si>
    <x:t xml:space="preserve">no active impact</x:t>
  </x:si>
  <x:si>
    <x:t xml:space="preserve">SURSĂ CONSOLIDATĂ: Update_v7</x:t>
  </x:si>
  <x:si>
    <x:t xml:space="preserve">UPDATE v7 – Over 0,5</x:t>
  </x:si>
  <x:si>
    <x:t xml:space="preserve">Clarificare</x:t>
  </x:si>
  <x:si>
    <x:t xml:space="preserve">Regulă nouă / explicitată</x:t>
  </x:si>
  <x:si>
    <x:t xml:space="preserve">Ce NU se schimbă</x:t>
  </x:si>
  <x:si>
    <x:t xml:space="preserve">Motiv</x:t>
  </x:si>
  <x:si>
    <x:t xml:space="preserve">P_cap ≠ Risk Level</x:t>
  </x:si>
  <x:si>
    <x:t xml:space="preserve">Cap 90/91/92/93/94 limitează numai P_final; verdictul se decide separat.</x:t>
  </x:si>
  <x:si>
    <x:t xml:space="preserve">Zero-Mass thresholds și cap-urile existente</x:t>
  </x:si>
  <x:si>
    <x:t xml:space="preserve">Elimină downgrade-uri artificiale</x:t>
  </x:si>
  <x:si>
    <x:t xml:space="preserve">În v6 snapshot-ul putea interpreta greșit 90% ca PRUDENT.</x:t>
  </x:si>
  <x:si>
    <x:t xml:space="preserve">SMALL SAMPLE ≠ PRUDENT automat</x:t>
  </x:si>
  <x:si>
    <x:t xml:space="preserve">Prior + shrinkage + confidence cap; DEFENSIV rămâne posibil la Risk Score ≤20.</x:t>
  </x:si>
  <x:si>
    <x:t xml:space="preserve">Early-season cap</x:t>
  </x:si>
  <x:si>
    <x:t xml:space="preserve">Păstrează robustețea fără false precision</x:t>
  </x:si>
  <x:si>
    <x:t xml:space="preserve">Data Readiness v6 deja separa SMALL SAMPLE de LIPSA DATE.</x:t>
  </x:si>
  <x:si>
    <x:t xml:space="preserve">AVAILABLE – NOT CHECKED</x:t>
  </x:si>
  <x:si>
    <x:t xml:space="preserve">Nu este LIPSA DATE și nu este hard fail; produce recheck/haircut.</x:t>
  </x:si>
  <x:si>
    <x:t xml:space="preserve">Hard fail pentru NOT AVAILABLE critic / SOURCE CONFLICT</x:t>
  </x:si>
  <x:si>
    <x:t xml:space="preserve">Mai puține WATCH false</x:t>
  </x:si>
  <x:si>
    <x:t xml:space="preserve">Respectă arhitectura Data_Readiness v6.</x:t>
  </x:si>
  <x:si>
    <x:t xml:space="preserve">Premium &gt;92%</x:t>
  </x:si>
  <x:si>
    <x:t xml:space="preserve">Permis numai cu Zero-Mass SCĂZUT + confirmări independente + lineup/availability finală relevantă.</x:t>
  </x:si>
  <x:si>
    <x:t xml:space="preserve">Cap 94% maxim</x:t>
  </x:si>
  <x:si>
    <x:t xml:space="preserve">Păstrează anti-overconfidence</x:t>
  </x:si>
  <x:si>
    <x:t xml:space="preserve">V6 a făcut odds/EV neobligatorii.</x:t>
  </x:si>
  <x:si>
    <x:t xml:space="preserve">Ranking</x:t>
  </x:si>
  <x:si>
    <x:t xml:space="preserve">G0 → Data Readiness → Risk Level → P_adjusted → Confidence.</x:t>
  </x:si>
  <x:si>
    <x:t xml:space="preserve">Fără EV/settlement</x:t>
  </x:si>
  <x:si>
    <x:t xml:space="preserve">Separă riscul de forecast</x:t>
  </x:si>
  <x:si>
    <x:t xml:space="preserve">Cadrul comun.</x:t>
  </x:si>
  <x:si>
    <x:t xml:space="preserve">Regulă activă</x:t>
  </x:si>
  <x:si>
    <x:t xml:space="preserve">Trasabilitate</x:t>
  </x:si>
  <x:si>
    <x:t xml:space="preserve">DOCUMENTAȚIE MODEL – metodologie, surse, legendă și guvernanță</x:t>
  </x:si>
  <x:si>
    <x:t xml:space="preserve">SURSĂ CONSOLIDATĂ: Metodologie</x:t>
  </x:si>
  <x:si>
    <x:t xml:space="preserve">METODOLOGIE – OVER 0,5 GOLURI | MODEL V5</x:t>
  </x:si>
  <x:si>
    <x:t xml:space="preserve">METODOLOGIE – OVER 0,5 GOLURI</x:t>
  </x:si>
  <x:si>
    <x:t xml:space="preserve">Obiectiv: estimarea probabilității ca scorul final să nu fie 0–0. Modelul este probabilistic, nu garantează rezultatul și separă probabilitatea sportivă de valoarea cotei.</x:t>
  </x:si>
  <x:si>
    <x:t xml:space="preserve">1. NUCLEUL MATEMATIC</x:t>
  </x:si>
  <x:si>
    <x:t xml:space="preserve">Pas</x:t>
  </x:si>
  <x:si>
    <x:t xml:space="preserve">Formulă / regulă</x:t>
  </x:si>
  <x:si>
    <x:t xml:space="preserve">Explicație</x:t>
  </x:si>
  <x:si>
    <x:t xml:space="preserve">Control de robustețe</x:t>
  </x:si>
  <x:si>
    <x:t xml:space="preserve">λ sezon = λ gazde + λ oaspeți</x:t>
  </x:si>
  <x:si>
    <x:t xml:space="preserve">Combină atacul unei echipe cu vulnerabilitatea adversarului, separat home/away.</x:t>
  </x:si>
  <x:si>
    <x:t xml:space="preserve">Empirical Bayes shrinkage spre media ligii</x:t>
  </x:si>
  <x:si>
    <x:t xml:space="preserve">λ bază = Σ(componentă × pondere adaptivă)</x:t>
  </x:si>
  <x:si>
    <x:t xml:space="preserve">Componente: sezon goluri, sezon xG, recent goluri, recent xG, H2H, piață.</x:t>
  </x:si>
  <x:si>
    <x:t xml:space="preserve">Ponderile depind de tipul competiției</x:t>
  </x:si>
  <x:si>
    <x:t xml:space="preserve">λ ajustat = λ bază × multiplicator context</x:t>
  </x:si>
  <x:si>
    <x:t xml:space="preserve">Multiplicatorul este limitat la 0,75–1,25.</x:t>
  </x:si>
  <x:si>
    <x:t xml:space="preserve">Evită ajustări narative exagerate</x:t>
  </x:si>
  <x:si>
    <x:t xml:space="preserve">P0 Poisson = EXP(−λ ajustat)</x:t>
  </x:si>
  <x:si>
    <x:t xml:space="preserve">Probabilitatea brută de 0–0.</x:t>
  </x:si>
  <x:si>
    <x:t xml:space="preserve">Poisson simplu este doar punctul de pornire</x:t>
  </x:si>
  <x:si>
    <x:t xml:space="preserve">P0 v3 = P0 ZIP/regim v2 × factor zero-mass team-specific</x:t>
  </x:si>
  <x:si>
    <x:t xml:space="preserve">ZIP/DC adaptat; parametrii se validează separat pe ligă și echipă.</x:t>
  </x:si>
  <x:si>
    <x:t xml:space="preserve">P(O0,5) v3 = MIN(1−P0 v3; cap 90/91/92/94%)</x:t>
  </x:si>
  <x:si>
    <x:t xml:space="preserve">Peste 92% este permis doar cu risc zero scăzut, lineup complet și piață confirmată.</x:t>
  </x:si>
  <x:si>
    <x:t xml:space="preserve">Cap automat anti-supraîncredere conform constatării 30.08.</x:t>
  </x:si>
  <x:si>
    <x:t xml:space="preserve">Cotă fair = 1 / P(Over 0,5)</x:t>
  </x:si>
  <x:si>
    <x:t xml:space="preserve">Cotă fără marja bookmakerului.</x:t>
  </x:si>
  <x:si>
    <x:t xml:space="preserve">Comparație cu probabilitatea de piață fără marjă</x:t>
  </x:si>
  <x:si>
    <x:t xml:space="preserve">EV = P(model) × cotă oferită − 1</x:t>
  </x:si>
  <x:si>
    <x:t xml:space="preserve">Recomandarea fermă cere probabilitate, încredere și valoare.</x:t>
  </x:si>
  <x:si>
    <x:t xml:space="preserve">Nu recomanda doar fiindcă P este mare</x:t>
  </x:si>
  <x:si>
    <x:t xml:space="preserve">2. FACTORI CHEIE ȘI MOD DE INTERPRETARE</x:t>
  </x:si>
  <x:si>
    <x:t xml:space="preserve">Grup</x:t>
  </x:si>
  <x:si>
    <x:t xml:space="preserve">Semnal favorabil O0,5</x:t>
  </x:si>
  <x:si>
    <x:t xml:space="preserve">Semnal de risc / evită</x:t>
  </x:si>
  <x:si>
    <x:t xml:space="preserve">Pondere relativă</x:t>
  </x:si>
  <x:si>
    <x:t xml:space="preserve">Sursa preferată</x:t>
  </x:si>
  <x:si>
    <x:t xml:space="preserve">Atac/Apărare</x:t>
  </x:si>
  <x:si>
    <x:t xml:space="preserve">GF/GA home-away</x:t>
  </x:si>
  <x:si>
    <x:t xml:space="preserve">Cel puțin una dintre confruntările atac–apărare produce λ ridicat</x:t>
  </x:si>
  <x:si>
    <x:t xml:space="preserve">Ambele atacuri slabe + defensive solide</x:t>
  </x:si>
  <x:si>
    <x:t xml:space="preserve">Mare</x:t>
  </x:si>
  <x:si>
    <x:t xml:space="preserve">Date ligă / statistici meci</x:t>
  </x:si>
  <x:si>
    <x:t xml:space="preserve">xGF/xGA home-away</x:t>
  </x:si>
  <x:si>
    <x:t xml:space="preserve">Ocazii de calitate create sau concedate constant</x:t>
  </x:si>
  <x:si>
    <x:t xml:space="preserve">Goluri multe fără suport xG ori xG foarte scăzut</x:t>
  </x:si>
  <x:si>
    <x:t xml:space="preserve">Foarte mare</x:t>
  </x:si>
  <x:si>
    <x:t xml:space="preserve">Furnizor xG</x:t>
  </x:si>
  <x:si>
    <x:t xml:space="preserve">Formă</x:t>
  </x:si>
  <x:si>
    <x:t xml:space="preserve">Ultimele 5–10</x:t>
  </x:si>
  <x:si>
    <x:t xml:space="preserve">Semnal recent confirmă sezonul</x:t>
  </x:si>
  <x:si>
    <x:t xml:space="preserve">Formă recentă contrazice sezonul</x:t>
  </x:si>
  <x:si>
    <x:t xml:space="preserve">Medie</x:t>
  </x:si>
  <x:si>
    <x:t xml:space="preserve">Aceeași sursă și aceeași definiție</x:t>
  </x:si>
  <x:si>
    <x:t xml:space="preserve">Zero specific</x:t>
  </x:si>
  <x:si>
    <x:t xml:space="preserve">Risc team-specific scăzut și piață/lineup confirmate</x:t>
  </x:si>
  <x:si>
    <x:t xml:space="preserve">Date echipă/ligă + xG + lineup + piață</x:t>
  </x:si>
  <x:si>
    <x:t xml:space="preserve">Confruntări directe</x:t>
  </x:si>
  <x:si>
    <x:t xml:space="preserve">Util doar dacă loturile, antrenorii și nivelul sunt comparabile</x:t>
  </x:si>
  <x:si>
    <x:t xml:space="preserve">H2H vechi sau în altă competiție</x:t>
  </x:si>
  <x:si>
    <x:t xml:space="preserve">Mică</x:t>
  </x:si>
  <x:si>
    <x:t xml:space="preserve">Rezultate istorice</x:t>
  </x:si>
  <x:si>
    <x:t xml:space="preserve">Cotele O0,5/U0,5 și 1X2</x:t>
  </x:si>
  <x:si>
    <x:t xml:space="preserve">Piața confirmă λ și diferența de valoare</x:t>
  </x:si>
  <x:si>
    <x:t xml:space="preserve">Modelul diferă mult fără explicație verificabilă</x:t>
  </x:si>
  <x:si>
    <x:t xml:space="preserve">Mai multe case / exchange</x:t>
  </x:si>
  <x:si>
    <x:t xml:space="preserve">Statistici home-away și media ligii sunt stabile</x:t>
  </x:si>
  <x:si>
    <x:t xml:space="preserve">Început de sezon cu eșantion mic</x:t>
  </x:si>
  <x:si>
    <x:t xml:space="preserve">Adaptivă</x:t>
  </x:si>
  <x:si>
    <x:t xml:space="preserve">Liga + surse oficiale</x:t>
  </x:si>
  <x:si>
    <x:t xml:space="preserve">Cupă internă</x:t>
  </x:si>
  <x:si>
    <x:t xml:space="preserve">Favorita are lot ofensiv serios și motivație</x:t>
  </x:si>
  <x:si>
    <x:t xml:space="preserve">Rotație masivă, teren slab, remiză utilă</x:t>
  </x:si>
  <x:si>
    <x:t xml:space="preserve">Loturi și conferințe</x:t>
  </x:si>
  <x:si>
    <x:t xml:space="preserve">Europa – tur</x:t>
  </x:si>
  <x:si>
    <x:t xml:space="preserve">Diferență de nivel și piață confirmate</x:t>
  </x:si>
  <x:si>
    <x:t xml:space="preserve">Prudență tactică bilaterală</x:t>
  </x:si>
  <x:si>
    <x:t xml:space="preserve">UEFA + coeficienți + xG</x:t>
  </x:si>
  <x:si>
    <x:t xml:space="preserve">Europa – retur</x:t>
  </x:si>
  <x:si>
    <x:t xml:space="preserve">Scorul agregat obligă cel puțin o echipă să atace</x:t>
  </x:si>
  <x:si>
    <x:t xml:space="preserve">Avantaj mare ce permite control total</x:t>
  </x:si>
  <x:si>
    <x:t xml:space="preserve">Adaptivă mare</x:t>
  </x:si>
  <x:si>
    <x:t xml:space="preserve">Scor tur + declarații + loturi</x:t>
  </x:si>
  <x:si>
    <x:t xml:space="preserve">Internațional/turneu</x:t>
  </x:si>
  <x:si>
    <x:t xml:space="preserve">Diferență de nivel și obiectiv clar</x:t>
  </x:si>
  <x:si>
    <x:t xml:space="preserve">Meci de grup în care remiza ajută ambele</x:t>
  </x:si>
  <x:si>
    <x:t xml:space="preserve">FIFA/UEFA + loturi</x:t>
  </x:si>
  <x:si>
    <x:t xml:space="preserve">Atacuri experimentale și ritm deschis</x:t>
  </x:si>
  <x:si>
    <x:t xml:space="preserve">Rotație completă și informații insuficiente</x:t>
  </x:si>
  <x:si>
    <x:t xml:space="preserve">Încredere redusă</x:t>
  </x:si>
  <x:si>
    <x:t xml:space="preserve">Loturi / presă locală</x:t>
  </x:si>
  <x:si>
    <x:t xml:space="preserve">Loturi</x:t>
  </x:si>
  <x:si>
    <x:t xml:space="preserve">Absențe atac</x:t>
  </x:si>
  <x:si>
    <x:t xml:space="preserve">Atacanți și creatori disponibili</x:t>
  </x:si>
  <x:si>
    <x:t xml:space="preserve">Lipsesc finalizatorii principali</x:t>
  </x:si>
  <x:si>
    <x:t xml:space="preserve">Surse oficiale + injury tracker</x:t>
  </x:si>
  <x:si>
    <x:t xml:space="preserve">Absențe apărare</x:t>
  </x:si>
  <x:si>
    <x:t xml:space="preserve">Portar/fundași lipsă cresc riscul de gol</x:t>
  </x:si>
  <x:si>
    <x:t xml:space="preserve">Apărări complete și în formă</x:t>
  </x:si>
  <x:si>
    <x:t xml:space="preserve">Surse oficiale</x:t>
  </x:si>
  <x:si>
    <x:t xml:space="preserve">Tactic</x:t>
  </x:si>
  <x:si>
    <x:t xml:space="preserve">Stil și ritm</x:t>
  </x:si>
  <x:si>
    <x:t xml:space="preserve">Presing, tranziții, multe șuturi pe poartă</x:t>
  </x:si>
  <x:si>
    <x:t xml:space="preserve">Blocuri joase, posesie sterilă, puține șuturi</x:t>
  </x:si>
  <x:si>
    <x:t xml:space="preserve">Analize tactice + statistici</x:t>
  </x:si>
  <x:si>
    <x:t xml:space="preserve">Program</x:t>
  </x:si>
  <x:si>
    <x:t xml:space="preserve">Odihnă/deplasare</x:t>
  </x:si>
  <x:si>
    <x:t xml:space="preserve">Apărări obosite sau rotație ofensivă de calitate</x:t>
  </x:si>
  <x:si>
    <x:t xml:space="preserve">Oboseala reduce ambele atacuri</x:t>
  </x:si>
  <x:si>
    <x:t xml:space="preserve">Mică–medie</x:t>
  </x:si>
  <x:si>
    <x:t xml:space="preserve">Calendar și minute</x:t>
  </x:si>
  <x:si>
    <x:t xml:space="preserve">Vânt/ploaie/căldură</x:t>
  </x:si>
  <x:si>
    <x:t xml:space="preserve">Condiții normale și teren bun</x:t>
  </x:si>
  <x:si>
    <x:t xml:space="preserve">Extreme ce reduc precizia și ritmul</x:t>
  </x:si>
  <x:si>
    <x:t xml:space="preserve">Prognoză locală aproape de start</x:t>
  </x:si>
  <x:si>
    <x:t xml:space="preserve">Arbitru</x:t>
  </x:si>
  <x:si>
    <x:t xml:space="preserve">Penalty/cartonașe</x:t>
  </x:si>
  <x:si>
    <x:t xml:space="preserve">Doar ca indiciu contextual</x:t>
  </x:si>
  <x:si>
    <x:t xml:space="preserve">Media brută de goluri este confundată de meciurile primite</x:t>
  </x:si>
  <x:si>
    <x:t xml:space="preserve">Statistici arbitru pe eșantion mare</x:t>
  </x:si>
  <x:si>
    <x:t xml:space="preserve">Miza</x:t>
  </x:si>
  <x:si>
    <x:t xml:space="preserve">Motivație și rezultat util</x:t>
  </x:si>
  <x:si>
    <x:t xml:space="preserve">Cel puțin una trebuie să înscrie</x:t>
  </x:si>
  <x:si>
    <x:t xml:space="preserve">0–0/remiza avantajează ambele</x:t>
  </x:si>
  <x:si>
    <x:t xml:space="preserve">Clasament, regulament, declarații</x:t>
  </x:si>
  <x:si>
    <x:t xml:space="preserve">Calitate</x:t>
  </x:si>
  <x:si>
    <x:t xml:space="preserve">Contradicții între surse</x:t>
  </x:si>
  <x:si>
    <x:t xml:space="preserve">Date coerente și actualizate</x:t>
  </x:si>
  <x:si>
    <x:t xml:space="preserve">Definiții xG diferite, date lipsă, loturi incerte</x:t>
  </x:si>
  <x:si>
    <x:t xml:space="preserve">Triangulare ≥2 surse</x:t>
  </x:si>
  <x:si>
    <x:t xml:space="preserve">3. CONFIDENCE SCORE ȘI VERDICT</x:t>
  </x:si>
  <x:si>
    <x:t xml:space="preserve">Ce măsoară</x:t>
  </x:si>
  <x:si>
    <x:t xml:space="preserve">Penalizare</x:t>
  </x:si>
  <x:si>
    <x:t xml:space="preserve">Câte intrări relevante sunt completate</x:t>
  </x:si>
  <x:si>
    <x:t xml:space="preserve">Date lipsă</x:t>
  </x:si>
  <x:si>
    <x:t xml:space="preserve">Eșantion</x:t>
  </x:si>
  <x:si>
    <x:t xml:space="preserve">Meciuri home-away, recent, H2H și competiție</x:t>
  </x:si>
  <x:si>
    <x:t xml:space="preserve">Început de sezon / cupă rară</x:t>
  </x:si>
  <x:si>
    <x:t xml:space="preserve">Dispersia dintre cele șase estimări λ</x:t>
  </x:si>
  <x:si>
    <x:t xml:space="preserve">Goluri, xG și piață se contrazic</x:t>
  </x:si>
  <x:si>
    <x:t xml:space="preserve">Calitatea surselor</x:t>
  </x:si>
  <x:si>
    <x:t xml:space="preserve">Scor manual 1–5 după surse și prospețime</x:t>
  </x:si>
  <x:si>
    <x:t xml:space="preserve">Doar tipster/forum</x:t>
  </x:si>
  <x:si>
    <x:t xml:space="preserve">Echipe start</x:t>
  </x:si>
  <x:si>
    <x:t xml:space="preserve">Primul 11 confirmat sau nu</x:t>
  </x:si>
  <x:si>
    <x:t xml:space="preserve">Necunoscut înainte de start</x:t>
  </x:si>
  <x:si>
    <x:t xml:space="preserve">Contradicții</x:t>
  </x:si>
  <x:si>
    <x:t xml:space="preserve">Nivel 0–2</x:t>
  </x:si>
  <x:si>
    <x:t xml:space="preserve">−8 puncte pentru fiecare nivel</x:t>
  </x:si>
  <x:si>
    <x:t xml:space="preserve">Condiții minime</x:t>
  </x:si>
  <x:si>
    <x:t xml:space="preserve">PARIU RECOMANDAT</x:t>
  </x:si>
  <x:si>
    <x:t xml:space="preserve">P≥92%; Confidence≥75; Edge≥2,5%; EV≥1,5%; risc≠ridicat</x:t>
  </x:si>
  <x:si>
    <x:t xml:space="preserve">Probabilitate și preț favorabile</x:t>
  </x:si>
  <x:si>
    <x:t xml:space="preserve">Verifică loturile și cota finală</x:t>
  </x:si>
  <x:si>
    <x:t xml:space="preserve">RECOMANDAT CU PRUDENȚĂ</x:t>
  </x:si>
  <x:si>
    <x:t xml:space="preserve">P≥88%; Confidence≥65; Edge≥1%; EV≥0</x:t>
  </x:si>
  <x:si>
    <x:t xml:space="preserve">Avantaj mai mic / incertitudine moderată</x:t>
  </x:si>
  <x:si>
    <x:t xml:space="preserve">Miză redusă sau așteaptă confirmări</x:t>
  </x:si>
  <x:si>
    <x:t xml:space="preserve">ANALIZĂ NECONCLUDENTĂ</x:t>
  </x:si>
  <x:si>
    <x:t xml:space="preserve">P≥82%; Confidence≥50, dar nu trece filtrele de valoare</x:t>
  </x:si>
  <x:si>
    <x:t xml:space="preserve">Semnale mixte</x:t>
  </x:si>
  <x:si>
    <x:t xml:space="preserve">Nu forța selecția</x:t>
  </x:si>
  <x:si>
    <x:t xml:space="preserve">PARIU EVITAT</x:t>
  </x:si>
  <x:si>
    <x:t xml:space="preserve">Sub praguri ori risc ridicat</x:t>
  </x:si>
  <x:si>
    <x:t xml:space="preserve">Probabilitatea mare aparentă nu compensează datele slabe/cota</x:t>
  </x:si>
  <x:si>
    <x:t xml:space="preserve">Fără pariu</x:t>
  </x:si>
  <x:si>
    <x:t xml:space="preserve">4. LIMITĂRI ȘI DISCIPLINĂ DE UTILIZARE</x:t>
  </x:si>
  <x:si>
    <x:t xml:space="preserve">• Nu transforma o probabilitate mare într-o recomandare fără a verifica prețul: la cote foarte mici, o eroare de 2–3 puncte procentuale poate elimina valoarea.</x:t>
  </x:si>
  <x:si>
    <x:t xml:space="preserve">• Nu amesteca xG de la furnizori diferiți fără marcarea sursei; definițiile și modelele nu sunt perfect comparabile.</x:t>
  </x:si>
  <x:si>
    <x:t xml:space="preserve">• H2H are pondere mică și nu compensează schimbările de lot, antrenor, nivel sau competiție.</x:t>
  </x:si>
  <x:si>
    <x:t xml:space="preserve">• Datele din forumuri/tipsteri sunt folosite pentru idei și contradicții, nu ca intrări statistice primare.</x:t>
  </x:si>
  <x:si>
    <x:t xml:space="preserve">• Evaluează modelul prin Brier Score, log-loss, ROI și Closing Line Value pe cel puțin 100–300 pariuri, nu prin serii scurte.</x:t>
  </x:si>
  <x:si>
    <x:t xml:space="preserve">• Pariurile implică risc financiar. Modelul oferă estimări, nu certitudini și nu elimină varianța specifică fotbalului.</x:t>
  </x:si>
  <x:si>
    <x:t xml:space="preserve">• Regulă P0 30.08: dacă setul zero-risk nu este complet sau clasa nu este SCĂZUT, P este plafonată la 90–91%; fără confirmarea simultană lineup + piață, plafonul rămâne 92%; numai confirmarea completă permite 94%.</x:t>
  </x:si>
  <x:si>
    <x:t xml:space="preserve">• Update incremental v5: când există λ moderat, xGF recent relevant și finishing recent slab, Zero-Mass Gate majorează suplimentar P0. Semnalul este întărit de blank recent bilateral, clean-sheet advers și acumularea rezultatelor 0–0. Pragurile și capurile v4 nu sunt relaxate.</x:t>
  </x:si>
  <x:si>
    <x:t xml:space="preserve">SURSĂ CONSOLIDATĂ: Legendă câmpuri</x:t>
  </x:si>
  <x:si>
    <x:t xml:space="preserve">LEGENDĂ CÂMPURI – MODEL ANALIZĂ OVER 0,5 GOLURI V5</x:t>
  </x:si>
  <x:si>
    <x:t xml:space="preserve">1</x:t>
  </x:si>
  <x:si>
    <x:t xml:space="preserve">Câmp</x:t>
  </x:si>
  <x:si>
    <x:t xml:space="preserve">Ce înseamnă</x:t>
  </x:si>
  <x:si>
    <x:t xml:space="preserve">Cum se citește / interpretează</x:t>
  </x:si>
  <x:si>
    <x:t xml:space="preserve">Format / unitate</x:t>
  </x:si>
  <x:si>
    <x:t xml:space="preserve">Tip câmp</x:t>
  </x:si>
  <x:si>
    <x:t xml:space="preserve">Rol / observație în model</x:t>
  </x:si>
  <x:si>
    <x:t xml:space="preserve">Identificator unic al meciului în workbook.</x:t>
  </x:si>
  <x:si>
    <x:t xml:space="preserve">Se folosește pentru legături cu Dashboard/Backtest și pentru a evita confuzia între meciuri.</x:t>
  </x:si>
  <x:si>
    <x:t xml:space="preserve">Text, ex. M01</x:t>
  </x:si>
  <x:si>
    <x:t xml:space="preserve">Intrare</x:t>
  </x:si>
  <x:si>
    <x:t xml:space="preserve">Nu influențează probabilitatea; este cheie de identificare.</x:t>
  </x:si>
  <x:si>
    <x:t xml:space="preserve">Starea/scopul rândului: analiză pre-meci, backtest etc.</x:t>
  </x:si>
  <x:si>
    <x:t xml:space="preserve">Descrie momentul în care au fost colectate datele și tipul analizei.</x:t>
  </x:si>
  <x:si>
    <x:t xml:space="preserve">Text</x:t>
  </x:si>
  <x:si>
    <x:t xml:space="preserve">Ajută la trasabilitate; nu intră direct în calcul.</x:t>
  </x:si>
  <x:si>
    <x:t xml:space="preserve">Data disputării meciului.</x:t>
  </x:si>
  <x:si>
    <x:t xml:space="preserve">Se citește calendaristic; importantă pentru prospețimea datelor și surselor.</x:t>
  </x:si>
  <x:si>
    <x:t xml:space="preserve">Dată</x:t>
  </x:si>
  <x:si>
    <x:t xml:space="preserve">Nu intră direct în formulă, dar delimitează setul de informații disponibil pre-meci.</x:t>
  </x:si>
  <x:si>
    <x:t xml:space="preserve">Liga/cupa în care se joacă meciul.</x:t>
  </x:si>
  <x:si>
    <x:t xml:space="preserve">Identifică mediile și rata de 0–0 relevante pentru acel meci.</x:t>
  </x:si>
  <x:si>
    <x:t xml:space="preserve">Folosită contextual și pentru selectarea statisticilor competiției.</x:t>
  </x:si>
  <x:si>
    <x:t xml:space="preserve">Categoria modelului: campionat intern, cupă, tur/retur european, internațional, turneu neutru, amical.</x:t>
  </x:si>
  <x:si>
    <x:t xml:space="preserve">Alege automat ponderile componentelor λ și intensitatea contextului.</x:t>
  </x:si>
  <x:si>
    <x:t xml:space="preserve">Listă text</x:t>
  </x:si>
  <x:si>
    <x:t xml:space="preserve">Intrare critică</x:t>
  </x:si>
  <x:si>
    <x:t xml:space="preserve">Trebuie să corespundă unei categorii din «Setari model».</x:t>
  </x:si>
  <x:si>
    <x:t xml:space="preserve">Etapa, ora sau situația specială a meciului.</x:t>
  </x:si>
  <x:si>
    <x:t xml:space="preserve">Se citește ca informație de cadru: etapă timpurie, fază eliminatorie, tur/retur etc.</x:t>
  </x:si>
  <x:si>
    <x:t xml:space="preserve">Suport pentru evaluarea manuală a factorilor contextuali.</x:t>
  </x:si>
  <x:si>
    <x:t xml:space="preserve">Echipa care joacă acasă.</x:t>
  </x:si>
  <x:si>
    <x:t xml:space="preserve">Bază pentru statisticile home și pentru identificarea meciului.</x:t>
  </x:si>
  <x:si>
    <x:t xml:space="preserve">Leagă profilul ofensiv al gazdelor de apărarea oaspeților.</x:t>
  </x:si>
  <x:si>
    <x:t xml:space="preserve">Echipa care joacă în deplasare.</x:t>
  </x:si>
  <x:si>
    <x:t xml:space="preserve">Bază pentru statisticile away și pentru identificarea meciului.</x:t>
  </x:si>
  <x:si>
    <x:t xml:space="preserve">Leagă profilul ofensiv al oaspeților de apărarea gazdelor.</x:t>
  </x:si>
  <x:si>
    <x:t xml:space="preserve">Numărul de meciuri home din eșantionul sezonului pentru gazde.</x:t>
  </x:si>
  <x:si>
    <x:t xml:space="preserve">Cu cât N este mai mare, cu atât media home este mai robustă; N mic este tras spre media ligii.</x:t>
  </x:si>
  <x:si>
    <x:t xml:space="preserve">Număr meciuri</x:t>
  </x:si>
  <x:si>
    <x:t xml:space="preserve">Intră în shrinkage-ul sezonului și în Scor eșantion.</x:t>
  </x:si>
  <x:si>
    <x:t xml:space="preserve">Goluri marcate în medie de gazde în meciurile de acasă.</x:t>
  </x:si>
  <x:si>
    <x:t xml:space="preserve">Valoare mai mare = atac home mai productiv; ex. 2,00 ≈ 2 goluri/meci.</x:t>
  </x:si>
  <x:si>
    <x:t xml:space="preserve">Goluri/meci</x:t>
  </x:si>
  <x:si>
    <x:t xml:space="preserve">Folosit la λ sezon goluri.</x:t>
  </x:si>
  <x:si>
    <x:t xml:space="preserve">Goluri primite în medie de gazde în meciurile de acasă.</x:t>
  </x:si>
  <x:si>
    <x:t xml:space="preserve">Valoare mai mare = apărare home mai vulnerabilă, favorabilă apariției unui gol.</x:t>
  </x:si>
  <x:si>
    <x:t xml:space="preserve">Folosit la λ sezon goluri pentru atacul oaspeților.</x:t>
  </x:si>
  <x:si>
    <x:t xml:space="preserve">Expected Goals For mediu al gazdelor acasă.</x:t>
  </x:si>
  <x:si>
    <x:t xml:space="preserve">Valoare mai mare = ocazii create mai bune/frecvente, independent de variația finalizării.</x:t>
  </x:si>
  <x:si>
    <x:t xml:space="preserve">xG/meci</x:t>
  </x:si>
  <x:si>
    <x:t xml:space="preserve">Folosit la λ sezon xG.</x:t>
  </x:si>
  <x:si>
    <x:t xml:space="preserve">Expected Goals Against mediu al gazdelor acasă.</x:t>
  </x:si>
  <x:si>
    <x:t xml:space="preserve">Valoare mai mare = gazdele permit ocazii de calitate, favorabilă golului advers.</x:t>
  </x:si>
  <x:si>
    <x:t xml:space="preserve">Folosit la λ sezon xG pentru atacul oaspeților.</x:t>
  </x:si>
  <x:si>
    <x:t xml:space="preserve">Ponderea meciurilor de acasă ale gazdelor în care s-a marcat cel puțin un gol în total.</x:t>
  </x:si>
  <x:si>
    <x:t xml:space="preserve">95% înseamnă că doar ~5% dintre acele meciuri s-au terminat 0–0.</x:t>
  </x:si>
  <x:si>
    <x:t xml:space="preserve">Procent 0–100%</x:t>
  </x:si>
  <x:si>
    <x:t xml:space="preserve">Folosit în calibrarea empirică a riscului de 0–0.</x:t>
  </x:si>
  <x:si>
    <x:t xml:space="preserve">Failed To Score: ponderea meciurilor home în care gazdele nu au marcat.</x:t>
  </x:si>
  <x:si>
    <x:t xml:space="preserve">Valoare mare = risc mai mare ca gazdele să nu contribuie cu gol; nu înseamnă automat 0–0.</x:t>
  </x:si>
  <x:si>
    <x:t xml:space="preserve">Indicator de control/profil; contribuie la completitudinea datelor.</x:t>
  </x:si>
  <x:si>
    <x:t xml:space="preserve">Numărul de meciuri away din eșantionul sezonului pentru oaspeți.</x:t>
  </x:si>
  <x:si>
    <x:t xml:space="preserve">N mare = media deplasare este mai credibilă; N mic = shrinkage mai puternic spre liga relevantă.</x:t>
  </x:si>
  <x:si>
    <x:t xml:space="preserve">Goluri marcate în medie de oaspeți în deplasare.</x:t>
  </x:si>
  <x:si>
    <x:t xml:space="preserve">Valoare mai mare = oaspeții produc goluri mai frecvent în deplasare.</x:t>
  </x:si>
  <x:si>
    <x:t xml:space="preserve">Goluri primite în medie de oaspeți în deplasare.</x:t>
  </x:si>
  <x:si>
    <x:t xml:space="preserve">Valoare mai mare = apărare away vulnerabilă, favorabilă golului gazdelor.</x:t>
  </x:si>
  <x:si>
    <x:t xml:space="preserve">Folosit la λ sezon goluri pentru atacul gazdelor.</x:t>
  </x:si>
  <x:si>
    <x:t xml:space="preserve">Expected Goals For mediu al oaspeților în deplasare.</x:t>
  </x:si>
  <x:si>
    <x:t xml:space="preserve">Valoare mai mare = oaspeții creează mai multe ocazii de calitate away.</x:t>
  </x:si>
  <x:si>
    <x:t xml:space="preserve">Expected Goals Against mediu al oaspeților în deplasare.</x:t>
  </x:si>
  <x:si>
    <x:t xml:space="preserve">Valoare mai mare = oaspeții permit ocazii de calitate în deplasare.</x:t>
  </x:si>
  <x:si>
    <x:t xml:space="preserve">Folosit la λ sezon xG pentru atacul gazdelor.</x:t>
  </x:si>
  <x:si>
    <x:t xml:space="preserve">Ponderea meciurilor away ale oaspeților cu cel puțin un gol în total.</x:t>
  </x:si>
  <x:si>
    <x:t xml:space="preserve">Ex. 0,92/92% implică aproximativ 8% meciuri 0–0 în acel profil.</x:t>
  </x:si>
  <x:si>
    <x:t xml:space="preserve">Folosit în componenta empirică de calibrare a 0–0.</x:t>
  </x:si>
  <x:si>
    <x:t xml:space="preserve">Failed To Score: ponderea deplasărilor în care oaspeții nu au marcat.</x:t>
  </x:si>
  <x:si>
    <x:t xml:space="preserve">Valoare mare = contribuție ofensivă mai puțin sigură; trebuie citită împreună cu GA/xGA adversă.</x:t>
  </x:si>
  <x:si>
    <x:t xml:space="preserve">Indicator de control/profil; contribuie la completitudine.</x:t>
  </x:si>
  <x:si>
    <x:t xml:space="preserve">Numărul de meciuri incluse în fereastra recentă a gazdelor.</x:t>
  </x:si>
  <x:si>
    <x:t xml:space="preserve">5–10 meciuri este mai util decât 1–3; eșantionul mic este stabilizat spre media competiției.</x:t>
  </x:si>
  <x:si>
    <x:t xml:space="preserve">Intră în shrinkage recent și Scor eșantion.</x:t>
  </x:si>
  <x:si>
    <x:t xml:space="preserve">Goluri marcate în medie de gazde în ultimele meciuri.</x:t>
  </x:si>
  <x:si>
    <x:t xml:space="preserve">Peste nivelul sezonului = formă ofensivă recentă mai bună; mult sub sezon = semnal de răcire.</x:t>
  </x:si>
  <x:si>
    <x:t xml:space="preserve">Folosit la λ recent goluri.</x:t>
  </x:si>
  <x:si>
    <x:t xml:space="preserve">Goluri primite în medie de gazde în ultimele meciuri.</x:t>
  </x:si>
  <x:si>
    <x:t xml:space="preserve">Valoare mare = defensivă recent vulnerabilă, favorabilă apariției unui gol.</x:t>
  </x:si>
  <x:si>
    <x:t xml:space="preserve">Folosit la λ recent goluri pentru oaspeți.</x:t>
  </x:si>
  <x:si>
    <x:t xml:space="preserve">xG creat în medie de gazde în fereastra recentă.</x:t>
  </x:si>
  <x:si>
    <x:t xml:space="preserve">Confirmă dacă golurile recente au suport în calitatea ocaziilor.</x:t>
  </x:si>
  <x:si>
    <x:t xml:space="preserve">Folosit la λ recent xG.</x:t>
  </x:si>
  <x:si>
    <x:t xml:space="preserve">xG permis în medie de gazde recent.</x:t>
  </x:si>
  <x:si>
    <x:t xml:space="preserve">Valoare mare = adversarii ajung la ocazii bune; relevant pentru atacul oaspeților.</x:t>
  </x:si>
  <x:si>
    <x:t xml:space="preserve">Numărul de meciuri din fereastra recentă a oaspeților.</x:t>
  </x:si>
  <x:si>
    <x:t xml:space="preserve">N mai mare reduce sensibilitatea la un singur rezultat extrem.</x:t>
  </x:si>
  <x:si>
    <x:t xml:space="preserve">Goluri marcate în medie de oaspeți în ultimele meciuri.</x:t>
  </x:si>
  <x:si>
    <x:t xml:space="preserve">Valoare ridicată = impuls ofensiv recent; comparați cu xGF recent.</x:t>
  </x:si>
  <x:si>
    <x:t xml:space="preserve">Goluri primite în medie de oaspeți recent.</x:t>
  </x:si>
  <x:si>
    <x:t xml:space="preserve">Valoare ridicată = defensivă recent mai permisivă, favorabilă golului gazdelor.</x:t>
  </x:si>
  <x:si>
    <x:t xml:space="preserve">xG creat în medie de oaspeți recent.</x:t>
  </x:si>
  <x:si>
    <x:t xml:space="preserve">Arată dacă producția ofensivă recentă este sustenabilă statistic.</x:t>
  </x:si>
  <x:si>
    <x:t xml:space="preserve">xG permis în medie de oaspeți recent.</x:t>
  </x:si>
  <x:si>
    <x:t xml:space="preserve">Valoare ridicată = adversarii oaspeților produc ocazii bune.</x:t>
  </x:si>
  <x:si>
    <x:t xml:space="preserve">Numărul confruntărilor directe relevante incluse.</x:t>
  </x:si>
  <x:si>
    <x:t xml:space="preserve">H2H are pondere mică; 0 înseamnă că modelul folosește media competiției în locul H2H.</x:t>
  </x:si>
  <x:si>
    <x:t xml:space="preserve">Intră în λ H2H și în Scor eșantion.</x:t>
  </x:si>
  <x:si>
    <x:t xml:space="preserve">Media golurilor totale în confruntările directe selectate.</x:t>
  </x:si>
  <x:si>
    <x:t xml:space="preserve">Valoare mare poate confirma un matchup deschis, dar H2H vechi trebuie tratat cu prudență.</x:t>
  </x:si>
  <x:si>
    <x:t xml:space="preserve">Goluri totale/meci</x:t>
  </x:si>
  <x:si>
    <x:t xml:space="preserve">Folosit la λ H2H, cu shrinkage spre media competiției.</x:t>
  </x:si>
  <x:si>
    <x:t xml:space="preserve">Ponderea H2H cu cel puțin un gol.</x:t>
  </x:si>
  <x:si>
    <x:t xml:space="preserve">100% indică lipsa scorurilor 0–0 în eșantionul ales; eșantion mic = relevanță redusă.</x:t>
  </x:si>
  <x:si>
    <x:t xml:space="preserve">Indicator auxiliar; H2H nu domină modelul.</x:t>
  </x:si>
  <x:si>
    <x:t xml:space="preserve">Media golurilor marcate de echipele gazdă în competiție.</x:t>
  </x:si>
  <x:si>
    <x:t xml:space="preserve">Servește drept prior de ligă pentru statisticile home ale gazdelor și defensive away.</x:t>
  </x:si>
  <x:si>
    <x:t xml:space="preserve">Folosită în shrinkage sezon și ca parte din media totală.</x:t>
  </x:si>
  <x:si>
    <x:t xml:space="preserve">Media golurilor marcate de echipele oaspete în competiție.</x:t>
  </x:si>
  <x:si>
    <x:t xml:space="preserve">Servește drept prior pentru profilul away și pentru stabilizarea eșantioanelor mici.</x:t>
  </x:si>
  <x:si>
    <x:t xml:space="preserve">Folosită în shrinkage sezon.</x:t>
  </x:si>
  <x:si>
    <x:t xml:space="preserve">Media totală de goluri/meci în competiție.</x:t>
  </x:si>
  <x:si>
    <x:t xml:space="preserve">Ex. 2,80 indică un mediu relativ ofensiv; este fallback pentru recent/H2H și piață când lipsesc cote.</x:t>
  </x:si>
  <x:si>
    <x:t xml:space="preserve">Folosită în λ recent/H2H și probabilitatea fallback O0.5.</x:t>
  </x:si>
  <x:si>
    <x:t xml:space="preserve">Frecvența reală a rezultatelor 0–0 în competiție.</x:t>
  </x:si>
  <x:si>
    <x:t xml:space="preserve">Mai mare decât EXP(-media golurilor) sugerează că Poisson subestimează riscul de 0–0.</x:t>
  </x:si>
  <x:si>
    <x:t xml:space="preserve">Corectează P(0–0) prin Factor zero ligă.</x:t>
  </x:si>
  <x:si>
    <x:t xml:space="preserve">Numărul de meciuri pe care se bazează mediile/rata 0–0 ale competiției.</x:t>
  </x:si>
  <x:si>
    <x:t xml:space="preserve">N mare = calibrare de ligă mai credibilă; N mic reduce ponderea ajustării empirice.</x:t>
  </x:si>
  <x:si>
    <x:t xml:space="preserve">Controlează forța calibrării de 0–0 și Scor eșantion.</x:t>
  </x:si>
  <x:si>
    <x:t xml:space="preserve">Cota zecimală pentru victoria gazdelor.</x:t>
  </x:si>
  <x:si>
    <x:t xml:space="preserve">Cotă mai mică = gazde mai favorite; se folosește contextual, nu direct în λ O0.5 din versiunea curentă.</x:t>
  </x:si>
  <x:si>
    <x:t xml:space="preserve">Cotă zecimală</x:t>
  </x:si>
  <x:si>
    <x:t xml:space="preserve">Păstrată pentru profilul pieței și analiză.</x:t>
  </x:si>
  <x:si>
    <x:t xml:space="preserve">Cota zecimală pentru egal.</x:t>
  </x:si>
  <x:si>
    <x:t xml:space="preserve">Cotă mică la egal poate indica meci echilibrat/strâns, dar nu este echivalentă cu risc 0–0.</x:t>
  </x:si>
  <x:si>
    <x:t xml:space="preserve">Indicator de piață auxiliar.</x:t>
  </x:si>
  <x:si>
    <x:t xml:space="preserve">Cota zecimală pentru victoria oaspeților.</x:t>
  </x:si>
  <x:si>
    <x:t xml:space="preserve">Cotă mai mică = oaspeți mai favoriți; ajută la citirea dezechilibrului valoric.</x:t>
  </x:si>
  <x:si>
    <x:t xml:space="preserve">Cota bookmakerului pentru cel puțin un gol în meci.</x:t>
  </x:si>
  <x:si>
    <x:t xml:space="preserve">Este prețul principal: modelul o compară cu probabilitatea estimată pentru Edge și EV.</x:t>
  </x:si>
  <x:si>
    <x:t xml:space="preserve">Cotă zecimală &gt;1</x:t>
  </x:si>
  <x:si>
    <x:t xml:space="preserve">Intrare critică pentru value</x:t>
  </x:si>
  <x:si>
    <x:t xml:space="preserve">Dacă lipsește, modelul poate evalua fezabilitatea statistică, dar nu EV-ul real.</x:t>
  </x:si>
  <x:si>
    <x:t xml:space="preserve">Cota bookmakerului pentru 0–0 (Under 0,5).</x:t>
  </x:si>
  <x:si>
    <x:t xml:space="preserve">Împreună cu cota Over permite eliminarea marjei; dacă lipsește, modelul aplică o corecție aproximativă.</x:t>
  </x:si>
  <x:si>
    <x:t xml:space="preserve">Îmbunătățește estimarea Prob. piață O0.5.</x:t>
  </x:si>
  <x:si>
    <x:t xml:space="preserve">Evaluare manuală a calității/prospețimii surselor folosite.</x:t>
  </x:si>
  <x:si>
    <x:t xml:space="preserve">1 = slab/neconfirmat; 3 = acceptabil; 5 = surse primare/consistente și actualizate.</x:t>
  </x:si>
  <x:si>
    <x:t xml:space="preserve">Scor întreg 1–5</x:t>
  </x:si>
  <x:si>
    <x:t xml:space="preserve">Are pondere 15% în Confidence; &lt;3 poate ridica Steagul de risc.</x:t>
  </x:si>
  <x:si>
    <x:t xml:space="preserve">Indică dacă primul 11 / echipele de start sunt confirmate.</x:t>
  </x:si>
  <x:si>
    <x:t xml:space="preserve">0 = neconfirmate; 1 = confirmate. Confirmarea reduce incertitudinea privind absențele și rotația.</x:t>
  </x:si>
  <x:si>
    <x:t xml:space="preserve">0 sau 1</x:t>
  </x:si>
  <x:si>
    <x:t xml:space="preserve">Are pondere 15% în Confidence; 0 poate produce risc MEDIU.</x:t>
  </x:si>
  <x:si>
    <x:t xml:space="preserve">Efectul mizei/obiectivului asupra probabilității de gol.</x:t>
  </x:si>
  <x:si>
    <x:t xml:space="preserve">-2 = context puternic de gestionare/0–0 util; 0 = neutru; +2 = una/ambele echipe sunt puternic motivate să marcheze.</x:t>
  </x:si>
  <x:si>
    <x:t xml:space="preserve">Scor -2…+2</x:t>
  </x:si>
  <x:si>
    <x:t xml:space="preserve">Intrare manuală</x:t>
  </x:si>
  <x:si>
    <x:t xml:space="preserve">Coeficient 1% per punct. Toate scorurile intră în Multiplicator context.</x:t>
  </x:si>
  <x:si>
    <x:t xml:space="preserve">Cât de deschis sau închis se anticipează jocul.</x:t>
  </x:si>
  <x:si>
    <x:t xml:space="preserve">-2 = bloc jos/ritm lent; 0 = normal; +2 = presing, tranziții, joc vertical și spații.</x:t>
  </x:si>
  <x:si>
    <x:t xml:space="preserve">Coeficient 2,5% per punct; unul dintre cei mai puternici factori contextuali. Toate scorurile intră în Multiplicator context.</x:t>
  </x:si>
  <x:si>
    <x:t xml:space="preserve">Impactul disponibilității atacanților/creatorilor.</x:t>
  </x:si>
  <x:si>
    <x:t xml:space="preserve">-2 = absențe ofensive majore; 0 = neutru; +2 = titulari ofensivi disponibili/formă bună.</x:t>
  </x:si>
  <x:si>
    <x:t xml:space="preserve">Coeficient 2% per punct. Toate scorurile intră în Multiplicator context.</x:t>
  </x:si>
  <x:si>
    <x:t xml:space="preserve">Impactul absențelor și stabilității defensive.</x:t>
  </x:si>
  <x:si>
    <x:t xml:space="preserve">-2 = apărări complete/foarte solide; 0 = neutru; +2 = portar/fundași lipsă sau apărare slăbită.</x:t>
  </x:si>
  <x:si>
    <x:t xml:space="preserve">Efectul net estimat al rotației asupra apariției unui gol.</x:t>
  </x:si>
  <x:si>
    <x:t xml:space="preserve">-2 = rotația reduce calitatea atacului; 0 = efect neutru; +2 = rotația crește erorile/deschiderea mai mult decât reduce atacul.</x:t>
  </x:si>
  <x:si>
    <x:t xml:space="preserve">Coeficient 1,5% per punct. Toate scorurile intră în Multiplicator context.</x:t>
  </x:si>
  <x:si>
    <x:t xml:space="preserve">Efectul net al odihnei, minutelor și deplasărilor.</x:t>
  </x:si>
  <x:si>
    <x:t xml:space="preserve">-2 = oboseala reduce în principal atacurile/ritmul; 0 = neutru; +2 = oboseala afectează mai ales defensivele și crește riscul de gol.</x:t>
  </x:si>
  <x:si>
    <x:t xml:space="preserve">Impactul vremii asupra ritmului și execuției.</x:t>
  </x:si>
  <x:si>
    <x:t xml:space="preserve">-2 = condiții severe nefavorabile; 0 = normale; +2 = condiții foarte bune/favorabile ritmului.</x:t>
  </x:si>
  <x:si>
    <x:t xml:space="preserve">Calitatea/suprafața terenului și efectul asupra jocului.</x:t>
  </x:si>
  <x:si>
    <x:t xml:space="preserve">-2 = suprafață grea/slabă; 0 = normal; +2 = teren rapid și bun pentru circulație/ocazii.</x:t>
  </x:si>
  <x:si>
    <x:t xml:space="preserve">Efect contextual al profilului arbitrului, în special penalty-uri.</x:t>
  </x:si>
  <x:si>
    <x:t xml:space="preserve">-2 = profil care reduce ușor șansa evenimentelor de gol; 0 = neutru; +2 = semnal moderat favorabil penalty-urilor.</x:t>
  </x:si>
  <x:si>
    <x:t xml:space="preserve">Coeficient mic, 1% per punct; nu trebuie supraevaluat. Toate scorurile intră în Multiplicator context.</x:t>
  </x:si>
  <x:si>
    <x:t xml:space="preserve">Impactul scorului agregat și al manșei asupra nevoii de a ataca.</x:t>
  </x:si>
  <x:si>
    <x:t xml:space="preserve">-2 = avantaj/scenariu care favorizează temporizarea; 0 = neutru; +2 = cel puțin o echipă trebuie clar să înscrie.</x:t>
  </x:si>
  <x:si>
    <x:t xml:space="preserve">Coeficient 2,5% per punct, amplificat la retur european. Toate scorurile intră în Multiplicator context.</x:t>
  </x:si>
  <x:si>
    <x:t xml:space="preserve">Diferența de nivel capabilă să producă un gol chiar și unilateral.</x:t>
  </x:si>
  <x:si>
    <x:t xml:space="preserve">-2 = favorita poate gestiona/rotește masiv; 0 = echilibru neutru; +2 = favorita are capacitate mare să marcheze singură.</x:t>
  </x:si>
  <x:si>
    <x:t xml:space="preserve">Nivelul de conflict între surse/componentele analizei.</x:t>
  </x:si>
  <x:si>
    <x:t xml:space="preserve">0 = date coerente; 1 = contradicții moderate; 2 = contradicții importante/neclarități materiale.</x:t>
  </x:si>
  <x:si>
    <x:t xml:space="preserve">0, 1 sau 2</x:t>
  </x:si>
  <x:si>
    <x:t xml:space="preserve">Scade Confidence cu 8 puncte pentru fiecare nivel; 2 produce automat Steag risc RIDICAT.</x:t>
  </x:si>
  <x:si>
    <x:t xml:space="preserve">Explicația umană a semnalelor, excepțiilor și limitărilor identificate.</x:t>
  </x:si>
  <x:si>
    <x:t xml:space="preserve">Trebuie să descrie de ce datele susțin sau contrazic Over 0,5, fără a înlocui calculele.</x:t>
  </x:si>
  <x:si>
    <x:t xml:space="preserve">Text liber</x:t>
  </x:si>
  <x:si>
    <x:t xml:space="preserve">Este inclus textual în Raționament automat.</x:t>
  </x:si>
  <x:si>
    <x:t xml:space="preserve">URL-urile surselor folosite pentru datele specifice meciului.</x:t>
  </x:si>
  <x:si>
    <x:t xml:space="preserve">Mai multe surse independente și primare cresc credibilitatea; separați URL-urile clar.</x:t>
  </x:si>
  <x:si>
    <x:t xml:space="preserve">Text / URL-uri</x:t>
  </x:si>
  <x:si>
    <x:t xml:space="preserve">Este copiat în Surse consolidate; calitatea se notează separat 1–5.</x:t>
  </x:si>
  <x:si>
    <x:t xml:space="preserve">Numărul așteptat de goluri rezultat din GF/GA home-away ale sezonului, cu shrinkage spre mediile ligii.</x:t>
  </x:si>
  <x:si>
    <x:t xml:space="preserve">Mai mare = probabilitate mai mică de 0–0. Combină atacul fiecărei echipe cu vulnerabilitatea adversarului prin medii geometrice.</x:t>
  </x:si>
  <x:si>
    <x:t xml:space="preserve">λ goluri așteptate</x:t>
  </x:si>
  <x:si>
    <x:t xml:space="preserve">Calcul automat</x:t>
  </x:si>
  <x:si>
    <x:t xml:space="preserve">Eșantioanele mici sunt stabilizate cu k shrinkage sezon = 8.</x:t>
  </x:si>
  <x:si>
    <x:t xml:space="preserve">λ de sezon construit din xGF/xGA home-away, cu fallback la goluri dacă xG lipsește.</x:t>
  </x:si>
  <x:si>
    <x:t xml:space="preserve">Mai mare = ocazii proiectate mai multe/bune; util pentru a separa procesul ofensiv de finalizare.</x:t>
  </x:si>
  <x:si>
    <x:t xml:space="preserve">λ xG total</x:t>
  </x:si>
  <x:si>
    <x:t xml:space="preserve">Folosește același shrinkage sezon spre media competiției.</x:t>
  </x:si>
  <x:si>
    <x:t xml:space="preserve">λ din GF/GA recente ale ambelor echipe, stabilizat spre media competiției.</x:t>
  </x:si>
  <x:si>
    <x:t xml:space="preserve">Dacă este mult peste/sub λ sezon poate indica schimbare de formă; discrepanța mare reduce Acord componente.</x:t>
  </x:si>
  <x:si>
    <x:t xml:space="preserve">Shrinkage recent k = 5.</x:t>
  </x:si>
  <x:si>
    <x:t xml:space="preserve">λ din xGF/xGA recente, cu fallback la golurile recente dacă xG lipsește.</x:t>
  </x:si>
  <x:si>
    <x:t xml:space="preserve">Confirmarea între λ recent goluri și λ recent xG crește robustețea semnalului.</x:t>
  </x:si>
  <x:si>
    <x:t xml:space="preserve">Estimarea golurilor totale din H2H, trasă spre media competiției.</x:t>
  </x:si>
  <x:si>
    <x:t xml:space="preserve">Dacă N H2H = 0, se folosește media totală a competiției; H2H are pondere redusă.</x:t>
  </x:si>
  <x:si>
    <x:t xml:space="preserve">Componentă legacy păstrată pentru audit; în v2 lipsa H2H nu adaugă puncte și mărește incertitudinea.</x:t>
  </x:si>
  <x:si>
    <x:t xml:space="preserve">Probabilitatea Over 0,5 implicită din cotele O0.5/U0.5 după corecția marjei; dacă lipsesc cotele, folosește fallback Poisson din media ligii.</x:t>
  </x:si>
  <x:si>
    <x:t xml:space="preserve">Ex. 95% = piața evaluează aproximativ 5% risc 0–0. Este benchmark, nu predicția finală a modelului.</x:t>
  </x:si>
  <x:si>
    <x:t xml:space="preserve">Calcul legacy. Pentru decizia v2 se folosește exclusiv Prob. piață reală v2; fără cotă reală nu există selecție.</x:t>
  </x:si>
  <x:si>
    <x:t xml:space="preserve">Transformarea Prob. piață O0.5 într-un λ echivalent: −LN(1−P).</x:t>
  </x:si>
  <x:si>
    <x:t xml:space="preserve">Permite compararea pieței în aceeași unitate λ cu sezon/xG/recent/H2H.</x:t>
  </x:si>
  <x:si>
    <x:t xml:space="preserve">λ echivalent</x:t>
  </x:si>
  <x:si>
    <x:t xml:space="preserve">Este componentă ponderată în λ bază.</x:t>
  </x:si>
  <x:si>
    <x:t xml:space="preserve">Media ponderată a celor șase componente: sezon goluri, sezon xG, recent goluri, recent xG, H2H și piață.</x:t>
  </x:si>
  <x:si>
    <x:t xml:space="preserve">Este estimarea centrală înainte de context; ponderile se schimbă automat după Tip competiție.</x:t>
  </x:si>
  <x:si>
    <x:t xml:space="preserve">Ponderile fiecărei categorii însumează 100% în «Setari model».</x:t>
  </x:si>
  <x:si>
    <x:t xml:space="preserve">Factor care modifică λ bază pe baza celor 11 scoruri contextuale.</x:t>
  </x:si>
  <x:si>
    <x:t xml:space="preserve">&lt;1 reduce golurile așteptate; 1 = neutru; &gt;1 crește. Este limitat între 0,75 și 1,25.</x:t>
  </x:si>
  <x:si>
    <x:t xml:space="preserve">Factor 0,75–1,25</x:t>
  </x:si>
  <x:si>
    <x:t xml:space="preserve">Coeficienții contextuali sunt amplificați diferit după tipul competiției.</x:t>
  </x:si>
  <x:si>
    <x:t xml:space="preserve">λ bază după aplicarea contextului: λ bază × Multiplicator context.</x:t>
  </x:si>
  <x:si>
    <x:t xml:space="preserve">Este λ final folosit de Poisson. Ex. λ=3,0 înseamnă un total așteptat de ~3 goluri, nu un scor garantat.</x:t>
  </x:si>
  <x:si>
    <x:t xml:space="preserve">Punctul de plecare pentru P(0–0) Poisson.</x:t>
  </x:si>
  <x:si>
    <x:t xml:space="preserve">Probabilitatea brută ca totalul golurilor să fie zero: EXP(−λ ajustat).</x:t>
  </x:si>
  <x:si>
    <x:t xml:space="preserve">Valoare mică = risc brut redus de 0–0; ex. 5% înseamnă 95% Over 0,5 înainte de calibrare.</x:t>
  </x:si>
  <x:si>
    <x:t xml:space="preserve">Poisson simplu este apoi calibrat cu comportamentul real al ligii/echipelor.</x:t>
  </x:si>
  <x:si>
    <x:t xml:space="preserve">Corecție a P0 Poisson după abaterea ratei reale 0–0 a competiției față de rata implicată de media ligii.</x:t>
  </x:si>
  <x:si>
    <x:t xml:space="preserve">&gt;1 mărește riscul 0–0; &lt;1 îl reduce; ≈1 înseamnă că liga este apropiată de Poisson.</x:t>
  </x:si>
  <x:si>
    <x:t xml:space="preserve">Factor multiplicativ</x:t>
  </x:si>
  <x:si>
    <x:t xml:space="preserve">Forța corecției este plafonată și depinde de N meciuri competiție.</x:t>
  </x:si>
  <x:si>
    <x:t xml:space="preserve">Probabilitatea finală calibrată de 0–0, combinând Poisson corectat cu frecvența empirică O0.5 home/away sau rata ligii.</x:t>
  </x:si>
  <x:si>
    <x:t xml:space="preserve">Aceasta este estimarea de risc 0–0 folosită în verdict; mai mic = mai favorabil Over 0,5.</x:t>
  </x:si>
  <x:si>
    <x:t xml:space="preserve">Este limitată între 0,5% și 45% pentru robustețe.</x:t>
  </x:si>
  <x:si>
    <x:t xml:space="preserve">Probabilitatea finală a cel puțin unui gol: 1 − P0 calibrat.</x:t>
  </x:si>
  <x:si>
    <x:t xml:space="preserve">Ex. 94% = modelul estimează 6% risc 0–0. Este probabilitate sportivă, nu automat value bet.</x:t>
  </x:si>
  <x:si>
    <x:t xml:space="preserve">Rezultat v1 păstrat pentru audit. Probabilitatea operațională finală este P Over0.5 v2.</x:t>
  </x:si>
  <x:si>
    <x:t xml:space="preserve">Cota teoretică fără marjă: 1 / P Over 0.5.</x:t>
  </x:si>
  <x:si>
    <x:t xml:space="preserve">Dacă fair = 1,06, o cotă oferită sub 1,06 nu are valoare pozitivă conform modelului; peste 1,06 poate avea.</x:t>
  </x:si>
  <x:si>
    <x:t xml:space="preserve">Trebuie interpretată împreună cu incertitudinea/Confidence.</x:t>
  </x:si>
  <x:si>
    <x:t xml:space="preserve">Copia probabilității de piață O0.5 folosită pentru comparația directă cu modelul.</x:t>
  </x:si>
  <x:si>
    <x:t xml:space="preserve">Este benchmark-ul pieței. Nu reprezintă probabilitatea modelului.</x:t>
  </x:si>
  <x:si>
    <x:t xml:space="preserve">Rezultat v1 păstrat pentru audit; poate include fallback. Nu este utilizat de verdictul v2.</x:t>
  </x:si>
  <x:si>
    <x:t xml:space="preserve">Diferența dintre probabilitatea modelului și probabilitatea pieței: P model − P piață.</x:t>
  </x:si>
  <x:si>
    <x:t xml:space="preserve">Pozitiv = modelul vede șanse mai mari decât piața; 2,5% înseamnă +2,5 puncte procentuale edge.</x:t>
  </x:si>
  <x:si>
    <x:t xml:space="preserve">Procent / puncte procentuale</x:t>
  </x:si>
  <x:si>
    <x:t xml:space="preserve">Prag recomandat: ≥2,5 pp; prudent: ≥1 pp.</x:t>
  </x:si>
  <x:si>
    <x:t xml:space="preserve">Expected Value pe 1 unitate: P model × cota Over oferită − 1.</x:t>
  </x:si>
  <x:si>
    <x:t xml:space="preserve">EV +0,03 = randament teoretic +3% pe termen lung dacă probabilitatea modelului este corectă; negativ = fără valoare.</x:t>
  </x:si>
  <x:si>
    <x:t xml:space="preserve">Procent / unitate</x:t>
  </x:si>
  <x:si>
    <x:t xml:space="preserve">Se calculează numai dacă există Cotă Over 0.5 validă. Prag recomandat ≥1,5%.</x:t>
  </x:si>
  <x:si>
    <x:t xml:space="preserve">Proporția intrărilor numerice relevante completate față de ținta modelului.</x:t>
  </x:si>
  <x:si>
    <x:t xml:space="preserve">1/100% = set foarte complet; sub ~0,55 contribuie la Steag risc RIDICAT.</x:t>
  </x:si>
  <x:si>
    <x:t xml:space="preserve">Scor 0–1 / 0–100%</x:t>
  </x:si>
  <x:si>
    <x:t xml:space="preserve">Ținta orientativă este 35 intrări numerice; pondere 30% în Confidence.</x:t>
  </x:si>
  <x:si>
    <x:t xml:space="preserve">Scor de robustețe al volumului de date: home/away, recent, H2H și competiție.</x:t>
  </x:si>
  <x:si>
    <x:t xml:space="preserve">Aproape de 1 = eșantioane suficient de mari; valori mici = început de sezon sau date insuficiente.</x:t>
  </x:si>
  <x:si>
    <x:t xml:space="preserve">Scor 0–1</x:t>
  </x:si>
  <x:si>
    <x:t xml:space="preserve">Pondere 20% în Confidence; ponderi interne favorizează N home/away.</x:t>
  </x:si>
  <x:si>
    <x:t xml:space="preserve">Măsoară cât de apropiate sunt estimările λ sezon, xG, recent, H2H și piață.</x:t>
  </x:si>
  <x:si>
    <x:t xml:space="preserve">Aproape de 1 = componente coerente; &lt;0,45 semnalează contradicție și risc MEDIU.</x:t>
  </x:si>
  <x:si>
    <x:t xml:space="preserve">Bazat pe dispersia max–min raportată la media componentelor și toleranța setată.</x:t>
  </x:si>
  <x:si>
    <x:t xml:space="preserve">Încrederea totală în analiză, nu probabilitatea pariului.</x:t>
  </x:si>
  <x:si>
    <x:t xml:space="preserve">0–100: mai mare = date mai complete, eșantion mai bun, componente coerente, surse bune și echipe confirmate.</x:t>
  </x:si>
  <x:si>
    <x:t xml:space="preserve">Scor v1 de bază; Confidence v2 aplică penalizări explicite de eșantion, regim, H2H, lineup, piață și acoperire.</x:t>
  </x:si>
  <x:si>
    <x:t xml:space="preserve">Clasificare automată a riscului de date/model: SCĂZUT, MEDIU sau RIDICAT.</x:t>
  </x:si>
  <x:si>
    <x:t xml:space="preserve">RIDICAT = selecția trebuie evitată/reevaluată; MEDIU = necesită verificări; SCĂZUT = condiții informaționale mai bune.</x:t>
  </x:si>
  <x:si>
    <x:t xml:space="preserve">Text categorial</x:t>
  </x:si>
  <x:si>
    <x:t xml:space="preserve">RIDICAT dacă surse&lt;3, contradicții=2, completitudine&lt;0,55 sau eșantion&lt;0,40.</x:t>
  </x:si>
  <x:si>
    <x:t xml:space="preserve">Decizia automată după probabilitate, Confidence, Edge, EV și Steag risc.</x:t>
  </x:si>
  <x:si>
    <x:t xml:space="preserve">«PARIU RECOMANDAT» = trece pragurile stricte; «PRUDENȚĂ» = praguri mai joase; «NECONCLUDENTĂ» = semnale insuficiente; «EVITAT» = sub praguri/risc.</x:t>
  </x:si>
  <x:si>
    <x:t xml:space="preserve">Verdict v1 păstrat pentru comparabilitate. Dashboard-ul și selecția finală folosesc Verdict v2.</x:t>
  </x:si>
  <x:si>
    <x:t xml:space="preserve">Rezumat generat din P Over 0.5, λ ajustat, Confidence, Edge, risc și nota analistului.</x:t>
  </x:si>
  <x:si>
    <x:t xml:space="preserve">Se citește ca sinteză rapidă; nu adaugă informație nouă, ci concatenează indicatorii principali și raționamentul manual.</x:t>
  </x:si>
  <x:si>
    <x:t xml:space="preserve">Text automat</x:t>
  </x:si>
  <x:si>
    <x:t xml:space="preserve">Util pentru rapoarte/rezumate; verifică valorile sursă dacă textul pare neobișnuit.</x:t>
  </x:si>
  <x:si>
    <x:t xml:space="preserve">Câmp final cu sursele meciului, pregătit pentru raportare/export.</x:t>
  </x:si>
  <x:si>
    <x:t xml:space="preserve">Se citește ca lista URL-urilor care susțin analiza specifică rândului.</x:t>
  </x:si>
  <x:si>
    <x:t xml:space="preserve">În versiunea curentă preia «Surse meci (URL-uri)».</x:t>
  </x:si>
  <x:si>
    <x:t xml:space="preserve">DATE ȘI GATE V2</x:t>
  </x:si>
  <x:si>
    <x:t xml:space="preserve">Numărul etapei/roundului.</x:t>
  </x:si>
  <x:si>
    <x:t xml:space="preserve">1–3 activează penalizarea de regim; completați numeric, nu text.</x:t>
  </x:si>
  <x:si>
    <x:t xml:space="preserve">Număr întreg</x:t>
  </x:si>
  <x:si>
    <x:t xml:space="preserve">Controlează early-season și factorul de regim.</x:t>
  </x:si>
  <x:si>
    <x:t xml:space="preserve">Statut de echipă nou-promovată al gazdelor.</x:t>
  </x:si>
  <x:si>
    <x:t xml:space="preserve">1=promovată; 0=nu.</x:t>
  </x:si>
  <x:si>
    <x:t xml:space="preserve">+25% P0 și cap 92% în v2.</x:t>
  </x:si>
  <x:si>
    <x:t xml:space="preserve">Statut de echipă nou-promovată al oaspeților.</x:t>
  </x:si>
  <x:si>
    <x:t xml:space="preserve">Șuturi pe poartă ale gazdelor pe meci.</x:t>
  </x:si>
  <x:si>
    <x:t xml:space="preserve">Peste reper indică presiune utilă, nu doar volum.</x:t>
  </x:si>
  <x:si>
    <x:t xml:space="preserve">SOT/meci</x:t>
  </x:si>
  <x:si>
    <x:t xml:space="preserve">Indicator de calitate ofensivă.</x:t>
  </x:si>
  <x:si>
    <x:t xml:space="preserve">Șuturi pe poartă ale oaspeților pe meci.</x:t>
  </x:si>
  <x:si>
    <x:t xml:space="preserve">Peste reper indică presiune utilă.</x:t>
  </x:si>
  <x:si>
    <x:t xml:space="preserve">Ocazii mari create de gazde pe meci.</x:t>
  </x:si>
  <x:si>
    <x:t xml:space="preserve">Valoare mare crește factorul de calitate.</x:t>
  </x:si>
  <x:si>
    <x:t xml:space="preserve">Ocazii/meci</x:t>
  </x:si>
  <x:si>
    <x:t xml:space="preserve">Separă atacul periculos de presiunea sterilă.</x:t>
  </x:si>
  <x:si>
    <x:t xml:space="preserve">Ocazii mari create de oaspeți pe meci.</x:t>
  </x:si>
  <x:si>
    <x:t xml:space="preserve">Calitatea medie xG a unui șut al gazdelor.</x:t>
  </x:si>
  <x:si>
    <x:t xml:space="preserve">Peste 0,10 sugerează selecție mai bună a șuturilor.</x:t>
  </x:si>
  <x:si>
    <x:t xml:space="preserve">xG/șut</x:t>
  </x:si>
  <x:si>
    <x:t xml:space="preserve">Intră în DW.</x:t>
  </x:si>
  <x:si>
    <x:t xml:space="preserve">Calitatea medie xG a unui șut al oaspeților.</x:t>
  </x:si>
  <x:si>
    <x:t xml:space="preserve">Atingeri în careul advers pe meci.</x:t>
  </x:si>
  <x:si>
    <x:t xml:space="preserve">Peste reper indică acces repetat în zone periculoase.</x:t>
  </x:si>
  <x:si>
    <x:t xml:space="preserve">Atingeri/meci</x:t>
  </x:si>
  <x:si>
    <x:t xml:space="preserve">Peste reper indică acces repetat în careu.</x:t>
  </x:si>
  <x:si>
    <x:t xml:space="preserve">xG din faze fixe al gazdelor.</x:t>
  </x:si>
  <x:si>
    <x:t xml:space="preserve">Completează profilul ofensiv din joc deschis.</x:t>
  </x:si>
  <x:si>
    <x:t xml:space="preserve">xG din faze fixe al oaspeților.</x:t>
  </x:si>
  <x:si>
    <x:t xml:space="preserve">Dependența gazdelor de centrări cu randament slab.</x:t>
  </x:si>
  <x:si>
    <x:t xml:space="preserve">0=nu; 1=moderat; 2=pronunțat.</x:t>
  </x:si>
  <x:si>
    <x:t xml:space="preserve">Scor 0–2</x:t>
  </x:si>
  <x:si>
    <x:t xml:space="preserve">Penalizează DW.</x:t>
  </x:si>
  <x:si>
    <x:t xml:space="preserve">Dependența oaspeților de centrări cu randament slab.</x:t>
  </x:si>
  <x:si>
    <x:t xml:space="preserve">Disponibilitatea principalului finalizator/creator al gazdelor.</x:t>
  </x:si>
  <x:si>
    <x:t xml:space="preserve">1=disponibil; 0=absent; golul necompletat blochează gate-ul.</x:t>
  </x:si>
  <x:si>
    <x:t xml:space="preserve">Absența majorează P0; lipsa datelor blochează selecția.</x:t>
  </x:si>
  <x:si>
    <x:t xml:space="preserve">Disponibilitatea principalului finalizator/creator al oaspeților.</x:t>
  </x:si>
  <x:si>
    <x:t xml:space="preserve">1=disponibil; 0=absent.</x:t>
  </x:si>
  <x:si>
    <x:t xml:space="preserve">Absența majorează P0.</x:t>
  </x:si>
  <x:si>
    <x:t xml:space="preserve">Disponibilitatea portarului-cheie al gazdelor.</x:t>
  </x:si>
  <x:si>
    <x:t xml:space="preserve">Absența reduce P0, dar trebuie confirmată.</x:t>
  </x:si>
  <x:si>
    <x:t xml:space="preserve">Disponibilitatea portarului-cheie al oaspeților.</x:t>
  </x:si>
  <x:si>
    <x:t xml:space="preserve">PIAȚĂ REALĂ V2</x:t>
  </x:si>
  <x:si>
    <x:t xml:space="preserve">Cota de deschidere pentru Over 0,5.</x:t>
  </x:si>
  <x:si>
    <x:t xml:space="preserve">Se introduce cota reală observată la deschidere.</x:t>
  </x:si>
  <x:si>
    <x:t xml:space="preserve">Împreună cu closing permite CLV.</x:t>
  </x:si>
  <x:si>
    <x:t xml:space="preserve">Cota de închidere pentru Over 0,5.</x:t>
  </x:si>
  <x:si>
    <x:t xml:space="preserve">Se completează după închiderea pieței.</x:t>
  </x:si>
  <x:si>
    <x:t xml:space="preserve">Intrare backtest</x:t>
  </x:si>
  <x:si>
    <x:t xml:space="preserve">Permite CLV real, nu proxy.</x:t>
  </x:si>
  <x:si>
    <x:t xml:space="preserve">Separă analiza pre-match de snapshot-ul live.</x:t>
  </x:si>
  <x:si>
    <x:t xml:space="preserve">Alegeți Pre-match sau Live 20-30.</x:t>
  </x:si>
  <x:si>
    <x:t xml:space="preserve">Împiedică amestecarea modelelor.</x:t>
  </x:si>
  <x:si>
    <x:t xml:space="preserve">MODUL LIVE V2</x:t>
  </x:si>
  <x:si>
    <x:t xml:space="preserve">Minutul snapshot-ului live.</x:t>
  </x:si>
  <x:si>
    <x:t xml:space="preserve">Recomandarea live începe de la minutul 20.</x:t>
  </x:si>
  <x:si>
    <x:t xml:space="preserve">Minut</x:t>
  </x:si>
  <x:si>
    <x:t xml:space="preserve">Intrare live</x:t>
  </x:si>
  <x:si>
    <x:t xml:space="preserve">Controlează timpul rămas.</x:t>
  </x:si>
  <x:si>
    <x:t xml:space="preserve">Golurile gazdelor la snapshot.</x:t>
  </x:si>
  <x:si>
    <x:t xml:space="preserve">Dacă totalul scorului &gt;0, evenimentul O0.5 este îndeplinit.</x:t>
  </x:si>
  <x:si>
    <x:t xml:space="preserve">Goluri</x:t>
  </x:si>
  <x:si>
    <x:t xml:space="preserve">Închide logic pariul.</x:t>
  </x:si>
  <x:si>
    <x:t xml:space="preserve">Golurile oaspeților la snapshot.</x:t>
  </x:si>
  <x:si>
    <x:t xml:space="preserve">xG acumulat de gazde până la snapshot.</x:t>
  </x:si>
  <x:si>
    <x:t xml:space="preserve">Se citește împreună cu timpul scurs.</x:t>
  </x:si>
  <x:si>
    <x:t xml:space="preserve">Intră în ritmul live.</x:t>
  </x:si>
  <x:si>
    <x:t xml:space="preserve">xG acumulat de oaspeți până la snapshot.</x:t>
  </x:si>
  <x:si>
    <x:t xml:space="preserve">Șuturi pe poartă gazde până la snapshot.</x:t>
  </x:si>
  <x:si>
    <x:t xml:space="preserve">Nu se extrapolează singur, ci cu xG și big chances.</x:t>
  </x:si>
  <x:si>
    <x:t xml:space="preserve">SOT</x:t>
  </x:si>
  <x:si>
    <x:t xml:space="preserve">Intră în EJ.</x:t>
  </x:si>
  <x:si>
    <x:t xml:space="preserve">Șuturi pe poartă oaspeți până la snapshot.</x:t>
  </x:si>
  <x:si>
    <x:t xml:space="preserve">Nu se extrapolează singur.</x:t>
  </x:si>
  <x:si>
    <x:t xml:space="preserve">Ocazii mari gazde până la snapshot.</x:t>
  </x:si>
  <x:si>
    <x:t xml:space="preserve">Măsoară calitatea atacurilor live.</x:t>
  </x:si>
  <x:si>
    <x:t xml:space="preserve">Număr</x:t>
  </x:si>
  <x:si>
    <x:t xml:space="preserve">Ocazii mari oaspeți până la snapshot.</x:t>
  </x:si>
  <x:si>
    <x:t xml:space="preserve">Cartonașe roșii ale gazdelor la snapshot.</x:t>
  </x:si>
  <x:si>
    <x:t xml:space="preserve">0 sau 1; modifică intensitatea reziduală.</x:t>
  </x:si>
  <x:si>
    <x:t xml:space="preserve">Cartonașe roșii ale oaspeților la snapshot.</x:t>
  </x:si>
  <x:si>
    <x:t xml:space="preserve">Cota live reală Over 0,5 la snapshot.</x:t>
  </x:si>
  <x:si>
    <x:t xml:space="preserve">Obligatorie pentru EV live.</x:t>
  </x:si>
  <x:si>
    <x:t xml:space="preserve">Intrare critică live</x:t>
  </x:si>
  <x:si>
    <x:t xml:space="preserve">Fără ea verdictul live este NO BET.</x:t>
  </x:si>
  <x:si>
    <x:t xml:space="preserve">PORTOFOLIU V2</x:t>
  </x:si>
  <x:si>
    <x:t xml:space="preserve">Numărul de selecții din portofoliu/bilet.</x:t>
  </x:si>
  <x:si>
    <x:t xml:space="preserve">Acceptat 1–5.</x:t>
  </x:si>
  <x:si>
    <x:t xml:space="preserve">Peste 5 blochează selecția.</x:t>
  </x:si>
  <x:si>
    <x:t xml:space="preserve">Corelația estimată între selecții.</x:t>
  </x:si>
  <x:si>
    <x:t xml:space="preserve">0=independent; peste 30% este blocată.</x:t>
  </x:si>
  <x:si>
    <x:t xml:space="preserve">Control de concentrare.</x:t>
  </x:si>
  <x:si>
    <x:t xml:space="preserve">Capitalul de referință pentru miză.</x:t>
  </x:si>
  <x:si>
    <x:t xml:space="preserve">Se completează în moneda utilizatorului.</x:t>
  </x:si>
  <x:si>
    <x:t xml:space="preserve">Monedă</x:t>
  </x:si>
  <x:si>
    <x:t xml:space="preserve">Transformă procentul de miză în sumă.</x:t>
  </x:si>
  <x:si>
    <x:t xml:space="preserve">Fracția maximă din bankroll mizată într-o zi.</x:t>
  </x:si>
  <x:si>
    <x:t xml:space="preserve">Implicit 2%; poate fi redusă.</x:t>
  </x:si>
  <x:si>
    <x:t xml:space="preserve">Procent</x:t>
  </x:si>
  <x:si>
    <x:t xml:space="preserve">Plafonează EN.</x:t>
  </x:si>
  <x:si>
    <x:t xml:space="preserve">Fracția din Kelly complet utilizată.</x:t>
  </x:si>
  <x:si>
    <x:t xml:space="preserve">Implicit 25%; reduce volatilitatea.</x:t>
  </x:si>
  <x:si>
    <x:t xml:space="preserve">Intră în EN.</x:t>
  </x:si>
  <x:si>
    <x:t xml:space="preserve">CALCULE V2</x:t>
  </x:si>
  <x:si>
    <x:t xml:space="preserve">Agregă SOT, ocazii mari, xG/șut, careu, faze fixe și cross-heavy.</x:t>
  </x:si>
  <x:si>
    <x:t xml:space="preserve">1=neutru; &gt;1 calitate peste reper; &lt;1 presiune mai sterilă.</x:t>
  </x:si>
  <x:si>
    <x:t xml:space="preserve">Factor 0,85–1,15</x:t>
  </x:si>
  <x:si>
    <x:t xml:space="preserve">Ajustează P0 fără a confunda volumul cu ocaziile.</x:t>
  </x:si>
  <x:si>
    <x:t xml:space="preserve">Penalizare de regim pentru promovate și început de sezon.</x:t>
  </x:si>
  <x:si>
    <x:t xml:space="preserve">1,25 pentru risc major; +0,10 în etapele 2–3.</x:t>
  </x:si>
  <x:si>
    <x:t xml:space="preserve">Majorează P0.</x:t>
  </x:si>
  <x:si>
    <x:t xml:space="preserve">Impactul absențelor atacanților și portarilor-cheie asupra P0.</x:t>
  </x:si>
  <x:si>
    <x:t xml:space="preserve">&gt;1 crește 0-0; &lt;1 îl reduce.</x:t>
  </x:si>
  <x:si>
    <x:t xml:space="preserve">Se aplică numai datelor completate explicit.</x:t>
  </x:si>
  <x:si>
    <x:t xml:space="preserve">Probabilitatea 0-0 din model zero-inflated Poisson cu regim.</x:t>
  </x:si>
  <x:si>
    <x:t xml:space="preserve">Combină Poisson, 0-0 real al ligii și frecvențele echipelor, apoi aplică factorii v2.</x:t>
  </x:si>
  <x:si>
    <x:t xml:space="preserve">Model explicit pentru masa la zero. Câmp păstrat pentru audit; decizia finală folosește extensia v3.</x:t>
  </x:si>
  <x:si>
    <x:t xml:space="preserve">Probabilitatea operațională finală de cel puțin un gol.</x:t>
  </x:si>
  <x:si>
    <x:t xml:space="preserve">1-P0, limitată la 92/93/94% după eșantion și confirmări.</x:t>
  </x:si>
  <x:si>
    <x:t xml:space="preserve">Forecast separat de selecție. Câmp păstrat pentru audit; decizia finală folosește extensia v3.</x:t>
  </x:si>
  <x:si>
    <x:t xml:space="preserve">Inversul probabilității v2.</x:t>
  </x:si>
  <x:si>
    <x:t xml:space="preserve">1/P Over0.5 v2.</x:t>
  </x:si>
  <x:si>
    <x:t xml:space="preserve">Reper teoretic, nu cotă de piață.</x:t>
  </x:si>
  <x:si>
    <x:t xml:space="preserve">Probabilitatea implicită derivată numai din cote reale.</x:t>
  </x:si>
  <x:si>
    <x:t xml:space="preserve">Gol dacă AR lipsește; normalizează cu Under când este disponibil.</x:t>
  </x:si>
  <x:si>
    <x:t xml:space="preserve">Nu folosește media ligii ca proxy.</x:t>
  </x:si>
  <x:si>
    <x:t xml:space="preserve">Diferența P v2 minus probabilitatea reală a pieței.</x:t>
  </x:si>
  <x:si>
    <x:t xml:space="preserve">Pozitiv nu este suficient fără EV, Confidence și gate.</x:t>
  </x:si>
  <x:si>
    <x:t xml:space="preserve">Gol dacă lipsește cota reală.</x:t>
  </x:si>
  <x:si>
    <x:t xml:space="preserve">EV v2</x:t>
  </x:si>
  <x:si>
    <x:t xml:space="preserve">Randamentul așteptat la cota reală.</x:t>
  </x:si>
  <x:si>
    <x:t xml:space="preserve">P×cotă−1; trebuie să fie &gt;0 pentru selecție.</x:t>
  </x:si>
  <x:si>
    <x:t xml:space="preserve">Separă acuratețea de profitabilitate.</x:t>
  </x:si>
  <x:si>
    <x:t xml:space="preserve">Confidence v1 minus penalizări explicite.</x:t>
  </x:si>
  <x:si>
    <x:t xml:space="preserve">Scade pentru early, promovate, H2H lipsă, N ligă mic, calitate incompletă, lineup/cotă lipsă.</x:t>
  </x:si>
  <x:si>
    <x:t xml:space="preserve">Prag final 75. Câmp păstrat pentru audit; decizia finală folosește extensia v3.</x:t>
  </x:si>
  <x:si>
    <x:t xml:space="preserve">Semilățimea orientativă a intervalului probabilității.</x:t>
  </x:si>
  <x:si>
    <x:t xml:space="preserve">Crește cu lipsa datelor și regimuri instabile.</x:t>
  </x:si>
  <x:si>
    <x:t xml:space="preserve">Face incertitudinea H2H explicită.</x:t>
  </x:si>
  <x:si>
    <x:t xml:space="preserve">Plafonul activ 92%, 93% sau 94%.</x:t>
  </x:si>
  <x:si>
    <x:t xml:space="preserve">Arată motivul plafonării.</x:t>
  </x:si>
  <x:si>
    <x:t xml:space="preserve">Protecție anti-supraîncredere. Câmp păstrat pentru audit; decizia finală folosește extensia v3.</x:t>
  </x:si>
  <x:si>
    <x:t xml:space="preserve">Gate selecție</x:t>
  </x:si>
  <x:si>
    <x:t xml:space="preserve">Poarta obligatorie înainte de verdict.</x:t>
  </x:si>
  <x:si>
    <x:t xml:space="preserve">DA numai cu cotă reală, lineup, disponibilități-cheie și portofoliu valid.</x:t>
  </x:si>
  <x:si>
    <x:t xml:space="preserve">Fără DA nu există pariu recomandat. Câmp păstrat pentru audit; decizia finală folosește extensia v3.</x:t>
  </x:si>
  <x:si>
    <x:t xml:space="preserve">Probabilitatea recalculată pentru timpul rămas.</x:t>
  </x:si>
  <x:si>
    <x:t xml:space="preserve">Folosește xG/SOT/ocazii mari/roșii și scorul curent.</x:t>
  </x:si>
  <x:si>
    <x:t xml:space="preserve">Calcul automat live</x:t>
  </x:si>
  <x:si>
    <x:t xml:space="preserve">Mod separat; nu extrapolează atacurile singure.</x:t>
  </x:si>
  <x:si>
    <x:t xml:space="preserve">EV live</x:t>
  </x:si>
  <x:si>
    <x:t xml:space="preserve">EV la cota live reală.</x:t>
  </x:si>
  <x:si>
    <x:t xml:space="preserve">P live×cotă live−1.</x:t>
  </x:si>
  <x:si>
    <x:t xml:space="preserve">Obligatoriu pozitiv pentru LIVE – FEZABIL.</x:t>
  </x:si>
  <x:si>
    <x:t xml:space="preserve">Verdict v2</x:t>
  </x:si>
  <x:si>
    <x:t xml:space="preserve">Decizia finală implementând metodologia v1.1.</x:t>
  </x:si>
  <x:si>
    <x:t xml:space="preserve">Pre-match: P≥92%, Confidence≥75, cotă reală, EV&gt;0 și gate DA.</x:t>
  </x:si>
  <x:si>
    <x:t xml:space="preserve">Verdict utilizat de Dashboard și Backtest. Câmp păstrat pentru audit; decizia finală folosește extensia v3.</x:t>
  </x:si>
  <x:si>
    <x:t xml:space="preserve">Motiv verdict v2</x:t>
  </x:si>
  <x:si>
    <x:t xml:space="preserve">Explicația primei porți care blochează sau validează selecția.</x:t>
  </x:si>
  <x:si>
    <x:t xml:space="preserve">Se citește înainte de raționamentul complet.</x:t>
  </x:si>
  <x:si>
    <x:t xml:space="preserve">Face decizia auditabilă.</x:t>
  </x:si>
  <x:si>
    <x:t xml:space="preserve">Kelly fracționat plafonat de limita zilnică și numărul selecțiilor.</x:t>
  </x:si>
  <x:si>
    <x:t xml:space="preserve">Zero dacă verdictul nu este recomandat/fezabil.</x:t>
  </x:si>
  <x:si>
    <x:t xml:space="preserve">Control de risc, nu promisiune de profit.</x:t>
  </x:si>
  <x:si>
    <x:t xml:space="preserve">Miza procentuală aplicată bankroll-ului.</x:t>
  </x:si>
  <x:si>
    <x:t xml:space="preserve">EN×Bankroll.</x:t>
  </x:si>
  <x:si>
    <x:t xml:space="preserve">Gol dacă bankroll-ul lipsește.</x:t>
  </x:si>
  <x:si>
    <x:t xml:space="preserve">Verifică numărul selecțiilor și corelația.</x:t>
  </x:si>
  <x:si>
    <x:t xml:space="preserve">DA doar pentru 1–5 selecții și corelație ≤30%.</x:t>
  </x:si>
  <x:si>
    <x:t xml:space="preserve">Blochează acumularea excesivă.</x:t>
  </x:si>
  <x:si>
    <x:t xml:space="preserve">Closing Line Value între cota opening și closing.</x:t>
  </x:si>
  <x:si>
    <x:t xml:space="preserve">Opening/closing−1; pozitiv indică preț mai bun decât închiderea.</x:t>
  </x:si>
  <x:si>
    <x:t xml:space="preserve">Calcul automat backtest</x:t>
  </x:si>
  <x:si>
    <x:t xml:space="preserve">Necesită cote reale opening și closing.</x:t>
  </x:si>
  <x:si>
    <x:t xml:space="preserve">Rezumat automat al P, intervalului, P0 ZIP, Confidence, EV, gate și verdict.</x:t>
  </x:si>
  <x:si>
    <x:t xml:space="preserve">Se citește împreună cu BH și sursele.</x:t>
  </x:si>
  <x:si>
    <x:t xml:space="preserve">Text final pentru raportare și audit. Câmp păstrat pentru audit; decizia finală folosește extensia v3.</x:t>
  </x:si>
  <x:si>
    <x:t xml:space="preserve">Parametrul live preluat din Setări model.</x:t>
  </x:si>
  <x:si>
    <x:t xml:space="preserve">Implicit 20; se modifică numai în foaia de setări.</x:t>
  </x:si>
  <x:si>
    <x:t xml:space="preserve">Helper auditabil pentru formulele live.</x:t>
  </x:si>
  <x:si>
    <x:t xml:space="preserve">Plafonul de intensitate live preluat din Setări model.</x:t>
  </x:si>
  <x:si>
    <x:t xml:space="preserve">Implicit 1,50× λ ajustat.</x:t>
  </x:si>
  <x:si>
    <x:t xml:space="preserve">Helper auditabil pentru extrapolarea live.</x:t>
  </x:si>
  <x:si>
    <x:t xml:space="preserve">Intensitatea de gol estimată pentru timpul rămas.</x:t>
  </x:si>
  <x:si>
    <x:t xml:space="preserve">Combină λ pre-match rămas cu xG, SOT, big chances și diferența de cartonașe roșii.</x:t>
  </x:si>
  <x:si>
    <x:t xml:space="preserve">Baza formulei P Over0.5 live; nu folosește atacurile singure.</x:t>
  </x:si>
  <x:si>
    <x:t xml:space="preserve">DATE ZERO-MASS V3</x:t>
  </x:si>
  <x:si>
    <x:t xml:space="preserve">Frecvența 0–0 a gazdelor în meciurile home relevante.</x:t>
  </x:si>
  <x:si>
    <x:t xml:space="preserve">Folosiți fereastră rolling și definiție identică ligii.</x:t>
  </x:si>
  <x:si>
    <x:t xml:space="preserve">Intră în riscul team-specific; lipsa blochează gate-ul.</x:t>
  </x:si>
  <x:si>
    <x:t xml:space="preserve">Frecvența 0–0 a oaspeților în deplasare.</x:t>
  </x:si>
  <x:si>
    <x:t xml:space="preserve">Comparați cu etalonul ligii și eșantionul disponibil.</x:t>
  </x:si>
  <x:si>
    <x:t xml:space="preserve">Ponderea meciurilor home în care gazdele nu au primit gol.</x:t>
  </x:si>
  <x:si>
    <x:t xml:space="preserve">Valoare mare amplifică FTS-ul oaspeților.</x:t>
  </x:si>
  <x:si>
    <x:t xml:space="preserve">Componentă reciprocă blank×clean-sheet.</x:t>
  </x:si>
  <x:si>
    <x:t xml:space="preserve">Ponderea deplasărilor în care oaspeții nu au primit gol.</x:t>
  </x:si>
  <x:si>
    <x:t xml:space="preserve">Valoare mare amplifică FTS-ul gazdelor.</x:t>
  </x:si>
  <x:si>
    <x:t xml:space="preserve">Frecvența scorului 0–0 la pauză în profilul home.</x:t>
  </x:si>
  <x:si>
    <x:t xml:space="preserve">Valoare mare indică starturi lente.</x:t>
  </x:si>
  <x:si>
    <x:t xml:space="preserve">Frecvența scorului 0–0 la pauză în profilul away.</x:t>
  </x:si>
  <x:si>
    <x:t xml:space="preserve">Valoare mare indică meciuri care se deschid târziu.</x:t>
  </x:si>
  <x:si>
    <x:t xml:space="preserve">Intră în riscul low-tempo.</x:t>
  </x:si>
  <x:si>
    <x:t xml:space="preserve">CALCULE ZERO-MASS V3</x:t>
  </x:si>
  <x:si>
    <x:t xml:space="preserve">Raport GF home / xGF home, limitat 0,50–1,50.</x:t>
  </x:si>
  <x:si>
    <x:t xml:space="preserve">Sub 1 indică subfinalizare; nu presupune automat regresie imediată.</x:t>
  </x:si>
  <x:si>
    <x:t xml:space="preserve">Alimentează riscul de finishing.</x:t>
  </x:si>
  <x:si>
    <x:t xml:space="preserve">Raport GF away / xGF away, limitat 0,50–1,50.</x:t>
  </x:si>
  <x:si>
    <x:t xml:space="preserve">Sub 1 indică subfinalizare.</x:t>
  </x:si>
  <x:si>
    <x:t xml:space="preserve">Media geometrică a ratelor 0–0 raportată la etalon.</x:t>
  </x:si>
  <x:si>
    <x:t xml:space="preserve">1=etalon; &gt;1 risc superior etalonului.</x:t>
  </x:si>
  <x:si>
    <x:t xml:space="preserve">Corecție explicită pe echipe.</x:t>
  </x:si>
  <x:si>
    <x:t xml:space="preserve">Interacțiunea FTS a fiecărui atac cu clean sheet-ul apărării adverse.</x:t>
  </x:si>
  <x:si>
    <x:t xml:space="preserve">&gt;1 înseamnă că ambele perechi susțin mai mult scorul 0–0.</x:t>
  </x:si>
  <x:si>
    <x:t xml:space="preserve">Reduce falsele 94% bazate doar pe goluri totale.</x:t>
  </x:si>
  <x:si>
    <x:t xml:space="preserve">Deficitul comun de conversie față de xG.</x:t>
  </x:si>
  <x:si>
    <x:t xml:space="preserve">0=neutru; crește când ambele echipe subfinalizează.</x:t>
  </x:si>
  <x:si>
    <x:t xml:space="preserve">Factor aditiv</x:t>
  </x:si>
  <x:si>
    <x:t xml:space="preserve">Majorează factorul zero-mass.</x:t>
  </x:si>
  <x:si>
    <x:t xml:space="preserve">Ajustarea combinată ZIP/DC pentru masa suplimentară la 0–0.</x:t>
  </x:si>
  <x:si>
    <x:t xml:space="preserve">Sub 0,95=scăzut; 0,95–1,15=mediu; peste 1,15=ridicat.</x:t>
  </x:si>
  <x:si>
    <x:t xml:space="preserve">Factor 0,75–1,60</x:t>
  </x:si>
  <x:si>
    <x:t xml:space="preserve">Aplicat peste P0 ZIP/regim v2.</x:t>
  </x:si>
  <x:si>
    <x:t xml:space="preserve">P0 v2 înmulțit cu factorul zero-mass v3.</x:t>
  </x:si>
  <x:si>
    <x:t xml:space="preserve">Probabilitatea finală de 0–0 înaintea transformării în Over.</x:t>
  </x:si>
  <x:si>
    <x:t xml:space="preserve">Nucleul probabilistic v3.</x:t>
  </x:si>
  <x:si>
    <x:t xml:space="preserve">Verifică existența tuturor intrărilor critice P0 v3.</x:t>
  </x:si>
  <x:si>
    <x:t xml:space="preserve">DA/NU</x:t>
  </x:si>
  <x:si>
    <x:t xml:space="preserve">Lipsa impune cap 90% și gate NU.</x:t>
  </x:si>
  <x:si>
    <x:t xml:space="preserve">Clasificarea factorului zero-mass.</x:t>
  </x:si>
  <x:si>
    <x:t xml:space="preserve">SCĂZUT/MEDIU/RIDICAT/NEDETERMINAT.</x:t>
  </x:si>
  <x:si>
    <x:t xml:space="preserve">Determină plafonul și eligibilitatea.</x:t>
  </x:si>
  <x:si>
    <x:t xml:space="preserve">Piață confirmă zero-risk</x:t>
  </x:si>
  <x:si>
    <x:t xml:space="preserve">Confirmare din cota reală fără marjă.</x:t>
  </x:si>
  <x:si>
    <x:t xml:space="preserve">DA dacă există cotă reală și probabilitatea pieței este ≥85%.</x:t>
  </x:si>
  <x:si>
    <x:t xml:space="preserve">Obligatorie pentru cap 94% și gate DA.</x:t>
  </x:si>
  <x:si>
    <x:t xml:space="preserve">Lineup confirmă zero-risk</x:t>
  </x:si>
  <x:si>
    <x:t xml:space="preserve">Confirmă loturile și disponibilitățile atacanților/portarilor-cheie.</x:t>
  </x:si>
  <x:si>
    <x:t xml:space="preserve">DA numai când AU=1 și CY:DB sunt complete.</x:t>
  </x:si>
  <x:si>
    <x:t xml:space="preserve">Plafonul operațional 90%, 91%, 92% sau 94%.</x:t>
  </x:si>
  <x:si>
    <x:t xml:space="preserve">Rezultă din clasă, completitudine și confirmări.</x:t>
  </x:si>
  <x:si>
    <x:t xml:space="preserve">Regula centrală 30.08 anti-supraîncredere.</x:t>
  </x:si>
  <x:si>
    <x:t xml:space="preserve">1−P0 recalibrat v3, limitat la capul activ.</x:t>
  </x:si>
  <x:si>
    <x:t xml:space="preserve">Forecast final folosit de Dashboard și Backtest.</x:t>
  </x:si>
  <x:si>
    <x:t xml:space="preserve">Probabilitatea operațională v3.</x:t>
  </x:si>
  <x:si>
    <x:t xml:space="preserve">Inversul probabilității v3.</x:t>
  </x:si>
  <x:si>
    <x:t xml:space="preserve">1/P Over0.5 v3.</x:t>
  </x:si>
  <x:si>
    <x:t xml:space="preserve">Reper teoretic fără marjă.</x:t>
  </x:si>
  <x:si>
    <x:t xml:space="preserve">P v3 minus probabilitatea reală a pieței.</x:t>
  </x:si>
  <x:si>
    <x:t xml:space="preserve">Nu este suficient singur pentru selecție.</x:t>
  </x:si>
  <x:si>
    <x:t xml:space="preserve">Valoarea așteptată la cota reală.</x:t>
  </x:si>
  <x:si>
    <x:t xml:space="preserve">P v3 × cotă − 1.</x:t>
  </x:si>
  <x:si>
    <x:t xml:space="preserve">Trebuie să fie pozitiv.</x:t>
  </x:si>
  <x:si>
    <x:t xml:space="preserve">Confidence v2 minus penalizări pentru completitudine și clasele de risc.</x:t>
  </x:si>
  <x:si>
    <x:t xml:space="preserve">Prag operațional 75/100.</x:t>
  </x:si>
  <x:si>
    <x:t xml:space="preserve">Separat de probabilitate.</x:t>
  </x:si>
  <x:si>
    <x:t xml:space="preserve">Poarta completă a metodologiei 30.08.</x:t>
  </x:si>
  <x:si>
    <x:t xml:space="preserve">DA doar cu zero-risk scăzut/complet, lineup, piață și portofoliu confirmate.</x:t>
  </x:si>
  <x:si>
    <x:t xml:space="preserve">Fără DA nu există recomandare.</x:t>
  </x:si>
  <x:si>
    <x:t xml:space="preserve">Decizia finală a modelului actualizat.</x:t>
  </x:si>
  <x:si>
    <x:t xml:space="preserve">Pariu recomandat numai după gate, P, Confidence și EV.</x:t>
  </x:si>
  <x:si>
    <x:t xml:space="preserve">Rezultat oficial al v3.</x:t>
  </x:si>
  <x:si>
    <x:t xml:space="preserve">Prima condiție care blochează sau validează verdictul.</x:t>
  </x:si>
  <x:si>
    <x:t xml:space="preserve">Audit operațional.</x:t>
  </x:si>
  <x:si>
    <x:t xml:space="preserve">Rezumat P, P0, factor/clasă, cap, Confidence, confirmări, EV, gate și verdict.</x:t>
  </x:si>
  <x:si>
    <x:t xml:space="preserve">Explică automat traseul deciziei.</x:t>
  </x:si>
  <x:si>
    <x:t xml:space="preserve">Text final pentru raportare.</x:t>
  </x:si>
  <x:si>
    <x:t xml:space="preserve">DATE LOW-CONVERSION V5</x:t>
  </x:si>
  <x:si>
    <x:t xml:space="preserve">Rata meciurilor recente în care gazdele nu au marcat.</x:t>
  </x:si>
  <x:si>
    <x:t xml:space="preserve">≥20% activează semnalul; trebuie folosită aceeași fereastră ca W/X/Z.</x:t>
  </x:si>
  <x:si>
    <x:t xml:space="preserve">Semnal bilateral de conversie slabă.</x:t>
  </x:si>
  <x:si>
    <x:t xml:space="preserve">Rata meciurilor recente în care oaspeții nu au marcat.</x:t>
  </x:si>
  <x:si>
    <x:t xml:space="preserve">≥20% activează semnalul.</x:t>
  </x:si>
  <x:si>
    <x:t xml:space="preserve">Numărul rezultatelor 0–0 în fereastra recentă a gazdelor.</x:t>
  </x:si>
  <x:si>
    <x:t xml:space="preserve">Se împarte la N recent gazde; nu se folosește fără N≥5.</x:t>
  </x:si>
  <x:si>
    <x:t xml:space="preserve">Detectează acumularea recentă 0–0.</x:t>
  </x:si>
  <x:si>
    <x:t xml:space="preserve">Numărul rezultatelor 0–0 în fereastra recentă a oaspeților.</x:t>
  </x:si>
  <x:si>
    <x:t xml:space="preserve">Se împarte la N recent oaspeți; nu se folosește fără N≥5.</x:t>
  </x:si>
  <x:si>
    <x:t xml:space="preserve">CALCULE LOW-CONVERSION V5</x:t>
  </x:si>
  <x:si>
    <x:t xml:space="preserve">GF recent / xGF recent, limitat 0,50–1,50.</x:t>
  </x:si>
  <x:si>
    <x:t xml:space="preserve">Sub 0,90 indică finalizare slabă față de ocaziile create.</x:t>
  </x:si>
  <x:si>
    <x:t xml:space="preserve">Parte din nucleul low-conversion.</x:t>
  </x:si>
  <x:si>
    <x:t xml:space="preserve">Sub 0,90 indică finalizare slabă.</x:t>
  </x:si>
  <x:si>
    <x:t xml:space="preserve">Media xGF recent a celor două echipe.</x:t>
  </x:si>
  <x:si>
    <x:t xml:space="preserve">≥0,80 confirmă existența ocaziilor și separă subfinalizarea de atac inert.</x:t>
  </x:si>
  <x:si>
    <x:t xml:space="preserve">Condiție obligatorie a nucleului.</x:t>
  </x:si>
  <x:si>
    <x:t xml:space="preserve">Verifică dacă ambele blank rates recente trec pragul.</x:t>
  </x:si>
  <x:si>
    <x:t xml:space="preserve">DA numai când ambele sunt ≥20%.</x:t>
  </x:si>
  <x:si>
    <x:t xml:space="preserve">DA/NU/NEDETERMINAT</x:t>
  </x:si>
  <x:si>
    <x:t xml:space="preserve">Pondere 20% în scorul v5.</x:t>
  </x:si>
  <x:si>
    <x:t xml:space="preserve">Verifică blank recent × clean-sheet advers în ambele sensuri.</x:t>
  </x:si>
  <x:si>
    <x:t xml:space="preserve">DA dacă cel puțin o pereche trece pragurile.</x:t>
  </x:si>
  <x:si>
    <x:t xml:space="preserve">Nucleul profilului low-conversion despite chance creation.</x:t>
  </x:si>
  <x:si>
    <x:t xml:space="preserve">DA dacă λ este 1,60–2,60, finishing mediu ≤0,90 și xGF mediu ≥0,80.</x:t>
  </x:si>
  <x:si>
    <x:t xml:space="preserve">Pondere dominantă 45%; fără DA ajustarea este zero.</x:t>
  </x:si>
  <x:si>
    <x:t xml:space="preserve">Detectează persistența recentă a rezultatelor 0–0.</x:t>
  </x:si>
  <x:si>
    <x:t xml:space="preserve">DA dacă cel puțin o echipă are rată ≥20%, cu N≥5 pentru ambele.</x:t>
  </x:si>
  <x:si>
    <x:t xml:space="preserve">Pondere 15% în scorul v5.</x:t>
  </x:si>
  <x:si>
    <x:t xml:space="preserve">Agregă cele patru semnale cu ponderi 20/20/45/15.</x:t>
  </x:si>
  <x:si>
    <x:t xml:space="preserve">Este zero dacă nucleul λ+finishing+xGF nu este activ.</x:t>
  </x:si>
  <x:si>
    <x:t xml:space="preserve">Controlează exclusiv majorarea P0.</x:t>
  </x:si>
  <x:si>
    <x:t xml:space="preserve">1 + 20% × scorul low-conversion.</x:t>
  </x:si>
  <x:si>
    <x:t xml:space="preserve">Interval operațional 1,00–1,20.</x:t>
  </x:si>
  <x:si>
    <x:t xml:space="preserve">Ajustare incrementală, nu prag nou.</x:t>
  </x:si>
  <x:si>
    <x:t xml:space="preserve">P0 v3 × multiplicatorul low-conversion.</x:t>
  </x:si>
  <x:si>
    <x:t xml:space="preserve">Rămâne limitat de P0 maxim existent.</x:t>
  </x:si>
  <x:si>
    <x:t xml:space="preserve">Probabilitatea 0–0 folosită în forecastul v5.</x:t>
  </x:si>
  <x:si>
    <x:t xml:space="preserve">Date low-conversion complete</x:t>
  </x:si>
  <x:si>
    <x:t xml:space="preserve">Verifică blank recent, 0–0 recente, finishing, xGF, CS și N recent.</x:t>
  </x:si>
  <x:si>
    <x:t xml:space="preserve">DA este obligatoriu pentru gate-ul final.</x:t>
  </x:si>
  <x:si>
    <x:t xml:space="preserve">Lipsa datelor impune NEDETERMINAT și cap 90%.</x:t>
  </x:si>
  <x:si>
    <x:t xml:space="preserve">Reclasifică riscul folosind factorul v3 × multiplicatorul v5.</x:t>
  </x:si>
  <x:si>
    <x:t xml:space="preserve">Folosește aceleași praguri SCĂZUT/MEDIU/RIDICAT ca v4.</x:t>
  </x:si>
  <x:si>
    <x:t xml:space="preserve">Poate doar înăspri, nu relaxa gate-ul.</x:t>
  </x:si>
  <x:si>
    <x:t xml:space="preserve">Plafonul 90/91/92/94% aplicat după clasa v5.</x:t>
  </x:si>
  <x:si>
    <x:t xml:space="preserve">Valorile și confirmările sunt neschimbate.</x:t>
  </x:si>
  <x:si>
    <x:t xml:space="preserve">Protecție anti-supraîncredere.</x:t>
  </x:si>
  <x:si>
    <x:t xml:space="preserve">MIN(1−P0 v5; cap v5).</x:t>
  </x:si>
  <x:si>
    <x:t xml:space="preserve">Forecastul final utilizat de Dashboard și Backtest.</x:t>
  </x:si>
  <x:si>
    <x:t xml:space="preserve">Nu poate depăși capul existent.</x:t>
  </x:si>
  <x:si>
    <x:t xml:space="preserve">Inversul probabilității v5.</x:t>
  </x:si>
  <x:si>
    <x:t xml:space="preserve">1/P Over0.5 v5.</x:t>
  </x:si>
  <x:si>
    <x:t xml:space="preserve">Reper fără marjă.</x:t>
  </x:si>
  <x:si>
    <x:t xml:space="preserve">P v5 minus probabilitatea reală a pieței.</x:t>
  </x:si>
  <x:si>
    <x:t xml:space="preserve">Nu înlocuiește gate-urile.</x:t>
  </x:si>
  <x:si>
    <x:t xml:space="preserve">P v5 × cotă reală − 1.</x:t>
  </x:si>
  <x:si>
    <x:t xml:space="preserve">Trebuie să fie pozitiv pentru eligibilitate.</x:t>
  </x:si>
  <x:si>
    <x:t xml:space="preserve">Pragul existent este păstrat.</x:t>
  </x:si>
  <x:si>
    <x:t xml:space="preserve">Confidence v3 minus penalizarea proporțională cu scorul low-conversion și lipsa datelor v5.</x:t>
  </x:si>
  <x:si>
    <x:t xml:space="preserve">Pragul 75/100 nu se modifică.</x:t>
  </x:si>
  <x:si>
    <x:t xml:space="preserve">Gate complet: cotă, date v5, risc scăzut, lineup, piață și portofoliu.</x:t>
  </x:si>
  <x:si>
    <x:t xml:space="preserve">DA numai dacă toate porțile sunt trecute.</x:t>
  </x:si>
  <x:si>
    <x:t xml:space="preserve">Nicio relaxare față de v4.</x:t>
  </x:si>
  <x:si>
    <x:t xml:space="preserve">Decizia finală după P, Confidence, EV și gate.</x:t>
  </x:si>
  <x:si>
    <x:t xml:space="preserve">WATCH/NO BET la orice hard-gate eșuat.</x:t>
  </x:si>
  <x:si>
    <x:t xml:space="preserve">Verdict oficial v5.</x:t>
  </x:si>
  <x:si>
    <x:t xml:space="preserve">Prima condiție care validează sau blochează selecția.</x:t>
  </x:si>
  <x:si>
    <x:t xml:space="preserve">Evidențiază explicit lipsa datelor și profilul low-conversion.</x:t>
  </x:si>
  <x:si>
    <x:t xml:space="preserve">Rezumat al P, P0, scorului LC, multiplicatorului, clasei, capului, Confidence, EV și gate-ului.</x:t>
  </x:si>
  <x:si>
    <x:t xml:space="preserve">Se citește împreună cu sursele meciului.</x:t>
  </x:si>
  <x:si>
    <x:t xml:space="preserve">Trasabilitatea rezultatului final.</x:t>
  </x:si>
  <x:si>
    <x:t xml:space="preserve">GLOSAR RAPID DE ABREVIERI ȘI SEMNE</x:t>
  </x:si>
  <x:si>
    <x:t xml:space="preserve">Număr de meciuri din eșantion.</x:t>
  </x:si>
  <x:si>
    <x:t xml:space="preserve">GF / GA</x:t>
  </x:si>
  <x:si>
    <x:t xml:space="preserve">Goals For / Goals Against = goluri marcate / primite.</x:t>
  </x:si>
  <x:si>
    <x:t xml:space="preserve">xGF / xGA</x:t>
  </x:si>
  <x:si>
    <x:t xml:space="preserve">Expected Goals For / Against = xG creat / permis.</x:t>
  </x:si>
  <x:si>
    <x:t xml:space="preserve">O0.5</x:t>
  </x:si>
  <x:si>
    <x:t xml:space="preserve">Over 0,5 goluri = meci cu cel puțin un gol.</x:t>
  </x:si>
  <x:si>
    <x:t xml:space="preserve">FTS</x:t>
  </x:si>
  <x:si>
    <x:t xml:space="preserve">Failed To Score = echipa nu a marcat.</x:t>
  </x:si>
  <x:si>
    <x:t xml:space="preserve">Head-to-Head = confruntări directe.</x:t>
  </x:si>
  <x:si>
    <x:t xml:space="preserve">λ (lambda)</x:t>
  </x:si>
  <x:si>
    <x:t xml:space="preserve">Numărul așteptat de goluri totale folosit în modelul Poisson.</x:t>
  </x:si>
  <x:si>
    <x:t xml:space="preserve">Probabilitatea de 0–0.</x:t>
  </x:si>
  <x:si>
    <x:t xml:space="preserve">P(model) − P(piață), exprimat în puncte procentuale.</x:t>
  </x:si>
  <x:si>
    <x:t xml:space="preserve">Expected Value = P(model) × cota oferită − 1.</x:t>
  </x:si>
  <x:si>
    <x:t xml:space="preserve">Confidence</x:t>
  </x:si>
  <x:si>
    <x:t xml:space="preserve">Încrederea în calitatea analizei/datelor; nu este probabilitatea de câștig.</x:t>
  </x:si>
  <x:si>
    <x:t xml:space="preserve">SURSĂ CONSOLIDATĂ: Metodologie v1.1</x:t>
  </x:si>
  <x:si>
    <x:t xml:space="preserve">METODOLOGIE ÎMBUNĂTĂȚITĂ – OVER 0,5 GOLURI</x:t>
  </x:si>
  <x:si>
    <x:t xml:space="preserve">TRASABILITATE IMPLEMENTARE V2</x:t>
  </x:si>
  <x:si>
    <x:t xml:space="preserve">Scop: reducerea supraîncrederii și separarea probabilității statistice de decizia reală de pariere.</x:t>
  </x:si>
  <x:si>
    <x:t xml:space="preserve">Problemă observată</x:t>
  </x:si>
  <x:si>
    <x:t xml:space="preserve">Date necesare</x:t>
  </x:si>
  <x:si>
    <x:t xml:space="preserve">Impact așteptat</x:t>
  </x:si>
  <x:si>
    <x:t xml:space="preserve">Validare</x:t>
  </x:si>
  <x:si>
    <x:t xml:space="preserve">Status v2</x:t>
  </x:si>
  <x:si>
    <x:t xml:space="preserve">Implementare în model</x:t>
  </x:si>
  <x:si>
    <x:t xml:space="preserve">P0 – critică</x:t>
  </x:si>
  <x:si>
    <x:t xml:space="preserve">P model mare, dar Confidence sub prag</x:t>
  </x:si>
  <x:si>
    <x:t xml:space="preserve">Separă forecastul de selecție</x:t>
  </x:si>
  <x:si>
    <x:t xml:space="preserve">Pariu numai dacă P≥92%, Confidence≥75, cotă reală disponibilă și EV&gt;0</x:t>
  </x:si>
  <x:si>
    <x:t xml:space="preserve">P, Confidence, cotă O0,5</x:t>
  </x:si>
  <x:si>
    <x:t xml:space="preserve">Elimină cazuri ca M27/M35 din bilet</x:t>
  </x:si>
  <x:si>
    <x:t xml:space="preserve">Backtest out-of-sample</x:t>
  </x:si>
  <x:si>
    <x:t xml:space="preserve">DA</x:t>
  </x:si>
  <x:si>
    <x:t xml:space="preserve">EA/EF/EI/EE/EL: selecție doar la P≥92%, Confidence≥75, cotă reală și EV&gt;0.</x:t>
  </x:si>
  <x:si>
    <x:t xml:space="preserve">Media ligii a înlocuit piața când cota lipsea</x:t>
  </x:si>
  <x:si>
    <x:t xml:space="preserve">Nu mai folosi media ligii ca proxy de piață</x:t>
  </x:si>
  <x:si>
    <x:t xml:space="preserve">Dacă lipsește cota O0,5, verdictul maxim este WATCH/NO BET</x:t>
  </x:si>
  <x:si>
    <x:t xml:space="preserve">Cotă opening și closing</x:t>
  </x:si>
  <x:si>
    <x:t xml:space="preserve">EV și CLV devin reale</x:t>
  </x:si>
  <x:si>
    <x:t xml:space="preserve">CLV median pozitiv</x:t>
  </x:si>
  <x:si>
    <x:t xml:space="preserve">EC rămâne gol fără AR; EI/EL blochează recomandarea. DC/DD/EQ calculează CLV real.</x:t>
  </x:si>
  <x:si>
    <x:t xml:space="preserve">Probabilități 94–97% pe eșantioane stabilizate</x:t>
  </x:si>
  <x:si>
    <x:t xml:space="preserve">Cap de probabilitate în early season</x:t>
  </x:si>
  <x:si>
    <x:t xml:space="preserve">Maxim 92% până la ≥5 meciuri reale home/away; 94% doar cu loturi și piață confirmate</x:t>
  </x:si>
  <x:si>
    <x:t xml:space="preserve">N real, loturi, cote</x:t>
  </x:si>
  <x:si>
    <x:t xml:space="preserve">Reduce supraîncrederea</x:t>
  </x:si>
  <x:si>
    <x:t xml:space="preserve">Reliability curve</x:t>
  </x:si>
  <x:si>
    <x:t xml:space="preserve">CJ, CK, CL și I/P activează cap 92%; cap 94% doar cu AU=1, AR și CY:DB complete.</x:t>
  </x:si>
  <x:si>
    <x:t xml:space="preserve">Poisson simplu submodelează 0–0</x:t>
  </x:si>
  <x:si>
    <x:t xml:space="preserve">Model explicit pentru masa la zero</x:t>
  </x:si>
  <x:si>
    <x:t xml:space="preserve">Dixon–Coles / zero-inflated Poisson pentru P(0–0)</x:t>
  </x:si>
  <x:si>
    <x:t xml:space="preserve">Scoruri, xG, home/away</x:t>
  </x:si>
  <x:si>
    <x:t xml:space="preserve">Calibrare mai bună a cozii 0–0</x:t>
  </x:si>
  <x:si>
    <x:t xml:space="preserve">Brier + log-loss</x:t>
  </x:si>
  <x:si>
    <x:t xml:space="preserve">DZ este model ZIP explicit: Poisson + masă empirică 0-0 echipe/ligă, cu shrinkage.</x:t>
  </x:si>
  <x:si>
    <x:t xml:space="preserve">Promovate și etapa 1 au incertitudine mare</x:t>
  </x:si>
  <x:si>
    <x:t xml:space="preserve">Penalizare de regim și sample-size</x:t>
  </x:si>
  <x:si>
    <x:t xml:space="preserve">+20–35% la P0 sau shrinkage mai puternic pentru promovate/etapa 1</x:t>
  </x:si>
  <x:si>
    <x:t xml:space="preserve">Statut promovată, etapă</x:t>
  </x:si>
  <x:si>
    <x:t xml:space="preserve">Protejează contra schimbărilor de nivel</x:t>
  </x:si>
  <x:si>
    <x:t xml:space="preserve">Backtest pe promovate</x:t>
  </x:si>
  <x:si>
    <x:t xml:space="preserve">DX majorează P0 cu 25% pentru promovate/etapa 1 și 10% în etapele 2–3.</x:t>
  </x:si>
  <x:si>
    <x:t xml:space="preserve">Volumul de șuturi nu garantează calitatea</x:t>
  </x:si>
  <x:si>
    <x:t xml:space="preserve">Indicatori de calitate ofensivă</x:t>
  </x:si>
  <x:si>
    <x:t xml:space="preserve">Folosește SOT, big chances, xG/șut, touches box și set pieces; penalizează cross-heavy</x:t>
  </x:si>
  <x:si>
    <x:t xml:space="preserve">xG, SOT, BC, xG/shot</x:t>
  </x:si>
  <x:si>
    <x:t xml:space="preserve">Distinge presiunea sterilă</x:t>
  </x:si>
  <x:si>
    <x:t xml:space="preserve">AUC și calibrare</x:t>
  </x:si>
  <x:si>
    <x:t xml:space="preserve">CM:CX și DW folosesc SOT, big chances, xG/șut, touches box, faze fixe și cross-heavy.</x:t>
  </x:si>
  <x:si>
    <x:t xml:space="preserve">Loturi neconfirmate au influență mică</x:t>
  </x:si>
  <x:si>
    <x:t xml:space="preserve">Gate pe atacanți/portari</x:t>
  </x:si>
  <x:si>
    <x:t xml:space="preserve">Fără recomandare finală înainte de lineup; penalizare pentru absențe atac și portar elite</x:t>
  </x:si>
  <x:si>
    <x:t xml:space="preserve">Lineup, indisponibili</x:t>
  </x:si>
  <x:si>
    <x:t xml:space="preserve">Reduce surprizele tactice</x:t>
  </x:si>
  <x:si>
    <x:t xml:space="preserve">Analiză ablație</x:t>
  </x:si>
  <x:si>
    <x:t xml:space="preserve">CY:DB, AU și EI: gate pe atacanți/portari; fără lineup verdictul este WATCH / NO BET.</x:t>
  </x:si>
  <x:si>
    <x:t xml:space="preserve">H2H lipsă tratat neutru</x:t>
  </x:si>
  <x:si>
    <x:t xml:space="preserve">Incertitudine explicită, nu completare implicită</x:t>
  </x:si>
  <x:si>
    <x:t xml:space="preserve">Lipsa H2H crește intervalul de incertitudine; nu adaugă puncte</x:t>
  </x:si>
  <x:si>
    <x:t xml:space="preserve">N H2H real</x:t>
  </x:si>
  <x:si>
    <x:t xml:space="preserve">Mai puțină certitudine falsă</x:t>
  </x:si>
  <x:si>
    <x:t xml:space="preserve">Coverage interval</x:t>
  </x:si>
  <x:si>
    <x:t xml:space="preserve">AG=0 nu adaugă puncte în ZIP; EF scade, iar EG lărgește incertitudinea.</x:t>
  </x:si>
  <x:si>
    <x:t xml:space="preserve">Un singur prag pentru toate ligile</x:t>
  </x:si>
  <x:si>
    <x:t xml:space="preserve">Calibrare pe ligă și sezon</x:t>
  </x:si>
  <x:si>
    <x:t xml:space="preserve">Intercept și factor zero separate pe competiție, actualizate rolling</x:t>
  </x:si>
  <x:si>
    <x:t xml:space="preserve">Minim 200–300 meciuri/ligă</x:t>
  </x:si>
  <x:si>
    <x:t xml:space="preserve">Probabilități comparabile</x:t>
  </x:si>
  <x:si>
    <x:t xml:space="preserve">ECE pe ligă</x:t>
  </x:si>
  <x:si>
    <x:t xml:space="preserve">AN și AM intră rolling; greutatea zero ligă crește până la N=250, separat pe competiție.</x:t>
  </x:si>
  <x:si>
    <x:t xml:space="preserve">Meciurile live pot schimba informația</x:t>
  </x:si>
  <x:si>
    <x:t xml:space="preserve">Modul live separat</x:t>
  </x:si>
  <x:si>
    <x:t xml:space="preserve">La 20–30': recalcul pe xG, SOT, big chances, roșii și cotă; nu extrapola doar din atacuri</x:t>
  </x:si>
  <x:si>
    <x:t xml:space="preserve">Feed live + cote</x:t>
  </x:si>
  <x:si>
    <x:t xml:space="preserve">Decizie mai bună decât pariul orb pre-meci</x:t>
  </x:si>
  <x:si>
    <x:t xml:space="preserve">Backtest pe snapshot</x:t>
  </x:si>
  <x:si>
    <x:t xml:space="preserve">DE:DQ + EJ/EK: modul live separat după min. 20, cu xG/SOT/BC/roșii și cotă live.</x:t>
  </x:si>
  <x:si>
    <x:t xml:space="preserve">Combinarea multor selecții amplifică riscul</x:t>
  </x:si>
  <x:si>
    <x:t xml:space="preserve">Control de portofoliu</x:t>
  </x:si>
  <x:si>
    <x:t xml:space="preserve">Nu combina 83 de selecții; 1–5 alegeri independente, miză fracționată, limită zilnică</x:t>
  </x:si>
  <x:si>
    <x:t xml:space="preserve">Corelații, bankroll</x:t>
  </x:si>
  <x:si>
    <x:t xml:space="preserve">Reduce riscul de ruină</x:t>
  </x:si>
  <x:si>
    <x:t xml:space="preserve">Drawdown/ROI</x:t>
  </x:si>
  <x:si>
    <x:t xml:space="preserve">DR:DV + EN:EP: maximum 5 selecții, corelație ≤30%, Kelly fracționat și limită zilnică.</x:t>
  </x:si>
  <x:si>
    <x:t xml:space="preserve">Notă: rata brută de succes pentru Over 0,5 nu demonstrează profitabilitate. Fără cota plasată și cota de închidere nu se poate calcula corect EV, ROI sau CLV.</x:t>
  </x:si>
  <x:si>
    <x:t xml:space="preserve">SURSĂ CONSOLIDATĂ: Metodologie v3</x:t>
  </x:si>
  <x:si>
    <x:t xml:space="preserve">METODOLOGIE V3 – UPDATE P0 / ZERO-MASS DIN 30.08</x:t>
  </x:si>
  <x:si>
    <x:t xml:space="preserve">Obiectiv: reducerea supraîncrederii la Over 0,5 prin recalibrare ZIP/Dixon-Coles adaptată pe echipă și ligă, cu porți explicite de lineup și piață.</x:t>
  </x:si>
  <x:si>
    <x:t xml:space="preserve">Model / problemă</x:t>
  </x:si>
  <x:si>
    <x:t xml:space="preserve">Constatare 30.08</x:t>
  </x:si>
  <x:si>
    <x:t xml:space="preserve">Modificare recomandată</x:t>
  </x:si>
  <x:si>
    <x:t xml:space="preserve">Implementare v3</x:t>
  </x:si>
  <x:si>
    <x:t xml:space="preserve">Over 0,5 – zero mass</x:t>
  </x:si>
  <x:si>
    <x:t xml:space="preserve">4 meciuri au fost 0–0; Sandefjord–Brann și Tromso–Sarpsborg aveau P 94%.</x:t>
  </x:si>
  <x:si>
    <x:t xml:space="preserve">P&gt;92% numai când zero-risk team-specific + lineup + piață confirmă; altfel cap 90–92%.</x:t>
  </x:si>
  <x:si>
    <x:t xml:space="preserve">EV:FX în Analize meciuri; parametri B87:B109; Dashboard și Backtest comutate la v3.</x:t>
  </x:si>
  <x:si>
    <x:t xml:space="preserve">Brier, log-loss, calibrare și rata reală pe clasele SCĂZUT/MEDIU/RIDICAT/NEDETERMINAT.</x:t>
  </x:si>
  <x:si>
    <x:t xml:space="preserve">FACTORI ZERO-MASS ȘI INTERPRETARE</x:t>
  </x:si>
  <x:si>
    <x:t xml:space="preserve">Definiție</x:t>
  </x:si>
  <x:si>
    <x:t xml:space="preserve">Formula conceptuală</x:t>
  </x:si>
  <x:si>
    <x:t xml:space="preserve">Semnal scăzut</x:t>
  </x:si>
  <x:si>
    <x:t xml:space="preserve">Semnal ridicat</x:t>
  </x:si>
  <x:si>
    <x:t xml:space="preserve">Pondere implicită</x:t>
  </x:si>
  <x:si>
    <x:t xml:space="preserve">Lipsă date</x:t>
  </x:si>
  <x:si>
    <x:t xml:space="preserve">0–0 team-specific</x:t>
  </x:si>
  <x:si>
    <x:t xml:space="preserve">Rata 0–0 home/away a celor două echipe</x:t>
  </x:si>
  <x:si>
    <x:t xml:space="preserve">√(0–0H × 0–0A) / etalon</x:t>
  </x:si>
  <x:si>
    <x:t xml:space="preserve">Sub etalon</x:t>
  </x:si>
  <x:si>
    <x:t xml:space="preserve">Peste etalon</x:t>
  </x:si>
  <x:si>
    <x:t xml:space="preserve">30%</x:t>
  </x:si>
  <x:si>
    <x:t xml:space="preserve">Blochează zero-risk complet</x:t>
  </x:si>
  <x:si>
    <x:t xml:space="preserve">Corecție specifică echipelor</x:t>
  </x:si>
  <x:si>
    <x:t xml:space="preserve">Blank×CS reciproc</x:t>
  </x:si>
  <x:si>
    <x:t xml:space="preserve">FTS atac × clean sheet advers în ambele sensuri</x:t>
  </x:si>
  <x:si>
    <x:t xml:space="preserve">medie(√FTSH×CSA; √FTSA×CSH) / etalon</x:t>
  </x:si>
  <x:si>
    <x:t xml:space="preserve">Cel puțin un atac/defensivă sparge 0–0</x:t>
  </x:si>
  <x:si>
    <x:t xml:space="preserve">Ambele perechi susțin 0–0</x:t>
  </x:si>
  <x:si>
    <x:t xml:space="preserve">Interacțiune atac–apărare</x:t>
  </x:si>
  <x:si>
    <x:t xml:space="preserve">Finishing vs xG</x:t>
  </x:si>
  <x:si>
    <x:t xml:space="preserve">GF/xGF home și away, limitat 0,50–1,50</x:t>
  </x:si>
  <x:si>
    <x:t xml:space="preserve">MAX(0; 1−media rapoartelor)</x:t>
  </x:si>
  <x:si>
    <x:t xml:space="preserve">Finalizare ≥ xG</x:t>
  </x:si>
  <x:si>
    <x:t xml:space="preserve">Subfinalizare comună</x:t>
  </x:si>
  <x:si>
    <x:t xml:space="preserve">20%</x:t>
  </x:si>
  <x:si>
    <x:t xml:space="preserve">Separă ocaziile de conversie</x:t>
  </x:si>
  <x:si>
    <x:t xml:space="preserve">PLAFOANE OPERAȚIONALE</x:t>
  </x:si>
  <x:si>
    <x:t xml:space="preserve">Clasă / stare</x:t>
  </x:si>
  <x:si>
    <x:t xml:space="preserve">Lineup confirmă</x:t>
  </x:si>
  <x:si>
    <x:t xml:space="preserve">Piață confirmă</x:t>
  </x:si>
  <x:si>
    <x:t xml:space="preserve">Gate</x:t>
  </x:si>
  <x:si>
    <x:t xml:space="preserve">NEDETERMINAT sau RIDICAT</x:t>
  </x:si>
  <x:si>
    <x:t xml:space="preserve">NU sau risc ridicat</x:t>
  </x:si>
  <x:si>
    <x:t xml:space="preserve">Oricare</x:t>
  </x:si>
  <x:si>
    <x:t xml:space="preserve">90%</x:t>
  </x:si>
  <x:si>
    <x:t xml:space="preserve">NU</x:t>
  </x:si>
  <x:si>
    <x:t xml:space="preserve">Date insuficiente sau masă la zero mare</x:t>
  </x:si>
  <x:si>
    <x:t xml:space="preserve">WATCH / NO BET</x:t>
  </x:si>
  <x:si>
    <x:t xml:space="preserve">91%</x:t>
  </x:si>
  <x:si>
    <x:t xml:space="preserve">Risc rezidual relevant</x:t>
  </x:si>
  <x:si>
    <x:t xml:space="preserve">SCĂZUT neconfirmat</x:t>
  </x:si>
  <x:si>
    <x:t xml:space="preserve">NU sau incomplet</x:t>
  </x:si>
  <x:si>
    <x:t xml:space="preserve">NU sau sub 85%</x:t>
  </x:si>
  <x:si>
    <x:t xml:space="preserve">92%</x:t>
  </x:si>
  <x:si>
    <x:t xml:space="preserve">Profil bun, confirmări insuficiente</x:t>
  </x:si>
  <x:si>
    <x:t xml:space="preserve">SCĂZUT confirmat</x:t>
  </x:si>
  <x:si>
    <x:t xml:space="preserve">DA, cotă reală și Ppiață≥85%</x:t>
  </x:si>
  <x:si>
    <x:t xml:space="preserve">94%</x:t>
  </x:si>
  <x:si>
    <x:t xml:space="preserve">Toate porțile critice trecute</x:t>
  </x:si>
  <x:si>
    <x:t xml:space="preserve">Eligibil; EV și Confidence decid</x:t>
  </x:si>
  <x:si>
    <x:t xml:space="preserve">Notă: modelul nu garantează apariția unui gol. Parametrii trebuie recalibrați rolling pe fiecare ligă și, când eșantionul permite, pe echipă. Nu se modifică pe baza unei singure serii scurte; se urmăresc Brier, log-loss și curbele de calibrare.</x:t>
  </x:si>
  <x:si>
    <x:t xml:space="preserve">SURSĂ CONSOLIDATĂ: Metodologie v5</x:t>
  </x:si>
  <x:si>
    <x:t xml:space="preserve">METODOLOGIE V5 – LOW-CONVERSION DESPITE CHANCE CREATION</x:t>
  </x:si>
  <x:si>
    <x:t xml:space="preserve">Îmbunătățire incrementală a Zero-Mass Gate. Nu se modifică pragurile de selecție, confirmările obligatorii sau plafoanele 90/91/92/94%.</x:t>
  </x:si>
  <x:si>
    <x:t xml:space="preserve">Intrare / calcul</x:t>
  </x:si>
  <x:si>
    <x:t xml:space="preserve">Prag implicit</x:t>
  </x:si>
  <x:si>
    <x:t xml:space="preserve">Condiție de activare</x:t>
  </x:si>
  <x:si>
    <x:t xml:space="preserve">Blank recent bilateral</x:t>
  </x:si>
  <x:si>
    <x:t xml:space="preserve">Blank recent gazde și oaspeți</x:t>
  </x:si>
  <x:si>
    <x:t xml:space="preserve">ambele ≥20%</x:t>
  </x:si>
  <x:si>
    <x:t xml:space="preserve">ambele echipe au blank recent</x:t>
  </x:si>
  <x:si>
    <x:t xml:space="preserve">crește scorul low-conversion</x:t>
  </x:si>
  <x:si>
    <x:t xml:space="preserve">Gate v5 incomplet</x:t>
  </x:si>
  <x:si>
    <x:t xml:space="preserve">Nu este suficient singur.</x:t>
  </x:si>
  <x:si>
    <x:t xml:space="preserve">Clean-sheet advers</x:t>
  </x:si>
  <x:si>
    <x:t xml:space="preserve">Blank recent × CS advers relevant</x:t>
  </x:si>
  <x:si>
    <x:t xml:space="preserve">CS ≥30%</x:t>
  </x:si>
  <x:si>
    <x:t xml:space="preserve">cel puțin o pereche atac–apărare confirmă</x:t>
  </x:si>
  <x:si>
    <x:t xml:space="preserve">Interacțiune reciprocă, nu total brut.</x:t>
  </x:si>
  <x:si>
    <x:t xml:space="preserve">Nucleu low-conversion</x:t>
  </x:si>
  <x:si>
    <x:t xml:space="preserve">λ 1,60–2,60; finishing recent ≤0,90; xGF mediu ≥0,80</x:t>
  </x:si>
  <x:si>
    <x:t xml:space="preserve">toate simultan</x:t>
  </x:si>
  <x:si>
    <x:t xml:space="preserve">45%</x:t>
  </x:si>
  <x:si>
    <x:t xml:space="preserve">obligatoriu pentru aplicarea ajustării</x:t>
  </x:si>
  <x:si>
    <x:t xml:space="preserve">activează majorarea P0</x:t>
  </x:si>
  <x:si>
    <x:t xml:space="preserve">Scor low-conversion=0 / gate incomplet</x:t>
  </x:si>
  <x:si>
    <x:t xml:space="preserve">Primește cea mai mare pondere.</x:t>
  </x:si>
  <x:si>
    <x:t xml:space="preserve">Acumulare 0–0</x:t>
  </x:si>
  <x:si>
    <x:t xml:space="preserve">Nr. 0–0 / N recent pentru fiecare echipă</x:t>
  </x:si>
  <x:si>
    <x:t xml:space="preserve">≥20%; N≥5</x:t>
  </x:si>
  <x:si>
    <x:t xml:space="preserve">15%</x:t>
  </x:si>
  <x:si>
    <x:t xml:space="preserve">cel puțin o echipă trece pragul</x:t>
  </x:si>
  <x:si>
    <x:t xml:space="preserve">Captează persistența recentă.</x:t>
  </x:si>
  <x:si>
    <x:t xml:space="preserve">FORMULE ȘI REGULI OPERAȚIONALE</x:t>
  </x:si>
  <x:si>
    <x:t xml:space="preserve">Formulă conceptuală</x:t>
  </x:si>
  <x:si>
    <x:t xml:space="preserve">Prag schimbat?</x:t>
  </x:si>
  <x:si>
    <x:t xml:space="preserve">Cap 90%</x:t>
  </x:si>
  <x:si>
    <x:t xml:space="preserve">Cap 91%</x:t>
  </x:si>
  <x:si>
    <x:t xml:space="preserve">Cap 92%</x:t>
  </x:si>
  <x:si>
    <x:t xml:space="preserve">Cap 94%</x:t>
  </x:si>
  <x:si>
    <x:t xml:space="preserve">Finishing recent = GF recent / xGF recent; limitat 0,50–1,50</x:t>
  </x:si>
  <x:si>
    <x:t xml:space="preserve">Conversie observată vs ocazii</x:t>
  </x:si>
  <x:si>
    <x:t xml:space="preserve">—</x:t>
  </x:si>
  <x:si>
    <x:t xml:space="preserve">2</x:t>
  </x:si>
  <x:si>
    <x:t xml:space="preserve">Scor LC = 20% blank + 20% CS + 45% nucleu + 15% 0–0; numai dacă nucleul este activ</x:t>
  </x:si>
  <x:si>
    <x:t xml:space="preserve">3</x:t>
  </x:si>
  <x:si>
    <x:t xml:space="preserve">P0 v5 = P0 v3 × (1 + 20% × Scor LC)</x:t>
  </x:si>
  <x:si>
    <x:t xml:space="preserve">P0 majorat max. 20%</x:t>
  </x:si>
  <x:si>
    <x:t xml:space="preserve">neschimbat</x:t>
  </x:si>
  <x:si>
    <x:t xml:space="preserve">4</x:t>
  </x:si>
  <x:si>
    <x:t xml:space="preserve">P(O0,5) v5 = MIN(1−P0 v5; cap existent)</x:t>
  </x:si>
  <x:si>
    <x:t xml:space="preserve">Forecast final v5</x:t>
  </x:si>
  <x:si>
    <x:t xml:space="preserve">94% numai cu toate confirmările</x:t>
  </x:si>
  <x:si>
    <x:t xml:space="preserve">Validare recomandată: congelați FY:GX înainte de meci și evaluați separat Brier, log-loss, calibrarea și fail rate 0–0 pe decile ale scorului low-conversion. Ajustarea se reestimează numai după un eșantion OOS multi-ligă suficient.</x:t>
  </x:si>
  <x:si>
    <x:t xml:space="preserve">SURSĂ CONSOLIDATĂ: Data_Readiness_v6</x:t>
  </x:si>
  <x:si>
    <x:t xml:space="preserve">DATA READINESS – O05 v6</x:t>
  </x:si>
  <x:si>
    <x:t xml:space="preserve">Efect în model</x:t>
  </x:si>
  <x:si>
    <x:t xml:space="preserve">Hard fail?</x:t>
  </x:si>
  <x:si>
    <x:t xml:space="preserve">Utilizare recomandată</x:t>
  </x:si>
  <x:si>
    <x:t xml:space="preserve">VERIFIED</x:t>
  </x:si>
  <x:si>
    <x:t xml:space="preserve">Date găsite și verificate</x:t>
  </x:si>
  <x:si>
    <x:t xml:space="preserve">folosire integrală</x:t>
  </x:si>
  <x:si>
    <x:t xml:space="preserve">normal</x:t>
  </x:si>
  <x:si>
    <x:t xml:space="preserve">status țintă</x:t>
  </x:si>
  <x:si>
    <x:t xml:space="preserve">Probabil disponibile pe web, încă neverificate</x:t>
  </x:si>
  <x:si>
    <x:t xml:space="preserve">nu se declară LIPSA DATE; se cere verificare</x:t>
  </x:si>
  <x:si>
    <x:t xml:space="preserve">recheck sursă</x:t>
  </x:si>
  <x:si>
    <x:t xml:space="preserve">nu trebuie să forțeze nivel 5</x:t>
  </x:si>
  <x:si>
    <x:t xml:space="preserve">PENDING OFFICIAL</x:t>
  </x:si>
  <x:si>
    <x:t xml:space="preserve">Date oficiale încă nepublicate (ex. XI)</x:t>
  </x:si>
  <x:si>
    <x:t xml:space="preserve">haircut / conditional refresh</x:t>
  </x:si>
  <x:si>
    <x:t xml:space="preserve">NU de regulă</x:t>
  </x:si>
  <x:si>
    <x:t xml:space="preserve">refresh T-75/T-60</x:t>
  </x:si>
  <x:si>
    <x:t xml:space="preserve">hard doar dacă modelul cere confirmare pentru bandă premium</x:t>
  </x:si>
  <x:si>
    <x:t xml:space="preserve">SMALL SAMPLE</x:t>
  </x:si>
  <x:si>
    <x:t xml:space="preserve">Date există, dar N curent este sub prag</x:t>
  </x:si>
  <x:si>
    <x:t xml:space="preserve">prior + shrinkage + confidence cap</x:t>
  </x:si>
  <x:si>
    <x:t xml:space="preserve">NU dacă există prior</x:t>
  </x:si>
  <x:si>
    <x:t xml:space="preserve">EARLY-SEASON</x:t>
  </x:si>
  <x:si>
    <x:t xml:space="preserve">nu se confundă cu LIPSA DATE</x:t>
  </x:si>
  <x:si>
    <x:t xml:space="preserve">PRIOR / SHRINKAGE</x:t>
  </x:si>
  <x:si>
    <x:t xml:space="preserve">Sezon anterior/league prior activ</x:t>
  </x:si>
  <x:si>
    <x:t xml:space="preserve">blend cu sezon curent</x:t>
  </x:si>
  <x:si>
    <x:t xml:space="preserve">folosire controlată</x:t>
  </x:si>
  <x:si>
    <x:t xml:space="preserve">raportează priorul și N</x:t>
  </x:si>
  <x:si>
    <x:t xml:space="preserve">PROXY ONLY</x:t>
  </x:si>
  <x:si>
    <x:t xml:space="preserve">Indicator nativ indisponibil, proxy folosit</x:t>
  </x:si>
  <x:si>
    <x:t xml:space="preserve">haircut + confidence cap</x:t>
  </x:si>
  <x:si>
    <x:t xml:space="preserve">DOAR dacă G0 nativ este obligatoriu</x:t>
  </x:si>
  <x:si>
    <x:t xml:space="preserve">selectiv</x:t>
  </x:si>
  <x:si>
    <x:t xml:space="preserve">proxy nu este echivalent cu nativ</x:t>
  </x:si>
  <x:si>
    <x:t xml:space="preserve">SOURCE CONFLICT</x:t>
  </x:si>
  <x:si>
    <x:t xml:space="preserve">Surse incompatibile material</x:t>
  </x:si>
  <x:si>
    <x:t xml:space="preserve">blochează până la reconciliere</x:t>
  </x:si>
  <x:si>
    <x:t xml:space="preserve">DA dacă afectează G0</x:t>
  </x:si>
  <x:si>
    <x:t xml:space="preserve">reconciliere</x:t>
  </x:si>
  <x:si>
    <x:t xml:space="preserve">raportează sursele</x:t>
  </x:si>
  <x:si>
    <x:t xml:space="preserve">OPERATOR NOT SPECIFIED</x:t>
  </x:si>
  <x:si>
    <x:t xml:space="preserve">Operator/cotă nespecificată</x:t>
  </x:si>
  <x:si>
    <x:t xml:space="preserve">IGNORAT în această versiune</x:t>
  </x:si>
  <x:si>
    <x:t xml:space="preserve">nu influențează verdictul tehnic</x:t>
  </x:si>
  <x:si>
    <x:t xml:space="preserve">settlement și EV eliminate din analiză</x:t>
  </x:si>
  <x:si>
    <x:t xml:space="preserve">NOT AVAILABLE</x:t>
  </x:si>
  <x:si>
    <x:t xml:space="preserve">Căutare efectuată, datele nu au fost găsite</x:t>
  </x:si>
  <x:si>
    <x:t xml:space="preserve">G0 FAIL numai dacă inputul este critic</x:t>
  </x:si>
  <x:si>
    <x:t xml:space="preserve">CONDIȚIONAL</x:t>
  </x:si>
  <x:si>
    <x:t xml:space="preserve">raportează exact ce lipsește</x:t>
  </x:si>
  <x:si>
    <x:t xml:space="preserve">singurul caz standard de LIPSA DATE</x:t>
  </x:si>
  <x:si>
    <x:t xml:space="preserve">Componentă model</x:t>
  </x:si>
  <x:si>
    <x:t xml:space="preserve">Clasă</x:t>
  </x:si>
  <x:si>
    <x:t xml:space="preserve">Status input</x:t>
  </x:si>
  <x:si>
    <x:t xml:space="preserve">Tratament</x:t>
  </x:si>
  <x:si>
    <x:t xml:space="preserve">Sursă sugerată</x:t>
  </x:si>
  <x:si>
    <x:t xml:space="preserve">Notă</x:t>
  </x:si>
  <x:si>
    <x:t xml:space="preserve">blank/clean-sheet H/A + 0-0</x:t>
  </x:si>
  <x:si>
    <x:t xml:space="preserve">G0/G2</x:t>
  </x:si>
  <x:si>
    <x:t xml:space="preserve">zero-mass</x:t>
  </x:si>
  <x:si>
    <x:t xml:space="preserve">FootyStats/istoric rezultate</x:t>
  </x:si>
  <x:si>
    <x:t xml:space="preserve">actualizează status după verificare</x:t>
  </x:si>
  <x:si>
    <x:t xml:space="preserve">xG/xGA H/A + recent</x:t>
  </x:si>
  <x:si>
    <x:t xml:space="preserve">G2</x:t>
  </x:si>
  <x:si>
    <x:t xml:space="preserve">shrinkage early-season</x:t>
  </x:si>
  <x:si>
    <x:t xml:space="preserve">FotMob/FBref</x:t>
  </x:si>
  <x:si>
    <x:t xml:space="preserve">lineup/absențe</x:t>
  </x:si>
  <x:si>
    <x:t xml:space="preserve">G1</x:t>
  </x:si>
  <x:si>
    <x:t xml:space="preserve">PRE-XI conditional; FINAL-XI upgrade</x:t>
  </x:si>
  <x:si>
    <x:t xml:space="preserve">club/league</x:t>
  </x:si>
  <x:si>
    <x:t xml:space="preserve">confirmări independente</x:t>
  </x:si>
  <x:si>
    <x:t xml:space="preserve">minimum 2 pentru zona premium</x:t>
  </x:si>
  <x:si>
    <x:t xml:space="preserve">surse multiple</x:t>
  </x:si>
  <x:si>
    <x:t xml:space="preserve">Nomenclatură nouă</x:t>
  </x:si>
  <x:si>
    <x:t xml:space="preserve">G0</x:t>
  </x:si>
  <x:si>
    <x:t xml:space="preserve">hard gate / obligatoriu</x:t>
  </x:si>
  <x:si>
    <x:t xml:space="preserve">context / factori soft</x:t>
  </x:si>
  <x:si>
    <x:t xml:space="preserve">calibrare / tail / uncertainty</x:t>
  </x:si>
  <x:si>
    <x:t xml:space="preserve">G3</x:t>
  </x:si>
  <x:si>
    <x:t xml:space="preserve">preț/cotă – INFORMATIV, fără EV</x:t>
  </x:si>
  <x:si>
    <x:t xml:space="preserve">G4</x:t>
  </x:si>
  <x:si>
    <x:t xml:space="preserve">selector / verdict final</x:t>
  </x:si>
  <x:si>
    <x:t xml:space="preserve">pG0, pG1 ...</x:t>
  </x:si>
  <x:si>
    <x:t xml:space="preserve">P(exact 0 goluri), P(exact 1) etc.; nu se confundă cu G0/G1</x:t>
  </x:si>
  <x:si>
    <x:t xml:space="preserve">SURSĂ CONSOLIDATĂ: Metodologie_v7</x:t>
  </x:si>
  <x:si>
    <x:t xml:space="preserve">METODOLOGIE v7 – CLARIFICARE P_CAP ≠ RISK LEVEL</x:t>
  </x:si>
  <x:si>
    <x:t xml:space="preserve">Scop</x:t>
  </x:si>
  <x:si>
    <x:t xml:space="preserve">Eliminarea confuziei dintre plafonul probabilității, Data Readiness, Confidence și clasificarea de risc.</x:t>
  </x:si>
  <x:si>
    <x:t xml:space="preserve">Concept</x:t>
  </x:si>
  <x:si>
    <x:t xml:space="preserve">Poate singur să forțeze PRUDENT?</x:t>
  </x:si>
  <x:si>
    <x:t xml:space="preserve">Poate singur să forțeze WATCH?</x:t>
  </x:si>
  <x:si>
    <x:t xml:space="preserve">Regulă v7</x:t>
  </x:si>
  <x:si>
    <x:t xml:space="preserve">P_model</x:t>
  </x:si>
  <x:si>
    <x:t xml:space="preserve">Probabilitatea brută/modelată pentru minimum un gol.</x:t>
  </x:si>
  <x:si>
    <x:t xml:space="preserve">Forecast tehnic înainte de cap/haircut.</x:t>
  </x:si>
  <x:si>
    <x:t xml:space="preserve">Nu este verdict de risc.</x:t>
  </x:si>
  <x:si>
    <x:t xml:space="preserve">P_cap</x:t>
  </x:si>
  <x:si>
    <x:t xml:space="preserve">Plafon anti-false-precision 90/91/92/93/94%.</x:t>
  </x:si>
  <x:si>
    <x:t xml:space="preserve">Împiedică supraîncrederea când zero-mass/sample/confirmările nu justifică o probabilitate mai mare.</x:t>
  </x:si>
  <x:si>
    <x:t xml:space="preserve">P_cap limitează P_final, nu Risk Level.</x:t>
  </x:si>
  <x:si>
    <x:t xml:space="preserve">P_final_adjusted</x:t>
  </x:si>
  <x:si>
    <x:t xml:space="preserve">Probabilitatea după Zero-Mass, haircut și cap.</x:t>
  </x:si>
  <x:si>
    <x:t xml:space="preserve">Probabilitatea raportată/ranking secundar.</x:t>
  </x:si>
  <x:si>
    <x:t xml:space="preserve">Se evaluează DUPĂ G0 și înainte/împreună cu Confidence.</x:t>
  </x:si>
  <x:si>
    <x:t xml:space="preserve">Riscul specific de 0–0: blank H/A, opponent CS H/A, 0–0, finishing, low-conversion, tempo/context.</x:t>
  </x:si>
  <x:si>
    <x:t xml:space="preserve">Failure mode dominant O0,5.</x:t>
  </x:si>
  <x:si>
    <x:t xml:space="preserve">DA, dacă MEDIU</x:t>
  </x:si>
  <x:si>
    <x:t xml:space="preserve">DA, dacă RIDICAT / G0 fail</x:t>
  </x:si>
  <x:si>
    <x:t xml:space="preserve">SCĂZUT poate permite DEFENSIV chiar cu P_cap=90–92%.</x:t>
  </x:si>
  <x:si>
    <x:t xml:space="preserve">Data Readiness</x:t>
  </x:si>
  <x:si>
    <x:t xml:space="preserve">VERIFIED / AVAILABLE-NOT CHECKED / SMALL SAMPLE / PRIOR-SHRINKAGE / NOT AVAILABLE / SOURCE CONFLICT.</x:t>
  </x:si>
  <x:si>
    <x:t xml:space="preserve">Calitatea și maturitatea inputurilor.</x:t>
  </x:si>
  <x:si>
    <x:t xml:space="preserve">NU automat</x:t>
  </x:si>
  <x:si>
    <x:t xml:space="preserve">DA numai la input critic NOT AVAILABLE/SOURCE CONFLICT</x:t>
  </x:si>
  <x:si>
    <x:t xml:space="preserve">SMALL SAMPLE ≠ LIPSA DATE.</x:t>
  </x:si>
  <x:si>
    <x:t xml:space="preserve">Stabilitatea forecastului după sample, surse și coerența semnalelor.</x:t>
  </x:si>
  <x:si>
    <x:t xml:space="preserve">Controlează ranking-ul și premium band.</x:t>
  </x:si>
  <x:si>
    <x:t xml:space="preserve">Poate limita profilul</x:t>
  </x:si>
  <x:si>
    <x:t xml:space="preserve">Poate produce WATCH dacă sub prag configurat</x:t>
  </x:si>
  <x:si>
    <x:t xml:space="preserve">Nu este echivalent cu P_cap.</x:t>
  </x:si>
  <x:si>
    <x:t xml:space="preserve">1 Defensiv; 2 Prudent; 3 Moderat; 4 Ridicat; 5 WATCH/NO BET.</x:t>
  </x:si>
  <x:si>
    <x:t xml:space="preserve">Verdict operațional final.</x:t>
  </x:si>
  <x:si>
    <x:t xml:space="preserve">Calcul separat de P_cap.</x:t>
  </x:si>
  <x:si>
    <x:t xml:space="preserve">REGULA CENTRALĂ v7</x:t>
  </x:si>
  <x:si>
    <x:t xml:space="preserve">G0/P0 se evaluează primul.</x:t>
  </x:si>
  <x:si>
    <x:t xml:space="preserve">Se stabilește Zero-Mass Risk: SCĂZUT / MEDIU / RIDICAT / NEDETERMINAT.</x:t>
  </x:si>
  <x:si>
    <x:t xml:space="preserve">Se aplică Data Readiness: SMALL SAMPLE cu prior valid =&gt; prior+shrinkage+confidence cap; NU downgrade automat.</x:t>
  </x:si>
  <x:si>
    <x:t xml:space="preserve">Se calculează P_final = MIN(P_model ajustată, P_cap activ).</x:t>
  </x:si>
  <x:si>
    <x:t xml:space="preserve">5</x:t>
  </x:si>
  <x:si>
    <x:t xml:space="preserve">Risk Level se calculează separat din Data Quality + Zero-Mass/Distribution + Context + Model Uncertainty + Compound Risk.</x:t>
  </x:si>
  <x:si>
    <x:t xml:space="preserve">6</x:t>
  </x:si>
  <x:si>
    <x:t xml:space="preserve">P_final=90% poate fi DEFENSIV dacă G0 PASS, Zero-Mass SCĂZUT, Data Readiness suficient și Risk Score ≤20.</x:t>
  </x:si>
  <x:si>
    <x:t xml:space="preserve">7</x:t>
  </x:si>
  <x:si>
    <x:t xml:space="preserve">P_final=92% poate fi PRUDENT dacă Zero-Mass este MEDIU / există evidență negativă concretă. Probabilitatea singură nu decide.</x:t>
  </x:si>
  <x:si>
    <x:t xml:space="preserve">8</x:t>
  </x:si>
  <x:si>
    <x:t xml:space="preserve">EXEMPLE</x:t>
  </x:si>
  <x:si>
    <x:t xml:space="preserve">A</x:t>
  </x:si>
  <x:si>
    <x:t xml:space="preserve">P_model 95%; early-season N=3; prior robust; blank/CS nu indică 0–0; P_cap 92%; Risk Score 18.</x:t>
  </x:si>
  <x:si>
    <x:t xml:space="preserve">P_final=92%</x:t>
  </x:si>
  <x:si>
    <x:t xml:space="preserve">DEFENSIV</x:t>
  </x:si>
  <x:si>
    <x:t xml:space="preserve">Corect</x:t>
  </x:si>
  <x:si>
    <x:t xml:space="preserve">Capul nu obligă PRUDENT.</x:t>
  </x:si>
  <x:si>
    <x:t xml:space="preserve">P_model 94%; blank bilateral + opponent CS + finishing slab; Zero-Mass MEDIU; P_cap 91%; Risk Score 31.</x:t>
  </x:si>
  <x:si>
    <x:t xml:space="preserve">P_final=91%</x:t>
  </x:si>
  <x:si>
    <x:t xml:space="preserve">PRUDENT</x:t>
  </x:si>
  <x:si>
    <x:t xml:space="preserve">Downgrade-ul vine din evidența zero-mass, nu din cap.</x:t>
  </x:si>
  <x:si>
    <x:t xml:space="preserve">P_model 93%; input critic zero-mass NOT AVAILABLE după căutare; G0 FAIL.</x:t>
  </x:si>
  <x:si>
    <x:t xml:space="preserve">P raportabil doar diagnostic</x:t>
  </x:si>
  <x:si>
    <x:t xml:space="preserve">Hard gate domină.</x:t>
  </x:si>
  <x:si>
    <x:t xml:space="preserve">SURSĂ CONSOLIDATĂ: Decision_Matrix_v7</x:t>
  </x:si>
  <x:si>
    <x:t xml:space="preserve">DECISION MATRIX v7 – O0,5</x:t>
  </x:si>
  <x:si>
    <x:t xml:space="preserve">Zero-Mass</x:t>
  </x:si>
  <x:si>
    <x:t xml:space="preserve">P_cap orientativ</x:t>
  </x:si>
  <x:si>
    <x:t xml:space="preserve">Verdict posibil</x:t>
  </x:si>
  <x:si>
    <x:t xml:space="preserve">93–94%</x:t>
  </x:si>
  <x:si>
    <x:t xml:space="preserve">SMALL SAMPLE + PRIOR</x:t>
  </x:si>
  <x:si>
    <x:t xml:space="preserve">90–92%</x:t>
  </x:si>
  <x:si>
    <x:t xml:space="preserve">VERIFIED / PRIOR</x:t>
  </x:si>
  <x:si>
    <x:t xml:space="preserve">90–91%</x:t>
  </x:si>
  <x:si>
    <x:t xml:space="preserve">orice</x:t>
  </x:si>
  <x:si>
    <x:t xml:space="preserve">≤90%</x:t>
  </x:si>
  <x:si>
    <x:t xml:space="preserve">FAIL</x:t>
  </x:si>
  <x:si>
    <x:t xml:space="preserve">NOT AVAILABLE critic / SOURCE CONFLICT</x:t>
  </x:si>
  <x:si>
    <x:t xml:space="preserve">n/a</x:t>
  </x:si>
  <x:si>
    <x:t xml:space="preserve">Sursă</x:t>
  </x:si>
  <x:si>
    <x:t xml:space="preserve">Efect SMALL SAMPLE</x:t>
  </x:si>
  <x:si>
    <x:t xml:space="preserve">Output</x:t>
  </x:si>
  <x:si>
    <x:t xml:space="preserve">Niciun floor</x:t>
  </x:si>
  <x:si>
    <x:t xml:space="preserve">GZ</x:t>
  </x:si>
  <x:si>
    <x:t xml:space="preserve">Nu</x:t>
  </x:si>
  <x:si>
    <x:t xml:space="preserve">HA</x:t>
  </x:si>
  <x:si>
    <x:t xml:space="preserve">Date incomplete închid G0</x:t>
  </x:si>
  <x:si>
    <x:t xml:space="preserve">Abaterea multiplicatorului contextual + contradicții</x:t>
  </x:si>
  <x:si>
    <x:t xml:space="preserve">HB</x:t>
  </x:si>
  <x:si>
    <x:t xml:space="preserve">Influență graduală, nu Nivel minim</x:t>
  </x:si>
  <x:si>
    <x:t xml:space="preserve">HC</x:t>
  </x:si>
  <x:si>
    <x:t xml:space="preserve">Maximul dintre low-conversion și contradicții</x:t>
  </x:si>
  <x:si>
    <x:t xml:space="preserve">HD</x:t>
  </x:si>
  <x:si>
    <x:t xml:space="preserve">Fără referință directă</x:t>
  </x:si>
  <x:si>
    <x:t xml:space="preserve">HH + HI</x:t>
  </x:si>
  <x:si>
    <x:t xml:space="preserve">Da</x:t>
  </x:si>
  <x:si>
    <x:t xml:space="preserve">0–20=1; 21–40=2; 41–60=3; 61–80=4; &gt;80=5</x:t>
  </x:si>
</x:sst>
</file>

<file path=xl/styles.xml><?xml version="1.0" encoding="utf-8"?>
<x:styleSheet xmlns:x="http://schemas.openxmlformats.org/spreadsheetml/2006/main">
  <x:numFmts count="6">
    <x:numFmt numFmtId="164" formatCode="0.00\x"/>
    <x:numFmt numFmtId="165" formatCode="0.0%"/>
    <x:numFmt numFmtId="166" formatCode="yyyy\-mm\-dd"/>
    <x:numFmt numFmtId="167" formatCode="0.000"/>
    <x:numFmt numFmtId="168" formatCode="dd\.mm\.yyyy"/>
    <x:numFmt numFmtId="169" formatCode="0.0"/>
  </x:numFmts>
  <x:fonts count="3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20313F"/>
      <x:name val="Aptos"/>
    </x:font>
    <x:font>
      <x:b/>
      <x:sz val="11"/>
      <x:color rgb="FFFFFFFF"/>
      <x:name val="Aptos"/>
    </x:font>
    <x:font>
      <x:sz val="11"/>
      <x:color rgb="FF20313F"/>
      <x:name val="Aptos"/>
    </x:font>
    <x:font>
      <x:b/>
      <x:sz val="11"/>
      <x:color rgb="FF20313F"/>
      <x:name val="Aptos"/>
    </x:font>
    <x:font>
      <x:b/>
      <x:sz val="18"/>
      <x:color rgb="FF20313F"/>
      <x:name val="Aptos"/>
    </x:font>
    <x:font>
      <x:b/>
      <x:sz val="16"/>
      <x:color rgb="FF20313F"/>
      <x:name val="Aptos"/>
    </x:font>
    <x:font>
      <x:b/>
      <x:sz val="14"/>
      <x:color rgb="FFFFFFFF"/>
      <x:name val="Aptos"/>
    </x:font>
    <x:font>
      <x:b/>
      <x:sz val="12"/>
      <x:color rgb="FFFFFFFF"/>
      <x:name val="Aptos"/>
    </x:font>
    <x:font>
      <x:sz val="11"/>
      <x:color rgb="FF263746"/>
      <x:name val="Aptos"/>
    </x:font>
    <x:font>
      <x:sz val="11"/>
      <x:color rgb="FF263746"/>
      <x:name val="Carlito"/>
    </x:font>
    <x:font>
      <x:b/>
      <x:sz val="12"/>
      <x:color rgb="FFFFFFFF"/>
      <x:name val="Carlito"/>
    </x:font>
    <x:font>
      <x:b/>
      <x:sz val="9"/>
      <x:color rgb="FFFFFFFF"/>
      <x:name val="Carlito"/>
    </x:font>
    <x:font>
      <x:sz val="9"/>
      <x:color rgb="FF263746"/>
      <x:name val="Carlito"/>
    </x:font>
    <x:font>
      <x:b/>
      <x:sz val="11"/>
      <x:color rgb="FF12394C"/>
      <x:name val="Aptos"/>
    </x:font>
    <x:font>
      <x:i/>
      <x:sz val="11"/>
      <x:color rgb="FF263746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b/>
      <x:sz val="11"/>
      <x:color rgb="FF263746"/>
      <x:name val="Carlito"/>
    </x:font>
    <x:font>
      <x:b/>
      <x:sz val="11"/>
      <x:color rgb="FF17365D"/>
      <x:name val="Carlito"/>
    </x:font>
    <x:font>
      <x:b/>
      <x:sz val="14"/>
      <x:color rgb="FF7F6000"/>
      <x:name val="Carlito"/>
    </x:font>
    <x:font>
      <x:i/>
      <x:sz val="11"/>
      <x:color rgb="FF666666"/>
      <x:name val="Carlito"/>
    </x:font>
    <x:font>
      <x:b/>
      <x:sz val="12"/>
      <x:color rgb="FFFFFFFF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b/>
      <x:sz val="11"/>
      <x:color rgb="FFFFFFFF"/>
      <x:name val="Arial"/>
    </x:font>
    <x:font>
      <x:b/>
      <x:sz val="9"/>
      <x:color rgb="FF1F2937"/>
      <x:name val="Arial"/>
    </x:font>
    <x:font>
      <x:b/>
      <x:sz val="9"/>
      <x:color rgb="FF595959"/>
      <x:name val="Carlito"/>
    </x:font>
    <x:font>
      <x:sz val="9"/>
      <x:color rgb="FF595959"/>
      <x:name val="Carlito"/>
    </x:font>
    <x:font>
      <x:sz val="11"/>
      <x:color rgb="FFFFFFFF"/>
      <x:name val="Carlito"/>
    </x:font>
  </x:fonts>
  <x:fills count="60">
    <x:fill>
      <x:patternFill patternType="none"/>
    </x:fill>
    <x:fill>
      <x:patternFill patternType="gray125"/>
    </x:fill>
    <x:fill>
      <x:patternFill patternType="solid">
        <x:fgColor rgb="FF123247"/>
      </x:patternFill>
    </x:fill>
    <x:fill>
      <x:patternFill patternType="solid">
        <x:fgColor rgb="FFE5F4F2"/>
      </x:patternFill>
    </x:fill>
    <x:fill>
      <x:patternFill patternType="solid">
        <x:fgColor rgb="FFEAF3FF"/>
      </x:patternFill>
    </x:fill>
    <x:fill>
      <x:patternFill patternType="solid">
        <x:fgColor rgb="FF168B88"/>
      </x:patternFill>
    </x:fill>
    <x:fill>
      <x:patternFill patternType="solid">
        <x:fgColor rgb="FF0F6F6D"/>
      </x:patternFill>
    </x:fill>
    <x:fill>
      <x:patternFill patternType="solid">
        <x:fgColor rgb="FFF3F5F7"/>
      </x:patternFill>
    </x:fill>
    <x:fill>
      <x:patternFill patternType="solid">
        <x:fgColor rgb="FFE8F1F5"/>
      </x:patternFill>
    </x:fill>
    <x:fill>
      <x:patternFill patternType="solid">
        <x:fgColor rgb="FFFFF2CC"/>
      </x:patternFill>
    </x:fill>
    <x:fill>
      <x:patternFill patternType="solid">
        <x:fgColor rgb="FF178F8B"/>
      </x:patternFill>
    </x:fill>
    <x:fill>
      <x:patternFill patternType="solid">
        <x:fgColor rgb="FF12394C"/>
      </x:patternFill>
    </x:fill>
    <x:fill>
      <x:patternFill patternType="solid">
        <x:fgColor rgb="FFFFFFFF"/>
      </x:patternFill>
    </x:fill>
    <x:fill>
      <x:patternFill patternType="solid">
        <x:fgColor rgb="FFDCEAF8"/>
      </x:patternFill>
    </x:fill>
    <x:fill>
      <x:patternFill patternType="solid">
        <x:fgColor rgb="FFF7FAFC"/>
      </x:patternFill>
    </x:fill>
    <x:fill>
      <x:patternFill patternType="solid">
        <x:fgColor rgb="FF1A8F8A"/>
      </x:patternFill>
    </x:fill>
    <x:fill>
      <x:patternFill patternType="solid">
        <x:fgColor rgb="FF173A55"/>
      </x:patternFill>
    </x:fill>
    <x:fill>
      <x:patternFill patternType="solid">
        <x:fgColor rgb="FF147B78"/>
      </x:patternFill>
    </x:fill>
    <x:fill>
      <x:patternFill patternType="solid">
        <x:fgColor rgb="FF102F46"/>
      </x:patternFill>
    </x:fill>
    <x:fill>
      <x:patternFill patternType="solid">
        <x:fgColor rgb="FFE8F3FB"/>
      </x:patternFill>
    </x:fill>
    <x:fill>
      <x:patternFill patternType="solid">
        <x:fgColor rgb="FFEDF6E8"/>
      </x:patternFill>
    </x:fill>
    <x:fill>
      <x:patternFill patternType="solid">
        <x:fgColor rgb="FFEAF4F7"/>
      </x:patternFill>
    </x:fill>
    <x:fill>
      <x:patternFill patternType="solid">
        <x:fgColor rgb="FF1A8F8A"/>
      </x:patternFill>
    </x:fill>
    <x:fill>
      <x:patternFill patternType="solid">
        <x:fgColor rgb="FF12394C"/>
      </x:patternFill>
    </x:fill>
    <x:fill>
      <x:patternFill patternType="solid">
        <x:fgColor rgb="FFFFFFFF"/>
      </x:patternFill>
    </x:fill>
    <x:fill>
      <x:patternFill patternType="solid">
        <x:fgColor rgb="FFDCEAF8"/>
      </x:patternFill>
    </x:fill>
    <x:fill>
      <x:patternFill patternType="solid">
        <x:fgColor rgb="FFF7FAFC"/>
      </x:patternFill>
    </x:fill>
    <x:fill>
      <x:patternFill patternType="solid">
        <x:fgColor rgb="FF173A55"/>
      </x:patternFill>
    </x:fill>
    <x:fill>
      <x:patternFill patternType="solid">
        <x:fgColor rgb="FF147B78"/>
      </x:patternFill>
    </x:fill>
    <x:fill>
      <x:patternFill patternType="solid">
        <x:fgColor rgb="FF102F46"/>
      </x:patternFill>
    </x:fill>
    <x:fill>
      <x:patternFill patternType="solid">
        <x:fgColor rgb="FFE8F3FB"/>
      </x:patternFill>
    </x:fill>
    <x:fill>
      <x:patternFill patternType="solid">
        <x:fgColor rgb="FFEDF6E8"/>
      </x:patternFill>
    </x:fill>
    <x:fill>
      <x:patternFill patternType="solid">
        <x:fgColor rgb="FFF5F9FC"/>
      </x:patternFill>
    </x:fill>
    <x:fill>
      <x:patternFill patternType="solid">
        <x:fgColor rgb="FFE7F2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243E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A8F8A"/>
      </x:patternFill>
    </x:fill>
    <x:fill>
      <x:patternFill patternType="solid">
        <x:fgColor rgb="FF12394C"/>
      </x:patternFill>
    </x:fill>
    <x:fill>
      <x:patternFill patternType="solid">
        <x:fgColor rgb="FFFFFFFF"/>
      </x:patternFill>
    </x:fill>
    <x:fill>
      <x:patternFill patternType="solid">
        <x:fgColor rgb="FFDCEAF8"/>
      </x:patternFill>
    </x:fill>
    <x:fill>
      <x:patternFill patternType="solid">
        <x:fgColor rgb="FFF7FAFC"/>
      </x:patternFill>
    </x:fill>
    <x:fill>
      <x:patternFill patternType="solid">
        <x:fgColor rgb="FF173A55"/>
      </x:patternFill>
    </x:fill>
    <x:fill>
      <x:patternFill patternType="solid">
        <x:fgColor rgb="FF147B78"/>
      </x:patternFill>
    </x:fill>
    <x:fill>
      <x:patternFill patternType="solid">
        <x:fgColor rgb="FF102F46"/>
      </x:patternFill>
    </x:fill>
    <x:fill>
      <x:patternFill patternType="solid">
        <x:fgColor rgb="FFE8F3FB"/>
      </x:patternFill>
    </x:fill>
    <x:fill>
      <x:patternFill patternType="solid">
        <x:fgColor rgb="FFEDF6E8"/>
      </x:patternFill>
    </x:fill>
    <x:fill>
      <x:patternFill patternType="solid">
        <x:fgColor rgb="FFEAF4F7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2384B"/>
      </x:patternFill>
    </x:fill>
    <x:fill>
      <x:patternFill patternType="solid">
        <x:fgColor rgb="FF1B7675"/>
      </x:patternFill>
    </x:fill>
    <x:fill>
      <x:patternFill patternType="solid">
        <x:fgColor rgb="FF168D89"/>
      </x:patternFill>
    </x:fill>
    <x:fill>
      <x:patternFill patternType="solid">
        <x:fgColor rgb="FFE7E6E6"/>
      </x:patternFill>
    </x:fill>
    <x:fill>
      <x:patternFill patternType="solid">
        <x:fgColor rgb="FF17364D"/>
      </x:patternFill>
    </x:fill>
  </x:fills>
  <x:borders count="12">
    <x:border/>
    <x:border>
      <x:left style="thin">
        <x:color rgb="FFAFC2CF"/>
      </x:left>
      <x:right style="thin">
        <x:color rgb="FFAFC2CF"/>
      </x:right>
      <x:top style="thin">
        <x:color rgb="FFAFC2CF"/>
      </x:top>
      <x:bottom style="thin">
        <x:color rgb="FFAFC2CF"/>
      </x:bottom>
    </x:border>
    <x:border>
      <x:right style="thin">
        <x:color rgb="FFD5E0E7"/>
      </x:right>
      <x:bottom style="thin">
        <x:color rgb="FFD5E0E7"/>
      </x:bottom>
    </x:border>
    <x:border>
      <x:left style="thin">
        <x:color rgb="FFD5E0E7"/>
      </x:left>
      <x:right style="thin">
        <x:color rgb="FFD5E0E7"/>
      </x:right>
      <x:bottom style="thin">
        <x:color rgb="FFD5E0E7"/>
      </x:bottom>
    </x:border>
    <x:border>
      <x:left style="thin">
        <x:color rgb="FFD5E0E7"/>
      </x:left>
      <x:bottom style="thin">
        <x:color rgb="FFD5E0E7"/>
      </x:bottom>
    </x:border>
    <x:border>
      <x:right style="thin">
        <x:color rgb="FFD5E0E7"/>
      </x:right>
      <x:top style="thin">
        <x:color rgb="FFD5E0E7"/>
      </x:top>
      <x:bottom style="thin">
        <x:color rgb="FFD5E0E7"/>
      </x:bottom>
    </x:border>
    <x:border>
      <x:left style="thin">
        <x:color rgb="FFD5E0E7"/>
      </x:left>
      <x:right style="thin">
        <x:color rgb="FFD5E0E7"/>
      </x:right>
      <x:top style="thin">
        <x:color rgb="FFD5E0E7"/>
      </x:top>
      <x:bottom style="thin">
        <x:color rgb="FFD5E0E7"/>
      </x:bottom>
    </x:border>
    <x:border>
      <x:left style="thin">
        <x:color rgb="FFD5E0E7"/>
      </x:left>
      <x:top style="thin">
        <x:color rgb="FFD5E0E7"/>
      </x:top>
      <x:bottom style="thin">
        <x:color rgb="FFD5E0E7"/>
      </x:bottom>
    </x:border>
    <x:border>
      <x:right style="thin">
        <x:color rgb="FFD5E0E7"/>
      </x:right>
      <x:top style="thin">
        <x:color rgb="FFD5E0E7"/>
      </x:top>
    </x:border>
    <x:border>
      <x:left style="thin">
        <x:color rgb="FFD5E0E7"/>
      </x:left>
      <x:right style="thin">
        <x:color rgb="FFD5E0E7"/>
      </x:right>
      <x:top style="thin">
        <x:color rgb="FFD5E0E7"/>
      </x:top>
    </x:border>
    <x:border>
      <x:left style="thin">
        <x:color rgb="FFD5E0E7"/>
      </x:left>
      <x:top style="thin">
        <x:color rgb="FFD5E0E7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</x:borders>
  <x:cellStyleXfs count="1">
    <x:xf numFmtId="0" fontId="0" fillId="0" borderId="0"/>
  </x:cellStyleXfs>
  <x:cellXfs count="255">
    <x:xf numFmtId="0" fontId="0" fillId="0" borderId="0" xfId="0"/>
    <x:xf numFmtId="0" fontId="3" fillId="0" borderId="0" xfId="0" applyFont="1"/>
    <x:xf numFmtId="0" fontId="5" fillId="2" borderId="1" xfId="0" applyFont="1" applyFill="1" applyBorder="1" applyAlignment="1">
      <x:alignment horizontal="center" vertical="center" wrapText="1"/>
    </x:xf>
    <x:xf numFmtId="0" fontId="6" fillId="0" borderId="2" xfId="0" applyFont="1" applyBorder="1" applyAlignment="1">
      <x:alignment vertical="center"/>
    </x:xf>
    <x:xf numFmtId="9" fontId="6" fillId="4" borderId="3" xfId="0" applyNumberFormat="1" applyFont="1" applyFill="1" applyBorder="1" applyAlignment="1">
      <x:alignment vertical="center"/>
    </x:xf>
    <x:xf numFmtId="164" fontId="6" fillId="4" borderId="3" xfId="0" applyNumberFormat="1" applyFont="1" applyFill="1" applyBorder="1" applyAlignment="1">
      <x:alignment vertical="center"/>
    </x:xf>
    <x:xf numFmtId="164" fontId="6" fillId="4" borderId="4" xfId="0" applyNumberFormat="1" applyFont="1" applyFill="1" applyBorder="1" applyAlignment="1">
      <x:alignment vertical="center"/>
    </x:xf>
    <x:xf numFmtId="9" fontId="3" fillId="0" borderId="0" xfId="0" applyNumberFormat="1" applyFont="1"/>
    <x:xf numFmtId="0" fontId="6" fillId="0" borderId="5" xfId="0" applyFont="1" applyBorder="1" applyAlignment="1">
      <x:alignment vertical="center"/>
    </x:xf>
    <x:xf numFmtId="9" fontId="6" fillId="4" borderId="6" xfId="0" applyNumberFormat="1" applyFont="1" applyFill="1" applyBorder="1" applyAlignment="1">
      <x:alignment vertical="center"/>
    </x:xf>
    <x:xf numFmtId="164" fontId="6" fillId="4" borderId="6" xfId="0" applyNumberFormat="1" applyFont="1" applyFill="1" applyBorder="1" applyAlignment="1">
      <x:alignment vertical="center"/>
    </x:xf>
    <x:xf numFmtId="164" fontId="6" fillId="4" borderId="7" xfId="0" applyNumberFormat="1" applyFont="1" applyFill="1" applyBorder="1" applyAlignment="1">
      <x:alignment vertical="center"/>
    </x:xf>
    <x:xf numFmtId="0" fontId="6" fillId="0" borderId="8" xfId="0" applyFont="1" applyBorder="1" applyAlignment="1">
      <x:alignment vertical="center"/>
    </x:xf>
    <x:xf numFmtId="9" fontId="6" fillId="4" borderId="9" xfId="0" applyNumberFormat="1" applyFont="1" applyFill="1" applyBorder="1" applyAlignment="1">
      <x:alignment vertical="center"/>
    </x:xf>
    <x:xf numFmtId="164" fontId="6" fillId="4" borderId="9" xfId="0" applyNumberFormat="1" applyFont="1" applyFill="1" applyBorder="1" applyAlignment="1">
      <x:alignment vertical="center"/>
    </x:xf>
    <x:xf numFmtId="164" fontId="6" fillId="4" borderId="10" xfId="0" applyNumberFormat="1" applyFont="1" applyFill="1" applyBorder="1" applyAlignment="1">
      <x:alignment vertical="center"/>
    </x:xf>
    <x:xf numFmtId="165" fontId="6" fillId="4" borderId="3" xfId="0" applyNumberFormat="1" applyFont="1" applyFill="1" applyBorder="1" applyAlignment="1">
      <x:alignment vertical="center"/>
    </x:xf>
    <x:xf numFmtId="0" fontId="6" fillId="0" borderId="4" xfId="0" applyFont="1" applyBorder="1" applyAlignment="1">
      <x:alignment vertical="center" wrapText="1"/>
    </x:xf>
    <x:xf numFmtId="165" fontId="6" fillId="4" borderId="6" xfId="0" applyNumberFormat="1" applyFont="1" applyFill="1" applyBorder="1" applyAlignment="1">
      <x:alignment vertical="center"/>
    </x:xf>
    <x:xf numFmtId="0" fontId="6" fillId="0" borderId="7" xfId="0" applyFont="1" applyBorder="1" applyAlignment="1">
      <x:alignment vertical="center" wrapText="1"/>
    </x:xf>
    <x:xf numFmtId="165" fontId="6" fillId="4" borderId="9" xfId="0" applyNumberFormat="1" applyFont="1" applyFill="1" applyBorder="1" applyAlignment="1">
      <x:alignment vertical="center"/>
    </x:xf>
    <x:xf numFmtId="0" fontId="6" fillId="0" borderId="10" xfId="0" applyFont="1" applyBorder="1" applyAlignment="1">
      <x:alignment vertical="center" wrapText="1"/>
    </x:xf>
    <x:xf numFmtId="0" fontId="6" fillId="4" borderId="3" xfId="0" applyFont="1" applyFill="1" applyBorder="1" applyAlignment="1">
      <x:alignment vertical="center"/>
    </x:xf>
    <x:xf numFmtId="0" fontId="6" fillId="0" borderId="4" xfId="0" applyFont="1" applyBorder="1" applyAlignment="1">
      <x:alignment vertical="center"/>
    </x:xf>
    <x:xf numFmtId="0" fontId="6" fillId="4" borderId="6" xfId="0" applyFont="1" applyFill="1" applyBorder="1" applyAlignment="1">
      <x:alignment vertical="center"/>
    </x:xf>
    <x:xf numFmtId="0" fontId="6" fillId="0" borderId="7" xfId="0" applyFont="1" applyBorder="1" applyAlignment="1">
      <x:alignment vertical="center"/>
    </x:xf>
    <x:xf numFmtId="0" fontId="6" fillId="4" borderId="9" xfId="0" applyFont="1" applyFill="1" applyBorder="1" applyAlignment="1">
      <x:alignment vertical="center"/>
    </x:xf>
    <x:xf numFmtId="0" fontId="6" fillId="0" borderId="10" xfId="0" applyFont="1" applyBorder="1" applyAlignment="1">
      <x:alignment vertical="center"/>
    </x:xf>
    <x:xf numFmtId="0" fontId="6" fillId="0" borderId="3" xfId="0" applyFont="1" applyBorder="1" applyAlignment="1">
      <x:alignment vertical="center" wrapText="1"/>
    </x:xf>
    <x:xf numFmtId="0" fontId="6" fillId="0" borderId="6" xfId="0" applyFont="1" applyBorder="1" applyAlignment="1">
      <x:alignment vertical="center" wrapText="1"/>
    </x:xf>
    <x:xf numFmtId="0" fontId="6" fillId="0" borderId="9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6" fillId="0" borderId="5" xfId="0" applyFont="1" applyBorder="1" applyAlignment="1">
      <x:alignment vertical="center" wrapText="1"/>
    </x:xf>
    <x:xf numFmtId="0" fontId="6" fillId="0" borderId="8" xfId="0" applyFont="1" applyBorder="1" applyAlignment="1">
      <x:alignment vertical="center" wrapText="1"/>
    </x:xf>
    <x:xf numFmtId="0" fontId="6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0" fontId="6" fillId="0" borderId="9" xfId="0" applyFont="1" applyBorder="1" applyAlignment="1">
      <x:alignment vertical="center"/>
    </x:xf>
    <x:xf numFmtId="0" fontId="5" fillId="5" borderId="0" xfId="0" applyFont="1" applyFill="1"/>
    <x:xf numFmtId="2" fontId="6" fillId="0" borderId="4" xfId="0" applyNumberFormat="1" applyFont="1" applyBorder="1" applyAlignment="1">
      <x:alignment vertical="center"/>
    </x:xf>
    <x:xf numFmtId="2" fontId="6" fillId="0" borderId="7" xfId="0" applyNumberFormat="1" applyFont="1" applyBorder="1" applyAlignment="1">
      <x:alignment vertical="center"/>
    </x:xf>
    <x:xf numFmtId="0" fontId="5" fillId="6" borderId="0" xfId="0" applyFont="1" applyFill="1"/>
    <x:xf numFmtId="0" fontId="7" fillId="8" borderId="0" xfId="0" applyFont="1" applyFill="1" applyAlignment="1">
      <x:alignment wrapText="1"/>
    </x:xf>
    <x:xf numFmtId="166" fontId="7" fillId="8" borderId="0" xfId="0" applyNumberFormat="1" applyFont="1" applyFill="1" applyAlignment="1">
      <x:alignment wrapText="1"/>
    </x:xf>
    <x:xf numFmtId="2" fontId="6" fillId="0" borderId="10" xfId="0" applyNumberFormat="1" applyFont="1" applyBorder="1" applyAlignment="1">
      <x:alignment vertical="center"/>
    </x:xf>
    <x:xf numFmtId="0" fontId="5" fillId="5" borderId="0" xfId="0" applyFont="1" applyFill="1" applyAlignment="1">
      <x:alignment horizontal="center"/>
    </x:xf>
    <x:xf numFmtId="166" fontId="6" fillId="0" borderId="10" xfId="0" applyNumberFormat="1" applyFont="1" applyBorder="1" applyAlignment="1">
      <x:alignment vertical="center"/>
    </x:xf>
    <x:xf numFmtId="0" fontId="5" fillId="6" borderId="1" xfId="0" applyFont="1" applyFill="1" applyBorder="1" applyAlignment="1">
      <x:alignment horizontal="center" vertical="center" wrapText="1"/>
    </x:xf>
    <x:xf numFmtId="0" fontId="6" fillId="4" borderId="2" xfId="0" applyFont="1" applyFill="1" applyBorder="1" applyAlignment="1">
      <x:alignment vertical="center"/>
    </x:xf>
    <x:xf numFmtId="166" fontId="6" fillId="4" borderId="3" xfId="0" applyNumberFormat="1" applyFont="1" applyFill="1" applyBorder="1" applyAlignment="1">
      <x:alignment vertical="center"/>
    </x:xf>
    <x:xf numFmtId="2" fontId="6" fillId="4" borderId="3" xfId="0" applyNumberFormat="1" applyFont="1" applyFill="1" applyBorder="1" applyAlignment="1">
      <x:alignment vertical="center"/>
    </x:xf>
    <x:xf numFmtId="0" fontId="6" fillId="4" borderId="3" xfId="0" applyFont="1" applyFill="1" applyBorder="1" applyAlignment="1">
      <x:alignment vertical="center" wrapText="1"/>
    </x:xf>
    <x:xf numFmtId="2" fontId="6" fillId="7" borderId="3" xfId="0" applyNumberFormat="1" applyFont="1" applyFill="1" applyBorder="1" applyAlignment="1">
      <x:alignment vertical="center"/>
    </x:xf>
    <x:xf numFmtId="165" fontId="6" fillId="7" borderId="3" xfId="0" applyNumberFormat="1" applyFont="1" applyFill="1" applyBorder="1" applyAlignment="1">
      <x:alignment vertical="center"/>
    </x:xf>
    <x:xf numFmtId="164" fontId="6" fillId="7" borderId="3" xfId="0" applyNumberFormat="1" applyFont="1" applyFill="1" applyBorder="1" applyAlignment="1">
      <x:alignment vertical="center"/>
    </x:xf>
    <x:xf numFmtId="0" fontId="6" fillId="7" borderId="3" xfId="0" applyFont="1" applyFill="1" applyBorder="1" applyAlignment="1">
      <x:alignment vertical="center"/>
    </x:xf>
    <x:xf numFmtId="1" fontId="6" fillId="7" borderId="3" xfId="0" applyNumberFormat="1" applyFont="1" applyFill="1" applyBorder="1" applyAlignment="1">
      <x:alignment vertical="center"/>
    </x:xf>
    <x:xf numFmtId="0" fontId="6" fillId="7" borderId="3" xfId="0" applyFont="1" applyFill="1" applyBorder="1" applyAlignment="1">
      <x:alignment vertical="center" wrapText="1"/>
    </x:xf>
    <x:xf numFmtId="0" fontId="6" fillId="7" borderId="4" xfId="0" applyFont="1" applyFill="1" applyBorder="1" applyAlignment="1">
      <x:alignment vertical="center" wrapText="1"/>
    </x:xf>
    <x:xf numFmtId="0" fontId="6" fillId="4" borderId="5" xfId="0" applyFont="1" applyFill="1" applyBorder="1" applyAlignment="1">
      <x:alignment vertical="center"/>
    </x:xf>
    <x:xf numFmtId="166" fontId="6" fillId="4" borderId="6" xfId="0" applyNumberFormat="1" applyFont="1" applyFill="1" applyBorder="1" applyAlignment="1">
      <x:alignment vertical="center"/>
    </x:xf>
    <x:xf numFmtId="2" fontId="6" fillId="4" borderId="6" xfId="0" applyNumberFormat="1" applyFont="1" applyFill="1" applyBorder="1" applyAlignment="1">
      <x:alignment vertical="center"/>
    </x:xf>
    <x:xf numFmtId="0" fontId="6" fillId="4" borderId="6" xfId="0" applyFont="1" applyFill="1" applyBorder="1" applyAlignment="1">
      <x:alignment vertical="center" wrapText="1"/>
    </x:xf>
    <x:xf numFmtId="2" fontId="6" fillId="7" borderId="6" xfId="0" applyNumberFormat="1" applyFont="1" applyFill="1" applyBorder="1" applyAlignment="1">
      <x:alignment vertical="center"/>
    </x:xf>
    <x:xf numFmtId="165" fontId="6" fillId="7" borderId="6" xfId="0" applyNumberFormat="1" applyFont="1" applyFill="1" applyBorder="1" applyAlignment="1">
      <x:alignment vertical="center"/>
    </x:xf>
    <x:xf numFmtId="164" fontId="6" fillId="7" borderId="6" xfId="0" applyNumberFormat="1" applyFont="1" applyFill="1" applyBorder="1" applyAlignment="1">
      <x:alignment vertical="center"/>
    </x:xf>
    <x:xf numFmtId="0" fontId="6" fillId="7" borderId="6" xfId="0" applyFont="1" applyFill="1" applyBorder="1" applyAlignment="1">
      <x:alignment vertical="center"/>
    </x:xf>
    <x:xf numFmtId="1" fontId="6" fillId="7" borderId="6" xfId="0" applyNumberFormat="1" applyFont="1" applyFill="1" applyBorder="1" applyAlignment="1">
      <x:alignment vertical="center"/>
    </x:xf>
    <x:xf numFmtId="0" fontId="6" fillId="7" borderId="6" xfId="0" applyFont="1" applyFill="1" applyBorder="1" applyAlignment="1">
      <x:alignment vertical="center" wrapText="1"/>
    </x:xf>
    <x:xf numFmtId="0" fontId="6" fillId="7" borderId="7" xfId="0" applyFont="1" applyFill="1" applyBorder="1" applyAlignment="1">
      <x:alignment vertical="center" wrapText="1"/>
    </x:xf>
    <x:xf numFmtId="0" fontId="6" fillId="4" borderId="8" xfId="0" applyFont="1" applyFill="1" applyBorder="1" applyAlignment="1">
      <x:alignment vertical="center"/>
    </x:xf>
    <x:xf numFmtId="166" fontId="6" fillId="4" borderId="9" xfId="0" applyNumberFormat="1" applyFont="1" applyFill="1" applyBorder="1" applyAlignment="1">
      <x:alignment vertical="center"/>
    </x:xf>
    <x:xf numFmtId="2" fontId="6" fillId="4" borderId="9" xfId="0" applyNumberFormat="1" applyFont="1" applyFill="1" applyBorder="1" applyAlignment="1">
      <x:alignment vertical="center"/>
    </x:xf>
    <x:xf numFmtId="0" fontId="6" fillId="4" borderId="9" xfId="0" applyFont="1" applyFill="1" applyBorder="1" applyAlignment="1">
      <x:alignment vertical="center" wrapText="1"/>
    </x:xf>
    <x:xf numFmtId="2" fontId="6" fillId="7" borderId="9" xfId="0" applyNumberFormat="1" applyFont="1" applyFill="1" applyBorder="1" applyAlignment="1">
      <x:alignment vertical="center"/>
    </x:xf>
    <x:xf numFmtId="165" fontId="6" fillId="7" borderId="9" xfId="0" applyNumberFormat="1" applyFont="1" applyFill="1" applyBorder="1" applyAlignment="1">
      <x:alignment vertical="center"/>
    </x:xf>
    <x:xf numFmtId="164" fontId="6" fillId="7" borderId="9" xfId="0" applyNumberFormat="1" applyFont="1" applyFill="1" applyBorder="1" applyAlignment="1">
      <x:alignment vertical="center"/>
    </x:xf>
    <x:xf numFmtId="0" fontId="6" fillId="7" borderId="9" xfId="0" applyFont="1" applyFill="1" applyBorder="1" applyAlignment="1">
      <x:alignment vertical="center"/>
    </x:xf>
    <x:xf numFmtId="1" fontId="6" fillId="7" borderId="9" xfId="0" applyNumberFormat="1" applyFont="1" applyFill="1" applyBorder="1" applyAlignment="1">
      <x:alignment vertical="center"/>
    </x:xf>
    <x:xf numFmtId="0" fontId="6" fillId="7" borderId="9" xfId="0" applyFont="1" applyFill="1" applyBorder="1" applyAlignment="1">
      <x:alignment vertical="center" wrapText="1"/>
    </x:xf>
    <x:xf numFmtId="0" fontId="6" fillId="7" borderId="10" xfId="0" applyFont="1" applyFill="1" applyBorder="1" applyAlignment="1">
      <x:alignment vertical="center" wrapText="1"/>
    </x:xf>
    <x:xf numFmtId="166" fontId="6" fillId="0" borderId="4" xfId="0" applyNumberFormat="1" applyFont="1" applyBorder="1" applyAlignment="1">
      <x:alignment vertical="center" wrapText="1"/>
    </x:xf>
    <x:xf numFmtId="166" fontId="6" fillId="0" borderId="7" xfId="0" applyNumberFormat="1" applyFont="1" applyBorder="1" applyAlignment="1">
      <x:alignment vertical="center" wrapText="1"/>
    </x:xf>
    <x:xf numFmtId="166" fontId="6" fillId="0" borderId="10" xfId="0" applyNumberFormat="1" applyFont="1" applyBorder="1" applyAlignment="1">
      <x:alignment vertical="center" wrapText="1"/>
    </x:xf>
    <x:xf numFmtId="166" fontId="6" fillId="0" borderId="3" xfId="0" applyNumberFormat="1" applyFont="1" applyBorder="1" applyAlignment="1">
      <x:alignment vertical="center"/>
    </x:xf>
    <x:xf numFmtId="165" fontId="6" fillId="0" borderId="3" xfId="0" applyNumberFormat="1" applyFont="1" applyBorder="1" applyAlignment="1">
      <x:alignment vertical="center"/>
    </x:xf>
    <x:xf numFmtId="1" fontId="6" fillId="0" borderId="3" xfId="0" applyNumberFormat="1" applyFont="1" applyBorder="1" applyAlignment="1">
      <x:alignment vertical="center"/>
    </x:xf>
    <x:xf numFmtId="167" fontId="6" fillId="0" borderId="3" xfId="0" applyNumberFormat="1" applyFont="1" applyBorder="1" applyAlignment="1">
      <x:alignment vertical="center"/>
    </x:xf>
    <x:xf numFmtId="166" fontId="6" fillId="0" borderId="6" xfId="0" applyNumberFormat="1" applyFont="1" applyBorder="1" applyAlignment="1">
      <x:alignment vertical="center"/>
    </x:xf>
    <x:xf numFmtId="165" fontId="6" fillId="0" borderId="6" xfId="0" applyNumberFormat="1" applyFont="1" applyBorder="1" applyAlignment="1">
      <x:alignment vertical="center"/>
    </x:xf>
    <x:xf numFmtId="1" fontId="6" fillId="0" borderId="6" xfId="0" applyNumberFormat="1" applyFont="1" applyBorder="1" applyAlignment="1">
      <x:alignment vertical="center"/>
    </x:xf>
    <x:xf numFmtId="167" fontId="6" fillId="0" borderId="6" xfId="0" applyNumberFormat="1" applyFont="1" applyBorder="1" applyAlignment="1">
      <x:alignment vertical="center"/>
    </x:xf>
    <x:xf numFmtId="165" fontId="6" fillId="0" borderId="7" xfId="0" applyNumberFormat="1" applyFont="1" applyBorder="1" applyAlignment="1">
      <x:alignment vertical="center"/>
    </x:xf>
    <x:xf numFmtId="167" fontId="6" fillId="0" borderId="7" xfId="0" applyNumberFormat="1" applyFont="1" applyBorder="1" applyAlignment="1">
      <x:alignment vertical="center"/>
    </x:xf>
    <x:xf numFmtId="165" fontId="6" fillId="0" borderId="10" xfId="0" applyNumberFormat="1" applyFont="1" applyBorder="1" applyAlignment="1">
      <x:alignment vertical="center"/>
    </x:xf>
    <x:xf numFmtId="165" fontId="6" fillId="0" borderId="4" xfId="0" applyNumberFormat="1" applyFont="1" applyBorder="1" applyAlignment="1">
      <x:alignment vertical="center"/>
    </x:xf>
    <x:xf numFmtId="165" fontId="6" fillId="0" borderId="9" xfId="0" applyNumberFormat="1" applyFont="1" applyBorder="1" applyAlignment="1">
      <x:alignment vertical="center"/>
    </x:xf>
    <x:xf numFmtId="166" fontId="6" fillId="0" borderId="9" xfId="0" applyNumberFormat="1" applyFont="1" applyBorder="1" applyAlignment="1">
      <x:alignment vertical="center"/>
    </x:xf>
    <x:xf numFmtId="1" fontId="6" fillId="0" borderId="9" xfId="0" applyNumberFormat="1" applyFont="1" applyBorder="1" applyAlignment="1">
      <x:alignment vertical="center"/>
    </x:xf>
    <x:xf numFmtId="167" fontId="6" fillId="0" borderId="9" xfId="0" applyNumberFormat="1" applyFont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0" fontId="12" fillId="12" borderId="0" xfId="0" applyFont="1" applyFill="1" applyAlignment="1">
      <x:alignment wrapText="1"/>
    </x:xf>
    <x:xf numFmtId="0" fontId="13" fillId="12" borderId="0" xfId="0" applyFont="1" applyFill="1" applyAlignment="1">
      <x:alignment wrapText="1"/>
    </x:xf>
    <x:xf numFmtId="0" fontId="3" fillId="13" borderId="0" xfId="0" applyFont="1" applyFill="1" applyAlignment="1">
      <x:alignment horizontal="right"/>
    </x:xf>
    <x:xf numFmtId="0" fontId="0" fillId="13" borderId="0" xfId="0" applyFill="1" applyAlignment="1">
      <x:alignment horizontal="right"/>
    </x:xf>
    <x:xf numFmtId="0" fontId="3" fillId="14" borderId="0" xfId="0" applyFont="1" applyFill="1" applyAlignment="1">
      <x:alignment wrapText="1"/>
    </x:xf>
    <x:xf numFmtId="0" fontId="0" fillId="14" borderId="0" xfId="0" applyFill="1" applyAlignment="1">
      <x:alignment wrapText="1"/>
    </x:xf>
    <x:xf numFmtId="165" fontId="3" fillId="13" borderId="0" xfId="0" applyNumberFormat="1" applyFont="1" applyFill="1" applyAlignment="1">
      <x:alignment horizontal="right"/>
    </x:xf>
    <x:xf numFmtId="165" fontId="0" fillId="13" borderId="0" xfId="0" applyNumberFormat="1" applyFill="1" applyAlignment="1">
      <x:alignment horizontal="right"/>
    </x:xf>
    <x:xf numFmtId="1" fontId="0" fillId="13" borderId="0" xfId="0" applyNumberFormat="1" applyFill="1" applyAlignment="1">
      <x:alignment horizontal="right"/>
    </x:xf>
    <x:xf numFmtId="164" fontId="0" fillId="13" borderId="0" xfId="0" applyNumberFormat="1" applyFill="1" applyAlignment="1">
      <x:alignment horizontal="right"/>
    </x:xf>
    <x:xf numFmtId="0" fontId="15" fillId="17" borderId="0" xfId="0" applyFont="1" applyFill="1" applyAlignment="1">
      <x:alignment horizontal="center" vertical="center" wrapText="1"/>
    </x:xf>
    <x:xf numFmtId="0" fontId="15" fillId="18" borderId="0" xfId="0" applyFont="1" applyFill="1" applyAlignment="1">
      <x:alignment horizontal="center" vertical="center" wrapText="1"/>
    </x:xf>
    <x:xf numFmtId="0" fontId="16" fillId="19" borderId="0" xfId="0" applyFont="1" applyFill="1" applyAlignment="1">
      <x:alignment vertical="center" wrapText="1"/>
    </x:xf>
    <x:xf numFmtId="0" fontId="16" fillId="20" borderId="0" xfId="0" applyFont="1" applyFill="1" applyAlignment="1">
      <x:alignment vertical="center" wrapText="1"/>
    </x:xf>
    <x:xf numFmtId="2" fontId="16" fillId="19" borderId="0" xfId="0" applyNumberFormat="1" applyFont="1" applyFill="1" applyAlignment="1">
      <x:alignment vertical="center" wrapText="1"/>
    </x:xf>
    <x:xf numFmtId="2" fontId="16" fillId="20" borderId="0" xfId="0" applyNumberFormat="1" applyFont="1" applyFill="1" applyAlignment="1">
      <x:alignment vertical="center" wrapText="1"/>
    </x:xf>
    <x:xf numFmtId="165" fontId="16" fillId="19" borderId="0" xfId="0" applyNumberFormat="1" applyFont="1" applyFill="1" applyAlignment="1">
      <x:alignment vertical="center" wrapText="1"/>
    </x:xf>
    <x:xf numFmtId="165" fontId="16" fillId="20" borderId="0" xfId="0" applyNumberFormat="1" applyFont="1" applyFill="1" applyAlignment="1">
      <x:alignment vertical="center" wrapText="1"/>
    </x:xf>
    <x:xf numFmtId="164" fontId="16" fillId="20" borderId="0" xfId="0" applyNumberFormat="1" applyFont="1" applyFill="1" applyAlignment="1">
      <x:alignment vertical="center" wrapText="1"/>
    </x:xf>
    <x:xf numFmtId="1" fontId="16" fillId="20" borderId="0" xfId="0" applyNumberFormat="1" applyFont="1" applyFill="1" applyAlignment="1">
      <x:alignment vertical="center" wrapText="1"/>
    </x:xf>
    <x:xf numFmtId="4" fontId="16" fillId="19" borderId="0" xfId="0" applyNumberFormat="1" applyFont="1" applyFill="1" applyAlignment="1">
      <x:alignment vertical="center" wrapText="1"/>
    </x:xf>
    <x:xf numFmtId="4" fontId="16" fillId="20" borderId="0" xfId="0" applyNumberFormat="1" applyFont="1" applyFill="1" applyAlignment="1">
      <x:alignment vertical="center" wrapText="1"/>
    </x:xf>
    <x:xf numFmtId="0" fontId="17" fillId="21" borderId="0" xfId="0" applyFont="1" applyFill="1"/>
    <x:xf numFmtId="0" fontId="1" fillId="23" borderId="0" xfId="0" applyFont="1" applyFill="1" applyAlignment="1">
      <x:alignment horizontal="center" vertical="center"/>
    </x:xf>
    <x:xf numFmtId="0" fontId="13" fillId="24" borderId="0" xfId="0" applyFont="1" applyFill="1" applyAlignment="1">
      <x:alignment wrapText="1"/>
    </x:xf>
    <x:xf numFmtId="0" fontId="13" fillId="26" borderId="0" xfId="0" applyFont="1" applyFill="1" applyAlignment="1">
      <x:alignment wrapText="1"/>
    </x:xf>
    <x:xf numFmtId="165" fontId="0" fillId="25" borderId="0" xfId="0" applyNumberFormat="1" applyFill="1" applyAlignment="1">
      <x:alignment horizontal="right"/>
    </x:xf>
    <x:xf numFmtId="1" fontId="0" fillId="25" borderId="0" xfId="0" applyNumberFormat="1" applyFill="1" applyAlignment="1">
      <x:alignment horizontal="right"/>
    </x:xf>
    <x:xf numFmtId="164" fontId="0" fillId="25" borderId="0" xfId="0" applyNumberFormat="1" applyFill="1" applyAlignment="1">
      <x:alignment horizontal="right"/>
    </x:xf>
    <x:xf numFmtId="0" fontId="15" fillId="28" borderId="0" xfId="0" applyFont="1" applyFill="1" applyAlignment="1">
      <x:alignment horizontal="center" vertical="center" wrapText="1"/>
    </x:xf>
    <x:xf numFmtId="0" fontId="15" fillId="29" borderId="0" xfId="0" applyFont="1" applyFill="1" applyAlignment="1">
      <x:alignment horizontal="center" vertical="center" wrapText="1"/>
    </x:xf>
    <x:xf numFmtId="0" fontId="16" fillId="31" borderId="0" xfId="0" applyFont="1" applyFill="1" applyAlignment="1">
      <x:alignment vertical="center" wrapText="1"/>
    </x:xf>
    <x:xf numFmtId="165" fontId="16" fillId="30" borderId="0" xfId="0" applyNumberFormat="1" applyFont="1" applyFill="1" applyAlignment="1">
      <x:alignment vertical="center" wrapText="1"/>
    </x:xf>
    <x:xf numFmtId="165" fontId="16" fillId="31" borderId="0" xfId="0" applyNumberFormat="1" applyFont="1" applyFill="1" applyAlignment="1">
      <x:alignment vertical="center" wrapText="1"/>
    </x:xf>
    <x:xf numFmtId="164" fontId="16" fillId="31" borderId="0" xfId="0" applyNumberFormat="1" applyFont="1" applyFill="1" applyAlignment="1">
      <x:alignment vertical="center" wrapText="1"/>
    </x:xf>
    <x:xf numFmtId="2" fontId="16" fillId="31" borderId="0" xfId="0" applyNumberFormat="1" applyFont="1" applyFill="1" applyAlignment="1">
      <x:alignment vertical="center" wrapText="1"/>
    </x:xf>
    <x:xf numFmtId="1" fontId="16" fillId="31" borderId="0" xfId="0" applyNumberFormat="1" applyFont="1" applyFill="1" applyAlignment="1">
      <x:alignment vertical="center" wrapText="1"/>
    </x:xf>
    <x:xf numFmtId="1" fontId="16" fillId="30" borderId="0" xfId="0" applyNumberFormat="1" applyFont="1" applyFill="1" applyAlignment="1">
      <x:alignment vertical="center" wrapText="1"/>
    </x:xf>
    <x:xf numFmtId="0" fontId="1" fillId="22" borderId="0" xfId="0" applyFont="1" applyFill="1" applyAlignment="1">
      <x:alignment horizontal="center" wrapText="1"/>
    </x:xf>
    <x:xf numFmtId="0" fontId="13" fillId="32" borderId="0" xfId="0" applyFont="1" applyFill="1"/>
    <x:xf numFmtId="165" fontId="13" fillId="32" borderId="0" xfId="0" applyNumberFormat="1" applyFont="1" applyFill="1"/>
    <x:xf numFmtId="0" fontId="16" fillId="33" borderId="0" xfId="0" applyFont="1" applyFill="1" applyAlignment="1">
      <x:alignment vertical="top" wrapText="1"/>
    </x:xf>
    <x:xf numFmtId="168" fontId="16" fillId="33" borderId="0" xfId="0" applyNumberFormat="1" applyFont="1" applyFill="1" applyAlignment="1">
      <x:alignment vertical="top" wrapText="1"/>
    </x:xf>
    <x:xf numFmtId="0" fontId="1" fillId="34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1" fillId="34" borderId="0" xfId="0" applyFont="1" applyFill="1" applyAlignment="1">
      <x:alignment horizontal="center" vertical="top" wrapText="1"/>
    </x:xf>
    <x:xf numFmtId="0" fontId="1" fillId="38" borderId="0" xfId="0" applyFont="1" applyFill="1" applyAlignment="1">
      <x:alignment horizontal="center" vertical="center" wrapText="1"/>
    </x:xf>
    <x:xf numFmtId="0" fontId="1" fillId="40" borderId="0" xfId="0" applyFont="1" applyFill="1" applyAlignment="1">
      <x:alignment horizontal="center" vertical="center"/>
    </x:xf>
    <x:xf numFmtId="0" fontId="13" fillId="41" borderId="0" xfId="0" applyFont="1" applyFill="1" applyAlignment="1">
      <x:alignment wrapText="1"/>
    </x:xf>
    <x:xf numFmtId="0" fontId="13" fillId="43" borderId="0" xfId="0" applyFont="1" applyFill="1" applyAlignment="1">
      <x:alignment wrapText="1"/>
    </x:xf>
    <x:xf numFmtId="165" fontId="13" fillId="42" borderId="0" xfId="0" applyNumberFormat="1" applyFont="1" applyFill="1" applyAlignment="1">
      <x:alignment horizontal="right"/>
    </x:xf>
    <x:xf numFmtId="2" fontId="13" fillId="42" borderId="0" xfId="0" applyNumberFormat="1" applyFont="1" applyFill="1" applyAlignment="1">
      <x:alignment horizontal="right"/>
    </x:xf>
    <x:xf numFmtId="1" fontId="13" fillId="42" borderId="0" xfId="0" applyNumberFormat="1" applyFont="1" applyFill="1" applyAlignment="1">
      <x:alignment horizontal="right"/>
    </x:xf>
    <x:xf numFmtId="0" fontId="15" fillId="45" borderId="0" xfId="0" applyFont="1" applyFill="1" applyAlignment="1">
      <x:alignment horizontal="center" wrapText="1"/>
    </x:xf>
    <x:xf numFmtId="0" fontId="15" fillId="45" borderId="0" xfId="0" applyFont="1" applyFill="1" applyAlignment="1">
      <x:alignment horizontal="center" vertical="center" wrapText="1"/>
    </x:xf>
    <x:xf numFmtId="0" fontId="15" fillId="46" borderId="0" xfId="0" applyFont="1" applyFill="1" applyAlignment="1">
      <x:alignment horizontal="center" vertical="center" wrapText="1"/>
    </x:xf>
    <x:xf numFmtId="0" fontId="16" fillId="47" borderId="0" xfId="0" applyFont="1" applyFill="1" applyAlignment="1">
      <x:alignment vertical="center" wrapText="1"/>
    </x:xf>
    <x:xf numFmtId="0" fontId="16" fillId="48" borderId="0" xfId="0" applyFont="1" applyFill="1" applyAlignment="1">
      <x:alignment vertical="center" wrapText="1"/>
    </x:xf>
    <x:xf numFmtId="165" fontId="16" fillId="47" borderId="0" xfId="0" applyNumberFormat="1" applyFont="1" applyFill="1" applyAlignment="1">
      <x:alignment vertical="center" wrapText="1"/>
    </x:xf>
    <x:xf numFmtId="165" fontId="16" fillId="48" borderId="0" xfId="0" applyNumberFormat="1" applyFont="1" applyFill="1" applyAlignment="1">
      <x:alignment vertical="center" wrapText="1"/>
    </x:xf>
    <x:xf numFmtId="164" fontId="16" fillId="48" borderId="0" xfId="0" applyNumberFormat="1" applyFont="1" applyFill="1" applyAlignment="1">
      <x:alignment vertical="center" wrapText="1"/>
    </x:xf>
    <x:xf numFmtId="2" fontId="16" fillId="48" borderId="0" xfId="0" applyNumberFormat="1" applyFont="1" applyFill="1" applyAlignment="1">
      <x:alignment vertical="center" wrapText="1"/>
    </x:xf>
    <x:xf numFmtId="1" fontId="16" fillId="48" borderId="0" xfId="0" applyNumberFormat="1" applyFont="1" applyFill="1" applyAlignment="1">
      <x:alignment vertical="center" wrapText="1"/>
    </x:xf>
    <x:xf numFmtId="0" fontId="1" fillId="46" borderId="0" xfId="0" applyFont="1" applyFill="1" applyAlignment="1">
      <x:alignment horizontal="center" wrapText="1"/>
    </x:xf>
    <x:xf numFmtId="0" fontId="21" fillId="47" borderId="0" xfId="0" applyFont="1" applyFill="1"/>
    <x:xf numFmtId="0" fontId="13" fillId="50" borderId="0" xfId="0" applyFont="1" applyFill="1" applyAlignment="1">
      <x:alignment vertical="top" wrapText="1"/>
    </x:xf>
    <x:xf numFmtId="0" fontId="13" fillId="47" borderId="0" xfId="0" applyFont="1" applyFill="1" applyAlignment="1">
      <x:alignment horizontal="right" vertical="top" wrapText="1"/>
    </x:xf>
    <x:xf numFmtId="165" fontId="13" fillId="47" borderId="0" xfId="0" applyNumberFormat="1" applyFont="1" applyFill="1" applyAlignment="1">
      <x:alignment horizontal="right" vertical="top" wrapText="1"/>
    </x:xf>
    <x:xf numFmtId="2" fontId="13" fillId="47" borderId="0" xfId="0" applyNumberFormat="1" applyFont="1" applyFill="1" applyAlignment="1">
      <x:alignment horizontal="right" vertical="top" wrapText="1"/>
    </x:xf>
    <x:xf numFmtId="164" fontId="13" fillId="47" borderId="0" xfId="0" applyNumberFormat="1" applyFont="1" applyFill="1" applyAlignment="1">
      <x:alignment horizontal="right" vertical="top" wrapText="1"/>
    </x:xf>
    <x:xf numFmtId="0" fontId="1" fillId="52" borderId="0" xfId="0" applyFont="1" applyFill="1" applyAlignment="1">
      <x:alignment wrapText="1"/>
    </x:xf>
    <x:xf numFmtId="0" fontId="22" fillId="54" borderId="0" xfId="0" applyFont="1" applyFill="1"/>
    <x:xf numFmtId="0" fontId="27" fillId="57" borderId="11" xfId="0" applyFont="1" applyFill="1" applyBorder="1" applyAlignment="1">
      <x:alignment horizontal="center" vertical="center" wrapText="1"/>
    </x:xf>
    <x:xf numFmtId="0" fontId="28" fillId="0" borderId="11" xfId="0" applyFont="1" applyBorder="1" applyAlignment="1">
      <x:alignment vertical="center"/>
    </x:xf>
    <x:xf numFmtId="169" fontId="28" fillId="0" borderId="11" xfId="0" applyNumberFormat="1" applyFont="1" applyBorder="1" applyAlignment="1">
      <x:alignment vertical="center"/>
    </x:xf>
    <x:xf numFmtId="1" fontId="28" fillId="0" borderId="11" xfId="0" applyNumberFormat="1" applyFont="1" applyBorder="1" applyAlignment="1">
      <x:alignment vertical="center"/>
    </x:xf>
    <x:xf numFmtId="0" fontId="28" fillId="0" borderId="11" xfId="0" applyFont="1" applyBorder="1" applyAlignment="1">
      <x:alignment vertical="center" wrapText="1"/>
    </x:xf>
    <x:xf numFmtId="0" fontId="29" fillId="55" borderId="0" xfId="0" applyFont="1" applyFill="1"/>
    <x:xf numFmtId="0" fontId="29" fillId="57" borderId="0" xfId="0" applyFont="1" applyFill="1" applyAlignment="1">
      <x:alignment wrapText="1"/>
    </x:xf>
    <x:xf numFmtId="0" fontId="28" fillId="0" borderId="11" xfId="0" applyFont="1" applyBorder="1" applyAlignment="1">
      <x:alignment vertical="top" wrapText="1"/>
    </x:xf>
    <x:xf numFmtId="0" fontId="0" fillId="0" borderId="0" xfId="0" applyAlignment="1">
      <x:alignment vertical="center" wrapText="1"/>
    </x:xf>
    <x:xf numFmtId="0" fontId="29" fillId="55" borderId="0" xfId="0" applyFont="1" applyFill="1" applyAlignment="1">
      <x:alignment horizontal="center" vertical="center" wrapText="1"/>
    </x:xf>
    <x:xf numFmtId="0" fontId="28" fillId="0" borderId="0" xfId="0" applyFont="1" applyAlignment="1">
      <x:alignment vertical="center" wrapText="1"/>
    </x:xf>
    <x:xf numFmtId="165" fontId="28" fillId="0" borderId="0" xfId="0" applyNumberFormat="1" applyFont="1" applyAlignment="1">
      <x:alignment vertical="center" wrapText="1"/>
    </x:xf>
    <x:xf numFmtId="0" fontId="29" fillId="57" borderId="0" xfId="0" applyFont="1" applyFill="1" applyAlignment="1">
      <x:alignment vertical="center" wrapText="1"/>
    </x:xf>
    <x:xf numFmtId="169" fontId="28" fillId="0" borderId="11" xfId="0" applyNumberFormat="1" applyFont="1" applyBorder="1" applyAlignment="1">
      <x:alignment vertical="center" wrapText="1"/>
    </x:xf>
    <x:xf numFmtId="165" fontId="28" fillId="0" borderId="11" xfId="0" applyNumberFormat="1" applyFont="1" applyBorder="1" applyAlignment="1">
      <x:alignment vertical="center" wrapText="1"/>
    </x:xf>
    <x:xf numFmtId="9" fontId="28" fillId="0" borderId="11" xfId="0" applyNumberFormat="1" applyFont="1" applyBorder="1" applyAlignment="1">
      <x:alignment vertical="center" wrapText="1"/>
    </x:xf>
    <x:xf numFmtId="0" fontId="30" fillId="35" borderId="11" xfId="0" applyFont="1" applyFill="1" applyBorder="1" applyAlignment="1">
      <x:alignment vertical="center" wrapText="1"/>
    </x:xf>
    <x:xf numFmtId="0" fontId="29" fillId="55" borderId="0" xfId="0" applyFont="1" applyFill="1" applyAlignment="1">
      <x:alignment vertical="center" wrapText="1"/>
    </x:xf>
    <x:xf numFmtId="0" fontId="5" fillId="5" borderId="0" xfId="0" applyFont="1" applyFill="1" applyAlignment="1">
      <x:alignment vertical="center"/>
    </x:xf>
    <x:xf numFmtId="0" fontId="6" fillId="8" borderId="0" xfId="0" applyFont="1" applyFill="1" applyAlignment="1">
      <x:alignment vertical="top" wrapText="1"/>
    </x:xf>
    <x:xf numFmtId="0" fontId="4" fillId="3" borderId="0" xfId="0" applyFont="1" applyFill="1" applyAlignment="1">
      <x:alignment wrapText="1"/>
    </x:xf>
    <x:xf numFmtId="0" fontId="3" fillId="0" borderId="5" xfId="0" applyFont="1" applyBorder="1" applyAlignment="1">
      <x:alignment vertical="center"/>
    </x:xf>
    <x:xf numFmtId="0" fontId="3" fillId="0" borderId="6" xfId="0" applyFont="1" applyBorder="1" applyAlignment="1">
      <x:alignment vertical="center"/>
    </x:xf>
    <x:xf numFmtId="165" fontId="3" fillId="0" borderId="6" xfId="0" applyNumberFormat="1" applyFont="1" applyBorder="1" applyAlignment="1">
      <x:alignment vertical="center"/>
    </x:xf>
    <x:xf numFmtId="0" fontId="3" fillId="0" borderId="7" xfId="0" applyFont="1" applyBorder="1" applyAlignment="1">
      <x:alignment vertical="center"/>
    </x:xf>
    <x:xf numFmtId="0" fontId="3" fillId="0" borderId="8" xfId="0" applyFont="1" applyBorder="1" applyAlignment="1">
      <x:alignment vertical="center"/>
    </x:xf>
    <x:xf numFmtId="0" fontId="3" fillId="0" borderId="9" xfId="0" applyFont="1" applyBorder="1" applyAlignment="1">
      <x:alignment vertical="center"/>
    </x:xf>
    <x:xf numFmtId="165" fontId="3" fillId="0" borderId="9" xfId="0" applyNumberFormat="1" applyFont="1" applyBorder="1" applyAlignment="1">
      <x:alignment vertical="center"/>
    </x:xf>
    <x:xf numFmtId="0" fontId="3" fillId="0" borderId="10" xfId="0" applyFont="1" applyBorder="1" applyAlignment="1">
      <x:alignment vertical="center"/>
    </x:xf>
    <x:xf numFmtId="2" fontId="3" fillId="0" borderId="6" xfId="0" applyNumberFormat="1" applyFont="1" applyBorder="1" applyAlignment="1">
      <x:alignment vertical="center"/>
    </x:xf>
    <x:xf numFmtId="0" fontId="3" fillId="0" borderId="2" xfId="0" applyFont="1" applyBorder="1" applyAlignment="1">
      <x:alignment vertical="center"/>
    </x:xf>
    <x:xf numFmtId="0" fontId="3" fillId="0" borderId="3" xfId="0" applyFont="1" applyBorder="1" applyAlignment="1">
      <x:alignment vertical="center"/>
    </x:xf>
    <x:xf numFmtId="165" fontId="3" fillId="0" borderId="3" xfId="0" applyNumberFormat="1" applyFont="1" applyBorder="1" applyAlignment="1">
      <x:alignment vertical="center"/>
    </x:xf>
    <x:xf numFmtId="0" fontId="3" fillId="0" borderId="4" xfId="0" applyFont="1" applyBorder="1" applyAlignment="1">
      <x:alignment vertical="center"/>
    </x:xf>
    <x:xf numFmtId="1" fontId="3" fillId="0" borderId="6" xfId="0" applyNumberFormat="1" applyFont="1" applyBorder="1" applyAlignment="1">
      <x:alignment vertical="center"/>
    </x:xf>
    <x:xf numFmtId="0" fontId="5" fillId="6" borderId="0" xfId="0" applyFont="1" applyFill="1" applyAlignment="1">
      <x:alignment horizontal="center"/>
    </x:xf>
    <x:xf numFmtId="0" fontId="9" fillId="8" borderId="0" xfId="0" applyFont="1" applyFill="1" applyAlignment="1">
      <x:alignment horizontal="center" vertical="center" wrapText="1"/>
    </x:xf>
    <x:xf numFmtId="165" fontId="8" fillId="8" borderId="0" xfId="0" applyNumberFormat="1" applyFont="1" applyFill="1" applyAlignment="1">
      <x:alignment horizontal="center" vertical="center"/>
    </x:xf>
    <x:xf numFmtId="2" fontId="8" fillId="8" borderId="0" xfId="0" applyNumberFormat="1" applyFont="1" applyFill="1" applyAlignment="1">
      <x:alignment horizontal="center" vertical="center"/>
    </x:xf>
    <x:xf numFmtId="1" fontId="8" fillId="8" borderId="0" xfId="0" applyNumberFormat="1" applyFont="1" applyFill="1" applyAlignment="1">
      <x:alignment horizontal="center" vertical="center"/>
    </x:xf>
    <x:xf numFmtId="2" fontId="9" fillId="8" borderId="0" xfId="0" applyNumberFormat="1" applyFont="1" applyFill="1" applyAlignment="1">
      <x:alignment horizontal="center" vertical="center"/>
    </x:xf>
    <x:xf numFmtId="165" fontId="9" fillId="8" borderId="0" xfId="0" applyNumberFormat="1" applyFont="1" applyFill="1" applyAlignment="1">
      <x:alignment horizontal="center" vertical="center"/>
    </x:xf>
    <x:xf numFmtId="0" fontId="2" fillId="2" borderId="0" xfId="0" applyFont="1" applyFill="1" applyAlignment="1">
      <x:alignment horizontal="left" vertical="center"/>
    </x:xf>
    <x:xf numFmtId="0" fontId="7" fillId="4" borderId="0" xfId="0" applyFont="1" applyFill="1"/>
    <x:xf numFmtId="0" fontId="1" fillId="15" borderId="0" xfId="0" applyFont="1" applyFill="1" applyAlignment="1">
      <x:alignment horizontal="center" vertical="center"/>
    </x:xf>
    <x:xf numFmtId="0" fontId="1" fillId="16" borderId="0" xfId="0" applyFont="1" applyFill="1" applyAlignment="1">
      <x:alignment horizontal="center" vertical="center"/>
    </x:xf>
    <x:xf numFmtId="0" fontId="14" fillId="40" borderId="0" xfId="0" applyFont="1" applyFill="1" applyAlignment="1">
      <x:alignment horizontal="center" vertical="center"/>
    </x:xf>
    <x:xf numFmtId="0" fontId="1" fillId="39" borderId="0" xfId="0" applyFont="1" applyFill="1" applyAlignment="1">
      <x:alignment horizontal="center" vertical="center"/>
    </x:xf>
    <x:xf numFmtId="0" fontId="1" fillId="4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14" fillId="23" borderId="0" xfId="0" applyFont="1" applyFill="1" applyAlignment="1">
      <x:alignment horizontal="center" vertical="center"/>
    </x:xf>
    <x:xf numFmtId="0" fontId="1" fillId="22" borderId="0" xfId="0" applyFont="1" applyFill="1" applyAlignment="1">
      <x:alignment horizontal="center" vertical="center"/>
    </x:xf>
    <x:xf numFmtId="0" fontId="1" fillId="27" borderId="0" xfId="0" applyFont="1" applyFill="1" applyAlignment="1">
      <x:alignment horizontal="center" vertical="center"/>
    </x:xf>
    <x:xf numFmtId="0" fontId="14" fillId="11" borderId="0" xfId="0" applyFont="1" applyFill="1" applyAlignment="1">
      <x:alignment horizontal="center" vertical="center"/>
    </x:xf>
    <x:xf numFmtId="0" fontId="25" fillId="55" borderId="0" xfId="0" applyFont="1" applyFill="1" applyAlignment="1">
      <x:alignment vertical="center"/>
    </x:xf>
    <x:xf numFmtId="0" fontId="26" fillId="56" borderId="0" xfId="0" applyFont="1" applyFill="1" applyAlignment="1">
      <x:alignment vertical="center"/>
    </x:xf>
    <x:xf numFmtId="0" fontId="14" fillId="39" borderId="0" xfId="0" applyFont="1" applyFill="1" applyAlignment="1">
      <x:alignment horizontal="center" vertical="center"/>
    </x:xf>
    <x:xf numFmtId="0" fontId="14" fillId="22" borderId="0" xfId="0" applyFont="1" applyFill="1" applyAlignment="1">
      <x:alignment horizontal="center" vertical="center"/>
    </x:xf>
    <x:xf numFmtId="0" fontId="11" fillId="10" borderId="0" xfId="0" applyFont="1" applyFill="1" applyAlignment="1">
      <x:alignment vertical="center"/>
    </x:xf>
    <x:xf numFmtId="0" fontId="10" fillId="2" borderId="0" xfId="0" applyFont="1" applyFill="1"/>
    <x:xf numFmtId="0" fontId="1" fillId="23" borderId="0" xfId="0" applyFont="1" applyFill="1" applyAlignment="1">
      <x:alignment horizontal="center"/>
    </x:xf>
    <x:xf numFmtId="0" fontId="19" fillId="36" borderId="0" xfId="0" applyFont="1" applyFill="1" applyAlignment="1">
      <x:alignment vertical="center"/>
    </x:xf>
    <x:xf numFmtId="0" fontId="20" fillId="37" borderId="0" xfId="0" applyFont="1" applyFill="1" applyAlignment="1">
      <x:alignment wrapText="1"/>
    </x:xf>
    <x:xf numFmtId="0" fontId="1" fillId="40" borderId="0" xfId="0" applyFont="1" applyFill="1" applyAlignment="1">
      <x:alignment horizontal="center"/>
    </x:xf>
    <x:xf numFmtId="0" fontId="18" fillId="49" borderId="0" xfId="0" applyFont="1" applyFill="1" applyAlignment="1">
      <x:alignment horizontal="center"/>
    </x:xf>
    <x:xf numFmtId="0" fontId="23" fillId="51" borderId="0" xfId="0" applyFont="1" applyFill="1" applyAlignment="1">
      <x:alignment vertical="center" wrapText="1"/>
    </x:xf>
    <x:xf numFmtId="0" fontId="20" fillId="9" borderId="0" xfId="0" applyFont="1" applyFill="1" applyAlignment="1">
      <x:alignment wrapText="1"/>
    </x:xf>
    <x:xf numFmtId="0" fontId="19" fillId="40" borderId="0" xfId="0" applyFont="1" applyFill="1" applyAlignment="1">
      <x:alignment horizontal="center" vertical="center"/>
    </x:xf>
    <x:xf numFmtId="0" fontId="1" fillId="53" borderId="0" xfId="0" applyFont="1" applyFill="1" applyAlignment="1">
      <x:alignment vertical="center"/>
    </x:xf>
    <x:xf numFmtId="0" fontId="24" fillId="0" borderId="0" xfId="0" applyFont="1"/>
    <x:xf numFmtId="0" fontId="15" fillId="58" borderId="0" xfId="0" applyNumberFormat="1" applyFont="1" applyFill="1" applyBorder="1" applyAlignment="1">
      <x:alignment horizontal="center" vertical="center" wrapText="1"/>
    </x:xf>
    <x:xf numFmtId="1" fontId="16" fillId="58" borderId="0" xfId="0" applyNumberFormat="1" applyFont="1" applyFill="1" applyBorder="1" applyAlignment="1">
      <x:alignment vertical="center" wrapText="1"/>
    </x:xf>
    <x:xf numFmtId="0" fontId="31" fillId="58" borderId="0" xfId="0" applyNumberFormat="1" applyFont="1" applyFill="1" applyBorder="1" applyAlignment="1">
      <x:alignment horizontal="center" vertical="center" wrapText="1"/>
    </x:xf>
    <x:xf numFmtId="1" fontId="32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3" fillId="59" borderId="0" xfId="0" applyNumberFormat="1" applyFont="1" applyFill="1" applyBorder="1"/>
    <x:xf numFmtId="0" fontId="1" fillId="59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 applyAlignment="1">
      <x:alignment wrapText="1"/>
    </x:xf>
    <x:xf numFmtId="0" fontId="33" fillId="59" borderId="0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ont>
        <x:b/>
        <x:color rgb="FF9C1C1C"/>
      </x:font>
      <x:fill>
        <x:patternFill>
          <x:bgColor rgb="FFFADBD8"/>
        </x:patternFill>
      </x:fill>
    </x:dxf>
    <x:dxf>
      <x:font>
        <x:b/>
        <x:color rgb="FF146B2E"/>
      </x:font>
      <x:fill>
        <x:patternFill>
          <x:bgColor rgb="FFD9F2DE"/>
        </x:patternFill>
      </x:fill>
    </x:dxf>
    <x:dxf>
      <x:font>
        <x:b/>
        <x:color rgb="FF9C1C1C"/>
      </x:font>
      <x:fill>
        <x:patternFill>
          <x:bgColor rgb="FFF9DDDD"/>
        </x:patternFill>
      </x:fill>
    </x:dxf>
    <x:dxf>
      <x:font>
        <x:b/>
        <x:color rgb="FF9C1C1C"/>
      </x:font>
      <x:fill>
        <x:patternFill>
          <x:bgColor rgb="FFFADBD8"/>
        </x:patternFill>
      </x:fill>
    </x:dxf>
    <x:dxf>
      <x:font>
        <x:b/>
        <x:color rgb="FF8A6200"/>
      </x:font>
      <x:fill>
        <x:patternFill>
          <x:bgColor rgb="FFFFF2CC"/>
        </x:patternFill>
      </x:fill>
    </x:dxf>
    <x:dxf>
      <x:font>
        <x:b/>
        <x:color rgb="FF146B2E"/>
      </x:font>
      <x:fill>
        <x:patternFill>
          <x:bgColor rgb="FFD9F2DE"/>
        </x:patternFill>
      </x:fill>
    </x:dxf>
    <x:dxf>
      <x:font>
        <x:b/>
        <x:color rgb="FF9C1C1C"/>
      </x:font>
      <x:fill>
        <x:patternFill>
          <x:bgColor rgb="FFFADBD8"/>
        </x:patternFill>
      </x:fill>
    </x:dxf>
    <x:dxf>
      <x:font>
        <x:b/>
        <x:color rgb="FF8A6200"/>
      </x:font>
      <x:fill>
        <x:patternFill>
          <x:bgColor rgb="FFFFF2CC"/>
        </x:patternFill>
      </x:fill>
    </x:dxf>
    <x:dxf>
      <x:font>
        <x:b/>
        <x:color rgb="FF146B2E"/>
      </x:font>
      <x:fill>
        <x:patternFill>
          <x:bgColor rgb="FFD9F2DE"/>
        </x:patternFill>
      </x:fill>
    </x:dxf>
    <x:dxf>
      <x:font>
        <x:b/>
        <x:color rgb="FF9C1C1C"/>
      </x:font>
      <x:fill>
        <x:patternFill>
          <x:bgColor rgb="FFFADBD8"/>
        </x:patternFill>
      </x:fill>
    </x:dxf>
    <x:dxf>
      <x:font>
        <x:b/>
        <x:color rgb="FF8A6200"/>
      </x:font>
      <x:fill>
        <x:patternFill>
          <x:bgColor rgb="FFFFF2CC"/>
        </x:patternFill>
      </x:fill>
    </x:dxf>
    <x:dxf>
      <x:font>
        <x:b/>
        <x:color rgb="FF146B2E"/>
      </x:font>
      <x:fill>
        <x:patternFill>
          <x:bgColor rgb="FFD9F2DE"/>
        </x:patternFill>
      </x:fill>
    </x:dxf>
    <x:dxf>
      <x:font>
        <x:b/>
        <x:color rgb="FF8A5A00"/>
      </x:font>
      <x:fill>
        <x:patternFill>
          <x:bgColor rgb="FFFFF1CC"/>
        </x:patternFill>
      </x:fill>
    </x:dxf>
    <x:dxf>
      <x:font>
        <x:b/>
        <x:color rgb="FF9C1C1C"/>
      </x:font>
      <x:fill>
        <x:patternFill>
          <x:bgColor rgb="FFF9DDDD"/>
        </x:patternFill>
      </x:fill>
    </x:dxf>
    <x:dxf>
      <x:font>
        <x:b/>
        <x:color rgb="FF126B2F"/>
      </x:font>
      <x:fill>
        <x:patternFill>
          <x:bgColor rgb="FFDDF2E3"/>
        </x:patternFill>
      </x:fill>
    </x:dxf>
    <x:dxf>
      <x:font>
        <x:b/>
        <x:color rgb="FF9C1C1C"/>
      </x:font>
      <x:fill>
        <x:patternFill>
          <x:bgColor rgb="FFF9DDDD"/>
        </x:patternFill>
      </x:fill>
    </x:dxf>
    <x:dxf>
      <x:font>
        <x:b/>
        <x:color rgb="FF126B2F"/>
      </x:font>
      <x:fill>
        <x:patternFill>
          <x:bgColor rgb="FFDDF2E3"/>
        </x:patternFill>
      </x:fill>
    </x:dxf>
    <x:dxf>
      <x:font>
        <x:b/>
        <x:color rgb="FF9C1C1C"/>
      </x:font>
      <x:fill>
        <x:patternFill>
          <x:bgColor rgb="FFF9DDDD"/>
        </x:patternFill>
      </x:fill>
    </x:dxf>
    <x:dxf>
      <x:font>
        <x:b/>
        <x:color rgb="FF126B2F"/>
      </x:font>
      <x:fill>
        <x:patternFill>
          <x:bgColor rgb="FFDDF2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5d91291614c5c" /><Relationship Type="http://schemas.openxmlformats.org/officeDocument/2006/relationships/theme" Target="/xl/theme/theme1.xml" Id="R58724a11f4a9484d" /><Relationship Type="http://schemas.openxmlformats.org/officeDocument/2006/relationships/sharedStrings" Target="/xl/sharedStrings.xml" Id="R0b40e39002a241d5" /><Relationship Type="http://schemas.openxmlformats.org/officeDocument/2006/relationships/worksheet" Target="/xl/worksheets/sheet1.xml" Id="Re671f1b7130d4eda" /><Relationship Type="http://schemas.openxmlformats.org/officeDocument/2006/relationships/worksheet" Target="/xl/worksheets/sheet2.xml" Id="Rd251df4c09b349a4" /><Relationship Type="http://schemas.openxmlformats.org/officeDocument/2006/relationships/worksheet" Target="/xl/worksheets/sheet3.xml" Id="Ra325caeb65f24efa" /><Relationship Type="http://schemas.openxmlformats.org/officeDocument/2006/relationships/worksheet" Target="/xl/worksheets/sheet4.xml" Id="Ra8620a7150dd4290" /><Relationship Type="http://schemas.openxmlformats.org/officeDocument/2006/relationships/worksheet" Target="/xl/worksheets/sheet5.xml" Id="Re99ffaf8c0c6407f" /><Relationship Type="http://schemas.openxmlformats.org/officeDocument/2006/relationships/worksheet" Target="/xl/worksheets/sheet6.xml" Id="R00766521e8b24ed0" /><Relationship Type="http://schemas.openxmlformats.org/officeDocument/2006/relationships/worksheet" Target="/xl/worksheets/sheet7.xml" Id="Re2ff2e0dc7494826" /><Relationship Type="http://schemas.openxmlformats.org/officeDocument/2006/relationships/worksheet" Target="/xl/worksheets/sheet8.xml" Id="Rd00f25eafe3e4803" /><Relationship Type="http://schemas.openxmlformats.org/officeDocument/2006/relationships/worksheet" Target="/xl/worksheets/sheet9.xml" Id="R8fee511aa6da4046" /><Relationship Type="http://schemas.openxmlformats.org/officeDocument/2006/relationships/worksheet" Target="/xl/worksheets/sheet10.xml" Id="Raff71b86c4ed4444" /><Relationship Type="http://schemas.openxmlformats.org/officeDocument/2006/relationships/worksheet" Target="/xl/worksheets/sheet11.xml" Id="Ra37d9b0e366e4cb4" /><Relationship Type="http://schemas.openxmlformats.org/officeDocument/2006/relationships/worksheet" Target="/xl/worksheets/sheet12.xml" Id="R2112db5a5dc04d1c" /><Relationship Type="http://schemas.openxmlformats.org/officeDocument/2006/relationships/worksheet" Target="/xl/worksheets/sheet13.xml" Id="R4ab7db2187954d77" /><Relationship Type="http://schemas.openxmlformats.org/officeDocument/2006/relationships/worksheet" Target="/xl/worksheets/sheet14.xml" Id="R225ba271a88b4095" /><Relationship Type="http://schemas.openxmlformats.org/officeDocument/2006/relationships/worksheet" Target="/xl/worksheets/sheet15.xml" Id="R62f9af1403c94f19" /><Relationship Type="http://schemas.openxmlformats.org/officeDocument/2006/relationships/worksheet" Target="/xl/worksheets/sheet16.xml" Id="R85eba5e461c74a5f" /><Relationship Type="http://schemas.openxmlformats.org/officeDocument/2006/relationships/worksheet" Target="/xl/worksheets/sheet17.xml" Id="Rec9f319c423f4811" /><Relationship Type="http://schemas.openxmlformats.org/officeDocument/2006/relationships/worksheet" Target="/xl/worksheets/sheet18.xml" Id="Rd21728e7df9b4e9d" /><Relationship Type="http://schemas.openxmlformats.org/officeDocument/2006/relationships/worksheet" Target="/xl/worksheets/sheet19.xml" Id="R66c0d5c5bae04de4" /><Relationship Type="http://schemas.openxmlformats.org/officeDocument/2006/relationships/worksheet" Target="/xl/worksheets/sheet20.xml" Id="R22e62756141c41ab" /><Relationship Type="http://schemas.microsoft.com/office/2017/10/relationships/person" Target="/xl/persons/person.xml" Id="Rfd9feca2f12c40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9a08c9c42c42b1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Componentele λ – acord și dispersie</a:t>
            </a:r>
          </a:p>
        </c:rich>
      </c:tx>
      <c:overlay val="1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Valoare</c:v>
          </c:tx>
          <c:cat>
            <c:strRef>
              <c:f>Dashboard!$J$4:$J$9</c:f>
              <c:strCache>
                <c:ptCount val="6"/>
                <c:pt idx="0">
                  <c:v>λ sezon goluri</c:v>
                </c:pt>
                <c:pt idx="1">
                  <c:v>λ sezon xG</c:v>
                </c:pt>
                <c:pt idx="2">
                  <c:v>λ recent goluri</c:v>
                </c:pt>
                <c:pt idx="3">
                  <c:v>λ recent xG</c:v>
                </c:pt>
                <c:pt idx="4">
                  <c:v>λ H2H</c:v>
                </c:pt>
                <c:pt idx="5">
                  <c:v>λ piață</c:v>
                </c:pt>
              </c:strCache>
            </c:strRef>
          </c:cat>
          <c:val>
            <c:numRef>
              <c:f>Dashboard!$K$4:$K$9</c:f>
              <c:numCache>
                <c:formatCode>0.00</c:formatCode>
                <c:ptCount val="6"/>
                <c:pt idx="0">
                  <c:v>2.7087635820327414</c:v>
                </c:pt>
                <c:pt idx="1">
                  <c:v>2.695318373689451</c:v>
                </c:pt>
                <c:pt idx="2">
                  <c:v>2.6489578808281795</c:v>
                </c:pt>
                <c:pt idx="3">
                  <c:v>2.6487763675966214</c:v>
                </c:pt>
                <c:pt idx="4">
                  <c:v>2.4444444444444446</c:v>
                </c:pt>
                <c:pt idx="5">
                  <c:v>2.0053335695261145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9a08c9c42c42b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6</xdr:col>
      <xdr:colOff>457200</xdr:colOff>
      <xdr:row>31</xdr:row>
      <xdr:rowOff>76200</xdr:rowOff>
    </xdr:to>
    <xdr:sp>
      <xdr:nvSpPr>
        <xdr:cNvPr id="1" name="Text Box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2</xdr:col>
      <xdr:colOff>5181600</xdr:colOff>
      <xdr:row>26</xdr:row>
      <xdr:rowOff>152400</xdr:rowOff>
    </xdr:to>
    <xdr:sp>
      <xdr:nvSpPr>
        <xdr:cNvPr id="1" name="Text Box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Alex" id="{75A738BB-BF61-4836-95C0-FFEE29ABF542}"/>
  <xltc:person displayName="alex" id="{078ACAEA-CC77-4A0C-9C2B-FD334A67594F}"/>
</xltc:personList>
</file>

<file path=xl/tables/table1.xml><?xml version="1.0" encoding="utf-8"?>
<x:table xmlns:x="http://schemas.openxmlformats.org/spreadsheetml/2006/main" id="1" name="AnalizeOver05Table" displayName="AnalizeOver05Table" ref="A3:CI103" totalsRowShown="0">
  <x:tableColumns count="87">
    <x:tableColumn id="1" name="Match ID"/>
    <x:tableColumn id="2" name="Tip înregistrare"/>
    <x:tableColumn id="3" name="Data"/>
    <x:tableColumn id="4" name="Competiție"/>
    <x:tableColumn id="5" name="Tip competiție"/>
    <x:tableColumn id="6" name="Etapă/context"/>
    <x:tableColumn id="7" name="Gazde"/>
    <x:tableColumn id="8" name="Oaspeți"/>
    <x:tableColumn id="9" name="N gazde acasă"/>
    <x:tableColumn id="10" name="GF gazde acasă"/>
    <x:tableColumn id="11" name="GA gazde acasă"/>
    <x:tableColumn id="12" name="xGF gazde acasă"/>
    <x:tableColumn id="13" name="xGA gazde acasă"/>
    <x:tableColumn id="14" name="O0.5 gazde acasă"/>
    <x:tableColumn id="15" name="FTS gazde acasă"/>
    <x:tableColumn id="16" name="N oaspeți deplasare"/>
    <x:tableColumn id="17" name="GF oaspeți deplasare"/>
    <x:tableColumn id="18" name="GA oaspeți deplasare"/>
    <x:tableColumn id="19" name="xGF oaspeți deplasare"/>
    <x:tableColumn id="20" name="xGA oaspeți deplasare"/>
    <x:tableColumn id="21" name="O0.5 oaspeți deplasare"/>
    <x:tableColumn id="22" name="FTS oaspeți deplasare"/>
    <x:tableColumn id="23" name="N recent gazde"/>
    <x:tableColumn id="24" name="GF recent gazde"/>
    <x:tableColumn id="25" name="GA recent gazde"/>
    <x:tableColumn id="26" name="xGF recent gazde"/>
    <x:tableColumn id="27" name="xGA recent gazde"/>
    <x:tableColumn id="28" name="N recent oaspeți"/>
    <x:tableColumn id="29" name="GF recent oaspeți"/>
    <x:tableColumn id="30" name="GA recent oaspeți"/>
    <x:tableColumn id="31" name="xGF recent oaspeți"/>
    <x:tableColumn id="32" name="xGA recent oaspeți"/>
    <x:tableColumn id="33" name="N H2H"/>
    <x:tableColumn id="34" name="Goluri medii H2H"/>
    <x:tableColumn id="35" name="O0.5 H2H"/>
    <x:tableColumn id="36" name="Medie goluri gazde comp."/>
    <x:tableColumn id="37" name="Medie goluri oaspeți comp."/>
    <x:tableColumn id="38" name="Medie total goluri comp."/>
    <x:tableColumn id="39" name="Rată 0-0 competiție"/>
    <x:tableColumn id="40" name="N meciuri competiție"/>
    <x:tableColumn id="41" name="Cotă 1"/>
    <x:tableColumn id="42" name="Cotă X"/>
    <x:tableColumn id="43" name="Cotă 2"/>
    <x:tableColumn id="44" name="Cotă Over 0.5"/>
    <x:tableColumn id="45" name="Cotă Under 0.5"/>
    <x:tableColumn id="46" name="Calitate surse (1-5)"/>
    <x:tableColumn id="47" name="Echipe start confirmate (0/1)"/>
    <x:tableColumn id="48" name="Motivație (-2..2)"/>
    <x:tableColumn id="49" name="Deschidere tactică (-2..2)"/>
    <x:tableColumn id="50" name="Atac/absențe (-2..2)"/>
    <x:tableColumn id="51" name="Apărare/absențe (-2..2)"/>
    <x:tableColumn id="52" name="Rotație (-2..2)"/>
    <x:tableColumn id="53" name="Oboseală (-2..2)"/>
    <x:tableColumn id="54" name="Meteo (-2..2)"/>
    <x:tableColumn id="55" name="Teren (-2..2)"/>
    <x:tableColumn id="56" name="Arbitru/penalty (-2..2)"/>
    <x:tableColumn id="57" name="Context tur/retur (-2..2)"/>
    <x:tableColumn id="58" name="Dezechilibru valoric (-2..2)"/>
    <x:tableColumn id="59" name="Contradicții date (0-2)"/>
    <x:tableColumn id="60" name="Raționament analist"/>
    <x:tableColumn id="61" name="Surse meci (URL-uri)"/>
    <x:tableColumn id="62" name="λ sezon goluri"/>
    <x:tableColumn id="63" name="λ sezon xG"/>
    <x:tableColumn id="64" name="λ recent goluri"/>
    <x:tableColumn id="65" name="λ recent xG"/>
    <x:tableColumn id="66" name="λ H2H"/>
    <x:tableColumn id="67" name="Prob. piață O0.5"/>
    <x:tableColumn id="68" name="λ piață"/>
    <x:tableColumn id="69" name="λ bază"/>
    <x:tableColumn id="70" name="Multiplicator context"/>
    <x:tableColumn id="71" name="λ ajustat"/>
    <x:tableColumn id="72" name="P(0-0) Poisson"/>
    <x:tableColumn id="73" name="Factor zero ligă"/>
    <x:tableColumn id="74" name="P0 calibrat"/>
    <x:tableColumn id="75" name="P Over 0.5"/>
    <x:tableColumn id="76" name="Cotă fair"/>
    <x:tableColumn id="77" name="Prob. piață"/>
    <x:tableColumn id="78" name="Edge"/>
    <x:tableColumn id="79" name="EV"/>
    <x:tableColumn id="80" name="Completitudine"/>
    <x:tableColumn id="81" name="Scor eșantion"/>
    <x:tableColumn id="82" name="Acord componente"/>
    <x:tableColumn id="83" name="Confidence Score"/>
    <x:tableColumn id="84" name="Steag risc"/>
    <x:tableColumn id="85" name="Verdict"/>
    <x:tableColumn id="86" name="Raționament automat"/>
    <x:tableColumn id="87" name="Surse consoli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rseOver05Table" displayName="SurseOver05Table" ref="A3:H72" totalsRowShown="0">
  <x:tableColumns count="8">
    <x:tableColumn id="1" name="Nr."/>
    <x:tableColumn id="2" name="Website / instituție"/>
    <x:tableColumn id="3" name="Categorie"/>
    <x:tableColumn id="4" name="URL"/>
    <x:tableColumn id="5" name="Utilizare în model"/>
    <x:tableColumn id="6" name="Observație extrasă"/>
    <x:tableColumn id="7" name="Nivel evidență"/>
    <x:tableColumn id="8" name="Data consultări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Q4" dT="2026-08-28T05:48:07.335" personId="{75A738BB-BF61-4836-95C0-FFEE29ABF542}" id="{53EDB77E-1F81-426A-8B2A-A6D3544862EA}">
    <xltc:text>λ bază combină șase componente cu ponderi preluate din foaia Setari model, în funcție de tipul competiției.</xltc:text>
  </xltc:threadedComment>
  <xltc:threadedComment ref="BW4" dT="2026-08-28T05:48:07.336" personId="{75A738BB-BF61-4836-95C0-FFEE29ABF542}" id="{19FC4335-1EF8-4E39-B899-CCFC2F7EB4D4}">
    <xltc:text>Formula centrală: P(Over 0,5)=1−P(0−0). P(0−0) pornește din Poisson și este calibrată cu rata 0−0 a competiției și frecvențele empirice ale echipelor.</xltc:text>
  </xltc:threadedComment>
  <xltc:threadedComment ref="CE4" dT="2026-08-28T05:48:07.336" personId="{75A738BB-BF61-4836-95C0-FFEE29ABF542}" id="{1A0F8E5A-8664-401D-B428-69A72FFD4ECF}">
    <xltc:text>Confidence Score nu este probabilitatea pariului. Măsoară completitudinea, eșantionul, acordul componentelor, calitatea surselor, confirmarea loturilor și contradicțiile.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23" dT="2026-09-05T09:40:58.539" personId="{078ACAEA-CC77-4A0C-9C2B-FD334A67594F}" id="{6E38F5A0-7D2A-4B53-B441-3D403B7491A7}">
    <xltc:text>Ponderea de 45% face ca nucleul «λ moderat + finishing slab + xGF relevant» să fie componenta dominantă a scorului v5. Pragurile de selecție nu sunt schimbate.</xltc:text>
  </xltc:threadedComment>
  <xltc:threadedComment ref="B125" dT="2026-09-05T09:40:58.54" personId="{078ACAEA-CC77-4A0C-9C2B-FD334A67594F}" id="{AAB2E068-DFDA-4484-865E-499D8EF2E954}">
    <xltc:text>Majorarea maximă de 20% se aplică probabilității P0, nu probabilității Over 0,5. Capurile 90/91/92/94% rămân identice cu v4.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e4e97657c84a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22d467259ec4de5" /><Relationship Type="http://schemas.openxmlformats.org/officeDocument/2006/relationships/vmlDrawing" Target="/xl/drawings/vmldrawing.vml" Id="Rc5f69f34cde24c77" /><Relationship Type="http://schemas.microsoft.com/office/2017/10/relationships/threadedComment" Target="/xl/threadedcomments/threadedcomment.xml" Id="Racec98eb13014bce" /><Relationship Type="http://schemas.openxmlformats.org/officeDocument/2006/relationships/drawing" Target="/xl/drawings/drawing2.xml" Id="Rce017e2a2f7e41fc" /><Relationship Type="http://schemas.openxmlformats.org/officeDocument/2006/relationships/table" Target="/xl/tables/table1.xml" Id="R6f1b2bd395fd49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f06b25f7d19d4951" /><Relationship Type="http://schemas.openxmlformats.org/officeDocument/2006/relationships/vmlDrawing" Target="/xl/drawings/vmldrawing2.vml" Id="R9532ae43831a4257" /><Relationship Type="http://schemas.microsoft.com/office/2017/10/relationships/threadedComment" Target="/xl/threadedcomments/threadedcomment2.xml" Id="Rceeacdb9b86f430a" /><Relationship Type="http://schemas.openxmlformats.org/officeDocument/2006/relationships/drawing" Target="/xl/drawings/drawing3.xml" Id="Rec460d209cfd42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4e98a5026de47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8" width="17" customWidth="1"/>
    <x:col min="10" max="10" width="26" customWidth="1"/>
    <x:col min="11" max="17" width="15" customWidth="1"/>
  </x:cols>
  <x:sheetData>
    <x:row r="1" ht="27" customHeight="1">
      <x:c r="A1" s="215" t="str">
        <x:v>OVER 0,5 – WORKBOOK OPTIMIZAT V4</x:v>
      </x:c>
      <x:c r="B1" s="215"/>
      <x:c r="C1" s="215"/>
      <x:c r="D1" s="215"/>
      <x:c r="E1" s="215"/>
      <x:c r="F1" s="215"/>
      <x:c r="G1" s="215"/>
      <x:c r="H1" s="215"/>
      <x:c r="I1" s="1"/>
      <x:c r="J1" s="1"/>
      <x:c r="K1" s="1"/>
      <x:c r="L1" s="1"/>
      <x:c r="M1" s="1"/>
      <x:c r="N1" s="1"/>
      <x:c r="O1" s="1"/>
      <x:c r="P1" s="1"/>
      <x:c r="Q1" s="1"/>
    </x:row>
    <x:row r="2" ht="27" customHeight="1">
      <x:c r="A2" s="215" t="s">
        <x:v>0</x:v>
      </x:c>
      <x:c r="B2" s="215" t="s">
        <x:v>0</x:v>
      </x:c>
      <x:c r="C2" s="215" t="s">
        <x:v>0</x:v>
      </x:c>
      <x:c r="D2" s="215" t="s">
        <x:v>0</x:v>
      </x:c>
      <x:c r="E2" s="215" t="s">
        <x:v>0</x:v>
      </x:c>
      <x:c r="F2" s="215" t="s">
        <x:v>0</x:v>
      </x:c>
      <x:c r="G2" s="215" t="s">
        <x:v>0</x:v>
      </x:c>
      <x:c r="H2" s="215" t="s">
        <x:v>0</x:v>
      </x:c>
      <x:c r="I2" s="1"/>
      <x:c r="J2" s="1"/>
      <x:c r="K2" s="1"/>
      <x:c r="L2" s="1"/>
      <x:c r="M2" s="1"/>
      <x:c r="N2" s="1"/>
      <x:c r="O2" s="1"/>
      <x:c r="P2" s="1"/>
      <x:c r="Q2" s="1"/>
    </x:row>
    <x:row r="3" ht="34" customHeight="1">
      <x:c r="A3" s="193" t="str">
        <x:v>RECOMANDAREA FINALĂ = Risk Score + G0. Cota, EV și lineup-ul sunt informative; confirmările pot afecta doar P_cap.</x:v>
      </x:c>
      <x:c r="B3" s="193"/>
      <x:c r="C3" s="193"/>
      <x:c r="D3" s="193"/>
      <x:c r="E3" s="193"/>
      <x:c r="F3" s="193"/>
      <x:c r="G3" s="193"/>
      <x:c r="H3" s="193"/>
      <x:c r="I3" s="1"/>
      <x:c r="J3" s="2" t="s">
        <x:v>1</x:v>
      </x:c>
      <x:c r="K3" s="2" t="s">
        <x:v>2</x:v>
      </x:c>
      <x:c r="L3" s="1"/>
      <x:c r="M3" s="1"/>
      <x:c r="N3" s="1"/>
      <x:c r="O3" s="1"/>
      <x:c r="P3" s="1"/>
      <x:c r="Q3" s="1"/>
    </x:row>
    <x:row r="4" ht="27" customHeight="1">
      <x:c r="A4" s="37" t="s">
        <x:v>3</x:v>
      </x:c>
      <x:c r="B4" s="216" t="s">
        <x:v>4</x:v>
      </x:c>
      <x:c r="C4" s="216" t="s">
        <x:v>4</x:v>
      </x:c>
      <x:c r="D4" s="216" t="s">
        <x:v>4</x:v>
      </x:c>
      <x:c r="E4" s="1"/>
      <x:c r="F4" s="1"/>
      <x:c r="G4" s="1"/>
      <x:c r="H4" s="1"/>
      <x:c r="I4" s="1"/>
      <x:c r="J4" s="3" t="s">
        <x:v>5</x:v>
      </x:c>
      <x:c r="K4" s="38" t="n">
        <x:f>IFERROR(INDEX('Analize meciuri'!$BJ$4:$BJ$103,MATCH($B$4,'Analize meciuri'!$A$4:$A$103,0)),"")</x:f>
        <x:v>2.7087635820327414</x:v>
      </x:c>
      <x:c r="L4" s="1"/>
      <x:c r="M4" s="1"/>
      <x:c r="N4" s="1"/>
      <x:c r="O4" s="1"/>
      <x:c r="P4" s="1"/>
      <x:c r="Q4" s="1"/>
    </x:row>
    <x:row r="5" ht="27" customHeight="1">
      <x:c r="A5" s="1"/>
      <x:c r="B5" s="1"/>
      <x:c r="C5" s="1"/>
      <x:c r="D5" s="1"/>
      <x:c r="E5" s="1"/>
      <x:c r="F5" s="1"/>
      <x:c r="G5" s="1"/>
      <x:c r="H5" s="1"/>
      <x:c r="I5" s="1"/>
      <x:c r="J5" s="8" t="s">
        <x:v>6</x:v>
      </x:c>
      <x:c r="K5" s="39" t="n">
        <x:f>IFERROR(INDEX('Analize meciuri'!$BK$4:$BK$103,MATCH($B$4,'Analize meciuri'!$A$4:$A$103,0)),"")</x:f>
        <x:v>2.695318373689451</x:v>
      </x:c>
      <x:c r="L5" s="1"/>
      <x:c r="M5" s="1"/>
      <x:c r="N5" s="1"/>
      <x:c r="O5" s="1"/>
      <x:c r="P5" s="1"/>
      <x:c r="Q5" s="1"/>
    </x:row>
    <x:row r="6" ht="27" customHeight="1">
      <x:c r="A6" s="191" t="s">
        <x:v>7</x:v>
      </x:c>
      <x:c r="B6" s="191" t="s">
        <x:v>7</x:v>
      </x:c>
      <x:c r="C6" s="191" t="s">
        <x:v>7</x:v>
      </x:c>
      <x:c r="D6" s="191" t="s">
        <x:v>7</x:v>
      </x:c>
      <x:c r="E6" s="191" t="s">
        <x:v>7</x:v>
      </x:c>
      <x:c r="F6" s="191" t="s">
        <x:v>7</x:v>
      </x:c>
      <x:c r="G6" s="191" t="s">
        <x:v>7</x:v>
      </x:c>
      <x:c r="H6" s="191" t="s">
        <x:v>7</x:v>
      </x:c>
      <x:c r="I6" s="1"/>
      <x:c r="J6" s="8" t="s">
        <x:v>8</x:v>
      </x:c>
      <x:c r="K6" s="39" t="n">
        <x:f>IFERROR(INDEX('Analize meciuri'!$BL$4:$BL$103,MATCH($B$4,'Analize meciuri'!$A$4:$A$103,0)),"")</x:f>
        <x:v>2.6489578808281795</x:v>
      </x:c>
      <x:c r="L6" s="1"/>
      <x:c r="M6" s="1"/>
      <x:c r="N6" s="1"/>
      <x:c r="O6" s="1"/>
      <x:c r="P6" s="1"/>
      <x:c r="Q6" s="1"/>
    </x:row>
    <x:row r="7" ht="27" customHeight="1">
      <x:c r="A7" s="40" t="s">
        <x:v>9</x:v>
      </x:c>
      <x:c r="B7" s="41" t="str">
        <x:f>IFERROR(INDEX('Analize meciuri'!$G$4:$G$103,MATCH($B$4,'Analize meciuri'!$A$4:$A$103,0)),"")</x:f>
        <x:v>Gazde Demo A</x:v>
      </x:c>
      <x:c r="C7" s="40" t="s">
        <x:v>10</x:v>
      </x:c>
      <x:c r="D7" s="41" t="str">
        <x:f>IFERROR(INDEX('Analize meciuri'!$H$4:$H$103,MATCH($B$4,'Analize meciuri'!$A$4:$A$103,0)),"")</x:f>
        <x:v>Oaspeți Demo B</x:v>
      </x:c>
      <x:c r="E7" s="40" t="s">
        <x:v>11</x:v>
      </x:c>
      <x:c r="F7" s="41" t="str">
        <x:f>IFERROR(INDEX('Analize meciuri'!$D$4:$D$103,MATCH($B$4,'Analize meciuri'!$A$4:$A$103,0)),"")</x:f>
        <x:v>Liga demonstrativă</x:v>
      </x:c>
      <x:c r="G7" s="40" t="s">
        <x:v>12</x:v>
      </x:c>
      <x:c r="H7" s="41" t="str">
        <x:f>IFERROR(INDEX('Analize meciuri'!$E$4:$E$103,MATCH($B$4,'Analize meciuri'!$A$4:$A$103,0)),"")</x:f>
        <x:v>Campionat intern</x:v>
      </x:c>
      <x:c r="I7" s="1"/>
      <x:c r="J7" s="8" t="s">
        <x:v>13</x:v>
      </x:c>
      <x:c r="K7" s="39" t="n">
        <x:f>IFERROR(INDEX('Analize meciuri'!$BM$4:$BM$103,MATCH($B$4,'Analize meciuri'!$A$4:$A$103,0)),"")</x:f>
        <x:v>2.6487763675966214</x:v>
      </x:c>
      <x:c r="L7" s="1"/>
      <x:c r="M7" s="1"/>
      <x:c r="N7" s="1"/>
      <x:c r="O7" s="1"/>
      <x:c r="P7" s="1"/>
      <x:c r="Q7" s="1"/>
    </x:row>
    <x:row r="8" ht="27" customHeight="1">
      <x:c r="A8" s="40" t="s">
        <x:v>14</x:v>
      </x:c>
      <x:c r="B8" s="42" t="n">
        <x:f>IFERROR(INDEX('Analize meciuri'!$C$4:$C$103,MATCH($B$4,'Analize meciuri'!$A$4:$A$103,0)),"")</x:f>
        <x:v>46266</x:v>
      </x:c>
      <x:c r="C8" s="40" t="s">
        <x:v>15</x:v>
      </x:c>
      <x:c r="D8" s="41" t="str">
        <x:f>IFERROR(INDEX('Analize meciuri'!$F$4:$F$103,MATCH($B$4,'Analize meciuri'!$A$4:$A$103,0)),"")</x:f>
        <x:v>Etapa 7</x:v>
      </x:c>
      <x:c r="E8" s="40" t="s">
        <x:v>16</x:v>
      </x:c>
      <x:c r="F8" s="41" t="n">
        <x:f>IFERROR(INDEX('Analize meciuri'!$AT$4:$AT$103,MATCH($B$4,'Analize meciuri'!$A$4:$A$103,0)),"")</x:f>
        <x:v>4</x:v>
      </x:c>
      <x:c r="G8" s="40" t="s">
        <x:v>17</x:v>
      </x:c>
      <x:c r="H8" s="41" t="n">
        <x:f>IFERROR(INDEX('Analize meciuri'!$AU$4:$AU$103,MATCH($B$4,'Analize meciuri'!$A$4:$A$103,0)),"")</x:f>
        <x:v>0</x:v>
      </x:c>
      <x:c r="I8" s="1"/>
      <x:c r="J8" s="8" t="s">
        <x:v>18</x:v>
      </x:c>
      <x:c r="K8" s="39" t="n">
        <x:f>IFERROR(INDEX('Analize meciuri'!$BN$4:$BN$103,MATCH($B$4,'Analize meciuri'!$A$4:$A$103,0)),"")</x:f>
        <x:v>2.4444444444444446</x:v>
      </x:c>
      <x:c r="L8" s="1"/>
      <x:c r="M8" s="1"/>
      <x:c r="N8" s="1"/>
      <x:c r="O8" s="1"/>
      <x:c r="P8" s="1"/>
      <x:c r="Q8" s="1"/>
    </x:row>
    <x:row r="9" ht="27" customHeight="1">
      <x:c r="A9" s="1"/>
      <x:c r="B9" s="1"/>
      <x:c r="C9" s="1"/>
      <x:c r="D9" s="1"/>
      <x:c r="E9" s="1"/>
      <x:c r="F9" s="1"/>
      <x:c r="G9" s="1"/>
      <x:c r="H9" s="1"/>
      <x:c r="I9" s="1"/>
      <x:c r="J9" s="12" t="s">
        <x:v>19</x:v>
      </x:c>
      <x:c r="K9" s="43" t="n">
        <x:f>IFERROR(INDEX('Analize meciuri'!$BP$4:$BP$103,MATCH($B$4,'Analize meciuri'!$A$4:$A$103,0)),"")</x:f>
        <x:v>2.0053335695261145</x:v>
      </x:c>
      <x:c r="L9" s="1"/>
      <x:c r="M9" s="1"/>
      <x:c r="N9" s="1"/>
      <x:c r="O9" s="1"/>
      <x:c r="P9" s="1"/>
      <x:c r="Q9" s="1"/>
    </x:row>
    <x:row r="10" ht="27" customHeight="1">
      <x:c r="A10" s="191" t="s">
        <x:v>20</x:v>
      </x:c>
      <x:c r="B10" s="191" t="s">
        <x:v>20</x:v>
      </x:c>
      <x:c r="C10" s="191" t="s">
        <x:v>20</x:v>
      </x:c>
      <x:c r="D10" s="191" t="s">
        <x:v>20</x:v>
      </x:c>
      <x:c r="E10" s="191" t="s">
        <x:v>20</x:v>
      </x:c>
      <x:c r="F10" s="191" t="s">
        <x:v>20</x:v>
      </x:c>
      <x:c r="G10" s="191" t="s">
        <x:v>20</x:v>
      </x:c>
      <x:c r="H10" s="191" t="s">
        <x:v>20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7" customHeight="1">
      <x:c r="A11" s="44" t="s">
        <x:v>21</x:v>
      </x:c>
      <x:c r="B11" s="44"/>
      <x:c r="C11" s="44" t="s">
        <x:v>22</x:v>
      </x:c>
      <x:c r="D11" s="44"/>
      <x:c r="E11" s="44" t="s">
        <x:v>23</x:v>
      </x:c>
      <x:c r="F11" s="44"/>
      <x:c r="G11" s="44" t="s">
        <x:v>24</x:v>
      </x:c>
      <x:c r="H11" s="44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7" customHeight="1">
      <x:c r="A12" s="210" t="n">
        <x:f>IFERROR(INDEX('Analize meciuri'!$GL$4:$GL$103,MATCH($B$4,'Analize meciuri'!$A$4:$A$103,0)),"")</x:f>
        <x:v>0.05643773654116299</x:v>
      </x:c>
      <x:c r="B12" s="210"/>
      <x:c r="C12" s="210" t="n">
        <x:f>IFERROR(INDEX('Analize meciuri'!$GP$4:$GP$103,MATCH($B$4,'Analize meciuri'!$A$4:$A$103,0)),"")</x:f>
        <x:v>0.92</x:v>
      </x:c>
      <x:c r="D12" s="210"/>
      <x:c r="E12" s="211" t="n">
        <x:f>IFERROR(INDEX('Analize meciuri'!$GQ$4:$GQ$103,MATCH($B$4,'Analize meciuri'!$A$4:$A$103,0)),"")</x:f>
        <x:v>1.0869565217391304</x:v>
      </x:c>
      <x:c r="F12" s="211"/>
      <x:c r="G12" s="212" t="n">
        <x:f>IFERROR(INDEX('Analize meciuri'!$GT$4:$GT$103,MATCH($B$4,'Analize meciuri'!$A$4:$A$103,0)),"")</x:f>
        <x:v>59.194772288905426</x:v>
      </x:c>
      <x:c r="H12" s="212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7" customHeight="1">
      <x:c r="A13" s="211"/>
      <x:c r="B13" s="211"/>
      <x:c r="C13" s="210"/>
      <x:c r="D13" s="210"/>
      <x:c r="E13" s="211"/>
      <x:c r="F13" s="211"/>
      <x:c r="G13" s="212"/>
      <x:c r="H13" s="212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7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7" customHeight="1">
      <x:c r="A15" s="44" t="s">
        <x:v>25</x:v>
      </x:c>
      <x:c r="B15" s="44"/>
      <x:c r="C15" s="44" t="s">
        <x:v>26</x:v>
      </x:c>
      <x:c r="D15" s="44"/>
      <x:c r="E15" s="44" t="s">
        <x:v>27</x:v>
      </x:c>
      <x:c r="F15" s="44"/>
      <x:c r="G15" s="44" t="s">
        <x:v>28</x:v>
      </x:c>
      <x:c r="H15" s="44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7" customHeight="1">
      <x:c r="A16" s="213" t="n">
        <x:f>IFERROR(INDEX('Analize meciuri'!$AR$4:$AR$103,MATCH($B$4,'Analize meciuri'!$A$4:$A$103,0)),"")</x:f>
        <x:v>1.12</x:v>
      </x:c>
      <x:c r="B16" s="213"/>
      <x:c r="C16" s="214" t="n">
        <x:f>IFERROR(INDEX('Analize meciuri'!$EC$4:$EC$103,MATCH($B$4,'Analize meciuri'!$A$4:$A$103,0)),"")</x:f>
        <x:v>0.8653846153846154</x:v>
      </x:c>
      <x:c r="D16" s="214"/>
      <x:c r="E16" s="214" t="n">
        <x:f>IFERROR(INDEX('Analize meciuri'!$GR$4:$GR$103,MATCH($B$4,'Analize meciuri'!$A$4:$A$103,0)),"")</x:f>
        <x:v>0.05461538461538462</x:v>
      </x:c>
      <x:c r="F16" s="214"/>
      <x:c r="G16" s="214" t="n">
        <x:f>IFERROR(INDEX('Analize meciuri'!$GS$4:$GS$103,MATCH($B$4,'Analize meciuri'!$A$4:$A$103,0)),"")</x:f>
        <x:v>0.030400000000000205</x:v>
      </x:c>
      <x:c r="H16" s="214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7" customHeight="1">
      <x:c r="A17" s="213"/>
      <x:c r="B17" s="213"/>
      <x:c r="C17" s="214"/>
      <x:c r="D17" s="214"/>
      <x:c r="E17" s="214"/>
      <x:c r="F17" s="214"/>
      <x:c r="G17" s="214"/>
      <x:c r="H17" s="214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7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7" customHeight="1">
      <x:c r="A19" s="191" t="s">
        <x:v>29</x:v>
      </x:c>
      <x:c r="B19" s="191" t="s">
        <x:v>29</x:v>
      </x:c>
      <x:c r="C19" s="191" t="s">
        <x:v>29</x:v>
      </x:c>
      <x:c r="D19" s="191" t="s">
        <x:v>29</x:v>
      </x:c>
      <x:c r="E19" s="191" t="s">
        <x:v>29</x:v>
      </x:c>
      <x:c r="F19" s="191" t="s">
        <x:v>29</x:v>
      </x:c>
      <x:c r="G19" s="191" t="s">
        <x:v>29</x:v>
      </x:c>
      <x:c r="H19" s="191" t="s">
        <x:v>29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7" customHeight="1">
      <x:c r="A20" s="208" t="str">
        <x:v>Risk Score / Nivel final / Clasă</x:v>
      </x:c>
      <x:c r="B20" s="208" t="s">
        <x:v>30</x:v>
      </x:c>
      <x:c r="C20" s="208" t="str">
        <x:v>Recomandare</x:v>
      </x:c>
      <x:c r="D20" s="208" t="s">
        <x:v>31</x:v>
      </x:c>
      <x:c r="E20" s="208" t="s">
        <x:v>31</x:v>
      </x:c>
      <x:c r="F20" s="208" t="s">
        <x:v>31</x:v>
      </x:c>
      <x:c r="G20" s="208" t="s">
        <x:v>31</x:v>
      </x:c>
      <x:c r="H20" s="208" t="s">
        <x:v>31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7" customHeight="1">
      <x:c r="A21" s="209" t="str">
        <x:f>IFERROR(TEXT(INDEX('Analize meciuri'!$HE$4:$HE$103,MATCH($B$4,'Analize meciuri'!$A$4:$A$103,0)),"0.0")&amp;" / Nivel "&amp;INDEX('Analize meciuri'!$HH$4:$HH$103,MATCH($B$4,'Analize meciuri'!$A$4:$A$103,0))&amp;" / "&amp;INDEX('Analize meciuri'!$HI$4:$HI$103,MATCH($B$4,'Analize meciuri'!$A$4:$A$103,0)),"N/A")</x:f>
        <x:v>7.9 / Nivel 1 / DEFENSIV</x:v>
      </x:c>
      <x:c r="B21" s="209"/>
      <x:c r="C21" s="209" t="str">
        <x:f>IFERROR(INDEX('Analize meciuri'!$HK$4:$HK$103,MATCH($B$4,'Analize meciuri'!$A$4:$A$103,0)),"")</x:f>
        <x:v>DEFENSIV</x:v>
      </x:c>
      <x:c r="D21" s="209"/>
      <x:c r="E21" s="209"/>
      <x:c r="F21" s="209"/>
      <x:c r="G21" s="209"/>
      <x:c r="H21" s="209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7" customHeight="1">
      <x:c r="A22" s="209"/>
      <x:c r="B22" s="209"/>
      <x:c r="C22" s="209"/>
      <x:c r="D22" s="209"/>
      <x:c r="E22" s="209"/>
      <x:c r="F22" s="209"/>
      <x:c r="G22" s="209"/>
      <x:c r="H22" s="209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7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7" customHeight="1">
      <x:c r="A24" s="191" t="str">
        <x:v>CONTROL TEHNIC ȘI INDICATORI INFORMATIVI</x:v>
      </x:c>
      <x:c r="B24" s="191" t="s">
        <x:v>32</x:v>
      </x:c>
      <x:c r="C24" s="191" t="s">
        <x:v>32</x:v>
      </x:c>
      <x:c r="D24" s="191" t="s">
        <x:v>32</x:v>
      </x:c>
      <x:c r="E24" s="191" t="s">
        <x:v>32</x:v>
      </x:c>
      <x:c r="F24" s="191" t="s">
        <x:v>32</x:v>
      </x:c>
      <x:c r="G24" s="191" t="s">
        <x:v>32</x:v>
      </x:c>
      <x:c r="H24" s="191" t="s">
        <x:v>32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7" customHeight="1">
      <x:c r="A25" s="2" t="s">
        <x:v>33</x:v>
      </x:c>
      <x:c r="B25" s="2"/>
      <x:c r="C25" s="2"/>
      <x:c r="D25" s="2"/>
      <x:c r="E25" s="2" t="s">
        <x:v>34</x:v>
      </x:c>
      <x:c r="F25" s="2"/>
      <x:c r="G25" s="2" t="s">
        <x:v>35</x:v>
      </x:c>
      <x:c r="H25" s="2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34" customHeight="1">
      <x:c r="A26" s="203" t="str">
        <x:v>Probabilitate raportată (plafonată)</x:v>
      </x:c>
      <x:c r="B26" s="204" t="str">
        <x:v>Plafonul limitează probabilitatea afișată; nu decide recomandarea.</x:v>
      </x:c>
      <x:c r="C26" s="204" t="s">
        <x:v>36</x:v>
      </x:c>
      <x:c r="D26" s="204" t="s">
        <x:v>36</x:v>
      </x:c>
      <x:c r="E26" s="205" t="n">
        <x:f>IFERROR(INDEX('Analize meciuri'!$GP$4:$GP$103,MATCH($B$4,'Analize meciuri'!$A$4:$A$103,0)),"")</x:f>
        <x:v>0.92</x:v>
      </x:c>
      <x:c r="F26" s="205"/>
      <x:c r="G26" s="204" t="str">
        <x:f>IF(E26="","N/A","INFORMATIV")</x:f>
        <x:v>INFORMATIV</x:v>
      </x:c>
      <x:c r="H26" s="206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34" customHeight="1">
      <x:c r="A27" s="194" t="str">
        <x:v>Confidence (informativ)</x:v>
      </x:c>
      <x:c r="B27" s="195" t="str">
        <x:v>Indicator informativ; nu decide recomandarea finală.</x:v>
      </x:c>
      <x:c r="C27" s="195" t="s">
        <x:v>37</x:v>
      </x:c>
      <x:c r="D27" s="195" t="s">
        <x:v>37</x:v>
      </x:c>
      <x:c r="E27" s="207" t="n">
        <x:f>IFERROR(INDEX('Analize meciuri'!$GT$4:$GT$103,MATCH($B$4,'Analize meciuri'!$A$4:$A$103,0)),"")</x:f>
        <x:v>59.194772288905426</x:v>
      </x:c>
      <x:c r="F27" s="207"/>
      <x:c r="G27" s="195" t="str">
        <x:f>IF(E27="","N/A","INFORMATIV")</x:f>
        <x:v>INFORMATIV</x:v>
      </x:c>
      <x:c r="H27" s="197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34" customHeight="1">
      <x:c r="A28" s="194" t="str">
        <x:v>Cotă bookmaker (informativă)</x:v>
      </x:c>
      <x:c r="B28" s="195" t="str">
        <x:v>Fără efect asupra Risk Score, G0 sau recomandării finale.</x:v>
      </x:c>
      <x:c r="C28" s="195" t="s">
        <x:v>38</x:v>
      </x:c>
      <x:c r="D28" s="195" t="s">
        <x:v>38</x:v>
      </x:c>
      <x:c r="E28" s="202" t="n">
        <x:f>IFERROR(INDEX('Analize meciuri'!$AR$4:$AR$103,MATCH($B$4,'Analize meciuri'!$A$4:$A$103,0)),"")</x:f>
        <x:v>1.12</x:v>
      </x:c>
      <x:c r="F28" s="196"/>
      <x:c r="G28" s="195" t="str">
        <x:f>IF(E28="","N/A","INFORMATIV")</x:f>
        <x:v>INFORMATIV</x:v>
      </x:c>
      <x:c r="H28" s="197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34" customHeight="1">
      <x:c r="A29" s="194" t="str">
        <x:v>EV v5 (informativ)</x:v>
      </x:c>
      <x:c r="B29" s="195" t="str">
        <x:v>Fără efect asupra Risk Score, G0 sau recomandării finale.</x:v>
      </x:c>
      <x:c r="C29" s="195" t="s">
        <x:v>39</x:v>
      </x:c>
      <x:c r="D29" s="195" t="s">
        <x:v>39</x:v>
      </x:c>
      <x:c r="E29" s="196" t="n">
        <x:f>IFERROR(INDEX('Analize meciuri'!$GS$4:$GS$103,MATCH($B$4,'Analize meciuri'!$A$4:$A$103,0)),"")</x:f>
        <x:v>0.030400000000000205</x:v>
      </x:c>
      <x:c r="F29" s="196"/>
      <x:c r="G29" s="195" t="str">
        <x:f>IF(E29="","N/A","INFORMATIV")</x:f>
        <x:v>INFORMATIV</x:v>
      </x:c>
      <x:c r="H29" s="197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34" customHeight="1">
      <x:c r="A30" s="194" t="str">
        <x:v>Date critice / clasă zero-mass</x:v>
      </x:c>
      <x:c r="B30" s="195" t="str">
        <x:v>G0 verifică datele critice; clasa zero-mass intră gradual în Risk Score.</x:v>
      </x:c>
      <x:c r="C30" s="195" t="s">
        <x:v>40</x:v>
      </x:c>
      <x:c r="D30" s="195" t="s">
        <x:v>40</x:v>
      </x:c>
      <x:c r="E30" s="195" t="str">
        <x:f>IFERROR(IFERROR(INDEX('Analize meciuri'!$GM$4:$GM$103,MATCH($B$4,'Analize meciuri'!$A$4:$A$103,0)),"")&amp;" / "&amp;IFERROR(INDEX('Analize meciuri'!$GN$4:$GN$103,MATCH($B$4,'Analize meciuri'!$A$4:$A$103,0)),""),"")</x:f>
        <x:v>DA / SCĂZUT</x:v>
      </x:c>
      <x:c r="F30" s="196"/>
      <x:c r="G30" s="195" t="str">
        <x:f>IF(LEFT(E30,2)="DA","OK","VERIFICĂ")</x:f>
        <x:v>OK</x:v>
      </x:c>
      <x:c r="H30" s="197"/>
      <x:c r="I30" s="1"/>
      <x:c r="J30" s="2" t="s">
        <x:v>41</x:v>
      </x:c>
      <x:c r="K30" s="2" t="s">
        <x:v>2</x:v>
      </x:c>
      <x:c r="L30" s="1"/>
      <x:c r="M30" s="1"/>
      <x:c r="N30" s="1"/>
      <x:c r="O30" s="1"/>
      <x:c r="P30" s="1"/>
      <x:c r="Q30" s="1"/>
    </x:row>
    <x:row r="31" ht="34" customHeight="1">
      <x:c r="A31" s="194" t="str">
        <x:v>Lineup (doar pentru P_cap)</x:v>
      </x:c>
      <x:c r="B31" s="195" t="str">
        <x:v>Poate permite numai plafonul de 94%; nu modifică Risk Score, G0 sau recomandarea.</x:v>
      </x:c>
      <x:c r="C31" s="195" t="s">
        <x:v>42</x:v>
      </x:c>
      <x:c r="D31" s="195" t="s">
        <x:v>42</x:v>
      </x:c>
      <x:c r="E31" s="195" t="str">
        <x:f>IFERROR(INDEX('Analize meciuri'!$FN$4:$FN$103,MATCH($B$4,'Analize meciuri'!$A$4:$A$103,0)),"")</x:f>
        <x:v>NU</x:v>
      </x:c>
      <x:c r="F31" s="196"/>
      <x:c r="G31" s="195" t="str">
        <x:f>"INFORMATIV – DOAR P_CAP"</x:f>
        <x:v>INFORMATIV – DOAR P_CAP</x:v>
      </x:c>
      <x:c r="H31" s="197"/>
      <x:c r="I31" s="1"/>
      <x:c r="J31" s="3" t="s">
        <x:v>43</x:v>
      </x:c>
      <x:c r="K31" s="23" t="n">
        <x:f>COUNTA('Surse cercetare'!$A$4:$A$100)</x:f>
        <x:v>70</x:v>
      </x:c>
      <x:c r="L31" s="1"/>
      <x:c r="M31" s="1"/>
      <x:c r="N31" s="1"/>
      <x:c r="O31" s="1"/>
      <x:c r="P31" s="1"/>
      <x:c r="Q31" s="1"/>
    </x:row>
    <x:row r="32" ht="34" customHeight="1">
      <x:c r="A32" s="194" t="str">
        <x:v>Confirmare piață (doar pentru P_cap)</x:v>
      </x:c>
      <x:c r="B32" s="195" t="str">
        <x:v>Poate permite numai plafonul de 94%; nu modifică Risk Score, G0 sau recomandarea.</x:v>
      </x:c>
      <x:c r="C32" s="195" t="s">
        <x:v>44</x:v>
      </x:c>
      <x:c r="D32" s="195" t="s">
        <x:v>44</x:v>
      </x:c>
      <x:c r="E32" s="195" t="str">
        <x:f>IFERROR(INDEX('Analize meciuri'!$FM$4:$FM$103,MATCH($B$4,'Analize meciuri'!$A$4:$A$103,0)),"")</x:f>
        <x:v>DA</x:v>
      </x:c>
      <x:c r="F32" s="196"/>
      <x:c r="G32" s="195" t="str">
        <x:f>"INFORMATIV – DOAR P_CAP"</x:f>
        <x:v>INFORMATIV – DOAR P_CAP</x:v>
      </x:c>
      <x:c r="H32" s="197"/>
      <x:c r="I32" s="1"/>
      <x:c r="J32" s="8" t="str">
        <x:v>Versiune fișier</x:v>
      </x:c>
      <x:c r="K32" s="25" t="str">
        <x:v>optimizat V4</x:v>
      </x:c>
      <x:c r="L32" s="1"/>
      <x:c r="M32" s="1"/>
      <x:c r="N32" s="1"/>
      <x:c r="O32" s="1"/>
      <x:c r="P32" s="1"/>
      <x:c r="Q32" s="1"/>
    </x:row>
    <x:row r="33" ht="34" customHeight="1">
      <x:c r="A33" s="198" t="str">
        <x:v>G0 / Final Risk Level</x:v>
      </x:c>
      <x:c r="B33" s="199" t="str">
        <x:v>Numai datele critice incomplete produc hard fail și Nivel 5.</x:v>
      </x:c>
      <x:c r="C33" s="199" t="s">
        <x:v>45</x:v>
      </x:c>
      <x:c r="D33" s="199" t="s">
        <x:v>45</x:v>
      </x:c>
      <x:c r="E33" s="199" t="str">
        <x:f>IFERROR(INDEX('Analize meciuri'!$HG$4:$HG$103,MATCH($B$4,'Analize meciuri'!$A$4:$A$103,0))&amp;" / Nivel "&amp;INDEX('Analize meciuri'!$HH$4:$HH$103,MATCH($B$4,'Analize meciuri'!$A$4:$A$103,0)),"")</x:f>
        <x:v>PASS / Nivel 1</x:v>
      </x:c>
      <x:c r="F33" s="200"/>
      <x:c r="G33" s="199" t="str">
        <x:f>IF(LEFT(E33,4)="PASS","DA","NU")</x:f>
        <x:v>DA</x:v>
      </x:c>
      <x:c r="H33" s="201"/>
      <x:c r="I33" s="1"/>
      <x:c r="J33" s="12" t="s">
        <x:v>46</x:v>
      </x:c>
      <x:c r="K33" s="45">
        <x:v>46262</x:v>
      </x:c>
      <x:c r="L33" s="1"/>
      <x:c r="M33" s="1"/>
      <x:c r="N33" s="1"/>
      <x:c r="O33" s="1"/>
      <x:c r="P33" s="1"/>
      <x:c r="Q33" s="1"/>
    </x:row>
    <x:row r="34" ht="27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22" t="s">
        <x:v>47</x:v>
      </x:c>
      <x:c r="K34" s="122" t="str">
        <x:v>Metodologie v9 – fără FB</x:v>
      </x:c>
      <x:c r="L34" s="1"/>
      <x:c r="M34" s="1"/>
      <x:c r="N34" s="1"/>
      <x:c r="O34" s="1"/>
      <x:c r="P34" s="1"/>
      <x:c r="Q34" s="1"/>
    </x:row>
    <x:row r="35" ht="27" customHeight="1">
      <x:c r="A35" s="191" t="s">
        <x:v>48</x:v>
      </x:c>
      <x:c r="B35" s="191" t="s">
        <x:v>48</x:v>
      </x:c>
      <x:c r="C35" s="191" t="s">
        <x:v>48</x:v>
      </x:c>
      <x:c r="D35" s="191" t="s">
        <x:v>48</x:v>
      </x:c>
      <x:c r="E35" s="191" t="s">
        <x:v>48</x:v>
      </x:c>
      <x:c r="F35" s="191" t="s">
        <x:v>48</x:v>
      </x:c>
      <x:c r="G35" s="191" t="s">
        <x:v>48</x:v>
      </x:c>
      <x:c r="H35" s="191" t="s">
        <x:v>48</x:v>
      </x:c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7" customHeight="1">
      <x:c r="A36" s="192" t="str">
        <x:f>IFERROR(INDEX('Analize meciuri'!$HJ$4:$HJ$103,MATCH($B$4,'Analize meciuri'!$A$4:$A$103,0)),"")</x:f>
        <x:v>Data=VERIFIED / PRIOR / SHRINKAGE; DQ=10.0; ZM=3.8; Context=14.0; Uncertainty=9.4; Compound=0.0; Risk Score=7.9; Base=1; G0=PASS; Final=1. Cota, EV si lineup sunt informative si nu intra in recomandare.</x:v>
      </x:c>
      <x:c r="B36" s="192"/>
      <x:c r="C36" s="192"/>
      <x:c r="D36" s="192"/>
      <x:c r="E36" s="192"/>
      <x:c r="F36" s="192"/>
      <x:c r="G36" s="192"/>
      <x:c r="H36" s="192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7" customHeight="1">
      <x:c r="A37" s="192"/>
      <x:c r="B37" s="192"/>
      <x:c r="C37" s="192"/>
      <x:c r="D37" s="192"/>
      <x:c r="E37" s="192"/>
      <x:c r="F37" s="192"/>
      <x:c r="G37" s="192"/>
      <x:c r="H37" s="192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7" customHeight="1">
      <x:c r="A38" s="192"/>
      <x:c r="B38" s="192"/>
      <x:c r="C38" s="192"/>
      <x:c r="D38" s="192"/>
      <x:c r="E38" s="192"/>
      <x:c r="F38" s="192"/>
      <x:c r="G38" s="192"/>
      <x:c r="H38" s="192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7" customHeight="1">
      <x:c r="A39" s="193" t="str">
        <x:f>IFERROR(INDEX('Analize meciuri'!$CI$4:$CI$103,MATCH($B$4,'Analize meciuri'!$A$4:$A$103,0)),"")</x:f>
        <x:v>https://footystats.org/ ; https://understat.com/</x:v>
      </x:c>
      <x:c r="B39" s="193"/>
      <x:c r="C39" s="193"/>
      <x:c r="D39" s="193"/>
      <x:c r="E39" s="193"/>
      <x:c r="F39" s="193"/>
      <x:c r="G39" s="193"/>
      <x:c r="H39" s="193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7" customHeight="1">
      <x:c r="A40" s="193"/>
      <x:c r="B40" s="193"/>
      <x:c r="C40" s="193"/>
      <x:c r="D40" s="193"/>
      <x:c r="E40" s="193"/>
      <x:c r="F40" s="193"/>
      <x:c r="G40" s="193"/>
      <x:c r="H40" s="193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mergeCells>
    <x:mergeCell ref="A1:H2"/>
    <x:mergeCell ref="A3:H3"/>
    <x:mergeCell ref="B4:D4"/>
    <x:mergeCell ref="A6:H6"/>
    <x:mergeCell ref="A10:H10"/>
    <x:mergeCell ref="A12:B13"/>
    <x:mergeCell ref="C12:D13"/>
    <x:mergeCell ref="E12:F13"/>
    <x:mergeCell ref="G12:H13"/>
    <x:mergeCell ref="A16:B17"/>
    <x:mergeCell ref="C16:D17"/>
    <x:mergeCell ref="E16:F17"/>
    <x:mergeCell ref="G16:H17"/>
    <x:mergeCell ref="A19:H19"/>
    <x:mergeCell ref="A20:B20"/>
    <x:mergeCell ref="C20:H20"/>
    <x:mergeCell ref="A21:B22"/>
    <x:mergeCell ref="C21:H22"/>
    <x:mergeCell ref="A24:H24"/>
    <x:mergeCell ref="A26:D26"/>
    <x:mergeCell ref="E26:F26"/>
    <x:mergeCell ref="G26:H26"/>
    <x:mergeCell ref="A27:D27"/>
    <x:mergeCell ref="E27:F27"/>
    <x:mergeCell ref="G27:H27"/>
    <x:mergeCell ref="A28:D28"/>
    <x:mergeCell ref="E28:F28"/>
    <x:mergeCell ref="G28:H28"/>
    <x:mergeCell ref="A29:D29"/>
    <x:mergeCell ref="E29:F29"/>
    <x:mergeCell ref="G29:H29"/>
    <x:mergeCell ref="A30:D30"/>
    <x:mergeCell ref="E30:F30"/>
    <x:mergeCell ref="G30:H30"/>
    <x:mergeCell ref="A31:D31"/>
    <x:mergeCell ref="E31:F31"/>
    <x:mergeCell ref="G31:H31"/>
    <x:mergeCell ref="A35:H35"/>
    <x:mergeCell ref="A36:H38"/>
    <x:mergeCell ref="A39:H40"/>
    <x:mergeCell ref="A32:D32"/>
    <x:mergeCell ref="E32:F32"/>
    <x:mergeCell ref="G32:H32"/>
    <x:mergeCell ref="A33:D33"/>
    <x:mergeCell ref="E33:F33"/>
    <x:mergeCell ref="G33:H33"/>
  </x:mergeCells>
  <x:conditionalFormatting sqref="C21:H22">
    <x:cfRule type="containsText" dxfId="18" priority="1" operator="containsText" text="RECOMANDAT"/>
    <x:cfRule type="containsText" dxfId="17" priority="2" operator="containsText" text="EVITAT"/>
  </x:conditionalFormatting>
  <x:conditionalFormatting sqref="G26:H33">
    <x:cfRule type="containsText" dxfId="16" priority="3" operator="containsText" text="DA"/>
    <x:cfRule type="containsText" dxfId="15" priority="4" operator="containsText" text="NU"/>
  </x:conditionalFormatting>
  <x:pageMargins left="0.7" right="0.7" top="0.75" bottom="0.75" header="0.3" footer="0.3"/>
  <x:drawing xmlns:r="http://schemas.openxmlformats.org/officeDocument/2006/relationships" r:id="R8ae4e97657c84a1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20" customWidth="1"/>
    <x:col min="3" max="3" width="13" customWidth="1"/>
    <x:col min="4" max="8" width="22" customWidth="1"/>
    <x:col min="9" max="59" width="14" customWidth="1"/>
    <x:col min="60" max="61" width="45" customWidth="1"/>
    <x:col min="62" max="84" width="15" customWidth="1"/>
    <x:col min="85" max="85" width="28" customWidth="1"/>
    <x:col min="86" max="87" width="48" customWidth="1"/>
    <x:col min="88" max="137" width="14" customWidth="1"/>
    <x:col min="138" max="139" width="25" customWidth="1"/>
    <x:col min="140" max="141" width="14" customWidth="1"/>
    <x:col min="142" max="143" width="25" customWidth="1"/>
    <x:col min="144" max="145" width="14" customWidth="1"/>
    <x:col min="146" max="146" width="25" customWidth="1"/>
    <x:col min="147" max="147" width="14" customWidth="1"/>
    <x:col min="148" max="148" width="54" customWidth="1"/>
    <x:col min="149" max="151" width="14" customWidth="1"/>
    <x:col min="152" max="157" width="15" customWidth="1"/>
    <x:col min="158" max="158" width="22" customWidth="1"/>
    <x:col min="159" max="160" width="15" customWidth="1"/>
    <x:col min="161" max="162" width="22" customWidth="1"/>
    <x:col min="163" max="166" width="15" customWidth="1"/>
    <x:col min="167" max="167" width="22" customWidth="1"/>
    <x:col min="168" max="168" width="15" customWidth="1"/>
    <x:col min="169" max="170" width="22" customWidth="1"/>
    <x:col min="171" max="171" width="27" customWidth="1"/>
    <x:col min="172" max="176" width="15" customWidth="1"/>
    <x:col min="177" max="179" width="27" customWidth="1"/>
    <x:col min="180" max="180" width="58" customWidth="1"/>
    <x:col min="181" max="186" width="16" customWidth="1"/>
    <x:col min="187" max="189" width="23" customWidth="1"/>
    <x:col min="190" max="190" width="16" customWidth="1"/>
    <x:col min="191" max="193" width="23" customWidth="1"/>
    <x:col min="194" max="194" width="16" customWidth="1"/>
    <x:col min="195" max="195" width="23" customWidth="1"/>
    <x:col min="196" max="196" width="16" customWidth="1"/>
    <x:col min="197" max="197" width="27" customWidth="1"/>
    <x:col min="198" max="202" width="16" customWidth="1"/>
    <x:col min="203" max="205" width="27" customWidth="1"/>
    <x:col min="206" max="206" width="62" customWidth="1"/>
    <x:col min="207" max="207" width="30" customWidth="1"/>
    <x:col min="208" max="212" width="17" customWidth="1"/>
    <x:col min="213" max="217" width="18" customWidth="1"/>
    <x:col min="218" max="218" width="72" customWidth="1"/>
    <x:col min="219" max="219" width="26" customWidth="1"/>
  </x:cols>
  <x:sheetData>
    <x:row r="1" ht="24" customHeight="1">
      <x:c r="A1" s="215" t="s">
        <x:v>49</x:v>
      </x:c>
      <x:c r="B1" s="215" t="s">
        <x:v>49</x:v>
      </x:c>
      <x:c r="C1" s="215" t="s">
        <x:v>49</x:v>
      </x:c>
      <x:c r="D1" s="215" t="s">
        <x:v>49</x:v>
      </x:c>
      <x:c r="E1" s="215" t="s">
        <x:v>49</x:v>
      </x:c>
      <x:c r="F1" s="215" t="s">
        <x:v>49</x:v>
      </x:c>
      <x:c r="G1" s="215" t="s">
        <x:v>49</x:v>
      </x:c>
      <x:c r="H1" s="215" t="s">
        <x:v>49</x:v>
      </x:c>
      <x:c r="I1" s="215" t="s">
        <x:v>49</x:v>
      </x:c>
      <x:c r="J1" s="215" t="s">
        <x:v>49</x:v>
      </x:c>
      <x:c r="K1" s="215" t="s">
        <x:v>49</x:v>
      </x:c>
      <x:c r="L1" s="215" t="s">
        <x:v>49</x:v>
      </x:c>
      <x:c r="M1" s="215" t="s">
        <x:v>49</x:v>
      </x:c>
      <x:c r="N1" s="215" t="s">
        <x:v>49</x:v>
      </x:c>
      <x:c r="O1" s="215" t="s">
        <x:v>49</x:v>
      </x:c>
      <x:c r="P1" s="215" t="s">
        <x:v>49</x:v>
      </x:c>
      <x:c r="Q1" s="215" t="s">
        <x:v>49</x:v>
      </x:c>
      <x:c r="R1" s="215" t="s">
        <x:v>49</x:v>
      </x:c>
      <x:c r="S1" s="215" t="s">
        <x:v>49</x:v>
      </x:c>
      <x:c r="T1" s="215" t="s">
        <x:v>49</x:v>
      </x:c>
      <x:c r="U1" s="215" t="s">
        <x:v>49</x:v>
      </x:c>
      <x:c r="V1" s="215" t="s">
        <x:v>49</x:v>
      </x:c>
      <x:c r="W1" s="215" t="s">
        <x:v>49</x:v>
      </x:c>
      <x:c r="X1" s="215" t="s">
        <x:v>49</x:v>
      </x:c>
      <x:c r="Y1" s="215" t="s">
        <x:v>49</x:v>
      </x:c>
      <x:c r="Z1" s="215" t="s">
        <x:v>49</x:v>
      </x:c>
      <x:c r="AA1" s="215" t="s">
        <x:v>49</x:v>
      </x:c>
      <x:c r="AB1" s="215" t="s">
        <x:v>49</x:v>
      </x:c>
      <x:c r="AC1" s="215" t="s">
        <x:v>49</x:v>
      </x:c>
      <x:c r="AD1" s="215" t="s">
        <x:v>49</x:v>
      </x:c>
      <x:c r="AE1" s="215" t="s">
        <x:v>49</x:v>
      </x:c>
      <x:c r="AF1" s="215" t="s">
        <x:v>49</x:v>
      </x:c>
      <x:c r="AG1" s="215" t="s">
        <x:v>49</x:v>
      </x:c>
      <x:c r="AH1" s="215" t="s">
        <x:v>49</x:v>
      </x:c>
      <x:c r="AI1" s="215" t="s">
        <x:v>49</x:v>
      </x:c>
      <x:c r="AJ1" s="215" t="s">
        <x:v>49</x:v>
      </x:c>
      <x:c r="AK1" s="215" t="s">
        <x:v>49</x:v>
      </x:c>
      <x:c r="AL1" s="215" t="s">
        <x:v>49</x:v>
      </x:c>
      <x:c r="AM1" s="215" t="s">
        <x:v>49</x:v>
      </x:c>
      <x:c r="AN1" s="215" t="s">
        <x:v>49</x:v>
      </x:c>
      <x:c r="AO1" s="215" t="s">
        <x:v>49</x:v>
      </x:c>
      <x:c r="AP1" s="215" t="s">
        <x:v>49</x:v>
      </x:c>
      <x:c r="AQ1" s="215" t="s">
        <x:v>49</x:v>
      </x:c>
      <x:c r="AR1" s="215" t="s">
        <x:v>49</x:v>
      </x:c>
      <x:c r="AS1" s="215" t="s">
        <x:v>49</x:v>
      </x:c>
      <x:c r="AT1" s="215" t="s">
        <x:v>49</x:v>
      </x:c>
      <x:c r="AU1" s="215" t="s">
        <x:v>49</x:v>
      </x:c>
      <x:c r="AV1" s="215" t="s">
        <x:v>49</x:v>
      </x:c>
      <x:c r="AW1" s="215" t="s">
        <x:v>49</x:v>
      </x:c>
      <x:c r="AX1" s="215" t="s">
        <x:v>49</x:v>
      </x:c>
      <x:c r="AY1" s="215" t="s">
        <x:v>49</x:v>
      </x:c>
      <x:c r="AZ1" s="215" t="s">
        <x:v>49</x:v>
      </x:c>
      <x:c r="BA1" s="215" t="s">
        <x:v>49</x:v>
      </x:c>
      <x:c r="BB1" s="215" t="s">
        <x:v>49</x:v>
      </x:c>
      <x:c r="BC1" s="215" t="s">
        <x:v>49</x:v>
      </x:c>
      <x:c r="BD1" s="215" t="s">
        <x:v>49</x:v>
      </x:c>
      <x:c r="BE1" s="215" t="s">
        <x:v>49</x:v>
      </x:c>
      <x:c r="BF1" s="215" t="s">
        <x:v>49</x:v>
      </x:c>
      <x:c r="BG1" s="215" t="s">
        <x:v>49</x:v>
      </x:c>
      <x:c r="BH1" s="215" t="s">
        <x:v>49</x:v>
      </x:c>
      <x:c r="BI1" s="215" t="s">
        <x:v>49</x:v>
      </x:c>
      <x:c r="BJ1" s="215" t="s">
        <x:v>49</x:v>
      </x:c>
      <x:c r="BK1" s="215" t="s">
        <x:v>49</x:v>
      </x:c>
      <x:c r="BL1" s="215" t="s">
        <x:v>49</x:v>
      </x:c>
      <x:c r="BM1" s="215" t="s">
        <x:v>49</x:v>
      </x:c>
      <x:c r="BN1" s="215" t="s">
        <x:v>49</x:v>
      </x:c>
      <x:c r="BO1" s="215" t="s">
        <x:v>49</x:v>
      </x:c>
      <x:c r="BP1" s="215" t="s">
        <x:v>49</x:v>
      </x:c>
      <x:c r="BQ1" s="215" t="s">
        <x:v>49</x:v>
      </x:c>
      <x:c r="BR1" s="215" t="s">
        <x:v>49</x:v>
      </x:c>
      <x:c r="BS1" s="215" t="s">
        <x:v>49</x:v>
      </x:c>
      <x:c r="BT1" s="215" t="s">
        <x:v>49</x:v>
      </x:c>
      <x:c r="BU1" s="215" t="s">
        <x:v>49</x:v>
      </x:c>
      <x:c r="BV1" s="215" t="s">
        <x:v>49</x:v>
      </x:c>
      <x:c r="BW1" s="215" t="s">
        <x:v>49</x:v>
      </x:c>
      <x:c r="BX1" s="215" t="s">
        <x:v>49</x:v>
      </x:c>
      <x:c r="BY1" s="215" t="s">
        <x:v>49</x:v>
      </x:c>
      <x:c r="BZ1" s="215" t="s">
        <x:v>49</x:v>
      </x:c>
      <x:c r="CA1" s="215" t="s">
        <x:v>49</x:v>
      </x:c>
      <x:c r="CB1" s="215" t="s">
        <x:v>49</x:v>
      </x:c>
      <x:c r="CC1" s="215" t="s">
        <x:v>49</x:v>
      </x:c>
      <x:c r="CD1" s="215" t="s">
        <x:v>49</x:v>
      </x:c>
      <x:c r="CE1" s="215" t="s">
        <x:v>49</x:v>
      </x:c>
      <x:c r="CF1" s="215" t="s">
        <x:v>49</x:v>
      </x:c>
      <x:c r="CG1" s="215" t="s">
        <x:v>49</x:v>
      </x:c>
      <x:c r="CH1" s="215" t="s">
        <x:v>49</x:v>
      </x:c>
      <x:c r="CI1" s="215" t="s">
        <x:v>49</x:v>
      </x:c>
      <x:c r="CJ1" s="227" t="s">
        <x:v>50</x:v>
      </x:c>
      <x:c r="CK1" s="227"/>
      <x:c r="CL1" s="227"/>
      <x:c r="CM1" s="227"/>
      <x:c r="CN1" s="227"/>
      <x:c r="CO1" s="227"/>
      <x:c r="CP1" s="227"/>
      <x:c r="CQ1" s="227"/>
      <x:c r="CR1" s="227"/>
      <x:c r="CS1" s="227"/>
      <x:c r="CT1" s="227"/>
      <x:c r="CU1" s="227"/>
      <x:c r="CV1" s="227"/>
      <x:c r="CW1" s="227"/>
      <x:c r="CX1" s="227"/>
      <x:c r="CY1" s="227"/>
      <x:c r="CZ1" s="227"/>
      <x:c r="DA1" s="227"/>
      <x:c r="DB1" s="227"/>
      <x:c r="DC1" s="227"/>
      <x:c r="DD1" s="227"/>
      <x:c r="DE1" s="227"/>
      <x:c r="DF1" s="227"/>
      <x:c r="DG1" s="227"/>
      <x:c r="DH1" s="227"/>
      <x:c r="DI1" s="227"/>
      <x:c r="DJ1" s="227"/>
      <x:c r="DK1" s="227"/>
      <x:c r="DL1" s="227"/>
      <x:c r="DM1" s="227"/>
      <x:c r="DN1" s="227"/>
      <x:c r="DO1" s="227"/>
      <x:c r="DP1" s="227"/>
      <x:c r="DQ1" s="227"/>
      <x:c r="DR1" s="227"/>
      <x:c r="DS1" s="227"/>
      <x:c r="DT1" s="227"/>
      <x:c r="DU1" s="227"/>
      <x:c r="DV1" s="227"/>
      <x:c r="DW1" s="227"/>
      <x:c r="DX1" s="227"/>
      <x:c r="DY1" s="227"/>
      <x:c r="DZ1" s="227"/>
      <x:c r="EA1" s="227"/>
      <x:c r="EB1" s="227"/>
      <x:c r="EC1" s="227"/>
      <x:c r="ED1" s="227"/>
      <x:c r="EE1" s="227"/>
      <x:c r="EF1" s="227"/>
      <x:c r="EG1" s="227"/>
      <x:c r="EH1" s="227"/>
      <x:c r="EI1" s="227"/>
      <x:c r="EJ1" s="227"/>
      <x:c r="EK1" s="227"/>
      <x:c r="EL1" s="227"/>
      <x:c r="EM1" s="227"/>
      <x:c r="EN1" s="227"/>
      <x:c r="EO1" s="227"/>
      <x:c r="EP1" s="227"/>
      <x:c r="EQ1" s="227"/>
      <x:c r="ER1" s="227"/>
      <x:c r="ES1" s="227"/>
      <x:c r="ET1" s="227"/>
      <x:c r="EU1" s="227"/>
      <x:c r="EV1" s="224" t="s">
        <x:v>51</x:v>
      </x:c>
      <x:c r="EW1" s="224"/>
      <x:c r="EX1" s="224"/>
      <x:c r="EY1" s="224"/>
      <x:c r="EZ1" s="224"/>
      <x:c r="FA1" s="224"/>
      <x:c r="FB1" s="224"/>
      <x:c r="FC1" s="224"/>
      <x:c r="FD1" s="224"/>
      <x:c r="FE1" s="224"/>
      <x:c r="FF1" s="224"/>
      <x:c r="FG1" s="224"/>
      <x:c r="FH1" s="224"/>
      <x:c r="FI1" s="224"/>
      <x:c r="FJ1" s="224"/>
      <x:c r="FK1" s="224"/>
      <x:c r="FL1" s="224"/>
      <x:c r="FM1" s="224"/>
      <x:c r="FN1" s="224"/>
      <x:c r="FO1" s="224"/>
      <x:c r="FP1" s="224"/>
      <x:c r="FQ1" s="224"/>
      <x:c r="FR1" s="224"/>
      <x:c r="FS1" s="224"/>
      <x:c r="FT1" s="224"/>
      <x:c r="FU1" s="224"/>
      <x:c r="FV1" s="224"/>
      <x:c r="FW1" s="224"/>
      <x:c r="FX1" s="224"/>
      <x:c r="FY1" s="219" t="s">
        <x:v>52</x:v>
      </x:c>
      <x:c r="FZ1" s="219"/>
      <x:c r="GA1" s="219"/>
      <x:c r="GB1" s="219"/>
      <x:c r="GC1" s="219"/>
      <x:c r="GD1" s="219"/>
      <x:c r="GE1" s="219"/>
      <x:c r="GF1" s="219"/>
      <x:c r="GG1" s="219"/>
      <x:c r="GH1" s="219"/>
      <x:c r="GI1" s="219"/>
      <x:c r="GJ1" s="219"/>
      <x:c r="GK1" s="219"/>
      <x:c r="GL1" s="219"/>
      <x:c r="GM1" s="219"/>
      <x:c r="GN1" s="219"/>
      <x:c r="GO1" s="219"/>
      <x:c r="GP1" s="219"/>
      <x:c r="GQ1" s="219"/>
      <x:c r="GR1" s="219"/>
      <x:c r="GS1" s="219"/>
      <x:c r="GT1" s="219"/>
      <x:c r="GU1" s="219"/>
      <x:c r="GV1" s="219"/>
      <x:c r="GW1" s="219"/>
      <x:c r="GX1" s="219"/>
      <x:c r="GY1" s="228" t="str">
        <x:v>METODOLOGIE v9 – FĂRĂ EVALUAREA FB</x:v>
      </x:c>
      <x:c r="GZ1" s="228"/>
      <x:c r="HA1" s="228"/>
      <x:c r="HB1" s="228"/>
      <x:c r="HC1" s="228"/>
      <x:c r="HD1" s="228"/>
      <x:c r="HE1" s="228"/>
      <x:c r="HF1" s="228"/>
      <x:c r="HG1" s="228"/>
      <x:c r="HH1" s="228"/>
      <x:c r="HI1" s="228"/>
      <x:c r="HJ1" s="228"/>
      <x:c r="HK1" s="228"/>
    </x:row>
    <x:row r="2" ht="24" customHeight="1">
      <x:c r="A2" s="222" t="s">
        <x:v>53</x:v>
      </x:c>
      <x:c r="B2" s="222" t="s">
        <x:v>53</x:v>
      </x:c>
      <x:c r="C2" s="222" t="s">
        <x:v>53</x:v>
      </x:c>
      <x:c r="D2" s="222" t="s">
        <x:v>53</x:v>
      </x:c>
      <x:c r="E2" s="222" t="s">
        <x:v>53</x:v>
      </x:c>
      <x:c r="F2" s="222" t="s">
        <x:v>53</x:v>
      </x:c>
      <x:c r="G2" s="222" t="s">
        <x:v>53</x:v>
      </x:c>
      <x:c r="H2" s="222" t="s">
        <x:v>53</x:v>
      </x:c>
      <x:c r="I2" s="222" t="s">
        <x:v>54</x:v>
      </x:c>
      <x:c r="J2" s="222" t="s">
        <x:v>54</x:v>
      </x:c>
      <x:c r="K2" s="222" t="s">
        <x:v>54</x:v>
      </x:c>
      <x:c r="L2" s="222" t="s">
        <x:v>54</x:v>
      </x:c>
      <x:c r="M2" s="222" t="s">
        <x:v>54</x:v>
      </x:c>
      <x:c r="N2" s="222" t="s">
        <x:v>54</x:v>
      </x:c>
      <x:c r="O2" s="222" t="s">
        <x:v>54</x:v>
      </x:c>
      <x:c r="P2" s="222" t="s">
        <x:v>54</x:v>
      </x:c>
      <x:c r="Q2" s="222" t="s">
        <x:v>54</x:v>
      </x:c>
      <x:c r="R2" s="222" t="s">
        <x:v>54</x:v>
      </x:c>
      <x:c r="S2" s="222" t="s">
        <x:v>54</x:v>
      </x:c>
      <x:c r="T2" s="222" t="s">
        <x:v>54</x:v>
      </x:c>
      <x:c r="U2" s="222" t="s">
        <x:v>54</x:v>
      </x:c>
      <x:c r="V2" s="222" t="s">
        <x:v>54</x:v>
      </x:c>
      <x:c r="W2" s="222" t="s">
        <x:v>55</x:v>
      </x:c>
      <x:c r="X2" s="222" t="s">
        <x:v>55</x:v>
      </x:c>
      <x:c r="Y2" s="222" t="s">
        <x:v>55</x:v>
      </x:c>
      <x:c r="Z2" s="222" t="s">
        <x:v>55</x:v>
      </x:c>
      <x:c r="AA2" s="222" t="s">
        <x:v>55</x:v>
      </x:c>
      <x:c r="AB2" s="222" t="s">
        <x:v>55</x:v>
      </x:c>
      <x:c r="AC2" s="222" t="s">
        <x:v>55</x:v>
      </x:c>
      <x:c r="AD2" s="222" t="s">
        <x:v>55</x:v>
      </x:c>
      <x:c r="AE2" s="222" t="s">
        <x:v>55</x:v>
      </x:c>
      <x:c r="AF2" s="222" t="s">
        <x:v>55</x:v>
      </x:c>
      <x:c r="AG2" s="222" t="s">
        <x:v>56</x:v>
      </x:c>
      <x:c r="AH2" s="222" t="s">
        <x:v>56</x:v>
      </x:c>
      <x:c r="AI2" s="222" t="s">
        <x:v>56</x:v>
      </x:c>
      <x:c r="AJ2" s="222" t="s">
        <x:v>56</x:v>
      </x:c>
      <x:c r="AK2" s="222" t="s">
        <x:v>56</x:v>
      </x:c>
      <x:c r="AL2" s="222" t="s">
        <x:v>56</x:v>
      </x:c>
      <x:c r="AM2" s="222" t="s">
        <x:v>56</x:v>
      </x:c>
      <x:c r="AN2" s="222" t="s">
        <x:v>56</x:v>
      </x:c>
      <x:c r="AO2" s="222" t="s">
        <x:v>57</x:v>
      </x:c>
      <x:c r="AP2" s="222" t="s">
        <x:v>57</x:v>
      </x:c>
      <x:c r="AQ2" s="222" t="s">
        <x:v>57</x:v>
      </x:c>
      <x:c r="AR2" s="222" t="s">
        <x:v>57</x:v>
      </x:c>
      <x:c r="AS2" s="222" t="s">
        <x:v>57</x:v>
      </x:c>
      <x:c r="AT2" s="222" t="s">
        <x:v>57</x:v>
      </x:c>
      <x:c r="AU2" s="222" t="s">
        <x:v>57</x:v>
      </x:c>
      <x:c r="AV2" s="222" t="s">
        <x:v>58</x:v>
      </x:c>
      <x:c r="AW2" s="222" t="s">
        <x:v>58</x:v>
      </x:c>
      <x:c r="AX2" s="222" t="s">
        <x:v>58</x:v>
      </x:c>
      <x:c r="AY2" s="222" t="s">
        <x:v>58</x:v>
      </x:c>
      <x:c r="AZ2" s="222" t="s">
        <x:v>58</x:v>
      </x:c>
      <x:c r="BA2" s="222" t="s">
        <x:v>58</x:v>
      </x:c>
      <x:c r="BB2" s="222" t="s">
        <x:v>58</x:v>
      </x:c>
      <x:c r="BC2" s="222" t="s">
        <x:v>58</x:v>
      </x:c>
      <x:c r="BD2" s="222" t="s">
        <x:v>58</x:v>
      </x:c>
      <x:c r="BE2" s="222" t="s">
        <x:v>58</x:v>
      </x:c>
      <x:c r="BF2" s="222" t="s">
        <x:v>58</x:v>
      </x:c>
      <x:c r="BG2" s="222" t="s">
        <x:v>58</x:v>
      </x:c>
      <x:c r="BH2" s="222" t="s">
        <x:v>59</x:v>
      </x:c>
      <x:c r="BI2" s="222" t="s">
        <x:v>59</x:v>
      </x:c>
      <x:c r="BJ2" s="223" t="s">
        <x:v>60</x:v>
      </x:c>
      <x:c r="BK2" s="223" t="s">
        <x:v>60</x:v>
      </x:c>
      <x:c r="BL2" s="223" t="s">
        <x:v>60</x:v>
      </x:c>
      <x:c r="BM2" s="223" t="s">
        <x:v>60</x:v>
      </x:c>
      <x:c r="BN2" s="223" t="s">
        <x:v>60</x:v>
      </x:c>
      <x:c r="BO2" s="223" t="s">
        <x:v>60</x:v>
      </x:c>
      <x:c r="BP2" s="223" t="s">
        <x:v>60</x:v>
      </x:c>
      <x:c r="BQ2" s="223" t="s">
        <x:v>60</x:v>
      </x:c>
      <x:c r="BR2" s="223" t="s">
        <x:v>60</x:v>
      </x:c>
      <x:c r="BS2" s="223" t="s">
        <x:v>60</x:v>
      </x:c>
      <x:c r="BT2" s="223" t="s">
        <x:v>60</x:v>
      </x:c>
      <x:c r="BU2" s="223" t="s">
        <x:v>60</x:v>
      </x:c>
      <x:c r="BV2" s="223" t="s">
        <x:v>60</x:v>
      </x:c>
      <x:c r="BW2" s="223" t="s">
        <x:v>60</x:v>
      </x:c>
      <x:c r="BX2" s="223" t="s">
        <x:v>60</x:v>
      </x:c>
      <x:c r="BY2" s="223" t="s">
        <x:v>60</x:v>
      </x:c>
      <x:c r="BZ2" s="223" t="s">
        <x:v>60</x:v>
      </x:c>
      <x:c r="CA2" s="223" t="s">
        <x:v>60</x:v>
      </x:c>
      <x:c r="CB2" s="223" t="s">
        <x:v>60</x:v>
      </x:c>
      <x:c r="CC2" s="223" t="s">
        <x:v>60</x:v>
      </x:c>
      <x:c r="CD2" s="223" t="s">
        <x:v>60</x:v>
      </x:c>
      <x:c r="CE2" s="223" t="s">
        <x:v>60</x:v>
      </x:c>
      <x:c r="CF2" s="223" t="s">
        <x:v>60</x:v>
      </x:c>
      <x:c r="CG2" s="223" t="s">
        <x:v>60</x:v>
      </x:c>
      <x:c r="CH2" s="223" t="s">
        <x:v>60</x:v>
      </x:c>
      <x:c r="CI2" s="223" t="s">
        <x:v>60</x:v>
      </x:c>
      <x:c r="CJ2" s="217" t="s">
        <x:v>61</x:v>
      </x:c>
      <x:c r="CK2" s="217"/>
      <x:c r="CL2" s="217"/>
      <x:c r="CM2" s="217"/>
      <x:c r="CN2" s="217"/>
      <x:c r="CO2" s="217"/>
      <x:c r="CP2" s="217"/>
      <x:c r="CQ2" s="217"/>
      <x:c r="CR2" s="217"/>
      <x:c r="CS2" s="217"/>
      <x:c r="CT2" s="217"/>
      <x:c r="CU2" s="217"/>
      <x:c r="CV2" s="217"/>
      <x:c r="CW2" s="217"/>
      <x:c r="CX2" s="217"/>
      <x:c r="CY2" s="217"/>
      <x:c r="CZ2" s="217"/>
      <x:c r="DA2" s="217"/>
      <x:c r="DB2" s="217"/>
      <x:c r="DC2" s="217"/>
      <x:c r="DD2" s="217"/>
      <x:c r="DE2" s="217"/>
      <x:c r="DF2" s="217"/>
      <x:c r="DG2" s="217"/>
      <x:c r="DH2" s="217"/>
      <x:c r="DI2" s="217"/>
      <x:c r="DJ2" s="217"/>
      <x:c r="DK2" s="217"/>
      <x:c r="DL2" s="217"/>
      <x:c r="DM2" s="217"/>
      <x:c r="DN2" s="217"/>
      <x:c r="DO2" s="217"/>
      <x:c r="DP2" s="217"/>
      <x:c r="DQ2" s="217"/>
      <x:c r="DR2" s="217"/>
      <x:c r="DS2" s="217"/>
      <x:c r="DT2" s="217"/>
      <x:c r="DU2" s="217"/>
      <x:c r="DV2" s="217"/>
      <x:c r="DW2" s="218" t="s">
        <x:v>62</x:v>
      </x:c>
      <x:c r="DX2" s="218"/>
      <x:c r="DY2" s="218"/>
      <x:c r="DZ2" s="218"/>
      <x:c r="EA2" s="218"/>
      <x:c r="EB2" s="218"/>
      <x:c r="EC2" s="218"/>
      <x:c r="ED2" s="218"/>
      <x:c r="EE2" s="218"/>
      <x:c r="EF2" s="218"/>
      <x:c r="EG2" s="218"/>
      <x:c r="EH2" s="218"/>
      <x:c r="EI2" s="218"/>
      <x:c r="EJ2" s="218"/>
      <x:c r="EK2" s="218"/>
      <x:c r="EL2" s="218"/>
      <x:c r="EM2" s="218"/>
      <x:c r="EN2" s="218"/>
      <x:c r="EO2" s="218"/>
      <x:c r="EP2" s="218"/>
      <x:c r="EQ2" s="218"/>
      <x:c r="ER2" s="218"/>
      <x:c r="ES2" s="218"/>
      <x:c r="ET2" s="218"/>
      <x:c r="EU2" s="218"/>
      <x:c r="EV2" s="225" t="s">
        <x:v>63</x:v>
      </x:c>
      <x:c r="EW2" s="225"/>
      <x:c r="EX2" s="225"/>
      <x:c r="EY2" s="225"/>
      <x:c r="EZ2" s="225"/>
      <x:c r="FA2" s="225"/>
      <x:c r="FB2" s="225"/>
      <x:c r="FC2" s="226" t="s">
        <x:v>64</x:v>
      </x:c>
      <x:c r="FD2" s="226"/>
      <x:c r="FE2" s="226"/>
      <x:c r="FF2" s="226"/>
      <x:c r="FG2" s="226"/>
      <x:c r="FH2" s="226"/>
      <x:c r="FI2" s="226"/>
      <x:c r="FJ2" s="226"/>
      <x:c r="FK2" s="226"/>
      <x:c r="FL2" s="226"/>
      <x:c r="FM2" s="226"/>
      <x:c r="FN2" s="226"/>
      <x:c r="FO2" s="226"/>
      <x:c r="FP2" s="226"/>
      <x:c r="FQ2" s="226"/>
      <x:c r="FR2" s="226"/>
      <x:c r="FS2" s="226"/>
      <x:c r="FT2" s="226"/>
      <x:c r="FU2" s="226"/>
      <x:c r="FV2" s="226"/>
      <x:c r="FW2" s="226"/>
      <x:c r="FX2" s="226"/>
      <x:c r="FY2" s="220" t="s">
        <x:v>65</x:v>
      </x:c>
      <x:c r="FZ2" s="220"/>
      <x:c r="GA2" s="220"/>
      <x:c r="GB2" s="220"/>
      <x:c r="GC2" s="221" t="s">
        <x:v>66</x:v>
      </x:c>
      <x:c r="GD2" s="221"/>
      <x:c r="GE2" s="221"/>
      <x:c r="GF2" s="221"/>
      <x:c r="GG2" s="221"/>
      <x:c r="GH2" s="221"/>
      <x:c r="GI2" s="221"/>
      <x:c r="GJ2" s="221"/>
      <x:c r="GK2" s="221"/>
      <x:c r="GL2" s="221"/>
      <x:c r="GM2" s="221"/>
      <x:c r="GN2" s="221"/>
      <x:c r="GO2" s="221"/>
      <x:c r="GP2" s="221"/>
      <x:c r="GQ2" s="221"/>
      <x:c r="GR2" s="221"/>
      <x:c r="GS2" s="221"/>
      <x:c r="GT2" s="221"/>
      <x:c r="GU2" s="221"/>
      <x:c r="GV2" s="221"/>
      <x:c r="GW2" s="221"/>
      <x:c r="GX2" s="221"/>
      <x:c r="GY2" s="229" t="str">
        <x:v>DECIZIE TEHNICĂ – WORKBOOK OPTIMIZAT V4 (G0 FĂRĂ FB)</x:v>
      </x:c>
      <x:c r="GZ2" s="229"/>
      <x:c r="HA2" s="229"/>
      <x:c r="HB2" s="229"/>
      <x:c r="HC2" s="229"/>
      <x:c r="HD2" s="229"/>
      <x:c r="HE2" s="229"/>
      <x:c r="HF2" s="229"/>
      <x:c r="HG2" s="229"/>
      <x:c r="HH2" s="229"/>
      <x:c r="HI2" s="229"/>
      <x:c r="HJ2" s="229"/>
      <x:c r="HK2" s="229"/>
    </x:row>
    <x:row r="3" ht="24" customHeight="1">
      <x:c r="A3" s="46" t="s">
        <x:v>3</x:v>
      </x:c>
      <x:c r="B3" s="46" t="s">
        <x:v>67</x:v>
      </x:c>
      <x:c r="C3" s="46" t="s">
        <x:v>14</x:v>
      </x:c>
      <x:c r="D3" s="46" t="s">
        <x:v>11</x:v>
      </x:c>
      <x:c r="E3" s="46" t="s">
        <x:v>68</x:v>
      </x:c>
      <x:c r="F3" s="46" t="s">
        <x:v>69</x:v>
      </x:c>
      <x:c r="G3" s="46" t="s">
        <x:v>9</x:v>
      </x:c>
      <x:c r="H3" s="46" t="s">
        <x:v>10</x:v>
      </x:c>
      <x:c r="I3" s="46" t="s">
        <x:v>70</x:v>
      </x:c>
      <x:c r="J3" s="46" t="s">
        <x:v>71</x:v>
      </x:c>
      <x:c r="K3" s="46" t="s">
        <x:v>72</x:v>
      </x:c>
      <x:c r="L3" s="46" t="s">
        <x:v>73</x:v>
      </x:c>
      <x:c r="M3" s="46" t="s">
        <x:v>74</x:v>
      </x:c>
      <x:c r="N3" s="46" t="s">
        <x:v>75</x:v>
      </x:c>
      <x:c r="O3" s="46" t="s">
        <x:v>76</x:v>
      </x:c>
      <x:c r="P3" s="46" t="s">
        <x:v>77</x:v>
      </x:c>
      <x:c r="Q3" s="46" t="s">
        <x:v>78</x:v>
      </x:c>
      <x:c r="R3" s="46" t="s">
        <x:v>79</x:v>
      </x:c>
      <x:c r="S3" s="46" t="s">
        <x:v>80</x:v>
      </x:c>
      <x:c r="T3" s="46" t="s">
        <x:v>81</x:v>
      </x:c>
      <x:c r="U3" s="46" t="s">
        <x:v>82</x:v>
      </x:c>
      <x:c r="V3" s="46" t="s">
        <x:v>83</x:v>
      </x:c>
      <x:c r="W3" s="46" t="s">
        <x:v>84</x:v>
      </x:c>
      <x:c r="X3" s="46" t="s">
        <x:v>85</x:v>
      </x:c>
      <x:c r="Y3" s="46" t="s">
        <x:v>86</x:v>
      </x:c>
      <x:c r="Z3" s="46" t="s">
        <x:v>87</x:v>
      </x:c>
      <x:c r="AA3" s="46" t="s">
        <x:v>88</x:v>
      </x:c>
      <x:c r="AB3" s="46" t="s">
        <x:v>89</x:v>
      </x:c>
      <x:c r="AC3" s="46" t="s">
        <x:v>90</x:v>
      </x:c>
      <x:c r="AD3" s="46" t="s">
        <x:v>91</x:v>
      </x:c>
      <x:c r="AE3" s="46" t="s">
        <x:v>92</x:v>
      </x:c>
      <x:c r="AF3" s="46" t="s">
        <x:v>93</x:v>
      </x:c>
      <x:c r="AG3" s="46" t="s">
        <x:v>94</x:v>
      </x:c>
      <x:c r="AH3" s="46" t="s">
        <x:v>95</x:v>
      </x:c>
      <x:c r="AI3" s="46" t="s">
        <x:v>96</x:v>
      </x:c>
      <x:c r="AJ3" s="46" t="s">
        <x:v>97</x:v>
      </x:c>
      <x:c r="AK3" s="46" t="s">
        <x:v>98</x:v>
      </x:c>
      <x:c r="AL3" s="46" t="s">
        <x:v>99</x:v>
      </x:c>
      <x:c r="AM3" s="46" t="s">
        <x:v>100</x:v>
      </x:c>
      <x:c r="AN3" s="46" t="s">
        <x:v>101</x:v>
      </x:c>
      <x:c r="AO3" s="46" t="s">
        <x:v>102</x:v>
      </x:c>
      <x:c r="AP3" s="46" t="s">
        <x:v>103</x:v>
      </x:c>
      <x:c r="AQ3" s="46" t="s">
        <x:v>104</x:v>
      </x:c>
      <x:c r="AR3" s="46" t="s">
        <x:v>105</x:v>
      </x:c>
      <x:c r="AS3" s="46" t="s">
        <x:v>106</x:v>
      </x:c>
      <x:c r="AT3" s="46" t="s">
        <x:v>107</x:v>
      </x:c>
      <x:c r="AU3" s="46" t="s">
        <x:v>108</x:v>
      </x:c>
      <x:c r="AV3" s="46" t="s">
        <x:v>109</x:v>
      </x:c>
      <x:c r="AW3" s="46" t="s">
        <x:v>110</x:v>
      </x:c>
      <x:c r="AX3" s="46" t="s">
        <x:v>111</x:v>
      </x:c>
      <x:c r="AY3" s="46" t="s">
        <x:v>112</x:v>
      </x:c>
      <x:c r="AZ3" s="46" t="s">
        <x:v>113</x:v>
      </x:c>
      <x:c r="BA3" s="46" t="s">
        <x:v>114</x:v>
      </x:c>
      <x:c r="BB3" s="46" t="s">
        <x:v>115</x:v>
      </x:c>
      <x:c r="BC3" s="46" t="s">
        <x:v>116</x:v>
      </x:c>
      <x:c r="BD3" s="46" t="s">
        <x:v>117</x:v>
      </x:c>
      <x:c r="BE3" s="46" t="s">
        <x:v>118</x:v>
      </x:c>
      <x:c r="BF3" s="46" t="s">
        <x:v>119</x:v>
      </x:c>
      <x:c r="BG3" s="46" t="s">
        <x:v>120</x:v>
      </x:c>
      <x:c r="BH3" s="46" t="s">
        <x:v>121</x:v>
      </x:c>
      <x:c r="BI3" s="46" t="s">
        <x:v>122</x:v>
      </x:c>
      <x:c r="BJ3" s="2" t="s">
        <x:v>5</x:v>
      </x:c>
      <x:c r="BK3" s="2" t="s">
        <x:v>6</x:v>
      </x:c>
      <x:c r="BL3" s="2" t="s">
        <x:v>8</x:v>
      </x:c>
      <x:c r="BM3" s="2" t="s">
        <x:v>13</x:v>
      </x:c>
      <x:c r="BN3" s="2" t="s">
        <x:v>18</x:v>
      </x:c>
      <x:c r="BO3" s="2" t="s">
        <x:v>123</x:v>
      </x:c>
      <x:c r="BP3" s="2" t="s">
        <x:v>19</x:v>
      </x:c>
      <x:c r="BQ3" s="2" t="s">
        <x:v>124</x:v>
      </x:c>
      <x:c r="BR3" s="2" t="s">
        <x:v>125</x:v>
      </x:c>
      <x:c r="BS3" s="2" t="s">
        <x:v>126</x:v>
      </x:c>
      <x:c r="BT3" s="2" t="s">
        <x:v>127</x:v>
      </x:c>
      <x:c r="BU3" s="2" t="s">
        <x:v>128</x:v>
      </x:c>
      <x:c r="BV3" s="2" t="s">
        <x:v>129</x:v>
      </x:c>
      <x:c r="BW3" s="2" t="s">
        <x:v>130</x:v>
      </x:c>
      <x:c r="BX3" s="2" t="s">
        <x:v>131</x:v>
      </x:c>
      <x:c r="BY3" s="2" t="s">
        <x:v>132</x:v>
      </x:c>
      <x:c r="BZ3" s="2" t="s">
        <x:v>133</x:v>
      </x:c>
      <x:c r="CA3" s="2" t="s">
        <x:v>134</x:v>
      </x:c>
      <x:c r="CB3" s="2" t="s">
        <x:v>135</x:v>
      </x:c>
      <x:c r="CC3" s="2" t="s">
        <x:v>136</x:v>
      </x:c>
      <x:c r="CD3" s="2" t="s">
        <x:v>137</x:v>
      </x:c>
      <x:c r="CE3" s="2" t="s">
        <x:v>138</x:v>
      </x:c>
      <x:c r="CF3" s="2" t="s">
        <x:v>30</x:v>
      </x:c>
      <x:c r="CG3" s="2" t="s">
        <x:v>139</x:v>
      </x:c>
      <x:c r="CH3" s="2" t="s">
        <x:v>140</x:v>
      </x:c>
      <x:c r="CI3" s="2" t="s">
        <x:v>141</x:v>
      </x:c>
      <x:c r="CJ3" s="110" t="s">
        <x:v>142</x:v>
      </x:c>
      <x:c r="CK3" s="110" t="s">
        <x:v>143</x:v>
      </x:c>
      <x:c r="CL3" s="110" t="s">
        <x:v>144</x:v>
      </x:c>
      <x:c r="CM3" s="110" t="s">
        <x:v>145</x:v>
      </x:c>
      <x:c r="CN3" s="110" t="s">
        <x:v>146</x:v>
      </x:c>
      <x:c r="CO3" s="110" t="s">
        <x:v>147</x:v>
      </x:c>
      <x:c r="CP3" s="110" t="s">
        <x:v>148</x:v>
      </x:c>
      <x:c r="CQ3" s="110" t="s">
        <x:v>149</x:v>
      </x:c>
      <x:c r="CR3" s="110" t="s">
        <x:v>150</x:v>
      </x:c>
      <x:c r="CS3" s="110" t="s">
        <x:v>151</x:v>
      </x:c>
      <x:c r="CT3" s="110" t="s">
        <x:v>152</x:v>
      </x:c>
      <x:c r="CU3" s="110" t="s">
        <x:v>153</x:v>
      </x:c>
      <x:c r="CV3" s="110" t="s">
        <x:v>154</x:v>
      </x:c>
      <x:c r="CW3" s="110" t="s">
        <x:v>155</x:v>
      </x:c>
      <x:c r="CX3" s="110" t="s">
        <x:v>156</x:v>
      </x:c>
      <x:c r="CY3" s="110" t="s">
        <x:v>157</x:v>
      </x:c>
      <x:c r="CZ3" s="110" t="s">
        <x:v>158</x:v>
      </x:c>
      <x:c r="DA3" s="110" t="s">
        <x:v>159</x:v>
      </x:c>
      <x:c r="DB3" s="110" t="s">
        <x:v>160</x:v>
      </x:c>
      <x:c r="DC3" s="110" t="s">
        <x:v>161</x:v>
      </x:c>
      <x:c r="DD3" s="110" t="s">
        <x:v>162</x:v>
      </x:c>
      <x:c r="DE3" s="110" t="s">
        <x:v>163</x:v>
      </x:c>
      <x:c r="DF3" s="110" t="s">
        <x:v>164</x:v>
      </x:c>
      <x:c r="DG3" s="110" t="s">
        <x:v>165</x:v>
      </x:c>
      <x:c r="DH3" s="110" t="s">
        <x:v>166</x:v>
      </x:c>
      <x:c r="DI3" s="110" t="s">
        <x:v>167</x:v>
      </x:c>
      <x:c r="DJ3" s="110" t="s">
        <x:v>168</x:v>
      </x:c>
      <x:c r="DK3" s="110" t="s">
        <x:v>169</x:v>
      </x:c>
      <x:c r="DL3" s="110" t="s">
        <x:v>170</x:v>
      </x:c>
      <x:c r="DM3" s="110" t="s">
        <x:v>171</x:v>
      </x:c>
      <x:c r="DN3" s="110" t="s">
        <x:v>172</x:v>
      </x:c>
      <x:c r="DO3" s="110" t="s">
        <x:v>173</x:v>
      </x:c>
      <x:c r="DP3" s="110" t="s">
        <x:v>174</x:v>
      </x:c>
      <x:c r="DQ3" s="110" t="s">
        <x:v>175</x:v>
      </x:c>
      <x:c r="DR3" s="110" t="s">
        <x:v>176</x:v>
      </x:c>
      <x:c r="DS3" s="110" t="s">
        <x:v>177</x:v>
      </x:c>
      <x:c r="DT3" s="110" t="s">
        <x:v>178</x:v>
      </x:c>
      <x:c r="DU3" s="110" t="s">
        <x:v>179</x:v>
      </x:c>
      <x:c r="DV3" s="110" t="s">
        <x:v>180</x:v>
      </x:c>
      <x:c r="DW3" s="111" t="s">
        <x:v>181</x:v>
      </x:c>
      <x:c r="DX3" s="111" t="s">
        <x:v>182</x:v>
      </x:c>
      <x:c r="DY3" s="111" t="s">
        <x:v>183</x:v>
      </x:c>
      <x:c r="DZ3" s="111" t="s">
        <x:v>184</x:v>
      </x:c>
      <x:c r="EA3" s="111" t="s">
        <x:v>185</x:v>
      </x:c>
      <x:c r="EB3" s="111" t="s">
        <x:v>186</x:v>
      </x:c>
      <x:c r="EC3" s="111" t="s">
        <x:v>187</x:v>
      </x:c>
      <x:c r="ED3" s="111" t="s">
        <x:v>188</x:v>
      </x:c>
      <x:c r="EE3" s="111" t="s">
        <x:v>189</x:v>
      </x:c>
      <x:c r="EF3" s="111" t="s">
        <x:v>190</x:v>
      </x:c>
      <x:c r="EG3" s="111" t="s">
        <x:v>191</x:v>
      </x:c>
      <x:c r="EH3" s="111" t="s">
        <x:v>192</x:v>
      </x:c>
      <x:c r="EI3" s="111" t="s">
        <x:v>193</x:v>
      </x:c>
      <x:c r="EJ3" s="111" t="s">
        <x:v>194</x:v>
      </x:c>
      <x:c r="EK3" s="111" t="s">
        <x:v>195</x:v>
      </x:c>
      <x:c r="EL3" s="111" t="s">
        <x:v>196</x:v>
      </x:c>
      <x:c r="EM3" s="111" t="s">
        <x:v>197</x:v>
      </x:c>
      <x:c r="EN3" s="111" t="s">
        <x:v>198</x:v>
      </x:c>
      <x:c r="EO3" s="111" t="s">
        <x:v>199</x:v>
      </x:c>
      <x:c r="EP3" s="111" t="s">
        <x:v>200</x:v>
      </x:c>
      <x:c r="EQ3" s="111" t="s">
        <x:v>201</x:v>
      </x:c>
      <x:c r="ER3" s="111" t="s">
        <x:v>202</x:v>
      </x:c>
      <x:c r="ES3" s="111" t="s">
        <x:v>203</x:v>
      </x:c>
      <x:c r="ET3" s="111" t="s">
        <x:v>204</x:v>
      </x:c>
      <x:c r="EU3" s="111" t="s">
        <x:v>205</x:v>
      </x:c>
      <x:c r="EV3" s="129" t="s">
        <x:v>206</x:v>
      </x:c>
      <x:c r="EW3" s="129" t="s">
        <x:v>207</x:v>
      </x:c>
      <x:c r="EX3" s="129" t="s">
        <x:v>208</x:v>
      </x:c>
      <x:c r="EY3" s="129" t="s">
        <x:v>209</x:v>
      </x:c>
      <x:c r="EZ3" s="129" t="s">
        <x:v>210</x:v>
      </x:c>
      <x:c r="FA3" s="129" t="s">
        <x:v>211</x:v>
      </x:c>
      <x:c r="FB3" s="246" t="str">
        <x:v>Neutilizat</x:v>
      </x:c>
      <x:c r="FC3" s="130" t="s">
        <x:v>212</x:v>
      </x:c>
      <x:c r="FD3" s="130" t="s">
        <x:v>213</x:v>
      </x:c>
      <x:c r="FE3" s="130" t="s">
        <x:v>214</x:v>
      </x:c>
      <x:c r="FF3" s="130" t="s">
        <x:v>215</x:v>
      </x:c>
      <x:c r="FG3" s="130" t="s">
        <x:v>216</x:v>
      </x:c>
      <x:c r="FH3" s="130" t="str">
        <x:v>Risc statistic 0–0 HT</x:v>
      </x:c>
      <x:c r="FI3" s="130" t="s">
        <x:v>217</x:v>
      </x:c>
      <x:c r="FJ3" s="130" t="s">
        <x:v>218</x:v>
      </x:c>
      <x:c r="FK3" s="130" t="s">
        <x:v>219</x:v>
      </x:c>
      <x:c r="FL3" s="130" t="s">
        <x:v>220</x:v>
      </x:c>
      <x:c r="FM3" s="130" t="str">
        <x:v>Piață confirmă zero-risk (doar P_cap)</x:v>
      </x:c>
      <x:c r="FN3" s="130" t="str">
        <x:v>Lineup confirmă zero-risk (doar P_cap)</x:v>
      </x:c>
      <x:c r="FO3" s="130" t="s">
        <x:v>221</x:v>
      </x:c>
      <x:c r="FP3" s="130" t="s">
        <x:v>222</x:v>
      </x:c>
      <x:c r="FQ3" s="130" t="s">
        <x:v>223</x:v>
      </x:c>
      <x:c r="FR3" s="130" t="s">
        <x:v>224</x:v>
      </x:c>
      <x:c r="FS3" s="130" t="s">
        <x:v>225</x:v>
      </x:c>
      <x:c r="FT3" s="130" t="s">
        <x:v>226</x:v>
      </x:c>
      <x:c r="FU3" s="130" t="s">
        <x:v>227</x:v>
      </x:c>
      <x:c r="FV3" s="130" t="s">
        <x:v>228</x:v>
      </x:c>
      <x:c r="FW3" s="130" t="s">
        <x:v>229</x:v>
      </x:c>
      <x:c r="FX3" s="130" t="s">
        <x:v>230</x:v>
      </x:c>
      <x:c r="FY3" s="155" t="s">
        <x:v>231</x:v>
      </x:c>
      <x:c r="FZ3" s="155" t="s">
        <x:v>232</x:v>
      </x:c>
      <x:c r="GA3" s="155" t="s">
        <x:v>233</x:v>
      </x:c>
      <x:c r="GB3" s="155" t="s">
        <x:v>234</x:v>
      </x:c>
      <x:c r="GC3" s="156" t="s">
        <x:v>235</x:v>
      </x:c>
      <x:c r="GD3" s="156" t="s">
        <x:v>236</x:v>
      </x:c>
      <x:c r="GE3" s="156" t="s">
        <x:v>237</x:v>
      </x:c>
      <x:c r="GF3" s="156" t="s">
        <x:v>238</x:v>
      </x:c>
      <x:c r="GG3" s="156" t="s">
        <x:v>239</x:v>
      </x:c>
      <x:c r="GH3" s="156" t="s">
        <x:v>240</x:v>
      </x:c>
      <x:c r="GI3" s="156" t="s">
        <x:v>241</x:v>
      </x:c>
      <x:c r="GJ3" s="156" t="s">
        <x:v>242</x:v>
      </x:c>
      <x:c r="GK3" s="156" t="s">
        <x:v>243</x:v>
      </x:c>
      <x:c r="GL3" s="156" t="s">
        <x:v>21</x:v>
      </x:c>
      <x:c r="GM3" s="156" t="str">
        <x:v>Date critice zero-mass complete</x:v>
      </x:c>
      <x:c r="GN3" s="156" t="str">
        <x:v>Clasă zero-mass</x:v>
      </x:c>
      <x:c r="GO3" s="156" t="str">
        <x:v>Plafon probabilitate raportată</x:v>
      </x:c>
      <x:c r="GP3" s="156" t="s">
        <x:v>244</x:v>
      </x:c>
      <x:c r="GQ3" s="156" t="s">
        <x:v>23</x:v>
      </x:c>
      <x:c r="GR3" s="156" t="s">
        <x:v>27</x:v>
      </x:c>
      <x:c r="GS3" s="156" t="s">
        <x:v>28</x:v>
      </x:c>
      <x:c r="GT3" s="156" t="s">
        <x:v>24</x:v>
      </x:c>
      <x:c r="GU3" s="156" t="str">
        <x:v>Gate selecție v5 (istoric)</x:v>
      </x:c>
      <x:c r="GV3" s="156" t="str">
        <x:v>Verdict v5 (istoric)</x:v>
      </x:c>
      <x:c r="GW3" s="156" t="s">
        <x:v>245</x:v>
      </x:c>
      <x:c r="GX3" s="156" t="s">
        <x:v>246</x:v>
      </x:c>
      <x:c r="GY3" s="173" t="s">
        <x:v>247</x:v>
      </x:c>
      <x:c r="GZ3" s="173" t="s">
        <x:v>248</x:v>
      </x:c>
      <x:c r="HA3" s="173" t="s">
        <x:v>249</x:v>
      </x:c>
      <x:c r="HB3" s="173" t="s">
        <x:v>250</x:v>
      </x:c>
      <x:c r="HC3" s="173" t="s">
        <x:v>251</x:v>
      </x:c>
      <x:c r="HD3" s="173" t="s">
        <x:v>252</x:v>
      </x:c>
      <x:c r="HE3" s="173" t="s">
        <x:v>253</x:v>
      </x:c>
      <x:c r="HF3" s="173" t="s">
        <x:v>254</x:v>
      </x:c>
      <x:c r="HG3" s="173" t="str">
        <x:v>G0 / Hard Gate – date critice</x:v>
      </x:c>
      <x:c r="HH3" s="173" t="s">
        <x:v>255</x:v>
      </x:c>
      <x:c r="HI3" s="173" t="s">
        <x:v>256</x:v>
      </x:c>
      <x:c r="HJ3" s="173" t="s">
        <x:v>257</x:v>
      </x:c>
      <x:c r="HK3" s="173" t="str">
        <x:v>Recomandare finală tehnică</x:v>
      </x:c>
    </x:row>
    <x:row r="4" ht="24" customHeight="1">
      <x:c r="A4" s="47" t="s">
        <x:v>4</x:v>
      </x:c>
      <x:c r="B4" s="22" t="s">
        <x:v>258</x:v>
      </x:c>
      <x:c r="C4" s="48">
        <x:v>46266</x:v>
      </x:c>
      <x:c r="D4" s="22" t="s">
        <x:v>259</x:v>
      </x:c>
      <x:c r="E4" s="22" t="s">
        <x:v>260</x:v>
      </x:c>
      <x:c r="F4" s="22" t="s">
        <x:v>261</x:v>
      </x:c>
      <x:c r="G4" s="22" t="s">
        <x:v>262</x:v>
      </x:c>
      <x:c r="H4" s="22" t="s">
        <x:v>263</x:v>
      </x:c>
      <x:c r="I4" s="22">
        <x:v>10</x:v>
      </x:c>
      <x:c r="J4" s="22">
        <x:v>1.8</x:v>
      </x:c>
      <x:c r="K4" s="22">
        <x:v>1</x:v>
      </x:c>
      <x:c r="L4" s="22">
        <x:v>1.7</x:v>
      </x:c>
      <x:c r="M4" s="22">
        <x:v>1.05</x:v>
      </x:c>
      <x:c r="N4" s="16">
        <x:v>0.9</x:v>
      </x:c>
      <x:c r="O4" s="16">
        <x:v>0.1</x:v>
      </x:c>
      <x:c r="P4" s="22">
        <x:v>10</x:v>
      </x:c>
      <x:c r="Q4" s="22">
        <x:v>1.2</x:v>
      </x:c>
      <x:c r="R4" s="22">
        <x:v>1.6</x:v>
      </x:c>
      <x:c r="S4" s="22">
        <x:v>1.25</x:v>
      </x:c>
      <x:c r="T4" s="22">
        <x:v>1.55</x:v>
      </x:c>
      <x:c r="U4" s="16">
        <x:v>0.9</x:v>
      </x:c>
      <x:c r="V4" s="16">
        <x:v>0.2</x:v>
      </x:c>
      <x:c r="W4" s="22">
        <x:v>5</x:v>
      </x:c>
      <x:c r="X4" s="22">
        <x:v>1.6</x:v>
      </x:c>
      <x:c r="Y4" s="22">
        <x:v>1</x:v>
      </x:c>
      <x:c r="Z4" s="22">
        <x:v>1.55</x:v>
      </x:c>
      <x:c r="AA4" s="22">
        <x:v>1.1000000000000001</x:v>
      </x:c>
      <x:c r="AB4" s="22">
        <x:v>5</x:v>
      </x:c>
      <x:c r="AC4" s="22">
        <x:v>1.2</x:v>
      </x:c>
      <x:c r="AD4" s="22">
        <x:v>1.6</x:v>
      </x:c>
      <x:c r="AE4" s="22">
        <x:v>1.3</x:v>
      </x:c>
      <x:c r="AF4" s="22">
        <x:v>1.45</x:v>
      </x:c>
      <x:c r="AG4" s="22">
        <x:v>4</x:v>
      </x:c>
      <x:c r="AH4" s="22">
        <x:v>2.25</x:v>
      </x:c>
      <x:c r="AI4" s="16">
        <x:v>1</x:v>
      </x:c>
      <x:c r="AJ4" s="22">
        <x:v>1.45</x:v>
      </x:c>
      <x:c r="AK4" s="22">
        <x:v>1.1499999999999999</x:v>
      </x:c>
      <x:c r="AL4" s="22">
        <x:v>2.6</x:v>
      </x:c>
      <x:c r="AM4" s="16">
        <x:v>0.08</x:v>
      </x:c>
      <x:c r="AN4" s="22">
        <x:v>120</x:v>
      </x:c>
      <x:c r="AO4" s="49">
        <x:v>1.72</x:v>
      </x:c>
      <x:c r="AP4" s="49">
        <x:v>3.85</x:v>
      </x:c>
      <x:c r="AQ4" s="49">
        <x:v>4.8</x:v>
      </x:c>
      <x:c r="AR4" s="49">
        <x:v>1.1200000000000001</x:v>
      </x:c>
      <x:c r="AS4" s="49">
        <x:v>7.2</x:v>
      </x:c>
      <x:c r="AT4" s="22">
        <x:v>4</x:v>
      </x:c>
      <x:c r="AU4" s="22">
        <x:v>0</x:v>
      </x:c>
      <x:c r="AV4" s="22">
        <x:v>1</x:v>
      </x:c>
      <x:c r="AW4" s="22">
        <x:v>1</x:v>
      </x:c>
      <x:c r="AX4" s="22">
        <x:v>0</x:v>
      </x:c>
      <x:c r="AY4" s="22">
        <x:v>1</x:v>
      </x:c>
      <x:c r="AZ4" s="22">
        <x:v>0</x:v>
      </x:c>
      <x:c r="BA4" s="22">
        <x:v>0</x:v>
      </x:c>
      <x:c r="BB4" s="22">
        <x:v>0</x:v>
      </x:c>
      <x:c r="BC4" s="22">
        <x:v>0</x:v>
      </x:c>
      <x:c r="BD4" s="22">
        <x:v>0</x:v>
      </x:c>
      <x:c r="BE4" s="22">
        <x:v>0</x:v>
      </x:c>
      <x:c r="BF4" s="22">
        <x:v>1</x:v>
      </x:c>
      <x:c r="BG4" s="22">
        <x:v>0</x:v>
      </x:c>
      <x:c r="BH4" s="50" t="s">
        <x:v>264</x:v>
      </x:c>
      <x:c r="BI4" s="50" t="s">
        <x:v>265</x:v>
      </x:c>
      <x:c r="BJ4" s="51" t="n">
        <x:f>IF($A4="","",SQRT((($I4*IF($J4="",$AJ4,$J4)+'Setari model'!$B$30*$AJ4)/($I4+'Setari model'!$B$30))*(($P4*IF($R4="",$AJ4,$R4)+'Setari model'!$B$30*$AJ4)/($P4+'Setari model'!$B$30)))+SQRT((($P4*IF($Q4="",$AK4,$Q4)+'Setari model'!$B$30*$AK4)/($P4+'Setari model'!$B$30))*(($I4*IF($K4="",$AK4,$K4)+'Setari model'!$B$30*$AK4)/($I4+'Setari model'!$B$30))))</x:f>
        <x:v>2.7087635820327414</x:v>
      </x:c>
      <x:c r="BK4" s="51" t="n">
        <x:f>IF($A4="","",SQRT((($I4*IF($L4="",IF($J4="",$AJ4,$J4),$L4)+'Setari model'!$B$30*$AJ4)/($I4+'Setari model'!$B$30))*(($P4*IF($T4="",IF($R4="",$AJ4,$R4),$T4)+'Setari model'!$B$30*$AJ4)/($P4+'Setari model'!$B$30)))+SQRT((($P4*IF($S4="",IF($Q4="",$AK4,$Q4),$S4)+'Setari model'!$B$30*$AK4)/($P4+'Setari model'!$B$30))*(($I4*IF($M4="",IF($K4="",$AK4,$K4),$M4)+'Setari model'!$B$30*$AK4)/($I4+'Setari model'!$B$30))))</x:f>
        <x:v>2.695318373689451</x:v>
      </x:c>
      <x:c r="BL4" s="51" t="n">
        <x:f>IF($A4="","",SQRT((($W4*IF($X4="",$AL4/2,$X4)+'Setari model'!$B$31*$AL4/2)/($W4+'Setari model'!$B$31))*(($AB4*IF($AD4="",$AL4/2,$AD4)+'Setari model'!$B$31*$AL4/2)/($AB4+'Setari model'!$B$31)))+SQRT((($AB4*IF($AC4="",$AL4/2,$AC4)+'Setari model'!$B$31*$AL4/2)/($AB4+'Setari model'!$B$31))*(($W4*IF($Y4="",$AL4/2,$Y4)+'Setari model'!$B$31*$AL4/2)/($W4+'Setari model'!$B$31))))</x:f>
        <x:v>2.6489578808281795</x:v>
      </x:c>
      <x:c r="BM4" s="51" t="n">
        <x:f>IF($A4="","",SQRT((($W4*IF($Z4="",IF($X4="",$AL4/2,$X4),$Z4)+'Setari model'!$B$31*$AL4/2)/($W4+'Setari model'!$B$31))*(($AB4*IF($AF4="",IF($AD4="",$AL4/2,$AD4),$AF4)+'Setari model'!$B$31*$AL4/2)/($AB4+'Setari model'!$B$31)))+SQRT((($AB4*IF($AE4="",IF($AC4="",$AL4/2,$AC4),$AE4)+'Setari model'!$B$31*$AL4/2)/($AB4+'Setari model'!$B$31))*(($W4*IF($AA4="",IF($Y4="",$AL4/2,$Y4),$AA4)+'Setari model'!$B$31*$AL4/2)/($W4+'Setari model'!$B$31))))</x:f>
        <x:v>2.6487763675966214</x:v>
      </x:c>
      <x:c r="BN4" s="51" t="n">
        <x:f t="shared" ref="BN4:BN35" si="0">IF($A4="","",IF($AG4&gt;0,($AG4*IF($AH4="",$AL4,$AH4)+5*$AL4)/($AG4+5),$AL4))</x:f>
        <x:v>2.4444444444444446</x:v>
      </x:c>
      <x:c r="BO4" s="52" t="n">
        <x:f>IF($A4="","",IF($AR4&gt;1,IF($AS4&gt;1,(1/$AR4)/((1/$AR4+1/$AS4)),MIN(0.995,(1/$AR4)/(1+'Setari model'!$B$32))),1-EXP(-$AL4)))</x:f>
        <x:v>0.8653846153846154</x:v>
      </x:c>
      <x:c r="BP4" s="51" t="n">
        <x:f t="shared" ref="BP4:BP35" si="1">IF($A4="","",-LN(1-$BO4))</x:f>
        <x:v>2.0053335695261145</x:v>
      </x:c>
      <x:c r="BQ4" s="51" t="n">
        <x:f>IF($A4="","",$BJ4*INDEX('Setari model'!$B$5:$B$11,MATCH($E4,'Setari model'!$A$5:$A$11,0))+$BK4*INDEX('Setari model'!$C$5:$C$11,MATCH($E4,'Setari model'!$A$5:$A$11,0))+$BL4*INDEX('Setari model'!$D$5:$D$11,MATCH($E4,'Setari model'!$A$5:$A$11,0))+$BM4*INDEX('Setari model'!$E$5:$E$11,MATCH($E4,'Setari model'!$A$5:$A$11,0))+$BN4*INDEX('Setari model'!$F$5:$F$11,MATCH($E4,'Setari model'!$A$5:$A$11,0))+$BP4*INDEX('Setari model'!$G$5:$G$11,MATCH($E4,'Setari model'!$A$5:$A$11,0)))</x:f>
        <x:v>2.568702883845408</x:v>
      </x:c>
      <x:c r="BR4" s="53" t="n">
        <x:f>IF($A4="","",MAX('Setari model'!$B$53,MIN('Setari model'!$B$54,1+($AV4*'Setari model'!$B$15+$AW4*'Setari model'!$B$16+$AX4*'Setari model'!$B$17+$AY4*'Setari model'!$B$18+$AZ4*'Setari model'!$B$19+$BA4*'Setari model'!$B$20+$BB4*'Setari model'!$B$21+$BC4*'Setari model'!$B$22+$BD4*'Setari model'!$B$23+$BE4*'Setari model'!$B$24+$BF4*'Setari model'!$B$25)*INDEX('Setari model'!$H$5:$H$11,MATCH($E4,'Setari model'!$A$5:$A$11,0)))))</x:f>
        <x:v>1.07</x:v>
      </x:c>
      <x:c r="BS4" s="51" t="n">
        <x:f t="shared" ref="BS4:BS35" si="2">IF($A4="","",$BQ4*$BR4)</x:f>
        <x:v>2.748512085714587</x:v>
      </x:c>
      <x:c r="BT4" s="52" t="n">
        <x:f t="shared" ref="BT4:BT35" si="3">IF($A4="","",EXP(-$BS4))</x:f>
        <x:v>0.06402305118433504</x:v>
      </x:c>
      <x:c r="BU4" s="54" t="n">
        <x:f>IF($A4="","",IF(OR($AM4="",$AN4=""),1,1+MIN('Setari model'!$B$33,$AN4/100*'Setari model'!$B$33)*($AM4/EXP(-$AL4)-1)))</x:f>
        <x:v>1.0385495214000677</x:v>
      </x:c>
      <x:c r="BV4" s="52" t="n">
        <x:f>IF($A4="","",MIN(0.45,MAX(0.005,(1-'Setari model'!$B$34*MIN(1,($I4+$P4)/20))*MIN(0.45,$BT4*$BU4)+'Setari model'!$B$34*MIN(1,($I4+$P4)/20)*IF(COUNT($N4,$U4)=2,SQRT(MAX(0,1-$N4)*MAX(0,1-$U4)),IF($AM4="",EXP(-$AL4),$AM4)))))</x:f>
        <x:v>0.07486833187454739</x:v>
      </x:c>
      <x:c r="BW4" s="52" t="n">
        <x:f t="shared" ref="BW4:BW35" si="4">IF($A4="","",1-$BV4)</x:f>
        <x:v>0.9251316681254527</x:v>
      </x:c>
      <x:c r="BX4" s="51" t="n">
        <x:f t="shared" ref="BX4:BX35" si="5">IF($A4="","",1/$BW4)</x:f>
        <x:v>1.0809272176643236</x:v>
      </x:c>
      <x:c r="BY4" s="52" t="n">
        <x:f t="shared" ref="BY4:BY35" si="6">IF($A4="","",$BO4)</x:f>
        <x:v>0.8653846153846154</x:v>
      </x:c>
      <x:c r="BZ4" s="52" t="n">
        <x:f t="shared" ref="BZ4:BZ35" si="7">IF($A4="","",$BW4-$BY4)</x:f>
        <x:v>0.05974705274083725</x:v>
      </x:c>
      <x:c r="CA4" s="52" t="n">
        <x:f t="shared" ref="CA4:CA35" si="8">IF($A4="","",IF($AR4&gt;1,$BW4*$AR4-1,""))</x:f>
        <x:v>0.03614746830050719</x:v>
      </x:c>
      <x:c r="CB4" s="52" t="n">
        <x:f>IF($A4="","",MIN(1,COUNT($I4:$AN4,$AR4:$BG4)/'Setari model'!$B$46))</x:f>
        <x:v>1</x:v>
      </x:c>
      <x:c r="CC4" s="52" t="n">
        <x:f t="shared" ref="CC4:CC35" si="9">IF($A4="","",0.25*MIN(1,$I4/10)+0.25*MIN(1,$P4/10)+0.15*MIN(1,$W4/5)+0.15*MIN(1,$AB4/5)+0.1*MIN(1,$AG4/5)+0.1*MIN(1,$AN4/100))</x:f>
        <x:v>0.9800000000000001</x:v>
      </x:c>
      <x:c r="CD4" s="52" t="n">
        <x:f>IF($A4="","",MAX(0,1-(MAX($BJ4:$BN4,$BP4)-MIN($BJ4:$BN4,$BP4))/(AVERAGE($BJ4:$BN4,$BP4)*'Setari model'!$B$45)))</x:f>
        <x:v>0.5357386144452715</x:v>
      </x:c>
      <x:c r="CE4" s="55" t="n">
        <x:f>IF($A4="","",MAX(0,MIN(100,100*INDEX('Setari model'!$I$5:$I$11,MATCH($E4,'Setari model'!$A$5:$A$11,0))*('Setari model'!$B$47*$CB4+'Setari model'!$B$48*$CC4+'Setari model'!$B$49*$CD4+'Setari model'!$B$50*$AT4/5+'Setari model'!$B$51*$AU4)-100*'Setari model'!$B$52*$BG4)))</x:f>
        <x:v>72.31477228890543</x:v>
      </x:c>
      <x:c r="CF4" s="54" t="str">
        <x:f t="shared" ref="CF4:CF35" si="10">IF($A4="","",IF(OR($AT4&lt;3,$BG4&gt;=2,$CB4&lt;0.55,$CC4&lt;0.4),"RIDICAT",IF(OR($AU4=0,$CD4&lt;0.45,$BR4&lt;0.9),"MEDIU","SCĂZUT")))</x:f>
        <x:v>MEDIU</x:v>
      </x:c>
      <x:c r="CG4" s="54" t="str">
        <x:f>IF($A4="","",IF($AR4&gt;1,IF(AND($BW4&gt;= 'Setari model'!$B$35,$CE4&gt;=100*'Setari model'!$B$36,$BZ4&gt;= 'Setari model'!$B$37,$CA4&gt;= 'Setari model'!$B$38,$CF4&lt;&gt;"RIDICAT"),"PARIU RECOMANDAT",IF(AND($BW4&gt;= 'Setari model'!$B$39,$CE4&gt;=100*'Setari model'!$B$40,$BZ4&gt;= 'Setari model'!$B$41,$CA4&gt;=0,$CF4&lt;&gt;"RIDICAT"),"RECOMANDAT CU PRUDENȚĂ",IF(AND($BW4&gt;= 'Setari model'!$B$42,$CE4&gt;=100*'Setari model'!$B$43),"ANALIZĂ NECONCLUDENTĂ","PARIU EVITAT"))),IF(AND($BW4&gt;= 'Setari model'!$B$35,$CE4&gt;=100*'Setari model'!$B$36,$CF4&lt;&gt;"RIDICAT"),"FAVORABIL STATISTIC – VERIFICĂ COTA",IF(AND($BW4&gt;= 'Setari model'!$B$42,$CE4&gt;=100*'Setari model'!$B$43),"ANALIZĂ NECONCLUDENTĂ","PARIU EVITAT"))))</x:f>
        <x:v>RECOMANDAT CU PRUDENȚĂ</x:v>
      </x:c>
      <x:c r="CH4" s="56" t="str">
        <x:f t="shared" ref="CH4:CH35" si="11">IF($A4="","","P(O0,5)="&amp;TEXT($BW4,"0.0%")&amp;"; λ ajustat="&amp;TEXT($BS4,"0.00")&amp;"; Confidence="&amp;TEXT($CE4,"0")&amp;"/100; Edge="&amp;TEXT($BZ4,"0.0%")&amp;"; risc="&amp;$CF4&amp;". "&amp;$BH4)</x:f>
        <x:v>P(O0,5)=92.5%; λ ajustat=2.75; Confidence=72/100; Edge=6.0%; risc=MEDIU. Exemplu pentru campionat; confirmați loturile și cotele înainte de utilizare.</x:v>
      </x:c>
      <x:c r="CI4" s="57" t="str">
        <x:f t="shared" ref="CI4:CI35" si="12">IF($A4="","",$BI4)</x:f>
        <x:v>https://footystats.org/ ; https://understat.com/</x:v>
      </x:c>
      <x:c r="CJ4" s="112">
        <x:v>7</x:v>
      </x:c>
      <x:c r="CK4" s="112">
        <x:v>0</x:v>
      </x:c>
      <x:c r="CL4" s="112">
        <x:v>0</x:v>
      </x:c>
      <x:c r="CM4" s="112">
        <x:v>5.2</x:v>
      </x:c>
      <x:c r="CN4" s="112">
        <x:v>4.4000000000000004</x:v>
      </x:c>
      <x:c r="CO4" s="112">
        <x:v>2</x:v>
      </x:c>
      <x:c r="CP4" s="112">
        <x:v>1.6</x:v>
      </x:c>
      <x:c r="CQ4" s="112">
        <x:v>0.12</x:v>
      </x:c>
      <x:c r="CR4" s="112">
        <x:v>0.11</x:v>
      </x:c>
      <x:c r="CS4" s="112">
        <x:v>27</x:v>
      </x:c>
      <x:c r="CT4" s="112">
        <x:v>23</x:v>
      </x:c>
      <x:c r="CU4" s="112">
        <x:v>0.28000000000000003</x:v>
      </x:c>
      <x:c r="CV4" s="112">
        <x:v>0.22</x:v>
      </x:c>
      <x:c r="CW4" s="112">
        <x:v>0</x:v>
      </x:c>
      <x:c r="CX4" s="112">
        <x:v>0</x:v>
      </x:c>
      <x:c r="CY4" s="112">
        <x:v>1</x:v>
      </x:c>
      <x:c r="CZ4" s="112">
        <x:v>1</x:v>
      </x:c>
      <x:c r="DA4" s="112">
        <x:v>1</x:v>
      </x:c>
      <x:c r="DB4" s="112">
        <x:v>1</x:v>
      </x:c>
      <x:c r="DC4" s="114">
        <x:v>1.1299999999999999</x:v>
      </x:c>
      <x:c r="DD4" s="114"/>
      <x:c r="DE4" s="112" t="s">
        <x:v>266</x:v>
      </x:c>
      <x:c r="DF4" s="112"/>
      <x:c r="DG4" s="112"/>
      <x:c r="DH4" s="112"/>
      <x:c r="DI4" s="112"/>
      <x:c r="DJ4" s="112"/>
      <x:c r="DK4" s="112"/>
      <x:c r="DL4" s="112"/>
      <x:c r="DM4" s="112"/>
      <x:c r="DN4" s="112"/>
      <x:c r="DO4" s="112">
        <x:v>0</x:v>
      </x:c>
      <x:c r="DP4" s="112">
        <x:v>0</x:v>
      </x:c>
      <x:c r="DQ4" s="114"/>
      <x:c r="DR4" s="112">
        <x:v>1</x:v>
      </x:c>
      <x:c r="DS4" s="116">
        <x:v>0</x:v>
      </x:c>
      <x:c r="DT4" s="120">
        <x:v>1000</x:v>
      </x:c>
      <x:c r="DU4" s="116">
        <x:v>0.02</x:v>
      </x:c>
      <x:c r="DV4" s="116">
        <x:v>0.25</x:v>
      </x:c>
      <x:c r="DW4" s="118" t="n">
        <x:f>IF($A4="","",MAX('Setari model'!$B$71,MIN('Setari model'!$B$72,1+0.08*(IFERROR(AVERAGE($CM4:$CN4)/'Setari model'!$B$66,1)-1)+0.08*(IFERROR(AVERAGE($CO4:$CP4)/'Setari model'!$B$67,1)-1)+0.06*(IFERROR(AVERAGE($CQ4:$CR4)/'Setari model'!$B$68,1)-1)+0.04*(IFERROR(AVERAGE($CS4:$CT4)/'Setari model'!$B$69,1)-1)+0.04*(IFERROR(AVERAGE($CU4:$CV4)/'Setari model'!$B$70,1)-1)-'Setari model'!$B$73*IFERROR(AVERAGE($CW4:$CX4),0))))</x:f>
        <x:v>1.0357878787878787</x:v>
      </x:c>
      <x:c r="DX4" s="118" t="n">
        <x:f>IF($A4="","",1+'Setari model'!$B$62*MAX(IF(OR($CK4=1,$CL4=1),1,0),IF(AND($CJ4&lt;&gt;"",$CJ4&lt;=1),1,0))+'Setari model'!$B$63*IF(AND($CJ4&gt;1,$CJ4&lt;=3),1,0))</x:f>
        <x:v>1</x:v>
      </x:c>
      <x:c r="DY4" s="118" t="n">
        <x:f>IF($A4="","",1+'Setari model'!$B$74*(IF($CY4="",0,IF($CY4=0,1,0))+IF($CZ4="",0,IF($CZ4=0,1,0)))+'Setari model'!$B$75*(IF($DA4="",0,IF($DA4=0,1,0))+IF($DB4="",0,IF($DB4=0,1,0))))</x:f>
        <x:v>1</x:v>
      </x:c>
      <x:c r="DZ4" s="117" t="n">
        <x:f>IF($A4="","",MIN(0.6,MAX(0.002,(((1-'Setari model'!$B$34*MIN(1,($I4+$P4)/20))*$BT4+'Setari model'!$B$34*MIN(1,($I4+$P4)/20)*IF(COUNT($N4,$U4)=2,SQRT(MAX(0,1-$N4)*MAX(0,1-$U4)),$BT4))*(1-'Setari model'!$B$65*MIN(1,IF($AN4="",0,$AN4/'Setari model'!$B$64)))+'Setari model'!$B$65*MIN(1,IF($AN4="",0,$AN4/'Setari model'!$B$64))*IF($AM4="",$BT4,$AM4))*$DX4*$DY4/$DW4)))</x:f>
        <x:v>0.0721123897129207</x:v>
      </x:c>
      <x:c r="EA4" s="117" t="n">
        <x:f>IF($A4="","",MIN(1-$DZ4,IF(OR(MIN($I4,$P4)&lt;'Setari model'!$B$58,$CK4=1,$CL4=1,AND($CJ4&lt;&gt;"",$CJ4&lt;=1)),'Setari model'!$B$59,IF(AND($AU4=1,$AR4&gt;1,COUNT($CY4:$DB4)=4),'Setari model'!$B$61,'Setari model'!$B$60))))</x:f>
        <x:v>0.9278876102870793</x:v>
      </x:c>
      <x:c r="EB4" s="115" t="n">
        <x:f t="shared" ref="EB4:EB35" si="13">IF($A4="","",1/$EA4)</x:f>
        <x:v>1.0777167287432685</x:v>
      </x:c>
      <x:c r="EC4" s="117" t="n">
        <x:f t="shared" ref="EC4:EC35" si="14">IF($A4="","",IF($AR4&gt;1,IF($AS4&gt;1,(1/$AR4)/((1/$AR4)+(1/$AS4)),1/$AR4),""))</x:f>
        <x:v>0.8653846153846154</x:v>
      </x:c>
      <x:c r="ED4" s="117" t="n">
        <x:f t="shared" ref="ED4:ED35" si="15">IF($A4="","",IF($EC4="","",$EA4-$EC4))</x:f>
        <x:v>0.06250299490246392</x:v>
      </x:c>
      <x:c r="EE4" s="117" t="str">
        <x:f t="shared" ref="EE4:EE35" si="16">""</x:f>
      </x:c>
      <x:c r="EF4" s="119" t="n">
        <x:f>IF($A4="","",MAX(0,MIN(100,$CE4-200*MAX(0,$EG4-'Setari model'!$B$77)-IF($AU4&lt;&gt;1,10,0)-IF(COUNT($CY4:$DB4)&lt;4,4,0))))</x:f>
        <x:v>59.194772288905426</x:v>
      </x:c>
      <x:c r="EG4" s="117" t="n">
        <x:f>IF($A4="","",'Setari model'!$B$77+IF(MIN($I4,$P4)&lt;'Setari model'!$B$58,0.03,0)+IF(OR($CK4=1,$CL4=1,AND($CJ4&lt;&gt;"",$CJ4&lt;=1)),0.03,0)+IF($AG4=0,0.02,0)+0.03*(1-MIN(1,COUNT($CM4:$CV4)/10))+0.03*(1-MIN(1,IF($AN4="",0,$AN4/'Setari model'!$B$64)))+IF($AR4&lt;=1,0.02,0))</x:f>
        <x:v>0.0456</x:v>
      </x:c>
      <x:c r="EH4" s="113" t="str">
        <x:f>IF($A4="","",IF(OR(MIN($I4,$P4)&lt;'Setari model'!$B$58,$CK4=1,$CL4=1,AND($CJ4&lt;&gt;"",$CJ4&lt;=1)),"92% – early/regim",IF(AND($AU4=1,$AR4&gt;1,COUNT($CY4:$DB4)=4),"94% – confirmat","93% – standard")))</x:f>
        <x:v>93% – standard</x:v>
      </x:c>
      <x:c r="EI4" s="113" t="str">
        <x:f t="shared" ref="EI4:EI35" si="17">IF($A4="","",IF(AND($EA4&gt;0.9,$AU4&lt;&gt;1),"WAIT XI – HIGH P",IF(AND($EA4&gt;0.9,COUNT($CY4:$DB4)&lt;4),"WAIT DATE CHEIE – HIGH P",IF($EP4&lt;&gt;"DA","NU – PORTOFOLIU","DA"))))</x:f>
        <x:v>WAIT XI – HIGH P</x:v>
      </x:c>
      <x:c r="EJ4" s="117" t="str">
        <x:f t="shared" ref="EJ4:EJ35" si="18">IF($A4="","",IF($DE4&lt;&gt;"Live 20-30","",IF(SUM($DG4:$DH4)&gt;0,1,IF($EU4="","",1-MIN(0.95,MAX(0.001,EXP(-$EU4)*$DX4*$DY4/$DW4))))))</x:f>
      </x:c>
      <x:c r="EK4" s="117" t="str">
        <x:f t="shared" ref="EK4:EK35" si="19">""</x:f>
      </x:c>
      <x:c r="EL4" s="113" t="str">
        <x:f>IF($A4="","",IF($DE4="Live 20-30",IF(SUM($DG4:$DH4)&gt;0,"EVENIMENT ÎNDEPLINIT",IF(OR($DF4="",COUNT($DI4:$DN4)&lt;4),"LIVE – WATCH",IF($EJ4&gt;=0.75,"LIVE – FEZABIL TEHNIC","LIVE – NO BET"))),IF($EI4&lt;&gt;"DA","WATCH / NO BET",IF(AND($EA4&gt;=INDEX('Setari model'!$B$35:$B$40,1),$EF4&gt;=100*'Setari model'!$B$76),"PARIU RECOMANDAT",IF(AND($EA4&gt;=INDEX('Setari model'!$B$35:$B$40,5),$EF4&gt;=100*'Setari model'!$B$40),"WATCH – APROAPE DE PRAG","PARIU EVITAT")))))</x:f>
        <x:v>WATCH / NO BET</x:v>
      </x:c>
      <x:c r="EM4" s="113" t="str">
        <x:f t="shared" ref="EM4:EM35" si="20">IF($A4="","",IF($DE4="Live 20-30",IF(SUM($DG4:$DH4)&gt;0,"Gol deja marcat.",IF($DF4="","Minut live lipsă.",IF(COUNT($DI4:$DN4)&lt;4,"Lipsesc xG/SOT/big chances live.",IF($EJ4&lt;0.75,"P live sub prag.","Semnal live tehnic complet; EV ignorat.")))),IF($EI4&lt;&gt;"DA",$EI4,IF($EF4&lt;75,"Confidence sub 75.",IF($EA4&lt;0.92,"P sub 92%.","G0/Zero-Mass + confidence trecute; EV ignorat.")))))</x:f>
        <x:v>WAIT XI – HIGH P</x:v>
      </x:c>
      <x:c r="EN4" s="117" t="n">
        <x:f>IF($A4="","",IF(OR($EL4="PARIU RECOMANDAT",$EL4="LIVE – FEZABIL"),MIN(IF($DU4&gt;0,$DU4,'Setari model'!$B$81)/MAX(1,$DR4),IF($DV4&gt;0,$DV4,'Setari model'!$B$80)*MAX(0,((IF($DE4="Live 20-30",$EJ4,$EA4)*IF($DE4="Live 20-30",$DQ4,$AR4)-1)/(IF($DE4="Live 20-30",$DQ4,$AR4)-1)))),0))</x:f>
        <x:v>0</x:v>
      </x:c>
      <x:c r="EO4" s="121" t="str">
        <x:f t="shared" ref="EO4:EO35" si="21">IF($A4="","",IF(AND($EN4&gt;0,$DT4&gt;0),$EN4*$DT4,""))</x:f>
      </x:c>
      <x:c r="EP4" s="113" t="str">
        <x:f>IF($A4="","",IF(OR($DR4&lt;1,$DR4&gt;'Setari model'!$B$78),"NU – 1–5 selecții",IF($DS4&gt;'Setari model'!$B$79,"NU – corelație", "DA")))</x:f>
        <x:v>DA</x:v>
      </x:c>
      <x:c r="EQ4" s="117" t="str">
        <x:f t="shared" ref="EQ4:EQ35" si="22">IF($A4="","",IF(AND($DC4&gt;1,$DD4&gt;1),$DC4/$DD4-1,""))</x:f>
      </x:c>
      <x:c r="ER4" s="113" t="str">
        <x:f t="shared" ref="ER4:ER35" si="23">IF($A4="","","P v2="&amp;TEXT($EA4,"0.0%")&amp;" ±"&amp;TEXT($EG4,"0.0%")&amp;"; P0 ZIP="&amp;TEXT($DZ4,"0.0%")&amp;"; Confidence="&amp;TEXT($EF4,"0")&amp;"/100; piață reală="&amp;IF($EC4="","NU","DA")&amp;"; EV="&amp;IF($EE4="","n/a",TEXT($EE4,"0.0%"))&amp;"; gate="&amp;$EI4&amp;"; verdict="&amp;$EL4&amp;". "&amp;$EM4)</x:f>
        <x:v>P v2=92.8% ±4.6%; P0 ZIP=7.2%; Confidence=59/100; piață reală=DA; EV=n/a; gate=WAIT XI – HIGH P; verdict=WATCH / NO BET. WAIT XI – HIGH P</x:v>
      </x:c>
      <x:c r="ES4" s="119" t="n">
        <x:f>IF($A4="","",'Setari model'!$B$82)</x:f>
        <x:v>20</x:v>
      </x:c>
      <x:c r="ET4" s="118" t="n">
        <x:f>IF($A4="","",'Setari model'!$B$83)</x:f>
        <x:v>1.5</x:v>
      </x:c>
      <x:c r="EU4" s="115" t="str">
        <x:f t="shared" ref="EU4:EU35" si="24">IF(OR($A4="",$DE4&lt;&gt;"Live 20-30",$DF4="",$DF4&lt;$ES4,$DF4&gt;=90),"",MAX(0.05,MIN($BS4*$ET4,$BS4*(90-$DF4)/90+0.35*($DI4+$DJ4)+0.06*($DK4+$DL4)+0.15*($DM4+$DN4)+0.1*(MAX($DO4,$DP4)-MIN($DO4,$DP4)))))</x:f>
      </x:c>
      <x:c r="EV4" s="132">
        <x:v>0.05</x:v>
      </x:c>
      <x:c r="EW4" s="132">
        <x:v>0.08</x:v>
      </x:c>
      <x:c r="EX4" s="132">
        <x:v>0.35</x:v>
      </x:c>
      <x:c r="EY4" s="132">
        <x:v>0.25</x:v>
      </x:c>
      <x:c r="EZ4" s="132">
        <x:v>0.3</x:v>
      </x:c>
      <x:c r="FA4" s="132">
        <x:v>0.35</x:v>
      </x:c>
      <x:c r="FB4" s="247"/>
      <x:c r="FC4" s="134" t="n">
        <x:f t="shared" ref="FC4:FC35" si="25">IF($A4="","",IF(OR($J4="",$L4="",$L4&lt;=0),"",MAX(0.5,MIN(1.5,$J4/$L4))))</x:f>
        <x:v>1.0588235294117647</x:v>
      </x:c>
      <x:c r="FD4" s="134" t="n">
        <x:f t="shared" ref="FD4:FD35" si="26">IF($A4="","",IF(OR($Q4="",$S4="",$S4&lt;=0),"",MAX(0.5,MIN(1.5,$Q4/$S4))))</x:f>
        <x:v>0.96</x:v>
      </x:c>
      <x:c r="FE4" s="134" t="n">
        <x:f>IF($A4="","",IF(COUNT($EV4:$EW4)&lt;2,"",SQRT($EV4*$EW4)/'Setari model'!$B$87))</x:f>
        <x:v>0.6324555320336758</x:v>
      </x:c>
      <x:c r="FF4" s="134" t="n">
        <x:f>IF($A4="","",IF(COUNT($O4,$V4,$EX4,$EY4)&lt;4,"",AVERAGE(SQRT($O4*$EY4),SQRT($V4*$EX4))/'Setari model'!$B$88))</x:f>
        <x:v>0.845378028229756</x:v>
      </x:c>
      <x:c r="FG4" s="134" t="n">
        <x:f t="shared" ref="FG4:FG35" si="27">IF($A4="","",IF(COUNT($FC4:$FD4)&lt;2,"",MAX(0,1-AVERAGE($FC4:$FD4))))</x:f>
        <x:v>0</x:v>
      </x:c>
      <x:c r="FH4" s="134" t="n">
        <x:f>IF($A4="","",IF(COUNT($EZ4:$FA4)&lt;2,"",'Setari model'!$B$94*AVERAGE($EZ4:$FA4)/'Setari model'!$B$89))</x:f>
        <x:v>0.6964285714285714</x:v>
      </x:c>
      <x:c r="FI4" s="134" t="n">
        <x:f>IF($A4="","",IF(COUNT($FE4:$FH4)&lt;4,"",MAX('Setari model'!$B$97,MIN('Setari model'!$B$98,1+'Setari model'!$B$90*($FE4-1)+'Setari model'!$B$91*($FF4-1)+'Setari model'!$B$92*$FG4+'Setari model'!$B$93*($FH4-1)))))</x:f>
        <x:v>0.7826357823647438</x:v>
      </x:c>
      <x:c r="FJ4" s="133" t="n">
        <x:f>IF($A4="","",IF($FI4="","",MIN('Setari model'!$B$101,MAX(0.002,$DZ4*$FI4))))</x:f>
        <x:v>0.05643773654116299</x:v>
      </x:c>
      <x:c r="FK4" s="131" t="str">
        <x:f t="shared" ref="FK4:FK35" si="28">IF($A4="","",IF(AND(COUNT($EV4:$FA4)=6,COUNT($O4,$V4,$FC4,$FD4)=4),"DA","NU"))</x:f>
        <x:v>DA</x:v>
      </x:c>
      <x:c r="FL4" s="131" t="str">
        <x:f>IF($A4="","",IF($FK4&lt;&gt;"DA","NEDETERMINAT",IF($FI4&lt;='Setari model'!$B$99,"SCĂZUT",IF($FI4&lt;='Setari model'!$B$100,"MEDIU","RIDICAT"))))</x:f>
        <x:v>SCĂZUT</x:v>
      </x:c>
      <x:c r="FM4" s="131" t="str">
        <x:f>IF($A4="","",IF(AND($AR4&gt;1,$EC4&gt;='Setari model'!$B$106),"DA","NU"))</x:f>
        <x:v>DA</x:v>
      </x:c>
      <x:c r="FN4" s="131" t="str">
        <x:f t="shared" ref="FN4:FN35" si="29">IF($A4="","",IF(AND($AU4=1,COUNT($CY4:$DB4)=4),"DA","NU"))</x:f>
        <x:v>NU</x:v>
      </x:c>
      <x:c r="FO4" s="133" t="n">
        <x:f>IF($A4="","",IF(OR($FK4&lt;&gt;"DA",$FL4="RIDICAT"),'Setari model'!$B$102,IF($FL4="MEDIU",'Setari model'!$B$103,IF(AND($FM4="DA",$FN4="DA"),'Setari model'!$B$105,'Setari model'!$B$104))))</x:f>
        <x:v>0.92</x:v>
      </x:c>
      <x:c r="FP4" s="133" t="n">
        <x:f t="shared" ref="FP4:FP35" si="30">IF($A4="","",IF($FJ4="","",MIN(1-$FJ4,$FO4)))</x:f>
        <x:v>0.92</x:v>
      </x:c>
      <x:c r="FQ4" s="135" t="n">
        <x:f t="shared" ref="FQ4:FQ35" si="31">IF($A4="","",IF($FP4="","",IF($FP4&gt;0,1/$FP4,"")))</x:f>
        <x:v>1.0869565217391304</x:v>
      </x:c>
      <x:c r="FR4" s="133" t="n">
        <x:f t="shared" ref="FR4:FR35" si="32">IF($A4="","",IF($EC4="","",$FP4-$EC4))</x:f>
        <x:v>0.05461538461538462</x:v>
      </x:c>
      <x:c r="FS4" s="133" t="n">
        <x:f t="shared" ref="FS4:FS35" si="33">IF($A4="","",IF($AR4&gt;1,$FP4*$AR4-1,""))</x:f>
        <x:v>0.030400000000000205</x:v>
      </x:c>
      <x:c r="FT4" s="136" t="n">
        <x:f>IF($A4="","",MAX(0,MIN(100,$EF4-IF($FK4&lt;&gt;"DA",'Setari model'!$B$107,0)-IF($FL4="MEDIU",'Setari model'!$B$108,0)-IF($FL4="RIDICAT",'Setari model'!$B$109,0))))</x:f>
        <x:v>59.194772288905426</x:v>
      </x:c>
      <x:c r="FU4" s="131" t="str">
        <x:f t="shared" ref="FU4:FU35" si="34">IF($A4="","",IF($AR4&lt;=1,"NU – LIPSEȘTE COTA REALĂ",IF($FK4&lt;&gt;"DA","NU – ZERO-RISK INCOMPLET",IF($FL4&lt;&gt;"SCĂZUT","NU – RISC 0-0 "&amp;$FL4,IF($FN4&lt;&gt;"DA","NU – LINEUP NECONFIRMAT",IF($FM4&lt;&gt;"DA","NU – PIAȚĂ NECONFIRMATĂ",IF($EP4&lt;&gt;"DA","NU – PORTOFOLIU","DA")))))))</x:f>
        <x:v>NU – LINEUP NECONFIRMAT</x:v>
      </x:c>
      <x:c r="FV4" s="131" t="str">
        <x:f>IF($A4="","",IF($FU4&lt;&gt;"DA","WATCH / NO BET",IF(AND($FP4&gt;='Setari model'!$B$35,$FT4&gt;=100*'Setari model'!$B$76,$FS4&gt;0),"PARIU RECOMANDAT",IF(AND($FP4&gt;='Setari model'!$B$39,$FT4&gt;=100*'Setari model'!$B$40,$FS4&gt;0),"WATCH – APROAPE DE PRAG","PARIU EVITAT"))))</x:f>
        <x:v>WATCH / NO BET</x:v>
      </x:c>
      <x:c r="FW4" s="131" t="str">
        <x:f t="shared" ref="FW4:FW35" si="35">IF($A4="","",IF($FU4&lt;&gt;"DA",$FU4,IF($FT4&lt;75,"Confidence v3 sub 75.",IF($FP4&lt;0.92,"P v3 sub 92%.",IF($FS4&lt;=0,"EV v3 nepozitiv.","P0 v3, lineup și piață confirmate.")))))</x:f>
        <x:v>NU – LINEUP NECONFIRMAT</x:v>
      </x:c>
      <x:c r="FX4" s="131" t="str">
        <x:f t="shared" ref="FX4:FX35" si="36">IF($A4="","","P v3="&amp;TEXT($FP4,"0.0%")&amp;"; P0 v3="&amp;TEXT($FJ4,"0.0%")&amp;"; factor zero="&amp;IF($FI4="","n/a",TEXT($FI4,"0.00x"))&amp;" ("&amp;$FL4&amp;"); cap="&amp;TEXT($FO4,"0.0%")&amp;"; Confidence="&amp;TEXT($FT4,"0")&amp;"/100; lineup="&amp;$FN4&amp;"; piață="&amp;$FM4&amp;"; EV="&amp;IF($FS4="","n/a",TEXT($FS4,"0.0%"))&amp;"; gate="&amp;$FU4&amp;"; verdict="&amp;$FV4&amp;". "&amp;$FW4)</x:f>
        <x:v>P v3=92.0%; P0 v3=5.6%; factor zero=0.78x (SCĂZUT); cap=92.0%; Confidence=59/100; lineup=NU; piață=DA; EV=3.0%; gate=NU – LINEUP NECONFIRMAT; verdict=WATCH / NO BET. NU – LINEUP NECONFIRMAT</x:v>
      </x:c>
      <x:c r="FY4" s="159">
        <x:v>0.2</x:v>
      </x:c>
      <x:c r="FZ4" s="159">
        <x:v>0.2</x:v>
      </x:c>
      <x:c r="GA4" s="157">
        <x:v>1</x:v>
      </x:c>
      <x:c r="GB4" s="157">
        <x:v>1</x:v>
      </x:c>
      <x:c r="GC4" s="161" t="n">
        <x:f t="shared" ref="GC4:GC35" si="37">IF($A4="","",IF(OR($X4="",$Z4="",$Z4&lt;=0),"",MAX(0.5,MIN(1.5,$X4/$Z4))))</x:f>
        <x:v>1.032258064516129</x:v>
      </x:c>
      <x:c r="GD4" s="161" t="n">
        <x:f t="shared" ref="GD4:GD35" si="38">IF($A4="","",IF(OR($AC4="",$AE4="",$AE4&lt;=0),"",MAX(0.5,MIN(1.5,$AC4/$AE4))))</x:f>
        <x:v>0.923076923076923</x:v>
      </x:c>
      <x:c r="GE4" s="162" t="n">
        <x:f t="shared" ref="GE4:GE35" si="39">IF($A4="","",IF(COUNT($Z4,$AE4)&lt;2,"",AVERAGE($Z4,$AE4)))</x:f>
        <x:v>1.425</x:v>
      </x:c>
      <x:c r="GF4" s="158" t="str">
        <x:f>IF($A4="","",IF(COUNT($FY4:$FZ4)&lt;2,"NEDETERMINAT",IF(AND($FY4&gt;='Setari model'!$B$113,$FZ4&gt;='Setari model'!$B$113),"DA","NU")))</x:f>
        <x:v>DA</x:v>
      </x:c>
      <x:c r="GG4" s="158" t="str">
        <x:f>IF($A4="","",IF(COUNT($FY4:$FZ4,$EX4:$EY4)&lt;4,"NEDETERMINAT",IF(OR(AND($FY4&gt;='Setari model'!$B$113,$EY4&gt;='Setari model'!$B$114),AND($FZ4&gt;='Setari model'!$B$113,$EX4&gt;='Setari model'!$B$114)),"DA","NU")))</x:f>
        <x:v>DA</x:v>
      </x:c>
      <x:c r="GH4" s="158" t="str">
        <x:f>IF($A4="","",IF(COUNT($BJ4:$BN4,$GC4:$GE4)&lt;8,"NEDETERMINAT",IF(AND((($BJ4*INDEX('Setari model'!$B$5:$B$11,MATCH($E4,'Setari model'!$A$5:$A$11,0))+$BK4*INDEX('Setari model'!$C$5:$C$11,MATCH($E4,'Setari model'!$A$5:$A$11,0))+$BL4*INDEX('Setari model'!$D$5:$D$11,MATCH($E4,'Setari model'!$A$5:$A$11,0))+$BM4*INDEX('Setari model'!$E$5:$E$11,MATCH($E4,'Setari model'!$A$5:$A$11,0))+$BN4*INDEX('Setari model'!$F$5:$F$11,MATCH($E4,'Setari model'!$A$5:$A$11,0)))/(INDEX('Setari model'!$B$5:$B$11,MATCH($E4,'Setari model'!$A$5:$A$11,0))+INDEX('Setari model'!$C$5:$C$11,MATCH($E4,'Setari model'!$A$5:$A$11,0))+INDEX('Setari model'!$D$5:$D$11,MATCH($E4,'Setari model'!$A$5:$A$11,0))+INDEX('Setari model'!$E$5:$E$11,MATCH($E4,'Setari model'!$A$5:$A$11,0))+INDEX('Setari model'!$F$5:$F$11,MATCH($E4,'Setari model'!$A$5:$A$11,0))))*$BR4&gt;='Setari model'!$B$115,(($BJ4*INDEX('Setari model'!$B$5:$B$11,MATCH($E4,'Setari model'!$A$5:$A$11,0))+$BK4*INDEX('Setari model'!$C$5:$C$11,MATCH($E4,'Setari model'!$A$5:$A$11,0))+$BL4*INDEX('Setari model'!$D$5:$D$11,MATCH($E4,'Setari model'!$A$5:$A$11,0))+$BM4*INDEX('Setari model'!$E$5:$E$11,MATCH($E4,'Setari model'!$A$5:$A$11,0))+$BN4*INDEX('Setari model'!$F$5:$F$11,MATCH($E4,'Setari model'!$A$5:$A$11,0)))/(INDEX('Setari model'!$B$5:$B$11,MATCH($E4,'Setari model'!$A$5:$A$11,0))+INDEX('Setari model'!$C$5:$C$11,MATCH($E4,'Setari model'!$A$5:$A$11,0))+INDEX('Setari model'!$D$5:$D$11,MATCH($E4,'Setari model'!$A$5:$A$11,0))+INDEX('Setari model'!$E$5:$E$11,MATCH($E4,'Setari model'!$A$5:$A$11,0))+INDEX('Setari model'!$F$5:$F$11,MATCH($E4,'Setari model'!$A$5:$A$11,0))))*$BR4&lt;='Setari model'!$B$116,AVERAGE($GC4:$GD4)&lt;='Setari model'!$B$117,$GE4&gt;='Setari model'!$B$118),"DA","NU")))</x:f>
        <x:v>NU</x:v>
      </x:c>
      <x:c r="GI4" s="158" t="str">
        <x:f>IF($A4="","",IF(COUNT($W4,$AB4,$GA4:$GB4)&lt;4,"NEDETERMINAT",IF(AND($W4&gt;='Setari model'!$B$120,$AB4&gt;='Setari model'!$B$120,OR(IFERROR($GA4/$W4,0)&gt;='Setari model'!$B$119,IFERROR($GB4/$AB4,0)&gt;='Setari model'!$B$119)),"DA","NU")))</x:f>
        <x:v>DA</x:v>
      </x:c>
      <x:c r="GJ4" s="160" t="n">
        <x:f>IF($A4="","",IF(COUNT($FY4:$GB4)&lt;4,"",IF($GH4&lt;&gt;"DA",0,'Setari model'!$B$121*IF($GF4="DA",1,0)+'Setari model'!$B$122*IF($GG4="DA",1,0)+'Setari model'!$B$123+'Setari model'!$B$124*IF($GI4="DA",1,0))))</x:f>
        <x:v>0</x:v>
      </x:c>
      <x:c r="GK4" s="161" t="n">
        <x:f>IF($A4="","",IF(COUNT($GJ4)=0,"",1+'Setari model'!$B$125*$GJ4))</x:f>
        <x:v>1</x:v>
      </x:c>
      <x:c r="GL4" s="160" t="n">
        <x:f>IF($A4="","",IF($GM4&lt;&gt;"DA",$FJ4,MIN('Setari model'!$B$101,MAX(0.002,$FJ4*$GK4))))</x:f>
        <x:v>0.05643773654116299</x:v>
      </x:c>
      <x:c r="GM4" s="158" t="str">
        <x:f>IF($A4="","",IF(AND($FK4="DA",COUNT($FY4:$GB4)=4,COUNT($I4,$P4,$W4,$AB4,$Z4,$AE4,$EX4,$EY4,$GC4,$GD4)=10,COUNT($BJ4:$BN4)=5),"DA","NU"))</x:f>
        <x:v>DA</x:v>
      </x:c>
      <x:c r="GN4" s="158" t="str">
        <x:f>IF($A4="","",IF($GM4&lt;&gt;"DA","NEDETERMINAT",IF($FI4*$GK4&lt;='Setari model'!$B$99,"SCĂZUT",IF($FI4*$GK4&lt;='Setari model'!$B$100,"MEDIU","RIDICAT"))))</x:f>
        <x:v>SCĂZUT</x:v>
      </x:c>
      <x:c r="GO4" s="160" t="n">
        <x:f>IF($A4="","",IF(OR($GM4&lt;&gt;"DA",$GN4="RIDICAT"),'Setari model'!$B$102,IF($GN4="MEDIU",'Setari model'!$B$103,IF(AND($FM4="DA",$FN4="DA"),'Setari model'!$B$105,'Setari model'!$B$104))))</x:f>
        <x:v>0.92</x:v>
      </x:c>
      <x:c r="GP4" s="160" t="n">
        <x:f t="shared" ref="GP4:GP35" si="40">IF($A4="","",IF($GL4="","",MIN(1-$GL4,$GO4)))</x:f>
        <x:v>0.92</x:v>
      </x:c>
      <x:c r="GQ4" s="162" t="n">
        <x:f t="shared" ref="GQ4:GQ35" si="41">IF($A4="","",IF($GP4="","",IF($GP4&gt;0,1/$GP4,"")))</x:f>
        <x:v>1.0869565217391304</x:v>
      </x:c>
      <x:c r="GR4" s="160" t="n">
        <x:f t="shared" ref="GR4:GR35" si="42">IF($A4="","",IF($EC4="","",$GP4-$EC4))</x:f>
        <x:v>0.05461538461538462</x:v>
      </x:c>
      <x:c r="GS4" s="160" t="n">
        <x:f t="shared" ref="GS4:GS35" si="43">IF($A4="","",IF($AR4&gt;1,$GP4*$AR4-1,""))</x:f>
        <x:v>0.030400000000000205</x:v>
      </x:c>
      <x:c r="GT4" s="163" t="n">
        <x:f>IF($A4="","",MAX(0,MIN(100,$FT4-IF(AND($GM4&lt;&gt;"DA",$FK4="DA"),'Setari model'!$B$107,0)-'Setari model'!$B$126*IF($GJ4="",0,$GJ4))))</x:f>
        <x:v>59.194772288905426</x:v>
      </x:c>
      <x:c r="GU4" s="158" t="str">
        <x:f t="shared" ref="GU4:GU35" si="44">IF($A4="","",IF($AR4&lt;=1,"NU – LIPSEȘTE COTA REALĂ",IF($GM4&lt;&gt;"DA","NU – DATE LOW-CONVERSION INCOMPLETE",IF($GN4&lt;&gt;"SCĂZUT","NU – RISC 0-0 "&amp;$GN4,IF($FN4&lt;&gt;"DA","NU – LINEUP NECONFIRMAT",IF($FM4&lt;&gt;"DA","NU – PIAȚĂ NECONFIRMATĂ",IF($EP4&lt;&gt;"DA","NU – PORTOFOLIU","DA")))))))</x:f>
        <x:v>NU – LINEUP NECONFIRMAT</x:v>
      </x:c>
      <x:c r="GV4" s="158" t="str">
        <x:f>IF($A4="","",IF($GU4&lt;&gt;"DA","WATCH / NO BET",IF(AND($GP4&gt;='Setari model'!$B$35,$GT4&gt;=100*'Setari model'!$B$76,$GS4&gt;0),"PARIU RECOMANDAT",IF(AND($GP4&gt;='Setari model'!$B$39,$GT4&gt;=100*'Setari model'!$B$40,$GS4&gt;0),"WATCH – APROAPE DE PRAG","PARIU EVITAT"))))</x:f>
        <x:v>WATCH / NO BET</x:v>
      </x:c>
      <x:c r="GW4" s="158" t="str">
        <x:f t="shared" ref="GW4:GW35" si="45">IF($A4="","",IF($GU4&lt;&gt;"DA",$GU4,IF($GT4&lt;75,"Confidence v5 sub 75.",IF($GP4&lt;0.92,"P v5 sub 92%.",IF($GS4&lt;=0,"EV v5 nepozitiv.",IF($GJ4&gt;0,"Low-conversion absorbit în P0; toate porțile rămân trecute.","Toate porțile v5 sunt trecute."))))))</x:f>
        <x:v>NU – LINEUP NECONFIRMAT</x:v>
      </x:c>
      <x:c r="GX4" s="158" t="str">
        <x:f t="shared" ref="GX4:GX35" si="46">IF($A4="","","P v5="&amp;TEXT($GP4,"0.0%")&amp;"; P0 v5="&amp;TEXT($GL4,"0.0%")&amp;"; low-conv="&amp;IF(COUNT($GJ4)=0,"n/a",TEXT($GJ4,"0%"))&amp;"; mult.P0="&amp;IF(COUNT($GK4)=0,"n/a",TEXT($GK4,"0.00"))&amp;"; clasă="&amp;$GN4&amp;"; cap="&amp;TEXT($GO4,"0.0%")&amp;"; Confidence="&amp;TEXT($GT4,"0")&amp;"/100; lineup="&amp;$FN4&amp;"; piață="&amp;$FM4&amp;"; EV="&amp;IF($GS4="","n/a",TEXT($GS4,"0.0%"))&amp;"; gate="&amp;$GU4&amp;"; verdict="&amp;$GV4&amp;". "&amp;$GW4)</x:f>
        <x:v>P v5=92.0%; P0 v5=5.6%; low-conv=0%; mult.P0=1.00; clasă=SCĂZUT; cap=92.0%; Confidence=59/100; lineup=NU; piață=DA; EV=3.0%; gate=NU – LINEUP NECONFIRMAT; verdict=WATCH / NO BET. NU – LINEUP NECONFIRMAT</x:v>
      </x:c>
      <x:c r="GY4" s="174" t="str">
        <x:f>IF($A4="","",IF($GM4&lt;&gt;"DA","SOURCING INCOMPLETE – REVIEW REQUIRED",IF(MIN($I4,$P4,$W4,$AB4)&lt;'Setari model'!$B$58,"SMALL SAMPLE + PRIOR / SHRINKAGE","VERIFIED / PRIOR / SHRINKAGE")))</x:f>
        <x:v>VERIFIED / PRIOR / SHRINKAGE</x:v>
      </x:c>
      <x:c r="GZ4" s="175" t="n">
        <x:f t="shared" ref="GZ4:GZ35" si="47">IF($A4="","",MAX(0,MIN(100,100*(1-AVERAGE(IF($GM4="DA",1,0),MIN(1,$AT4/5))))))</x:f>
        <x:v>9.999999999999998</x:v>
      </x:c>
      <x:c r="HA4" s="175" t="n">
        <x:f>IF($A4="","",IF($GM4&lt;&gt;"DA","",MAX(0,MIN(100,100*(($FI4*$GK4)-'Setari model'!$B$97)/('Setari model'!$B$98-'Setari model'!$B$97)))))</x:f>
        <x:v>3.839503807616923</x:v>
      </x:c>
      <x:c r="HB4" s="175" t="n">
        <x:f>IF($A4="","",MAX(0,MIN(100,100*(ABS($BR4-1)/MAX(1-'Setari model'!$B$53,'Setari model'!$B$54-1)+MIN(1,$BG4/2))/2)))</x:f>
        <x:v>14.000000000000012</x:v>
      </x:c>
      <x:c r="HC4" s="175" t="n">
        <x:f t="shared" ref="HC4:HC35" si="48">IF($A4="","",MAX(0,MIN(100,100*(1-AVERAGE($CC4,MAX(0,1-(MAX($BJ4:$BN4)-MIN($BJ4:$BN4))/(AVERAGE($BJ4:$BN4)*'Setari model'!$B$45)))))))</x:f>
        <x:v>9.377513343075528</x:v>
      </x:c>
      <x:c r="HD4" s="175" t="n">
        <x:f t="shared" ref="HD4:HD35" si="49">IF($A4="","",MAX(0,MIN(100,100*MAX(IF($GJ4="",0,$GJ4),MIN(1,$BG4/2)))))</x:f>
        <x:v>0</x:v>
      </x:c>
      <x:c r="HE4" s="175" t="n">
        <x:f>IF($A4="","",IF(COUNT($GZ4:$HD4)&lt;5,"",$GZ4*Risk_Classification!$E$28+$HA4*Risk_Classification!$E$29+$HB4*Risk_Classification!$E$30+$HC4*Risk_Classification!$E$31+$HD4*Risk_Classification!$E$32))</x:f>
        <x:v>7.870120560697213</x:v>
      </x:c>
      <x:c r="HF4" s="176" t="n">
        <x:f t="shared" ref="HF4:HF35" si="50">IF($A4="","",IF($HE4="","",IF($HE4&lt;=20,1,IF($HE4&lt;=40,2,IF($HE4&lt;=60,3,IF($HE4&lt;=80,4,5))))))</x:f>
        <x:v>1</x:v>
      </x:c>
      <x:c r="HG4" s="176" t="str">
        <x:f t="shared" ref="HG4:HG35" si="51">IF($A4="","",IF($GM4="DA","PASS","FAIL – DATE CRITICE ZERO-MASS INCOMPLETE"))</x:f>
        <x:v>PASS</x:v>
      </x:c>
      <x:c r="HH4" s="176" t="n">
        <x:f t="shared" ref="HH4:HH35" si="52">IF($A4="","",IF($HG4&lt;&gt;"PASS",5,$HF4))</x:f>
        <x:v>1</x:v>
      </x:c>
      <x:c r="HI4" s="174" t="str">
        <x:f t="shared" ref="HI4:HI35" si="53">IF($A4="","",IF($HH4="","N/A",IF($HH4=1,"DEFENSIV",IF($HH4=2,"PRUDENT",IF($HH4=3,"MODERAT",IF($HH4=4,"RIDICAT","WATCH / NO BET"))))))</x:f>
        <x:v>DEFENSIV</x:v>
      </x:c>
      <x:c r="HJ4" s="177" t="str">
        <x:f t="shared" ref="HJ4:HJ35" si="54">IF($A4="","","Data="&amp;$GY4&amp;"; DQ="&amp;TEXT($GZ4,"0.0")&amp;"; ZM="&amp;IF($HA4="","n/a",TEXT($HA4,"0.0"))&amp;"; Context="&amp;TEXT($HB4,"0.0")&amp;"; Uncertainty="&amp;TEXT($HC4,"0.0")&amp;"; Compound="&amp;TEXT($HD4,"0.0")&amp;"; Risk Score="&amp;IF($HE4="","n/a",TEXT($HE4,"0.0"))&amp;"; Base="&amp;IF($HF4="","n/a",$HF4)&amp;"; G0="&amp;$HG4&amp;"; Final="&amp;$HH4&amp;". Cota, EV si lineup sunt informative si nu intra in recomandare.")</x:f>
        <x:v>Data=VERIFIED / PRIOR / SHRINKAGE; DQ=10.0; ZM=3.8; Context=14.0; Uncertainty=9.4; Compound=0.0; Risk Score=7.9; Base=1; G0=PASS; Final=1. Cota, EV si lineup sunt informative si nu intra in recomandare.</x:v>
      </x:c>
      <x:c r="HK4" s="174" t="str">
        <x:f t="shared" ref="HK4:HK35" si="55">IF($A4="","",$HI4)</x:f>
        <x:v>DEFENSIV</x:v>
      </x:c>
    </x:row>
    <x:row r="5" ht="24" customHeight="1">
      <x:c r="A5" s="58" t="s">
        <x:v>267</x:v>
      </x:c>
      <x:c r="B5" s="24" t="s">
        <x:v>258</x:v>
      </x:c>
      <x:c r="C5" s="59">
        <x:v>46267</x:v>
      </x:c>
      <x:c r="D5" s="24" t="s">
        <x:v>268</x:v>
      </x:c>
      <x:c r="E5" s="24" t="s">
        <x:v>269</x:v>
      </x:c>
      <x:c r="F5" s="24" t="s">
        <x:v>270</x:v>
      </x:c>
      <x:c r="G5" s="24" t="s">
        <x:v>271</x:v>
      </x:c>
      <x:c r="H5" s="24" t="s">
        <x:v>272</x:v>
      </x:c>
      <x:c r="I5" s="24">
        <x:v>8</x:v>
      </x:c>
      <x:c r="J5" s="24">
        <x:v>2.1</x:v>
      </x:c>
      <x:c r="K5" s="24">
        <x:v>0.9</x:v>
      </x:c>
      <x:c r="L5" s="24">
        <x:v>2</x:v>
      </x:c>
      <x:c r="M5" s="24">
        <x:v>0.95</x:v>
      </x:c>
      <x:c r="N5" s="18">
        <x:v>1</x:v>
      </x:c>
      <x:c r="O5" s="18">
        <x:v>0</x:v>
      </x:c>
      <x:c r="P5" s="24">
        <x:v>8</x:v>
      </x:c>
      <x:c r="Q5" s="24">
        <x:v>0.8</x:v>
      </x:c>
      <x:c r="R5" s="24">
        <x:v>2</x:v>
      </x:c>
      <x:c r="S5" s="24">
        <x:v>0.85</x:v>
      </x:c>
      <x:c r="T5" s="24">
        <x:v>1.9</x:v>
      </x:c>
      <x:c r="U5" s="18">
        <x:v>0.88</x:v>
      </x:c>
      <x:c r="V5" s="18">
        <x:v>0.25</x:v>
      </x:c>
      <x:c r="W5" s="24">
        <x:v>5</x:v>
      </x:c>
      <x:c r="X5" s="24">
        <x:v>2</x:v>
      </x:c>
      <x:c r="Y5" s="24">
        <x:v>0.8</x:v>
      </x:c>
      <x:c r="Z5" s="24">
        <x:v>1.95</x:v>
      </x:c>
      <x:c r="AA5" s="24">
        <x:v>0.9</x:v>
      </x:c>
      <x:c r="AB5" s="24">
        <x:v>5</x:v>
      </x:c>
      <x:c r="AC5" s="24">
        <x:v>0.8</x:v>
      </x:c>
      <x:c r="AD5" s="24">
        <x:v>1.8</x:v>
      </x:c>
      <x:c r="AE5" s="24">
        <x:v>0.9</x:v>
      </x:c>
      <x:c r="AF5" s="24">
        <x:v>1.7</x:v>
      </x:c>
      <x:c r="AG5" s="24">
        <x:v>2</x:v>
      </x:c>
      <x:c r="AH5" s="24">
        <x:v>2.5</x:v>
      </x:c>
      <x:c r="AI5" s="18">
        <x:v>1</x:v>
      </x:c>
      <x:c r="AJ5" s="24">
        <x:v>1.4</x:v>
      </x:c>
      <x:c r="AK5" s="24">
        <x:v>1.1000000000000001</x:v>
      </x:c>
      <x:c r="AL5" s="24">
        <x:v>2.5</x:v>
      </x:c>
      <x:c r="AM5" s="18">
        <x:v>0.09</x:v>
      </x:c>
      <x:c r="AN5" s="24">
        <x:v>80</x:v>
      </x:c>
      <x:c r="AO5" s="60">
        <x:v>1.3</x:v>
      </x:c>
      <x:c r="AP5" s="60">
        <x:v>5.3</x:v>
      </x:c>
      <x:c r="AQ5" s="60">
        <x:v>10</x:v>
      </x:c>
      <x:c r="AR5" s="60">
        <x:v>1.07</x:v>
      </x:c>
      <x:c r="AS5" s="60">
        <x:v>10.5</x:v>
      </x:c>
      <x:c r="AT5" s="24">
        <x:v>3</x:v>
      </x:c>
      <x:c r="AU5" s="24">
        <x:v>0</x:v>
      </x:c>
      <x:c r="AV5" s="24">
        <x:v>2</x:v>
      </x:c>
      <x:c r="AW5" s="24">
        <x:v>1</x:v>
      </x:c>
      <x:c r="AX5" s="24">
        <x:v>0</x:v>
      </x:c>
      <x:c r="AY5" s="24">
        <x:v>1</x:v>
      </x:c>
      <x:c r="AZ5" s="24">
        <x:v>-1</x:v>
      </x:c>
      <x:c r="BA5" s="24">
        <x:v>0</x:v>
      </x:c>
      <x:c r="BB5" s="24">
        <x:v>0</x:v>
      </x:c>
      <x:c r="BC5" s="24">
        <x:v>0</x:v>
      </x:c>
      <x:c r="BD5" s="24">
        <x:v>0</x:v>
      </x:c>
      <x:c r="BE5" s="24">
        <x:v>0</x:v>
      </x:c>
      <x:c r="BF5" s="24">
        <x:v>2</x:v>
      </x:c>
      <x:c r="BG5" s="24">
        <x:v>1</x:v>
      </x:c>
      <x:c r="BH5" s="61" t="s">
        <x:v>273</x:v>
      </x:c>
      <x:c r="BI5" s="61" t="s">
        <x:v>274</x:v>
      </x:c>
      <x:c r="BJ5" s="62" t="n">
        <x:f>IF($A5="","",SQRT((($I5*IF($J5="",$AJ5,$J5)+'Setari model'!$B$30*$AJ5)/($I5+'Setari model'!$B$30))*(($P5*IF($R5="",$AJ5,$R5)+'Setari model'!$B$30*$AJ5)/($P5+'Setari model'!$B$30)))+SQRT((($P5*IF($Q5="",$AK5,$Q5)+'Setari model'!$B$30*$AK5)/($P5+'Setari model'!$B$30))*(($I5*IF($K5="",$AK5,$K5)+'Setari model'!$B$30*$AK5)/($I5+'Setari model'!$B$30))))</x:f>
        <x:v>2.6994982655469304</x:v>
      </x:c>
      <x:c r="BK5" s="62" t="n">
        <x:f>IF($A5="","",SQRT((($I5*IF($L5="",IF($J5="",$AJ5,$J5),$L5)+'Setari model'!$B$30*$AJ5)/($I5+'Setari model'!$B$30))*(($P5*IF($T5="",IF($R5="",$AJ5,$R5),$T5)+'Setari model'!$B$30*$AJ5)/($P5+'Setari model'!$B$30)))+SQRT((($P5*IF($S5="",IF($Q5="",$AK5,$Q5),$S5)+'Setari model'!$B$30*$AK5)/($P5+'Setari model'!$B$30))*(($I5*IF($M5="",IF($K5="",$AK5,$K5),$M5)+'Setari model'!$B$30*$AK5)/($I5+'Setari model'!$B$30))))</x:f>
        <x:v>2.6745008736010325</x:v>
      </x:c>
      <x:c r="BL5" s="62" t="n">
        <x:f>IF($A5="","",SQRT((($W5*IF($X5="",$AL5/2,$X5)+'Setari model'!$B$31*$AL5/2)/($W5+'Setari model'!$B$31))*(($AB5*IF($AD5="",$AL5/2,$AD5)+'Setari model'!$B$31*$AL5/2)/($AB5+'Setari model'!$B$31)))+SQRT((($AB5*IF($AC5="",$AL5/2,$AC5)+'Setari model'!$B$31*$AL5/2)/($AB5+'Setari model'!$B$31))*(($W5*IF($Y5="",$AL5/2,$Y5)+'Setari model'!$B$31*$AL5/2)/($W5+'Setari model'!$B$31))))</x:f>
        <x:v>2.599206149143116</x:v>
      </x:c>
      <x:c r="BM5" s="62" t="n">
        <x:f>IF($A5="","",SQRT((($W5*IF($Z5="",IF($X5="",$AL5/2,$X5),$Z5)+'Setari model'!$B$31*$AL5/2)/($W5+'Setari model'!$B$31))*(($AB5*IF($AF5="",IF($AD5="",$AL5/2,$AD5),$AF5)+'Setari model'!$B$31*$AL5/2)/($AB5+'Setari model'!$B$31)))+SQRT((($AB5*IF($AE5="",IF($AC5="",$AL5/2,$AC5),$AE5)+'Setari model'!$B$31*$AL5/2)/($AB5+'Setari model'!$B$31))*(($W5*IF($AA5="",IF($Y5="",$AL5/2,$Y5),$AA5)+'Setari model'!$B$31*$AL5/2)/($W5+'Setari model'!$B$31))))</x:f>
        <x:v>2.6112291495737217</x:v>
      </x:c>
      <x:c r="BN5" s="62" t="n">
        <x:f t="shared" si="0">IF($A5="","",IF($AG5&gt;0,($AG5*IF($AH5="",$AL5,$AH5)+5*$AL5)/($AG5+5),$AL5))</x:f>
        <x:v>2.5</x:v>
      </x:c>
      <x:c r="BO5" s="63" t="n">
        <x:f>IF($A5="","",IF($AR5&gt;1,IF($AS5&gt;1,(1/$AR5)/((1/$AR5+1/$AS5)),MIN(0.995,(1/$AR5)/(1+'Setari model'!$B$32))),1-EXP(-$AL5)))</x:f>
        <x:v>0.9075194468452895</x:v>
      </x:c>
      <x:c r="BP5" s="62" t="n">
        <x:f t="shared" si="1">IF($A5="","",-LN(1-$BO5))</x:f>
        <x:v>2.38075689273177</x:v>
      </x:c>
      <x:c r="BQ5" s="62" t="n">
        <x:f>IF($A5="","",$BJ5*INDEX('Setari model'!$B$5:$B$11,MATCH($E5,'Setari model'!$A$5:$A$11,0))+$BK5*INDEX('Setari model'!$C$5:$C$11,MATCH($E5,'Setari model'!$A$5:$A$11,0))+$BL5*INDEX('Setari model'!$D$5:$D$11,MATCH($E5,'Setari model'!$A$5:$A$11,0))+$BM5*INDEX('Setari model'!$E$5:$E$11,MATCH($E5,'Setari model'!$A$5:$A$11,0))+$BN5*INDEX('Setari model'!$F$5:$F$11,MATCH($E5,'Setari model'!$A$5:$A$11,0))+$BP5*INDEX('Setari model'!$G$5:$G$11,MATCH($E5,'Setari model'!$A$5:$A$11,0)))</x:f>
        <x:v>2.5606172771793028</x:v>
      </x:c>
      <x:c r="BR5" s="64" t="n">
        <x:f>IF($A5="","",MAX('Setari model'!$B$53,MIN('Setari model'!$B$54,1+($AV5*'Setari model'!$B$15+$AW5*'Setari model'!$B$16+$AX5*'Setari model'!$B$17+$AY5*'Setari model'!$B$18+$AZ5*'Setari model'!$B$19+$BA5*'Setari model'!$B$20+$BB5*'Setari model'!$B$21+$BC5*'Setari model'!$B$22+$BD5*'Setari model'!$B$23+$BE5*'Setari model'!$B$24+$BF5*'Setari model'!$B$25)*INDEX('Setari model'!$H$5:$H$11,MATCH($E5,'Setari model'!$A$5:$A$11,0)))))</x:f>
        <x:v>1.092</x:v>
      </x:c>
      <x:c r="BS5" s="62" t="n">
        <x:f t="shared" si="2">IF($A5="","",$BQ5*$BR5)</x:f>
        <x:v>2.796194066679799</x:v>
      </x:c>
      <x:c r="BT5" s="63" t="n">
        <x:f t="shared" si="3">IF($A5="","",EXP(-$BS5))</x:f>
        <x:v>0.06104194264881993</x:v>
      </x:c>
      <x:c r="BU5" s="65" t="n">
        <x:f>IF($A5="","",IF(OR($AM5="",$AN5=""),1,1+MIN('Setari model'!$B$33,$AN5/100*'Setari model'!$B$33)*($AM5/EXP(-$AL5)-1)))</x:f>
        <x:v>1.038569782585325</x:v>
      </x:c>
      <x:c r="BV5" s="63" t="n">
        <x:f>IF($A5="","",MIN(0.45,MAX(0.005,(1-'Setari model'!$B$34*MIN(1,($I5+$P5)/20))*MIN(0.45,$BT5*$BU5)+'Setari model'!$B$34*MIN(1,($I5+$P5)/20)*IF(COUNT($N5,$U5)=2,SQRT(MAX(0,1-$N5)*MAX(0,1-$U5)),IF($AM5="",EXP(-$AL5),$AM5)))))</x:f>
        <x:v>0.050717053684296645</x:v>
      </x:c>
      <x:c r="BW5" s="63" t="n">
        <x:f t="shared" si="4">IF($A5="","",1-$BV5)</x:f>
        <x:v>0.9492829463157033</x:v>
      </x:c>
      <x:c r="BX5" s="62" t="n">
        <x:f t="shared" si="5">IF($A5="","",1/$BW5)</x:f>
        <x:v>1.0534266984160376</x:v>
      </x:c>
      <x:c r="BY5" s="63" t="n">
        <x:f t="shared" si="6">IF($A5="","",$BO5)</x:f>
        <x:v>0.9075194468452895</x:v>
      </x:c>
      <x:c r="BZ5" s="63" t="n">
        <x:f t="shared" si="7">IF($A5="","",$BW5-$BY5)</x:f>
        <x:v>0.0417634994704138</x:v>
      </x:c>
      <x:c r="CA5" s="63" t="n">
        <x:f t="shared" si="8">IF($A5="","",IF($AR5&gt;1,$BW5*$AR5-1,""))</x:f>
        <x:v>0.0157327525578026</x:v>
      </x:c>
      <x:c r="CB5" s="63" t="n">
        <x:f>IF($A5="","",MIN(1,COUNT($I5:$AN5,$AR5:$BG5)/'Setari model'!$B$46))</x:f>
        <x:v>1</x:v>
      </x:c>
      <x:c r="CC5" s="63" t="n">
        <x:f t="shared" si="9">IF($A5="","",0.25*MIN(1,$I5/10)+0.25*MIN(1,$P5/10)+0.15*MIN(1,$W5/5)+0.15*MIN(1,$AB5/5)+0.1*MIN(1,$AG5/5)+0.1*MIN(1,$AN5/100))</x:f>
        <x:v>0.8200000000000001</x:v>
      </x:c>
      <x:c r="CD5" s="63" t="n">
        <x:f>IF($A5="","",MAX(0,1-(MAX($BJ5:$BN5,$BP5)-MIN($BJ5:$BN5,$BP5))/(AVERAGE($BJ5:$BN5,$BP5)*'Setari model'!$B$45)))</x:f>
        <x:v>0.7938975561300963</x:v>
      </x:c>
      <x:c r="CE5" s="66" t="n">
        <x:f>IF($A5="","",MAX(0,MIN(100,100*INDEX('Setari model'!$I$5:$I$11,MATCH($E5,'Setari model'!$A$5:$A$11,0))*('Setari model'!$B$47*$CB5+'Setari model'!$B$48*$CC5+'Setari model'!$B$49*$CD5+'Setari model'!$B$50*$AT5/5+'Setari model'!$B$51*$AU5)-100*'Setari model'!$B$52*$BG5)))</x:f>
        <x:v>56.15015601034173</x:v>
      </x:c>
      <x:c r="CF5" s="65" t="str">
        <x:f t="shared" si="10">IF($A5="","",IF(OR($AT5&lt;3,$BG5&gt;=2,$CB5&lt;0.55,$CC5&lt;0.4),"RIDICAT",IF(OR($AU5=0,$CD5&lt;0.45,$BR5&lt;0.9),"MEDIU","SCĂZUT")))</x:f>
        <x:v>MEDIU</x:v>
      </x:c>
      <x:c r="CG5" s="65" t="str">
        <x:f>IF($A5="","",IF($AR5&gt;1,IF(AND($BW5&gt;= 'Setari model'!$B$35,$CE5&gt;=100*'Setari model'!$B$36,$BZ5&gt;= 'Setari model'!$B$37,$CA5&gt;= 'Setari model'!$B$38,$CF5&lt;&gt;"RIDICAT"),"PARIU RECOMANDAT",IF(AND($BW5&gt;= 'Setari model'!$B$39,$CE5&gt;=100*'Setari model'!$B$40,$BZ5&gt;= 'Setari model'!$B$41,$CA5&gt;=0,$CF5&lt;&gt;"RIDICAT"),"RECOMANDAT CU PRUDENȚĂ",IF(AND($BW5&gt;= 'Setari model'!$B$42,$CE5&gt;=100*'Setari model'!$B$43),"ANALIZĂ NECONCLUDENTĂ","PARIU EVITAT"))),IF(AND($BW5&gt;= 'Setari model'!$B$35,$CE5&gt;=100*'Setari model'!$B$36,$CF5&lt;&gt;"RIDICAT"),"FAVORABIL STATISTIC – VERIFICĂ COTA",IF(AND($BW5&gt;= 'Setari model'!$B$42,$CE5&gt;=100*'Setari model'!$B$43),"ANALIZĂ NECONCLUDENTĂ","PARIU EVITAT"))))</x:f>
        <x:v>ANALIZĂ NECONCLUDENTĂ</x:v>
      </x:c>
      <x:c r="CH5" s="67" t="str">
        <x:f t="shared" si="11">IF($A5="","","P(O0,5)="&amp;TEXT($BW5,"0.0%")&amp;"; λ ajustat="&amp;TEXT($BS5,"0.00")&amp;"; Confidence="&amp;TEXT($CE5,"0")&amp;"/100; Edge="&amp;TEXT($BZ5,"0.0%")&amp;"; risc="&amp;$CF5&amp;". "&amp;$BH5)</x:f>
        <x:v>P(O0,5)=94.9%; λ ajustat=2.80; Confidence=56/100; Edge=4.2%; risc=MEDIU. Diferență de valoare mare, dar rotația și lipsa informațiilor despre primul 11 reduc încrederea.</x:v>
      </x:c>
      <x:c r="CI5" s="68" t="str">
        <x:f t="shared" si="12">IF($A5="","",$BI5)</x:f>
        <x:v>https://www.transfermarkt.com/ ; https://www.sofascore.com/</x:v>
      </x:c>
      <x:c r="CJ5" s="112">
        <x:v>1</x:v>
      </x:c>
      <x:c r="CK5" s="112">
        <x:v>0</x:v>
      </x:c>
      <x:c r="CL5" s="112">
        <x:v>0</x:v>
      </x:c>
      <x:c r="CM5" s="112">
        <x:v>5.6</x:v>
      </x:c>
      <x:c r="CN5" s="112">
        <x:v>3.2</x:v>
      </x:c>
      <x:c r="CO5" s="112">
        <x:v>2.4</x:v>
      </x:c>
      <x:c r="CP5" s="112">
        <x:v>0.9</x:v>
      </x:c>
      <x:c r="CQ5" s="112">
        <x:v>0.13</x:v>
      </x:c>
      <x:c r="CR5" s="112">
        <x:v>0.08</x:v>
      </x:c>
      <x:c r="CS5" s="112">
        <x:v>30</x:v>
      </x:c>
      <x:c r="CT5" s="112">
        <x:v>16</x:v>
      </x:c>
      <x:c r="CU5" s="112">
        <x:v>0.31</x:v>
      </x:c>
      <x:c r="CV5" s="112">
        <x:v>0.18</x:v>
      </x:c>
      <x:c r="CW5" s="112">
        <x:v>0</x:v>
      </x:c>
      <x:c r="CX5" s="112">
        <x:v>1</x:v>
      </x:c>
      <x:c r="CY5" s="112"/>
      <x:c r="CZ5" s="112"/>
      <x:c r="DA5" s="112"/>
      <x:c r="DB5" s="112"/>
      <x:c r="DC5" s="114">
        <x:v>1.0900000000000001</x:v>
      </x:c>
      <x:c r="DD5" s="114"/>
      <x:c r="DE5" s="112" t="s">
        <x:v>266</x:v>
      </x:c>
      <x:c r="DF5" s="112"/>
      <x:c r="DG5" s="112"/>
      <x:c r="DH5" s="112"/>
      <x:c r="DI5" s="112"/>
      <x:c r="DJ5" s="112"/>
      <x:c r="DK5" s="112"/>
      <x:c r="DL5" s="112"/>
      <x:c r="DM5" s="112"/>
      <x:c r="DN5" s="112"/>
      <x:c r="DO5" s="112">
        <x:v>0</x:v>
      </x:c>
      <x:c r="DP5" s="112">
        <x:v>0</x:v>
      </x:c>
      <x:c r="DQ5" s="114"/>
      <x:c r="DR5" s="112">
        <x:v>1</x:v>
      </x:c>
      <x:c r="DS5" s="116">
        <x:v>0.15</x:v>
      </x:c>
      <x:c r="DT5" s="120">
        <x:v>1000</x:v>
      </x:c>
      <x:c r="DU5" s="116">
        <x:v>0.02</x:v>
      </x:c>
      <x:c r="DV5" s="116">
        <x:v>0.25</x:v>
      </x:c>
      <x:c r="DW5" s="118" t="n">
        <x:f>IF($A5="","",MAX('Setari model'!$B$71,MIN('Setari model'!$B$72,1+0.08*(IFERROR(AVERAGE($CM5:$CN5)/'Setari model'!$B$66,1)-1)+0.08*(IFERROR(AVERAGE($CO5:$CP5)/'Setari model'!$B$67,1)-1)+0.06*(IFERROR(AVERAGE($CQ5:$CR5)/'Setari model'!$B$68,1)-1)+0.04*(IFERROR(AVERAGE($CS5:$CT5)/'Setari model'!$B$69,1)-1)+0.04*(IFERROR(AVERAGE($CU5:$CV5)/'Setari model'!$B$70,1)-1)-'Setari model'!$B$73*IFERROR(AVERAGE($CW5:$CX5),0))))</x:f>
        <x:v>0.995240404040404</x:v>
      </x:c>
      <x:c r="DX5" s="118" t="n">
        <x:f>IF($A5="","",1+'Setari model'!$B$62*MAX(IF(OR($CK5=1,$CL5=1),1,0),IF(AND($CJ5&lt;&gt;"",$CJ5&lt;=1),1,0))+'Setari model'!$B$63*IF(AND($CJ5&gt;1,$CJ5&lt;=3),1,0))</x:f>
        <x:v>1.25</x:v>
      </x:c>
      <x:c r="DY5" s="118" t="n">
        <x:f>IF($A5="","",1+'Setari model'!$B$74*(IF($CY5="",0,IF($CY5=0,1,0))+IF($CZ5="",0,IF($CZ5=0,1,0)))+'Setari model'!$B$75*(IF($DA5="",0,IF($DA5=0,1,0))+IF($DB5="",0,IF($DB5=0,1,0))))</x:f>
        <x:v>1</x:v>
      </x:c>
      <x:c r="DZ5" s="117" t="n">
        <x:f>IF($A5="","",MIN(0.6,MAX(0.002,(((1-'Setari model'!$B$34*MIN(1,($I5+$P5)/20))*$BT5+'Setari model'!$B$34*MIN(1,($I5+$P5)/20)*IF(COUNT($N5,$U5)=2,SQRT(MAX(0,1-$N5)*MAX(0,1-$U5)),$BT5))*(1-'Setari model'!$B$65*MIN(1,IF($AN5="",0,$AN5/'Setari model'!$B$64)))+'Setari model'!$B$65*MIN(1,IF($AN5="",0,$AN5/'Setari model'!$B$64))*IF($AM5="",$BT5,$AM5))*$DX5*$DY5/$DW5)))</x:f>
        <x:v>0.0696065307877074</x:v>
      </x:c>
      <x:c r="EA5" s="117" t="n">
        <x:f>IF($A5="","",MIN(1-$DZ5,IF(OR(MIN($I5,$P5)&lt;'Setari model'!$B$58,$CK5=1,$CL5=1,AND($CJ5&lt;&gt;"",$CJ5&lt;=1)),'Setari model'!$B$59,IF(AND($AU5=1,$AR5&gt;1,COUNT($CY5:$DB5)=4),'Setari model'!$B$61,'Setari model'!$B$60))))</x:f>
        <x:v>0.92</x:v>
      </x:c>
      <x:c r="EB5" s="115" t="n">
        <x:f t="shared" si="13">IF($A5="","",1/$EA5)</x:f>
        <x:v>1.0869565217391304</x:v>
      </x:c>
      <x:c r="EC5" s="117" t="n">
        <x:f t="shared" si="14">IF($A5="","",IF($AR5&gt;1,IF($AS5&gt;1,(1/$AR5)/((1/$AR5)+(1/$AS5)),1/$AR5),""))</x:f>
        <x:v>0.9075194468452895</x:v>
      </x:c>
      <x:c r="ED5" s="117" t="n">
        <x:f t="shared" si="15">IF($A5="","",IF($EC5="","",$EA5-$EC5))</x:f>
        <x:v>0.012480553154710528</x:v>
      </x:c>
      <x:c r="EE5" s="117" t="str">
        <x:f t="shared" si="16">""</x:f>
      </x:c>
      <x:c r="EF5" s="119" t="n">
        <x:f>IF($A5="","",MAX(0,MIN(100,$CE5-200*MAX(0,$EG5-'Setari model'!$B$77)-IF($AU5&lt;&gt;1,10,0)-IF(COUNT($CY5:$DB5)&lt;4,4,0))))</x:f>
        <x:v>32.070156010341734</x:v>
      </x:c>
      <x:c r="EG5" s="117" t="n">
        <x:f>IF($A5="","",'Setari model'!$B$77+IF(MIN($I5,$P5)&lt;'Setari model'!$B$58,0.03,0)+IF(OR($CK5=1,$CL5=1,AND($CJ5&lt;&gt;"",$CJ5&lt;=1)),0.03,0)+IF($AG5=0,0.02,0)+0.03*(1-MIN(1,COUNT($CM5:$CV5)/10))+0.03*(1-MIN(1,IF($AN5="",0,$AN5/'Setari model'!$B$64)))+IF($AR5&lt;=1,0.02,0))</x:f>
        <x:v>0.0804</x:v>
      </x:c>
      <x:c r="EH5" s="113" t="str">
        <x:f>IF($A5="","",IF(OR(MIN($I5,$P5)&lt;'Setari model'!$B$58,$CK5=1,$CL5=1,AND($CJ5&lt;&gt;"",$CJ5&lt;=1)),"92% – early/regim",IF(AND($AU5=1,$AR5&gt;1,COUNT($CY5:$DB5)=4),"94% – confirmat","93% – standard")))</x:f>
        <x:v>92% – early/regim</x:v>
      </x:c>
      <x:c r="EI5" s="113" t="str">
        <x:f t="shared" si="17">IF($A5="","",IF(AND($EA5&gt;0.9,$AU5&lt;&gt;1),"WAIT XI – HIGH P",IF(AND($EA5&gt;0.9,COUNT($CY5:$DB5)&lt;4),"WAIT DATE CHEIE – HIGH P",IF($EP5&lt;&gt;"DA","NU – PORTOFOLIU","DA"))))</x:f>
        <x:v>WAIT XI – HIGH P</x:v>
      </x:c>
      <x:c r="EJ5" s="117" t="str">
        <x:f t="shared" si="18">IF($A5="","",IF($DE5&lt;&gt;"Live 20-30","",IF(SUM($DG5:$DH5)&gt;0,1,IF($EU5="","",1-MIN(0.95,MAX(0.001,EXP(-$EU5)*$DX5*$DY5/$DW5))))))</x:f>
      </x:c>
      <x:c r="EK5" s="117" t="str">
        <x:f t="shared" si="19">""</x:f>
      </x:c>
      <x:c r="EL5" s="113" t="str">
        <x:f>IF($A5="","",IF($DE5="Live 20-30",IF(SUM($DG5:$DH5)&gt;0,"EVENIMENT ÎNDEPLINIT",IF(OR($DF5="",COUNT($DI5:$DN5)&lt;4),"LIVE – WATCH",IF($EJ5&gt;=0.75,"LIVE – FEZABIL TEHNIC","LIVE – NO BET"))),IF($EI5&lt;&gt;"DA","WATCH / NO BET",IF(AND($EA5&gt;=INDEX('Setari model'!$B$35:$B$40,1),$EF5&gt;=100*'Setari model'!$B$76),"PARIU RECOMANDAT",IF(AND($EA5&gt;=INDEX('Setari model'!$B$35:$B$40,5),$EF5&gt;=100*'Setari model'!$B$40),"WATCH – APROAPE DE PRAG","PARIU EVITAT")))))</x:f>
        <x:v>WATCH / NO BET</x:v>
      </x:c>
      <x:c r="EM5" s="113" t="str">
        <x:f t="shared" si="20">IF($A5="","",IF($DE5="Live 20-30",IF(SUM($DG5:$DH5)&gt;0,"Gol deja marcat.",IF($DF5="","Minut live lipsă.",IF(COUNT($DI5:$DN5)&lt;4,"Lipsesc xG/SOT/big chances live.",IF($EJ5&lt;0.75,"P live sub prag.","Semnal live tehnic complet; EV ignorat.")))),IF($EI5&lt;&gt;"DA",$EI5,IF($EF5&lt;75,"Confidence sub 75.",IF($EA5&lt;0.92,"P sub 92%.","G0/Zero-Mass + confidence trecute; EV ignorat.")))))</x:f>
        <x:v>WAIT XI – HIGH P</x:v>
      </x:c>
      <x:c r="EN5" s="117" t="n">
        <x:f>IF($A5="","",IF(OR($EL5="PARIU RECOMANDAT",$EL5="LIVE – FEZABIL"),MIN(IF($DU5&gt;0,$DU5,'Setari model'!$B$81)/MAX(1,$DR5),IF($DV5&gt;0,$DV5,'Setari model'!$B$80)*MAX(0,((IF($DE5="Live 20-30",$EJ5,$EA5)*IF($DE5="Live 20-30",$DQ5,$AR5)-1)/(IF($DE5="Live 20-30",$DQ5,$AR5)-1)))),0))</x:f>
        <x:v>0</x:v>
      </x:c>
      <x:c r="EO5" s="121" t="str">
        <x:f t="shared" si="21">IF($A5="","",IF(AND($EN5&gt;0,$DT5&gt;0),$EN5*$DT5,""))</x:f>
      </x:c>
      <x:c r="EP5" s="113" t="str">
        <x:f>IF($A5="","",IF(OR($DR5&lt;1,$DR5&gt;'Setari model'!$B$78),"NU – 1–5 selecții",IF($DS5&gt;'Setari model'!$B$79,"NU – corelație", "DA")))</x:f>
        <x:v>DA</x:v>
      </x:c>
      <x:c r="EQ5" s="117" t="str">
        <x:f t="shared" si="22">IF($A5="","",IF(AND($DC5&gt;1,$DD5&gt;1),$DC5/$DD5-1,""))</x:f>
      </x:c>
      <x:c r="ER5" s="113" t="str">
        <x:f t="shared" si="23">IF($A5="","","P v2="&amp;TEXT($EA5,"0.0%")&amp;" ±"&amp;TEXT($EG5,"0.0%")&amp;"; P0 ZIP="&amp;TEXT($DZ5,"0.0%")&amp;"; Confidence="&amp;TEXT($EF5,"0")&amp;"/100; piață reală="&amp;IF($EC5="","NU","DA")&amp;"; EV="&amp;IF($EE5="","n/a",TEXT($EE5,"0.0%"))&amp;"; gate="&amp;$EI5&amp;"; verdict="&amp;$EL5&amp;". "&amp;$EM5)</x:f>
        <x:v>P v2=92.0% ±8.0%; P0 ZIP=7.0%; Confidence=32/100; piață reală=DA; EV=n/a; gate=WAIT XI – HIGH P; verdict=WATCH / NO BET. WAIT XI – HIGH P</x:v>
      </x:c>
      <x:c r="ES5" s="119" t="n">
        <x:f>IF($A5="","",'Setari model'!$B$82)</x:f>
        <x:v>20</x:v>
      </x:c>
      <x:c r="ET5" s="118" t="n">
        <x:f>IF($A5="","",'Setari model'!$B$83)</x:f>
        <x:v>1.5</x:v>
      </x:c>
      <x:c r="EU5" s="115" t="str">
        <x:f t="shared" si="24">IF(OR($A5="",$DE5&lt;&gt;"Live 20-30",$DF5="",$DF5&lt;$ES5,$DF5&gt;=90),"",MAX(0.05,MIN($BS5*$ET5,$BS5*(90-$DF5)/90+0.35*($DI5+$DJ5)+0.06*($DK5+$DL5)+0.15*($DM5+$DN5)+0.1*(MAX($DO5,$DP5)-MIN($DO5,$DP5)))))</x:f>
      </x:c>
      <x:c r="EV5" s="132">
        <x:v>0.1</x:v>
      </x:c>
      <x:c r="EW5" s="132">
        <x:v>0.14000000000000001</x:v>
      </x:c>
      <x:c r="EX5" s="132">
        <x:v>0.25</x:v>
      </x:c>
      <x:c r="EY5" s="132">
        <x:v>0.35</x:v>
      </x:c>
      <x:c r="EZ5" s="132">
        <x:v>0.45</x:v>
      </x:c>
      <x:c r="FA5" s="132">
        <x:v>0.5</x:v>
      </x:c>
      <x:c r="FB5" s="247"/>
      <x:c r="FC5" s="134" t="n">
        <x:f t="shared" si="25">IF($A5="","",IF(OR($J5="",$L5="",$L5&lt;=0),"",MAX(0.5,MIN(1.5,$J5/$L5))))</x:f>
        <x:v>1.05</x:v>
      </x:c>
      <x:c r="FD5" s="134" t="n">
        <x:f t="shared" si="26">IF($A5="","",IF(OR($Q5="",$S5="",$S5&lt;=0),"",MAX(0.5,MIN(1.5,$Q5/$S5))))</x:f>
        <x:v>0.9411764705882354</x:v>
      </x:c>
      <x:c r="FE5" s="134" t="n">
        <x:f>IF($A5="","",IF(COUNT($EV5:$EW5)&lt;2,"",SQRT($EV5*$EW5)/'Setari model'!$B$87))</x:f>
        <x:v>1.1832159566199232</x:v>
      </x:c>
      <x:c r="FF5" s="134" t="n">
        <x:f>IF($A5="","",IF(COUNT($O5,$V5,$EX5,$EY5)&lt;4,"",AVERAGE(SQRT($O5*$EY5),SQRT($V5*$EX5))/'Setari model'!$B$88))</x:f>
        <x:v>0.5</x:v>
      </x:c>
      <x:c r="FG5" s="134" t="n">
        <x:f t="shared" si="27">IF($A5="","",IF(COUNT($FC5:$FD5)&lt;2,"",MAX(0,1-AVERAGE($FC5:$FD5))))</x:f>
        <x:v>0.004411764705882337</x:v>
      </x:c>
      <x:c r="FH5" s="134" t="n">
        <x:f>IF($A5="","",IF(COUNT($EZ5:$FA5)&lt;2,"",'Setari model'!$B$94*AVERAGE($EZ5:$FA5)/'Setari model'!$B$89))</x:f>
        <x:v>1.0178571428571428</x:v>
      </x:c>
      <x:c r="FI5" s="134" t="n">
        <x:f>IF($A5="","",IF(COUNT($FE5:$FH5)&lt;4,"",MAX('Setari model'!$B$97,MIN('Setari model'!$B$98,1+'Setari model'!$B$90*($FE5-1)+'Setari model'!$B$91*($FF5-1)+'Setari model'!$B$92*$FG5+'Setari model'!$B$93*($FH5-1)))))</x:f>
        <x:v>0.9094185684985818</x:v>
      </x:c>
      <x:c r="FJ5" s="133" t="n">
        <x:f>IF($A5="","",IF($FI5="","",MIN('Setari model'!$B$101,MAX(0.002,$DZ5*$FI5))))</x:f>
        <x:v>0.06330147158710933</x:v>
      </x:c>
      <x:c r="FK5" s="131" t="str">
        <x:f t="shared" si="28">IF($A5="","",IF(AND(COUNT($EV5:$FA5)=6,COUNT($O5,$V5,$FC5,$FD5)=4),"DA","NU"))</x:f>
        <x:v>DA</x:v>
      </x:c>
      <x:c r="FL5" s="131" t="str">
        <x:f>IF($A5="","",IF($FK5&lt;&gt;"DA","NEDETERMINAT",IF($FI5&lt;='Setari model'!$B$99,"SCĂZUT",IF($FI5&lt;='Setari model'!$B$100,"MEDIU","RIDICAT"))))</x:f>
        <x:v>SCĂZUT</x:v>
      </x:c>
      <x:c r="FM5" s="131" t="str">
        <x:f>IF($A5="","",IF(AND($AR5&gt;1,$EC5&gt;='Setari model'!$B$106),"DA","NU"))</x:f>
        <x:v>DA</x:v>
      </x:c>
      <x:c r="FN5" s="131" t="str">
        <x:f t="shared" si="29">IF($A5="","",IF(AND($AU5=1,COUNT($CY5:$DB5)=4),"DA","NU"))</x:f>
        <x:v>NU</x:v>
      </x:c>
      <x:c r="FO5" s="133" t="n">
        <x:f>IF($A5="","",IF(OR($FK5&lt;&gt;"DA",$FL5="RIDICAT"),'Setari model'!$B$102,IF($FL5="MEDIU",'Setari model'!$B$103,IF(AND($FM5="DA",$FN5="DA"),'Setari model'!$B$105,'Setari model'!$B$104))))</x:f>
        <x:v>0.92</x:v>
      </x:c>
      <x:c r="FP5" s="133" t="n">
        <x:f t="shared" si="30">IF($A5="","",IF($FJ5="","",MIN(1-$FJ5,$FO5)))</x:f>
        <x:v>0.92</x:v>
      </x:c>
      <x:c r="FQ5" s="135" t="n">
        <x:f t="shared" si="31">IF($A5="","",IF($FP5="","",IF($FP5&gt;0,1/$FP5,"")))</x:f>
        <x:v>1.0869565217391304</x:v>
      </x:c>
      <x:c r="FR5" s="133" t="n">
        <x:f t="shared" si="32">IF($A5="","",IF($EC5="","",$FP5-$EC5))</x:f>
        <x:v>0.012480553154710528</x:v>
      </x:c>
      <x:c r="FS5" s="133" t="n">
        <x:f t="shared" si="33">IF($A5="","",IF($AR5&gt;1,$FP5*$AR5-1,""))</x:f>
        <x:v>-0.015599999999999947</x:v>
      </x:c>
      <x:c r="FT5" s="136" t="n">
        <x:f>IF($A5="","",MAX(0,MIN(100,$EF5-IF($FK5&lt;&gt;"DA",'Setari model'!$B$107,0)-IF($FL5="MEDIU",'Setari model'!$B$108,0)-IF($FL5="RIDICAT",'Setari model'!$B$109,0))))</x:f>
        <x:v>32.070156010341734</x:v>
      </x:c>
      <x:c r="FU5" s="131" t="str">
        <x:f t="shared" si="34">IF($A5="","",IF($AR5&lt;=1,"NU – LIPSEȘTE COTA REALĂ",IF($FK5&lt;&gt;"DA","NU – ZERO-RISK INCOMPLET",IF($FL5&lt;&gt;"SCĂZUT","NU – RISC 0-0 "&amp;$FL5,IF($FN5&lt;&gt;"DA","NU – LINEUP NECONFIRMAT",IF($FM5&lt;&gt;"DA","NU – PIAȚĂ NECONFIRMATĂ",IF($EP5&lt;&gt;"DA","NU – PORTOFOLIU","DA")))))))</x:f>
        <x:v>NU – LINEUP NECONFIRMAT</x:v>
      </x:c>
      <x:c r="FV5" s="131" t="str">
        <x:f>IF($A5="","",IF($FU5&lt;&gt;"DA","WATCH / NO BET",IF(AND($FP5&gt;='Setari model'!$B$35,$FT5&gt;=100*'Setari model'!$B$76,$FS5&gt;0),"PARIU RECOMANDAT",IF(AND($FP5&gt;='Setari model'!$B$39,$FT5&gt;=100*'Setari model'!$B$40,$FS5&gt;0),"WATCH – APROAPE DE PRAG","PARIU EVITAT"))))</x:f>
        <x:v>WATCH / NO BET</x:v>
      </x:c>
      <x:c r="FW5" s="131" t="str">
        <x:f t="shared" si="35">IF($A5="","",IF($FU5&lt;&gt;"DA",$FU5,IF($FT5&lt;75,"Confidence v3 sub 75.",IF($FP5&lt;0.92,"P v3 sub 92%.",IF($FS5&lt;=0,"EV v3 nepozitiv.","P0 v3, lineup și piață confirmate.")))))</x:f>
        <x:v>NU – LINEUP NECONFIRMAT</x:v>
      </x:c>
      <x:c r="FX5" s="131" t="str">
        <x:f t="shared" si="36">IF($A5="","","P v3="&amp;TEXT($FP5,"0.0%")&amp;"; P0 v3="&amp;TEXT($FJ5,"0.0%")&amp;"; factor zero="&amp;IF($FI5="","n/a",TEXT($FI5,"0.00x"))&amp;" ("&amp;$FL5&amp;"); cap="&amp;TEXT($FO5,"0.0%")&amp;"; Confidence="&amp;TEXT($FT5,"0")&amp;"/100; lineup="&amp;$FN5&amp;"; piață="&amp;$FM5&amp;"; EV="&amp;IF($FS5="","n/a",TEXT($FS5,"0.0%"))&amp;"; gate="&amp;$FU5&amp;"; verdict="&amp;$FV5&amp;". "&amp;$FW5)</x:f>
        <x:v>P v3=92.0%; P0 v3=6.3%; factor zero=0.91x (SCĂZUT); cap=92.0%; Confidence=32/100; lineup=NU; piață=DA; EV=-1.6%; gate=NU – LINEUP NECONFIRMAT; verdict=WATCH / NO BET. NU – LINEUP NECONFIRMAT</x:v>
      </x:c>
      <x:c r="FY5" s="159">
        <x:v>0.2</x:v>
      </x:c>
      <x:c r="FZ5" s="159">
        <x:v>0.4</x:v>
      </x:c>
      <x:c r="GA5" s="157">
        <x:v>1</x:v>
      </x:c>
      <x:c r="GB5" s="157">
        <x:v>2</x:v>
      </x:c>
      <x:c r="GC5" s="161" t="n">
        <x:f t="shared" si="37">IF($A5="","",IF(OR($X5="",$Z5="",$Z5&lt;=0),"",MAX(0.5,MIN(1.5,$X5/$Z5))))</x:f>
        <x:v>1.0256410256410258</x:v>
      </x:c>
      <x:c r="GD5" s="161" t="n">
        <x:f t="shared" si="38">IF($A5="","",IF(OR($AC5="",$AE5="",$AE5&lt;=0),"",MAX(0.5,MIN(1.5,$AC5/$AE5))))</x:f>
        <x:v>0.888888888888889</x:v>
      </x:c>
      <x:c r="GE5" s="162" t="n">
        <x:f t="shared" si="39">IF($A5="","",IF(COUNT($Z5,$AE5)&lt;2,"",AVERAGE($Z5,$AE5)))</x:f>
        <x:v>1.425</x:v>
      </x:c>
      <x:c r="GF5" s="158" t="str">
        <x:f>IF($A5="","",IF(COUNT($FY5:$FZ5)&lt;2,"NEDETERMINAT",IF(AND($FY5&gt;='Setari model'!$B$113,$FZ5&gt;='Setari model'!$B$113),"DA","NU")))</x:f>
        <x:v>DA</x:v>
      </x:c>
      <x:c r="GG5" s="158" t="str">
        <x:f>IF($A5="","",IF(COUNT($FY5:$FZ5,$EX5:$EY5)&lt;4,"NEDETERMINAT",IF(OR(AND($FY5&gt;='Setari model'!$B$113,$EY5&gt;='Setari model'!$B$114),AND($FZ5&gt;='Setari model'!$B$113,$EX5&gt;='Setari model'!$B$114)),"DA","NU")))</x:f>
        <x:v>DA</x:v>
      </x:c>
      <x:c r="GH5" s="158" t="str">
        <x:f>IF($A5="","",IF(COUNT($BJ5:$BN5,$GC5:$GE5)&lt;8,"NEDETERMINAT",IF(AND((($BJ5*INDEX('Setari model'!$B$5:$B$11,MATCH($E5,'Setari model'!$A$5:$A$11,0))+$BK5*INDEX('Setari model'!$C$5:$C$11,MATCH($E5,'Setari model'!$A$5:$A$11,0))+$BL5*INDEX('Setari model'!$D$5:$D$11,MATCH($E5,'Setari model'!$A$5:$A$11,0))+$BM5*INDEX('Setari model'!$E$5:$E$11,MATCH($E5,'Setari model'!$A$5:$A$11,0))+$BN5*INDEX('Setari model'!$F$5:$F$11,MATCH($E5,'Setari model'!$A$5:$A$11,0)))/(INDEX('Setari model'!$B$5:$B$11,MATCH($E5,'Setari model'!$A$5:$A$11,0))+INDEX('Setari model'!$C$5:$C$11,MATCH($E5,'Setari model'!$A$5:$A$11,0))+INDEX('Setari model'!$D$5:$D$11,MATCH($E5,'Setari model'!$A$5:$A$11,0))+INDEX('Setari model'!$E$5:$E$11,MATCH($E5,'Setari model'!$A$5:$A$11,0))+INDEX('Setari model'!$F$5:$F$11,MATCH($E5,'Setari model'!$A$5:$A$11,0))))*$BR5&gt;='Setari model'!$B$115,(($BJ5*INDEX('Setari model'!$B$5:$B$11,MATCH($E5,'Setari model'!$A$5:$A$11,0))+$BK5*INDEX('Setari model'!$C$5:$C$11,MATCH($E5,'Setari model'!$A$5:$A$11,0))+$BL5*INDEX('Setari model'!$D$5:$D$11,MATCH($E5,'Setari model'!$A$5:$A$11,0))+$BM5*INDEX('Setari model'!$E$5:$E$11,MATCH($E5,'Setari model'!$A$5:$A$11,0))+$BN5*INDEX('Setari model'!$F$5:$F$11,MATCH($E5,'Setari model'!$A$5:$A$11,0)))/(INDEX('Setari model'!$B$5:$B$11,MATCH($E5,'Setari model'!$A$5:$A$11,0))+INDEX('Setari model'!$C$5:$C$11,MATCH($E5,'Setari model'!$A$5:$A$11,0))+INDEX('Setari model'!$D$5:$D$11,MATCH($E5,'Setari model'!$A$5:$A$11,0))+INDEX('Setari model'!$E$5:$E$11,MATCH($E5,'Setari model'!$A$5:$A$11,0))+INDEX('Setari model'!$F$5:$F$11,MATCH($E5,'Setari model'!$A$5:$A$11,0))))*$BR5&lt;='Setari model'!$B$116,AVERAGE($GC5:$GD5)&lt;='Setari model'!$B$117,$GE5&gt;='Setari model'!$B$118),"DA","NU")))</x:f>
        <x:v>NU</x:v>
      </x:c>
      <x:c r="GI5" s="158" t="str">
        <x:f>IF($A5="","",IF(COUNT($W5,$AB5,$GA5:$GB5)&lt;4,"NEDETERMINAT",IF(AND($W5&gt;='Setari model'!$B$120,$AB5&gt;='Setari model'!$B$120,OR(IFERROR($GA5/$W5,0)&gt;='Setari model'!$B$119,IFERROR($GB5/$AB5,0)&gt;='Setari model'!$B$119)),"DA","NU")))</x:f>
        <x:v>DA</x:v>
      </x:c>
      <x:c r="GJ5" s="160" t="n">
        <x:f>IF($A5="","",IF(COUNT($FY5:$GB5)&lt;4,"",IF($GH5&lt;&gt;"DA",0,'Setari model'!$B$121*IF($GF5="DA",1,0)+'Setari model'!$B$122*IF($GG5="DA",1,0)+'Setari model'!$B$123+'Setari model'!$B$124*IF($GI5="DA",1,0))))</x:f>
        <x:v>0</x:v>
      </x:c>
      <x:c r="GK5" s="161" t="n">
        <x:f>IF($A5="","",IF(COUNT($GJ5)=0,"",1+'Setari model'!$B$125*$GJ5))</x:f>
        <x:v>1</x:v>
      </x:c>
      <x:c r="GL5" s="160" t="n">
        <x:f>IF($A5="","",IF($GM5&lt;&gt;"DA",$FJ5,MIN('Setari model'!$B$101,MAX(0.002,$FJ5*$GK5))))</x:f>
        <x:v>0.06330147158710933</x:v>
      </x:c>
      <x:c r="GM5" s="158" t="str">
        <x:f>IF($A5="","",IF(AND($FK5="DA",COUNT($FY5:$GB5)=4,COUNT($I5,$P5,$W5,$AB5,$Z5,$AE5,$EX5,$EY5,$GC5,$GD5)=10,COUNT($BJ5:$BN5)=5),"DA","NU"))</x:f>
        <x:v>DA</x:v>
      </x:c>
      <x:c r="GN5" s="158" t="str">
        <x:f>IF($A5="","",IF($GM5&lt;&gt;"DA","NEDETERMINAT",IF($FI5*$GK5&lt;='Setari model'!$B$99,"SCĂZUT",IF($FI5*$GK5&lt;='Setari model'!$B$100,"MEDIU","RIDICAT"))))</x:f>
        <x:v>SCĂZUT</x:v>
      </x:c>
      <x:c r="GO5" s="160" t="n">
        <x:f>IF($A5="","",IF(OR($GM5&lt;&gt;"DA",$GN5="RIDICAT"),'Setari model'!$B$102,IF($GN5="MEDIU",'Setari model'!$B$103,IF(AND($FM5="DA",$FN5="DA"),'Setari model'!$B$105,'Setari model'!$B$104))))</x:f>
        <x:v>0.92</x:v>
      </x:c>
      <x:c r="GP5" s="160" t="n">
        <x:f t="shared" si="40">IF($A5="","",IF($GL5="","",MIN(1-$GL5,$GO5)))</x:f>
        <x:v>0.92</x:v>
      </x:c>
      <x:c r="GQ5" s="162" t="n">
        <x:f t="shared" si="41">IF($A5="","",IF($GP5="","",IF($GP5&gt;0,1/$GP5,"")))</x:f>
        <x:v>1.0869565217391304</x:v>
      </x:c>
      <x:c r="GR5" s="160" t="n">
        <x:f t="shared" si="42">IF($A5="","",IF($EC5="","",$GP5-$EC5))</x:f>
        <x:v>0.012480553154710528</x:v>
      </x:c>
      <x:c r="GS5" s="160" t="n">
        <x:f t="shared" si="43">IF($A5="","",IF($AR5&gt;1,$GP5*$AR5-1,""))</x:f>
        <x:v>-0.015599999999999947</x:v>
      </x:c>
      <x:c r="GT5" s="163" t="n">
        <x:f>IF($A5="","",MAX(0,MIN(100,$FT5-IF(AND($GM5&lt;&gt;"DA",$FK5="DA"),'Setari model'!$B$107,0)-'Setari model'!$B$126*IF($GJ5="",0,$GJ5))))</x:f>
        <x:v>32.070156010341734</x:v>
      </x:c>
      <x:c r="GU5" s="158" t="str">
        <x:f t="shared" si="44">IF($A5="","",IF($AR5&lt;=1,"NU – LIPSEȘTE COTA REALĂ",IF($GM5&lt;&gt;"DA","NU – DATE LOW-CONVERSION INCOMPLETE",IF($GN5&lt;&gt;"SCĂZUT","NU – RISC 0-0 "&amp;$GN5,IF($FN5&lt;&gt;"DA","NU – LINEUP NECONFIRMAT",IF($FM5&lt;&gt;"DA","NU – PIAȚĂ NECONFIRMATĂ",IF($EP5&lt;&gt;"DA","NU – PORTOFOLIU","DA")))))))</x:f>
        <x:v>NU – LINEUP NECONFIRMAT</x:v>
      </x:c>
      <x:c r="GV5" s="158" t="str">
        <x:f>IF($A5="","",IF($GU5&lt;&gt;"DA","WATCH / NO BET",IF(AND($GP5&gt;='Setari model'!$B$35,$GT5&gt;=100*'Setari model'!$B$76,$GS5&gt;0),"PARIU RECOMANDAT",IF(AND($GP5&gt;='Setari model'!$B$39,$GT5&gt;=100*'Setari model'!$B$40,$GS5&gt;0),"WATCH – APROAPE DE PRAG","PARIU EVITAT"))))</x:f>
        <x:v>WATCH / NO BET</x:v>
      </x:c>
      <x:c r="GW5" s="158" t="str">
        <x:f t="shared" si="45">IF($A5="","",IF($GU5&lt;&gt;"DA",$GU5,IF($GT5&lt;75,"Confidence v5 sub 75.",IF($GP5&lt;0.92,"P v5 sub 92%.",IF($GS5&lt;=0,"EV v5 nepozitiv.",IF($GJ5&gt;0,"Low-conversion absorbit în P0; toate porțile rămân trecute.","Toate porțile v5 sunt trecute."))))))</x:f>
        <x:v>NU – LINEUP NECONFIRMAT</x:v>
      </x:c>
      <x:c r="GX5" s="158" t="str">
        <x:f t="shared" si="46">IF($A5="","","P v5="&amp;TEXT($GP5,"0.0%")&amp;"; P0 v5="&amp;TEXT($GL5,"0.0%")&amp;"; low-conv="&amp;IF(COUNT($GJ5)=0,"n/a",TEXT($GJ5,"0%"))&amp;"; mult.P0="&amp;IF(COUNT($GK5)=0,"n/a",TEXT($GK5,"0.00"))&amp;"; clasă="&amp;$GN5&amp;"; cap="&amp;TEXT($GO5,"0.0%")&amp;"; Confidence="&amp;TEXT($GT5,"0")&amp;"/100; lineup="&amp;$FN5&amp;"; piață="&amp;$FM5&amp;"; EV="&amp;IF($GS5="","n/a",TEXT($GS5,"0.0%"))&amp;"; gate="&amp;$GU5&amp;"; verdict="&amp;$GV5&amp;". "&amp;$GW5)</x:f>
        <x:v>P v5=92.0%; P0 v5=6.3%; low-conv=0%; mult.P0=1.00; clasă=SCĂZUT; cap=92.0%; Confidence=32/100; lineup=NU; piață=DA; EV=-1.6%; gate=NU – LINEUP NECONFIRMAT; verdict=WATCH / NO BET. NU – LINEUP NECONFIRMAT</x:v>
      </x:c>
      <x:c r="GY5" s="174" t="str">
        <x:f>IF($A5="","",IF($GM5&lt;&gt;"DA","SOURCING INCOMPLETE – REVIEW REQUIRED",IF(MIN($I5,$P5,$W5,$AB5)&lt;'Setari model'!$B$58,"SMALL SAMPLE + PRIOR / SHRINKAGE","VERIFIED / PRIOR / SHRINKAGE")))</x:f>
        <x:v>VERIFIED / PRIOR / SHRINKAGE</x:v>
      </x:c>
      <x:c r="GZ5" s="175" t="n">
        <x:f t="shared" si="47">IF($A5="","",MAX(0,MIN(100,100*(1-AVERAGE(IF($GM5="DA",1,0),MIN(1,$AT5/5))))))</x:f>
        <x:v>19.999999999999996</x:v>
      </x:c>
      <x:c r="HA5" s="175" t="n">
        <x:f>IF($A5="","",IF($GM5&lt;&gt;"DA","",MAX(0,MIN(100,100*(($FI5*$GK5)-'Setari model'!$B$97)/('Setari model'!$B$98-'Setari model'!$B$97)))))</x:f>
        <x:v>18.755125705715507</x:v>
      </x:c>
      <x:c r="HB5" s="175" t="n">
        <x:f>IF($A5="","",MAX(0,MIN(100,100*(ABS($BR5-1)/MAX(1-'Setari model'!$B$53,'Setari model'!$B$54-1)+MIN(1,$BG5/2))/2)))</x:f>
        <x:v>43.40000000000002</x:v>
      </x:c>
      <x:c r="HC5" s="175" t="n">
        <x:f t="shared" si="48">IF($A5="","",MAX(0,MIN(100,100*(1-AVERAGE($CC5,MAX(0,1-(MAX($BJ5:$BN5)-MIN($BJ5:$BN5))/(AVERAGE($BJ5:$BN5)*'Setari model'!$B$45)))))))</x:f>
        <x:v>15.352913280735248</x:v>
      </x:c>
      <x:c r="HD5" s="175" t="n">
        <x:f t="shared" si="49">IF($A5="","",MAX(0,MIN(100,100*MAX(IF($GJ5="",0,$GJ5),MIN(1,$BG5/2)))))</x:f>
        <x:v>50</x:v>
      </x:c>
      <x:c r="HE5" s="175" t="n">
        <x:f>IF($A5="","",IF(COUNT($GZ5:$HD5)&lt;5,"",$GZ5*Risk_Classification!$E$28+$HA5*Risk_Classification!$E$29+$HB5*Risk_Classification!$E$30+$HC5*Risk_Classification!$E$31+$HD5*Risk_Classification!$E$32))</x:f>
        <x:v>24.908034164456684</x:v>
      </x:c>
      <x:c r="HF5" s="176" t="n">
        <x:f t="shared" si="50">IF($A5="","",IF($HE5="","",IF($HE5&lt;=20,1,IF($HE5&lt;=40,2,IF($HE5&lt;=60,3,IF($HE5&lt;=80,4,5))))))</x:f>
        <x:v>2</x:v>
      </x:c>
      <x:c r="HG5" s="176" t="str">
        <x:f t="shared" si="51">IF($A5="","",IF($GM5="DA","PASS","FAIL – DATE CRITICE ZERO-MASS INCOMPLETE"))</x:f>
        <x:v>PASS</x:v>
      </x:c>
      <x:c r="HH5" s="176" t="n">
        <x:f t="shared" si="52">IF($A5="","",IF($HG5&lt;&gt;"PASS",5,$HF5))</x:f>
        <x:v>2</x:v>
      </x:c>
      <x:c r="HI5" s="174" t="str">
        <x:f t="shared" si="53">IF($A5="","",IF($HH5="","N/A",IF($HH5=1,"DEFENSIV",IF($HH5=2,"PRUDENT",IF($HH5=3,"MODERAT",IF($HH5=4,"RIDICAT","WATCH / NO BET"))))))</x:f>
        <x:v>PRUDENT</x:v>
      </x:c>
      <x:c r="HJ5" s="177" t="str">
        <x:f t="shared" si="54">IF($A5="","","Data="&amp;$GY5&amp;"; DQ="&amp;TEXT($GZ5,"0.0")&amp;"; ZM="&amp;IF($HA5="","n/a",TEXT($HA5,"0.0"))&amp;"; Context="&amp;TEXT($HB5,"0.0")&amp;"; Uncertainty="&amp;TEXT($HC5,"0.0")&amp;"; Compound="&amp;TEXT($HD5,"0.0")&amp;"; Risk Score="&amp;IF($HE5="","n/a",TEXT($HE5,"0.0"))&amp;"; Base="&amp;IF($HF5="","n/a",$HF5)&amp;"; G0="&amp;$HG5&amp;"; Final="&amp;$HH5&amp;". Cota, EV si lineup sunt informative si nu intra in recomandare.")</x:f>
        <x:v>Data=VERIFIED / PRIOR / SHRINKAGE; DQ=20.0; ZM=18.8; Context=43.4; Uncertainty=15.4; Compound=50.0; Risk Score=24.9; Base=2; G0=PASS; Final=2. Cota, EV si lineup sunt informative si nu intra in recomandare.</x:v>
      </x:c>
      <x:c r="HK5" s="174" t="str">
        <x:f t="shared" si="55">IF($A5="","",$HI5)</x:f>
        <x:v>PRUDENT</x:v>
      </x:c>
    </x:row>
    <x:row r="6" ht="24" customHeight="1">
      <x:c r="A6" s="58" t="s">
        <x:v>275</x:v>
      </x:c>
      <x:c r="B6" s="24" t="s">
        <x:v>258</x:v>
      </x:c>
      <x:c r="C6" s="59">
        <x:v>46268</x:v>
      </x:c>
      <x:c r="D6" s="24" t="s">
        <x:v>276</x:v>
      </x:c>
      <x:c r="E6" s="24" t="s">
        <x:v>277</x:v>
      </x:c>
      <x:c r="F6" s="24" t="s">
        <x:v>278</x:v>
      </x:c>
      <x:c r="G6" s="24" t="s">
        <x:v>279</x:v>
      </x:c>
      <x:c r="H6" s="24" t="s">
        <x:v>280</x:v>
      </x:c>
      <x:c r="I6" s="24">
        <x:v>10</x:v>
      </x:c>
      <x:c r="J6" s="24">
        <x:v>1.5</x:v>
      </x:c>
      <x:c r="K6" s="24">
        <x:v>0.8</x:v>
      </x:c>
      <x:c r="L6" s="24">
        <x:v>1.6</x:v>
      </x:c>
      <x:c r="M6" s="24">
        <x:v>0.9</x:v>
      </x:c>
      <x:c r="N6" s="18">
        <x:v>0.9</x:v>
      </x:c>
      <x:c r="O6" s="18">
        <x:v>0.1</x:v>
      </x:c>
      <x:c r="P6" s="24">
        <x:v>10</x:v>
      </x:c>
      <x:c r="Q6" s="24">
        <x:v>1.3</x:v>
      </x:c>
      <x:c r="R6" s="24">
        <x:v>1.3</x:v>
      </x:c>
      <x:c r="S6" s="24">
        <x:v>1.35</x:v>
      </x:c>
      <x:c r="T6" s="24">
        <x:v>1.25</x:v>
      </x:c>
      <x:c r="U6" s="18">
        <x:v>0.9</x:v>
      </x:c>
      <x:c r="V6" s="18">
        <x:v>0.1</x:v>
      </x:c>
      <x:c r="W6" s="24">
        <x:v>5</x:v>
      </x:c>
      <x:c r="X6" s="24">
        <x:v>1.4</x:v>
      </x:c>
      <x:c r="Y6" s="24">
        <x:v>0.8</x:v>
      </x:c>
      <x:c r="Z6" s="24">
        <x:v>1.5</x:v>
      </x:c>
      <x:c r="AA6" s="24">
        <x:v>0.85</x:v>
      </x:c>
      <x:c r="AB6" s="24">
        <x:v>5</x:v>
      </x:c>
      <x:c r="AC6" s="24">
        <x:v>1.2</x:v>
      </x:c>
      <x:c r="AD6" s="24">
        <x:v>1.4</x:v>
      </x:c>
      <x:c r="AE6" s="24">
        <x:v>1.3</x:v>
      </x:c>
      <x:c r="AF6" s="24">
        <x:v>1.35</x:v>
      </x:c>
      <x:c r="AG6" s="24">
        <x:v>0</x:v>
      </x:c>
      <x:c r="AH6" s="24">
        <x:v>0</x:v>
      </x:c>
      <x:c r="AI6" s="18">
        <x:v>0</x:v>
      </x:c>
      <x:c r="AJ6" s="24">
        <x:v>1.45</x:v>
      </x:c>
      <x:c r="AK6" s="24">
        <x:v>1.1499999999999999</x:v>
      </x:c>
      <x:c r="AL6" s="24">
        <x:v>2.6</x:v>
      </x:c>
      <x:c r="AM6" s="18">
        <x:v>0.08</x:v>
      </x:c>
      <x:c r="AN6" s="24">
        <x:v>150</x:v>
      </x:c>
      <x:c r="AO6" s="60">
        <x:v>1.95</x:v>
      </x:c>
      <x:c r="AP6" s="60">
        <x:v>3.4</x:v>
      </x:c>
      <x:c r="AQ6" s="60">
        <x:v>3.85</x:v>
      </x:c>
      <x:c r="AR6" s="60">
        <x:v>1.1100000000000001</x:v>
      </x:c>
      <x:c r="AS6" s="60">
        <x:v>7.8</x:v>
      </x:c>
      <x:c r="AT6" s="24">
        <x:v>5</x:v>
      </x:c>
      <x:c r="AU6" s="24">
        <x:v>1</x:v>
      </x:c>
      <x:c r="AV6" s="24">
        <x:v>1</x:v>
      </x:c>
      <x:c r="AW6" s="24">
        <x:v>0</x:v>
      </x:c>
      <x:c r="AX6" s="24">
        <x:v>1</x:v>
      </x:c>
      <x:c r="AY6" s="24">
        <x:v>0</x:v>
      </x:c>
      <x:c r="AZ6" s="24">
        <x:v>0</x:v>
      </x:c>
      <x:c r="BA6" s="24">
        <x:v>0</x:v>
      </x:c>
      <x:c r="BB6" s="24">
        <x:v>0</x:v>
      </x:c>
      <x:c r="BC6" s="24">
        <x:v>0</x:v>
      </x:c>
      <x:c r="BD6" s="24">
        <x:v>0</x:v>
      </x:c>
      <x:c r="BE6" s="24">
        <x:v>-1</x:v>
      </x:c>
      <x:c r="BF6" s="24">
        <x:v>0</x:v>
      </x:c>
      <x:c r="BG6" s="24">
        <x:v>0</x:v>
      </x:c>
      <x:c r="BH6" s="61" t="s">
        <x:v>281</x:v>
      </x:c>
      <x:c r="BI6" s="61" t="s">
        <x:v>282</x:v>
      </x:c>
      <x:c r="BJ6" s="62" t="n">
        <x:f>IF($A6="","",SQRT((($I6*IF($J6="",$AJ6,$J6)+'Setari model'!$B$30*$AJ6)/($I6+'Setari model'!$B$30))*(($P6*IF($R6="",$AJ6,$R6)+'Setari model'!$B$30*$AJ6)/($P6+'Setari model'!$B$30)))+SQRT((($P6*IF($Q6="",$AK6,$Q6)+'Setari model'!$B$30*$AK6)/($P6+'Setari model'!$B$30))*(($I6*IF($K6="",$AK6,$K6)+'Setari model'!$B$30*$AK6)/($I6+'Setari model'!$B$30))))</x:f>
        <x:v>2.5067326663693565</x:v>
      </x:c>
      <x:c r="BK6" s="62" t="n">
        <x:f>IF($A6="","",SQRT((($I6*IF($L6="",IF($J6="",$AJ6,$J6),$L6)+'Setari model'!$B$30*$AJ6)/($I6+'Setari model'!$B$30))*(($P6*IF($T6="",IF($R6="",$AJ6,$R6),$T6)+'Setari model'!$B$30*$AJ6)/($P6+'Setari model'!$B$30)))+SQRT((($P6*IF($S6="",IF($Q6="",$AK6,$Q6),$S6)+'Setari model'!$B$30*$AK6)/($P6+'Setari model'!$B$30))*(($I6*IF($M6="",IF($K6="",$AK6,$K6),$M6)+'Setari model'!$B$30*$AK6)/($I6+'Setari model'!$B$30))))</x:f>
        <x:v>2.5620300895932235</x:v>
      </x:c>
      <x:c r="BL6" s="62" t="n">
        <x:f>IF($A6="","",SQRT((($W6*IF($X6="",$AL6/2,$X6)+'Setari model'!$B$31*$AL6/2)/($W6+'Setari model'!$B$31))*(($AB6*IF($AD6="",$AL6/2,$AD6)+'Setari model'!$B$31*$AL6/2)/($AB6+'Setari model'!$B$31)))+SQRT((($AB6*IF($AC6="",$AL6/2,$AC6)+'Setari model'!$B$31*$AL6/2)/($AB6+'Setari model'!$B$31))*(($W6*IF($Y6="",$AL6/2,$Y6)+'Setari model'!$B$31*$AL6/2)/($W6+'Setari model'!$B$31))))</x:f>
        <x:v>2.4956439237389603</x:v>
      </x:c>
      <x:c r="BM6" s="62" t="n">
        <x:f>IF($A6="","",SQRT((($W6*IF($Z6="",IF($X6="",$AL6/2,$X6),$Z6)+'Setari model'!$B$31*$AL6/2)/($W6+'Setari model'!$B$31))*(($AB6*IF($AF6="",IF($AD6="",$AL6/2,$AD6),$AF6)+'Setari model'!$B$31*$AL6/2)/($AB6+'Setari model'!$B$31)))+SQRT((($AB6*IF($AE6="",IF($AC6="",$AL6/2,$AC6),$AE6)+'Setari model'!$B$31*$AL6/2)/($AB6+'Setari model'!$B$31))*(($W6*IF($AA6="",IF($Y6="",$AL6/2,$Y6),$AA6)+'Setari model'!$B$31*$AL6/2)/($W6+'Setari model'!$B$31))))</x:f>
        <x:v>2.5441428889413125</x:v>
      </x:c>
      <x:c r="BN6" s="62" t="n">
        <x:f t="shared" si="0">IF($A6="","",IF($AG6&gt;0,($AG6*IF($AH6="",$AL6,$AH6)+5*$AL6)/($AG6+5),$AL6))</x:f>
        <x:v>2.6</x:v>
      </x:c>
      <x:c r="BO6" s="63" t="n">
        <x:f>IF($A6="","",IF($AR6&gt;1,IF($AS6&gt;1,(1/$AR6)/((1/$AR6+1/$AS6)),MIN(0.995,(1/$AR6)/(1+'Setari model'!$B$32))),1-EXP(-$AL6)))</x:f>
        <x:v>0.8754208754208754</x:v>
      </x:c>
      <x:c r="BP6" s="62" t="n">
        <x:f t="shared" si="1">IF($A6="","",-LN(1-$BO6))</x:f>
        <x:v>2.0828142261584754</x:v>
      </x:c>
      <x:c r="BQ6" s="62" t="n">
        <x:f>IF($A6="","",$BJ6*INDEX('Setari model'!$B$5:$B$11,MATCH($E6,'Setari model'!$A$5:$A$11,0))+$BK6*INDEX('Setari model'!$C$5:$C$11,MATCH($E6,'Setari model'!$A$5:$A$11,0))+$BL6*INDEX('Setari model'!$D$5:$D$11,MATCH($E6,'Setari model'!$A$5:$A$11,0))+$BM6*INDEX('Setari model'!$E$5:$E$11,MATCH($E6,'Setari model'!$A$5:$A$11,0))+$BN6*INDEX('Setari model'!$F$5:$F$11,MATCH($E6,'Setari model'!$A$5:$A$11,0))+$BP6*INDEX('Setari model'!$G$5:$G$11,MATCH($E6,'Setari model'!$A$5:$A$11,0)))</x:f>
        <x:v>2.4147157964471364</x:v>
      </x:c>
      <x:c r="BR6" s="64" t="n">
        <x:f>IF($A6="","",MAX('Setari model'!$B$53,MIN('Setari model'!$B$54,1+($AV6*'Setari model'!$B$15+$AW6*'Setari model'!$B$16+$AX6*'Setari model'!$B$17+$AY6*'Setari model'!$B$18+$AZ6*'Setari model'!$B$19+$BA6*'Setari model'!$B$20+$BB6*'Setari model'!$B$21+$BC6*'Setari model'!$B$22+$BD6*'Setari model'!$B$23+$BE6*'Setari model'!$B$24+$BF6*'Setari model'!$B$25)*INDEX('Setari model'!$H$5:$H$11,MATCH($E6,'Setari model'!$A$5:$A$11,0)))))</x:f>
        <x:v>1.0055</x:v>
      </x:c>
      <x:c r="BS6" s="62" t="n">
        <x:f t="shared" si="2">IF($A6="","",$BQ6*$BR6)</x:f>
        <x:v>2.427996733327596</x:v>
      </x:c>
      <x:c r="BT6" s="63" t="n">
        <x:f t="shared" si="3">IF($A6="","",EXP(-$BS6))</x:f>
        <x:v>0.08821337060235639</x:v>
      </x:c>
      <x:c r="BU6" s="65" t="n">
        <x:f>IF($A6="","",IF(OR($AM6="",$AN6=""),1,1+MIN('Setari model'!$B$33,$AN6/100*'Setari model'!$B$33)*($AM6/EXP(-$AL6)-1)))</x:f>
        <x:v>1.0385495214000677</x:v>
      </x:c>
      <x:c r="BV6" s="63" t="n">
        <x:f>IF($A6="","",MIN(0.45,MAX(0.005,(1-'Setari model'!$B$34*MIN(1,($I6+$P6)/20))*MIN(0.45,$BT6*$BU6)+'Setari model'!$B$34*MIN(1,($I6+$P6)/20)*IF(COUNT($N6,$U6)=2,SQRT(MAX(0,1-$N6)*MAX(0,1-$U6)),IF($AM6="",EXP(-$AL6),$AM6)))))</x:f>
        <x:v>0.09371046536512302</x:v>
      </x:c>
      <x:c r="BW6" s="63" t="n">
        <x:f t="shared" si="4">IF($A6="","",1-$BV6)</x:f>
        <x:v>0.9062895346348769</x:v>
      </x:c>
      <x:c r="BX6" s="62" t="n">
        <x:f t="shared" si="5">IF($A6="","",1/$BW6)</x:f>
        <x:v>1.1034001406657277</x:v>
      </x:c>
      <x:c r="BY6" s="63" t="n">
        <x:f t="shared" si="6">IF($A6="","",$BO6)</x:f>
        <x:v>0.8754208754208754</x:v>
      </x:c>
      <x:c r="BZ6" s="63" t="n">
        <x:f t="shared" si="7">IF($A6="","",$BW6-$BY6)</x:f>
        <x:v>0.030868659214001504</x:v>
      </x:c>
      <x:c r="CA6" s="63" t="n">
        <x:f t="shared" si="8">IF($A6="","",IF($AR6&gt;1,$BW6*$AR6-1,""))</x:f>
        <x:v>0.0059813834447135505</x:v>
      </x:c>
      <x:c r="CB6" s="63" t="n">
        <x:f>IF($A6="","",MIN(1,COUNT($I6:$AN6,$AR6:$BG6)/'Setari model'!$B$46))</x:f>
        <x:v>1</x:v>
      </x:c>
      <x:c r="CC6" s="63" t="n">
        <x:f t="shared" si="9">IF($A6="","",0.25*MIN(1,$I6/10)+0.25*MIN(1,$P6/10)+0.15*MIN(1,$W6/5)+0.15*MIN(1,$AB6/5)+0.1*MIN(1,$AG6/5)+0.1*MIN(1,$AN6/100))</x:f>
        <x:v>0.9</x:v>
      </x:c>
      <x:c r="CD6" s="63" t="n">
        <x:f>IF($A6="","",MAX(0,1-(MAX($BJ6:$BN6,$BP6)-MIN($BJ6:$BN6,$BP6))/(AVERAGE($BJ6:$BN6,$BP6)*'Setari model'!$B$45)))</x:f>
        <x:v>0.6503461201979913</x:v>
      </x:c>
      <x:c r="CE6" s="66" t="n">
        <x:f>IF($A6="","",MAX(0,MIN(100,100*INDEX('Setari model'!$I$5:$I$11,MATCH($E6,'Setari model'!$A$5:$A$11,0))*('Setari model'!$B$47*$CB6+'Setari model'!$B$48*$CC6+'Setari model'!$B$49*$CD6+'Setari model'!$B$50*$AT6/5+'Setari model'!$B$51*$AU6)-100*'Setari model'!$B$52*$BG6)))</x:f>
        <x:v>83.72636861164305</x:v>
      </x:c>
      <x:c r="CF6" s="65" t="str">
        <x:f t="shared" si="10">IF($A6="","",IF(OR($AT6&lt;3,$BG6&gt;=2,$CB6&lt;0.55,$CC6&lt;0.4),"RIDICAT",IF(OR($AU6=0,$CD6&lt;0.45,$BR6&lt;0.9),"MEDIU","SCĂZUT")))</x:f>
        <x:v>SCĂZUT</x:v>
      </x:c>
      <x:c r="CG6" s="65" t="str">
        <x:f>IF($A6="","",IF($AR6&gt;1,IF(AND($BW6&gt;= 'Setari model'!$B$35,$CE6&gt;=100*'Setari model'!$B$36,$BZ6&gt;= 'Setari model'!$B$37,$CA6&gt;= 'Setari model'!$B$38,$CF6&lt;&gt;"RIDICAT"),"PARIU RECOMANDAT",IF(AND($BW6&gt;= 'Setari model'!$B$39,$CE6&gt;=100*'Setari model'!$B$40,$BZ6&gt;= 'Setari model'!$B$41,$CA6&gt;=0,$CF6&lt;&gt;"RIDICAT"),"RECOMANDAT CU PRUDENȚĂ",IF(AND($BW6&gt;= 'Setari model'!$B$42,$CE6&gt;=100*'Setari model'!$B$43),"ANALIZĂ NECONCLUDENTĂ","PARIU EVITAT"))),IF(AND($BW6&gt;= 'Setari model'!$B$35,$CE6&gt;=100*'Setari model'!$B$36,$CF6&lt;&gt;"RIDICAT"),"FAVORABIL STATISTIC – VERIFICĂ COTA",IF(AND($BW6&gt;= 'Setari model'!$B$42,$CE6&gt;=100*'Setari model'!$B$43),"ANALIZĂ NECONCLUDENTĂ","PARIU EVITAT"))))</x:f>
        <x:v>RECOMANDAT CU PRUDENȚĂ</x:v>
      </x:c>
      <x:c r="CH6" s="67" t="str">
        <x:f t="shared" si="11">IF($A6="","","P(O0,5)="&amp;TEXT($BW6,"0.0%")&amp;"; λ ajustat="&amp;TEXT($BS6,"0.00")&amp;"; Confidence="&amp;TEXT($CE6,"0")&amp;"/100; Edge="&amp;TEXT($BZ6,"0.0%")&amp;"; risc="&amp;$CF6&amp;". "&amp;$BH6)</x:f>
        <x:v>P(O0,5)=90.6%; λ ajustat=2.43; Confidence=84/100; Edge=3.1%; risc=SCĂZUT. Tur european echilibrat; contextul poate fi prudent, dar xG și piața susțin existența unui gol.</x:v>
      </x:c>
      <x:c r="CI6" s="68" t="str">
        <x:f t="shared" si="12">IF($A6="","",$BI6)</x:f>
        <x:v>https://www.uefa.com/ ; https://theanalyst.com/</x:v>
      </x:c>
      <x:c r="CJ6" s="112">
        <x:v>1</x:v>
      </x:c>
      <x:c r="CK6" s="112">
        <x:v>0</x:v>
      </x:c>
      <x:c r="CL6" s="112">
        <x:v>0</x:v>
      </x:c>
      <x:c r="CM6" s="112">
        <x:v>4.8</x:v>
      </x:c>
      <x:c r="CN6" s="112">
        <x:v>4.5</x:v>
      </x:c>
      <x:c r="CO6" s="112">
        <x:v>1.7</x:v>
      </x:c>
      <x:c r="CP6" s="112">
        <x:v>1.6</x:v>
      </x:c>
      <x:c r="CQ6" s="112">
        <x:v>0.11</x:v>
      </x:c>
      <x:c r="CR6" s="112">
        <x:v>0.11</x:v>
      </x:c>
      <x:c r="CS6" s="112">
        <x:v>24</x:v>
      </x:c>
      <x:c r="CT6" s="112">
        <x:v>23</x:v>
      </x:c>
      <x:c r="CU6" s="112">
        <x:v>0.22</x:v>
      </x:c>
      <x:c r="CV6" s="112">
        <x:v>0.21</x:v>
      </x:c>
      <x:c r="CW6" s="112">
        <x:v>0</x:v>
      </x:c>
      <x:c r="CX6" s="112">
        <x:v>0</x:v>
      </x:c>
      <x:c r="CY6" s="112">
        <x:v>1</x:v>
      </x:c>
      <x:c r="CZ6" s="112">
        <x:v>1</x:v>
      </x:c>
      <x:c r="DA6" s="112">
        <x:v>1</x:v>
      </x:c>
      <x:c r="DB6" s="112">
        <x:v>1</x:v>
      </x:c>
      <x:c r="DC6" s="114">
        <x:v>1.1200000000000001</x:v>
      </x:c>
      <x:c r="DD6" s="114"/>
      <x:c r="DE6" s="112" t="s">
        <x:v>266</x:v>
      </x:c>
      <x:c r="DF6" s="112"/>
      <x:c r="DG6" s="112"/>
      <x:c r="DH6" s="112"/>
      <x:c r="DI6" s="112"/>
      <x:c r="DJ6" s="112"/>
      <x:c r="DK6" s="112"/>
      <x:c r="DL6" s="112"/>
      <x:c r="DM6" s="112"/>
      <x:c r="DN6" s="112"/>
      <x:c r="DO6" s="112">
        <x:v>0</x:v>
      </x:c>
      <x:c r="DP6" s="112">
        <x:v>0</x:v>
      </x:c>
      <x:c r="DQ6" s="114"/>
      <x:c r="DR6" s="112">
        <x:v>1</x:v>
      </x:c>
      <x:c r="DS6" s="116">
        <x:v>0.1</x:v>
      </x:c>
      <x:c r="DT6" s="120">
        <x:v>1000</x:v>
      </x:c>
      <x:c r="DU6" s="116">
        <x:v>0.02</x:v>
      </x:c>
      <x:c r="DV6" s="116">
        <x:v>0.25</x:v>
      </x:c>
      <x:c r="DW6" s="118" t="n">
        <x:f>IF($A6="","",MAX('Setari model'!$B$71,MIN('Setari model'!$B$72,1+0.08*(IFERROR(AVERAGE($CM6:$CN6)/'Setari model'!$B$66,1)-1)+0.08*(IFERROR(AVERAGE($CO6:$CP6)/'Setari model'!$B$67,1)-1)+0.06*(IFERROR(AVERAGE($CQ6:$CR6)/'Setari model'!$B$68,1)-1)+0.04*(IFERROR(AVERAGE($CS6:$CT6)/'Setari model'!$B$69,1)-1)+0.04*(IFERROR(AVERAGE($CU6:$CV6)/'Setari model'!$B$70,1)-1)-'Setari model'!$B$73*IFERROR(AVERAGE($CW6:$CX6),0))))</x:f>
        <x:v>1.0137939393939392</x:v>
      </x:c>
      <x:c r="DX6" s="118" t="n">
        <x:f>IF($A6="","",1+'Setari model'!$B$62*MAX(IF(OR($CK6=1,$CL6=1),1,0),IF(AND($CJ6&lt;&gt;"",$CJ6&lt;=1),1,0))+'Setari model'!$B$63*IF(AND($CJ6&gt;1,$CJ6&lt;=3),1,0))</x:f>
        <x:v>1.25</x:v>
      </x:c>
      <x:c r="DY6" s="118" t="n">
        <x:f>IF($A6="","",1+'Setari model'!$B$74*(IF($CY6="",0,IF($CY6=0,1,0))+IF($CZ6="",0,IF($CZ6=0,1,0)))+'Setari model'!$B$75*(IF($DA6="",0,IF($DA6=0,1,0))+IF($DB6="",0,IF($DB6=0,1,0))))</x:f>
        <x:v>1</x:v>
      </x:c>
      <x:c r="DZ6" s="117" t="n">
        <x:f>IF($A6="","",MIN(0.6,MAX(0.002,(((1-'Setari model'!$B$34*MIN(1,($I6+$P6)/20))*$BT6+'Setari model'!$B$34*MIN(1,($I6+$P6)/20)*IF(COUNT($N6,$U6)=2,SQRT(MAX(0,1-$N6)*MAX(0,1-$U6)),$BT6))*(1-'Setari model'!$B$65*MIN(1,IF($AN6="",0,$AN6/'Setari model'!$B$64)))+'Setari model'!$B$65*MIN(1,IF($AN6="",0,$AN6/'Setari model'!$B$64))*IF($AM6="",$BT6,$AM6))*$DX6*$DY6/$DW6)))</x:f>
        <x:v>0.10827153348679072</x:v>
      </x:c>
      <x:c r="EA6" s="117" t="n">
        <x:f>IF($A6="","",MIN(1-$DZ6,IF(OR(MIN($I6,$P6)&lt;'Setari model'!$B$58,$CK6=1,$CL6=1,AND($CJ6&lt;&gt;"",$CJ6&lt;=1)),'Setari model'!$B$59,IF(AND($AU6=1,$AR6&gt;1,COUNT($CY6:$DB6)=4),'Setari model'!$B$61,'Setari model'!$B$60))))</x:f>
        <x:v>0.8917284665132093</x:v>
      </x:c>
      <x:c r="EB6" s="115" t="n">
        <x:f t="shared" si="13">IF($A6="","",1/$EA6)</x:f>
        <x:v>1.121417603623386</x:v>
      </x:c>
      <x:c r="EC6" s="117" t="n">
        <x:f t="shared" si="14">IF($A6="","",IF($AR6&gt;1,IF($AS6&gt;1,(1/$AR6)/((1/$AR6)+(1/$AS6)),1/$AR6),""))</x:f>
        <x:v>0.8754208754208754</x:v>
      </x:c>
      <x:c r="ED6" s="117" t="n">
        <x:f t="shared" si="15">IF($A6="","",IF($EC6="","",$EA6-$EC6))</x:f>
        <x:v>0.016307591092333817</x:v>
      </x:c>
      <x:c r="EE6" s="117" t="str">
        <x:f t="shared" si="16">""</x:f>
      </x:c>
      <x:c r="EF6" s="119" t="n">
        <x:f>IF($A6="","",MAX(0,MIN(100,$CE6-200*MAX(0,$EG6-'Setari model'!$B$77)-IF($AU6&lt;&gt;1,10,0)-IF(COUNT($CY6:$DB6)&lt;4,4,0))))</x:f>
        <x:v>71.32636861164305</x:v>
      </x:c>
      <x:c r="EG6" s="117" t="n">
        <x:f>IF($A6="","",'Setari model'!$B$77+IF(MIN($I6,$P6)&lt;'Setari model'!$B$58,0.03,0)+IF(OR($CK6=1,$CL6=1,AND($CJ6&lt;&gt;"",$CJ6&lt;=1)),0.03,0)+IF($AG6=0,0.02,0)+0.03*(1-MIN(1,COUNT($CM6:$CV6)/10))+0.03*(1-MIN(1,IF($AN6="",0,$AN6/'Setari model'!$B$64)))+IF($AR6&lt;=1,0.02,0))</x:f>
        <x:v>0.092</x:v>
      </x:c>
      <x:c r="EH6" s="113" t="str">
        <x:f>IF($A6="","",IF(OR(MIN($I6,$P6)&lt;'Setari model'!$B$58,$CK6=1,$CL6=1,AND($CJ6&lt;&gt;"",$CJ6&lt;=1)),"92% – early/regim",IF(AND($AU6=1,$AR6&gt;1,COUNT($CY6:$DB6)=4),"94% – confirmat","93% – standard")))</x:f>
        <x:v>92% – early/regim</x:v>
      </x:c>
      <x:c r="EI6" s="113" t="str">
        <x:f t="shared" si="17">IF($A6="","",IF(AND($EA6&gt;0.9,$AU6&lt;&gt;1),"WAIT XI – HIGH P",IF(AND($EA6&gt;0.9,COUNT($CY6:$DB6)&lt;4),"WAIT DATE CHEIE – HIGH P",IF($EP6&lt;&gt;"DA","NU – PORTOFOLIU","DA"))))</x:f>
        <x:v>DA</x:v>
      </x:c>
      <x:c r="EJ6" s="117" t="str">
        <x:f t="shared" si="18">IF($A6="","",IF($DE6&lt;&gt;"Live 20-30","",IF(SUM($DG6:$DH6)&gt;0,1,IF($EU6="","",1-MIN(0.95,MAX(0.001,EXP(-$EU6)*$DX6*$DY6/$DW6))))))</x:f>
      </x:c>
      <x:c r="EK6" s="117" t="str">
        <x:f t="shared" si="19">""</x:f>
      </x:c>
      <x:c r="EL6" s="113" t="str">
        <x:f>IF($A6="","",IF($DE6="Live 20-30",IF(SUM($DG6:$DH6)&gt;0,"EVENIMENT ÎNDEPLINIT",IF(OR($DF6="",COUNT($DI6:$DN6)&lt;4),"LIVE – WATCH",IF($EJ6&gt;=0.75,"LIVE – FEZABIL TEHNIC","LIVE – NO BET"))),IF($EI6&lt;&gt;"DA","WATCH / NO BET",IF(AND($EA6&gt;=INDEX('Setari model'!$B$35:$B$40,1),$EF6&gt;=100*'Setari model'!$B$76),"PARIU RECOMANDAT",IF(AND($EA6&gt;=INDEX('Setari model'!$B$35:$B$40,5),$EF6&gt;=100*'Setari model'!$B$40),"WATCH – APROAPE DE PRAG","PARIU EVITAT")))))</x:f>
        <x:v>WATCH – APROAPE DE PRAG</x:v>
      </x:c>
      <x:c r="EM6" s="113" t="str">
        <x:f t="shared" si="20">IF($A6="","",IF($DE6="Live 20-30",IF(SUM($DG6:$DH6)&gt;0,"Gol deja marcat.",IF($DF6="","Minut live lipsă.",IF(COUNT($DI6:$DN6)&lt;4,"Lipsesc xG/SOT/big chances live.",IF($EJ6&lt;0.75,"P live sub prag.","Semnal live tehnic complet; EV ignorat.")))),IF($EI6&lt;&gt;"DA",$EI6,IF($EF6&lt;75,"Confidence sub 75.",IF($EA6&lt;0.92,"P sub 92%.","G0/Zero-Mass + confidence trecute; EV ignorat.")))))</x:f>
        <x:v>Confidence sub 75.</x:v>
      </x:c>
      <x:c r="EN6" s="117" t="n">
        <x:f>IF($A6="","",IF(OR($EL6="PARIU RECOMANDAT",$EL6="LIVE – FEZABIL"),MIN(IF($DU6&gt;0,$DU6,'Setari model'!$B$81)/MAX(1,$DR6),IF($DV6&gt;0,$DV6,'Setari model'!$B$80)*MAX(0,((IF($DE6="Live 20-30",$EJ6,$EA6)*IF($DE6="Live 20-30",$DQ6,$AR6)-1)/(IF($DE6="Live 20-30",$DQ6,$AR6)-1)))),0))</x:f>
        <x:v>0</x:v>
      </x:c>
      <x:c r="EO6" s="121" t="str">
        <x:f t="shared" si="21">IF($A6="","",IF(AND($EN6&gt;0,$DT6&gt;0),$EN6*$DT6,""))</x:f>
      </x:c>
      <x:c r="EP6" s="113" t="str">
        <x:f>IF($A6="","",IF(OR($DR6&lt;1,$DR6&gt;'Setari model'!$B$78),"NU – 1–5 selecții",IF($DS6&gt;'Setari model'!$B$79,"NU – corelație", "DA")))</x:f>
        <x:v>DA</x:v>
      </x:c>
      <x:c r="EQ6" s="117" t="str">
        <x:f t="shared" si="22">IF($A6="","",IF(AND($DC6&gt;1,$DD6&gt;1),$DC6/$DD6-1,""))</x:f>
      </x:c>
      <x:c r="ER6" s="113" t="str">
        <x:f t="shared" si="23">IF($A6="","","P v2="&amp;TEXT($EA6,"0.0%")&amp;" ±"&amp;TEXT($EG6,"0.0%")&amp;"; P0 ZIP="&amp;TEXT($DZ6,"0.0%")&amp;"; Confidence="&amp;TEXT($EF6,"0")&amp;"/100; piață reală="&amp;IF($EC6="","NU","DA")&amp;"; EV="&amp;IF($EE6="","n/a",TEXT($EE6,"0.0%"))&amp;"; gate="&amp;$EI6&amp;"; verdict="&amp;$EL6&amp;". "&amp;$EM6)</x:f>
        <x:v>P v2=89.2% ±9.2%; P0 ZIP=10.8%; Confidence=71/100; piață reală=DA; EV=n/a; gate=DA; verdict=WATCH – APROAPE DE PRAG. Confidence sub 75.</x:v>
      </x:c>
      <x:c r="ES6" s="119" t="n">
        <x:f>IF($A6="","",'Setari model'!$B$82)</x:f>
        <x:v>20</x:v>
      </x:c>
      <x:c r="ET6" s="118" t="n">
        <x:f>IF($A6="","",'Setari model'!$B$83)</x:f>
        <x:v>1.5</x:v>
      </x:c>
      <x:c r="EU6" s="115" t="str">
        <x:f t="shared" si="24">IF(OR($A6="",$DE6&lt;&gt;"Live 20-30",$DF6="",$DF6&lt;$ES6,$DF6&gt;=90),"",MAX(0.05,MIN($BS6*$ET6,$BS6*(90-$DF6)/90+0.35*($DI6+$DJ6)+0.06*($DK6+$DL6)+0.15*($DM6+$DN6)+0.1*(MAX($DO6,$DP6)-MIN($DO6,$DP6)))))</x:f>
      </x:c>
      <x:c r="EV6" s="132">
        <x:v>0.08</x:v>
      </x:c>
      <x:c r="EW6" s="132">
        <x:v>0.08</x:v>
      </x:c>
      <x:c r="EX6" s="132">
        <x:v>0.4</x:v>
      </x:c>
      <x:c r="EY6" s="132">
        <x:v>0.35</x:v>
      </x:c>
      <x:c r="EZ6" s="132">
        <x:v>0.3</x:v>
      </x:c>
      <x:c r="FA6" s="132">
        <x:v>0.32</x:v>
      </x:c>
      <x:c r="FB6" s="247"/>
      <x:c r="FC6" s="134" t="n">
        <x:f t="shared" si="25">IF($A6="","",IF(OR($J6="",$L6="",$L6&lt;=0),"",MAX(0.5,MIN(1.5,$J6/$L6))))</x:f>
        <x:v>0.9375</x:v>
      </x:c>
      <x:c r="FD6" s="134" t="n">
        <x:f t="shared" si="26">IF($A6="","",IF(OR($Q6="",$S6="",$S6&lt;=0),"",MAX(0.5,MIN(1.5,$Q6/$S6))))</x:f>
        <x:v>0.9629629629629629</x:v>
      </x:c>
      <x:c r="FE6" s="134" t="n">
        <x:f>IF($A6="","",IF(COUNT($EV6:$EW6)&lt;2,"",SQRT($EV6*$EW6)/'Setari model'!$B$87))</x:f>
        <x:v>0.7999999999999999</x:v>
      </x:c>
      <x:c r="FF6" s="134" t="n">
        <x:f>IF($A6="","",IF(COUNT($O6,$V6,$EX6,$EY6)&lt;4,"",AVERAGE(SQRT($O6*$EY6),SQRT($V6*$EX6))/'Setari model'!$B$88))</x:f>
        <x:v>0.7741657386773941</x:v>
      </x:c>
      <x:c r="FG6" s="134" t="n">
        <x:f t="shared" si="27">IF($A6="","",IF(COUNT($FC6:$FD6)&lt;2,"",MAX(0,1-AVERAGE($FC6:$FD6))))</x:f>
        <x:v>0.0497685185185186</x:v>
      </x:c>
      <x:c r="FH6" s="134" t="n">
        <x:f>IF($A6="","",IF(COUNT($EZ6:$FA6)&lt;2,"",'Setari model'!$B$94*AVERAGE($EZ6:$FA6)/'Setari model'!$B$89))</x:f>
        <x:v>0.6642857142857143</x:v>
      </x:c>
      <x:c r="FI6" s="134" t="n">
        <x:f>IF($A6="","",IF(COUNT($FE6:$FH6)&lt;4,"",MAX('Setari model'!$B$97,MIN('Setari model'!$B$98,1+'Setari model'!$B$90*($FE6-1)+'Setari model'!$B$91*($FF6-1)+'Setari model'!$B$92*$FG6+'Setari model'!$B$93*($FH6-1)))))</x:f>
        <x:v>0.8150605681640648</x:v>
      </x:c>
      <x:c r="FJ6" s="133" t="n">
        <x:f>IF($A6="","",IF($FI6="","",MIN('Setari model'!$B$101,MAX(0.002,$DZ6*$FI6))))</x:f>
        <x:v>0.08824785759973822</x:v>
      </x:c>
      <x:c r="FK6" s="131" t="str">
        <x:f t="shared" si="28">IF($A6="","",IF(AND(COUNT($EV6:$FA6)=6,COUNT($O6,$V6,$FC6,$FD6)=4),"DA","NU"))</x:f>
        <x:v>DA</x:v>
      </x:c>
      <x:c r="FL6" s="131" t="str">
        <x:f>IF($A6="","",IF($FK6&lt;&gt;"DA","NEDETERMINAT",IF($FI6&lt;='Setari model'!$B$99,"SCĂZUT",IF($FI6&lt;='Setari model'!$B$100,"MEDIU","RIDICAT"))))</x:f>
        <x:v>SCĂZUT</x:v>
      </x:c>
      <x:c r="FM6" s="131" t="str">
        <x:f>IF($A6="","",IF(AND($AR6&gt;1,$EC6&gt;='Setari model'!$B$106),"DA","NU"))</x:f>
        <x:v>DA</x:v>
      </x:c>
      <x:c r="FN6" s="131" t="str">
        <x:f t="shared" si="29">IF($A6="","",IF(AND($AU6=1,COUNT($CY6:$DB6)=4),"DA","NU"))</x:f>
        <x:v>DA</x:v>
      </x:c>
      <x:c r="FO6" s="133" t="n">
        <x:f>IF($A6="","",IF(OR($FK6&lt;&gt;"DA",$FL6="RIDICAT"),'Setari model'!$B$102,IF($FL6="MEDIU",'Setari model'!$B$103,IF(AND($FM6="DA",$FN6="DA"),'Setari model'!$B$105,'Setari model'!$B$104))))</x:f>
        <x:v>0.94</x:v>
      </x:c>
      <x:c r="FP6" s="133" t="n">
        <x:f t="shared" si="30">IF($A6="","",IF($FJ6="","",MIN(1-$FJ6,$FO6)))</x:f>
        <x:v>0.9117521424002618</x:v>
      </x:c>
      <x:c r="FQ6" s="135" t="n">
        <x:f t="shared" si="31">IF($A6="","",IF($FP6="","",IF($FP6&gt;0,1/$FP6,"")))</x:f>
        <x:v>1.0967893065405019</x:v>
      </x:c>
      <x:c r="FR6" s="133" t="n">
        <x:f t="shared" si="32">IF($A6="","",IF($EC6="","",$FP6-$EC6))</x:f>
        <x:v>0.03633126697938638</x:v>
      </x:c>
      <x:c r="FS6" s="133" t="n">
        <x:f t="shared" si="33">IF($A6="","",IF($AR6&gt;1,$FP6*$AR6-1,""))</x:f>
        <x:v>0.012044878064290776</x:v>
      </x:c>
      <x:c r="FT6" s="136" t="n">
        <x:f>IF($A6="","",MAX(0,MIN(100,$EF6-IF($FK6&lt;&gt;"DA",'Setari model'!$B$107,0)-IF($FL6="MEDIU",'Setari model'!$B$108,0)-IF($FL6="RIDICAT",'Setari model'!$B$109,0))))</x:f>
        <x:v>71.32636861164305</x:v>
      </x:c>
      <x:c r="FU6" s="131" t="str">
        <x:f t="shared" si="34">IF($A6="","",IF($AR6&lt;=1,"NU – LIPSEȘTE COTA REALĂ",IF($FK6&lt;&gt;"DA","NU – ZERO-RISK INCOMPLET",IF($FL6&lt;&gt;"SCĂZUT","NU – RISC 0-0 "&amp;$FL6,IF($FN6&lt;&gt;"DA","NU – LINEUP NECONFIRMAT",IF($FM6&lt;&gt;"DA","NU – PIAȚĂ NECONFIRMATĂ",IF($EP6&lt;&gt;"DA","NU – PORTOFOLIU","DA")))))))</x:f>
        <x:v>DA</x:v>
      </x:c>
      <x:c r="FV6" s="131" t="str">
        <x:f>IF($A6="","",IF($FU6&lt;&gt;"DA","WATCH / NO BET",IF(AND($FP6&gt;='Setari model'!$B$35,$FT6&gt;=100*'Setari model'!$B$76,$FS6&gt;0),"PARIU RECOMANDAT",IF(AND($FP6&gt;='Setari model'!$B$39,$FT6&gt;=100*'Setari model'!$B$40,$FS6&gt;0),"WATCH – APROAPE DE PRAG","PARIU EVITAT"))))</x:f>
        <x:v>WATCH – APROAPE DE PRAG</x:v>
      </x:c>
      <x:c r="FW6" s="131" t="str">
        <x:f t="shared" si="35">IF($A6="","",IF($FU6&lt;&gt;"DA",$FU6,IF($FT6&lt;75,"Confidence v3 sub 75.",IF($FP6&lt;0.92,"P v3 sub 92%.",IF($FS6&lt;=0,"EV v3 nepozitiv.","P0 v3, lineup și piață confirmate.")))))</x:f>
        <x:v>Confidence v3 sub 75.</x:v>
      </x:c>
      <x:c r="FX6" s="131" t="str">
        <x:f t="shared" si="36">IF($A6="","","P v3="&amp;TEXT($FP6,"0.0%")&amp;"; P0 v3="&amp;TEXT($FJ6,"0.0%")&amp;"; factor zero="&amp;IF($FI6="","n/a",TEXT($FI6,"0.00x"))&amp;" ("&amp;$FL6&amp;"); cap="&amp;TEXT($FO6,"0.0%")&amp;"; Confidence="&amp;TEXT($FT6,"0")&amp;"/100; lineup="&amp;$FN6&amp;"; piață="&amp;$FM6&amp;"; EV="&amp;IF($FS6="","n/a",TEXT($FS6,"0.0%"))&amp;"; gate="&amp;$FU6&amp;"; verdict="&amp;$FV6&amp;". "&amp;$FW6)</x:f>
        <x:v>P v3=91.2%; P0 v3=8.8%; factor zero=0.82x (SCĂZUT); cap=94.0%; Confidence=71/100; lineup=DA; piață=DA; EV=1.2%; gate=DA; verdict=WATCH – APROAPE DE PRAG. Confidence v3 sub 75.</x:v>
      </x:c>
      <x:c r="FY6" s="159">
        <x:v>0.2</x:v>
      </x:c>
      <x:c r="FZ6" s="159">
        <x:v>0.2</x:v>
      </x:c>
      <x:c r="GA6" s="157">
        <x:v>1</x:v>
      </x:c>
      <x:c r="GB6" s="157">
        <x:v>1</x:v>
      </x:c>
      <x:c r="GC6" s="161" t="n">
        <x:f t="shared" si="37">IF($A6="","",IF(OR($X6="",$Z6="",$Z6&lt;=0),"",MAX(0.5,MIN(1.5,$X6/$Z6))))</x:f>
        <x:v>0.9333333333333332</x:v>
      </x:c>
      <x:c r="GD6" s="161" t="n">
        <x:f t="shared" si="38">IF($A6="","",IF(OR($AC6="",$AE6="",$AE6&lt;=0),"",MAX(0.5,MIN(1.5,$AC6/$AE6))))</x:f>
        <x:v>0.923076923076923</x:v>
      </x:c>
      <x:c r="GE6" s="162" t="n">
        <x:f t="shared" si="39">IF($A6="","",IF(COUNT($Z6,$AE6)&lt;2,"",AVERAGE($Z6,$AE6)))</x:f>
        <x:v>1.4</x:v>
      </x:c>
      <x:c r="GF6" s="158" t="str">
        <x:f>IF($A6="","",IF(COUNT($FY6:$FZ6)&lt;2,"NEDETERMINAT",IF(AND($FY6&gt;='Setari model'!$B$113,$FZ6&gt;='Setari model'!$B$113),"DA","NU")))</x:f>
        <x:v>DA</x:v>
      </x:c>
      <x:c r="GG6" s="158" t="str">
        <x:f>IF($A6="","",IF(COUNT($FY6:$FZ6,$EX6:$EY6)&lt;4,"NEDETERMINAT",IF(OR(AND($FY6&gt;='Setari model'!$B$113,$EY6&gt;='Setari model'!$B$114),AND($FZ6&gt;='Setari model'!$B$113,$EX6&gt;='Setari model'!$B$114)),"DA","NU")))</x:f>
        <x:v>DA</x:v>
      </x:c>
      <x:c r="GH6" s="158" t="str">
        <x:f>IF($A6="","",IF(COUNT($BJ6:$BN6,$GC6:$GE6)&lt;8,"NEDETERMINAT",IF(AND((($BJ6*INDEX('Setari model'!$B$5:$B$11,MATCH($E6,'Setari model'!$A$5:$A$11,0))+$BK6*INDEX('Setari model'!$C$5:$C$11,MATCH($E6,'Setari model'!$A$5:$A$11,0))+$BL6*INDEX('Setari model'!$D$5:$D$11,MATCH($E6,'Setari model'!$A$5:$A$11,0))+$BM6*INDEX('Setari model'!$E$5:$E$11,MATCH($E6,'Setari model'!$A$5:$A$11,0))+$BN6*INDEX('Setari model'!$F$5:$F$11,MATCH($E6,'Setari model'!$A$5:$A$11,0)))/(INDEX('Setari model'!$B$5:$B$11,MATCH($E6,'Setari model'!$A$5:$A$11,0))+INDEX('Setari model'!$C$5:$C$11,MATCH($E6,'Setari model'!$A$5:$A$11,0))+INDEX('Setari model'!$D$5:$D$11,MATCH($E6,'Setari model'!$A$5:$A$11,0))+INDEX('Setari model'!$E$5:$E$11,MATCH($E6,'Setari model'!$A$5:$A$11,0))+INDEX('Setari model'!$F$5:$F$11,MATCH($E6,'Setari model'!$A$5:$A$11,0))))*$BR6&gt;='Setari model'!$B$115,(($BJ6*INDEX('Setari model'!$B$5:$B$11,MATCH($E6,'Setari model'!$A$5:$A$11,0))+$BK6*INDEX('Setari model'!$C$5:$C$11,MATCH($E6,'Setari model'!$A$5:$A$11,0))+$BL6*INDEX('Setari model'!$D$5:$D$11,MATCH($E6,'Setari model'!$A$5:$A$11,0))+$BM6*INDEX('Setari model'!$E$5:$E$11,MATCH($E6,'Setari model'!$A$5:$A$11,0))+$BN6*INDEX('Setari model'!$F$5:$F$11,MATCH($E6,'Setari model'!$A$5:$A$11,0)))/(INDEX('Setari model'!$B$5:$B$11,MATCH($E6,'Setari model'!$A$5:$A$11,0))+INDEX('Setari model'!$C$5:$C$11,MATCH($E6,'Setari model'!$A$5:$A$11,0))+INDEX('Setari model'!$D$5:$D$11,MATCH($E6,'Setari model'!$A$5:$A$11,0))+INDEX('Setari model'!$E$5:$E$11,MATCH($E6,'Setari model'!$A$5:$A$11,0))+INDEX('Setari model'!$F$5:$F$11,MATCH($E6,'Setari model'!$A$5:$A$11,0))))*$BR6&lt;='Setari model'!$B$116,AVERAGE($GC6:$GD6)&lt;='Setari model'!$B$117,$GE6&gt;='Setari model'!$B$118),"DA","NU")))</x:f>
        <x:v>NU</x:v>
      </x:c>
      <x:c r="GI6" s="158" t="str">
        <x:f>IF($A6="","",IF(COUNT($W6,$AB6,$GA6:$GB6)&lt;4,"NEDETERMINAT",IF(AND($W6&gt;='Setari model'!$B$120,$AB6&gt;='Setari model'!$B$120,OR(IFERROR($GA6/$W6,0)&gt;='Setari model'!$B$119,IFERROR($GB6/$AB6,0)&gt;='Setari model'!$B$119)),"DA","NU")))</x:f>
        <x:v>DA</x:v>
      </x:c>
      <x:c r="GJ6" s="160" t="n">
        <x:f>IF($A6="","",IF(COUNT($FY6:$GB6)&lt;4,"",IF($GH6&lt;&gt;"DA",0,'Setari model'!$B$121*IF($GF6="DA",1,0)+'Setari model'!$B$122*IF($GG6="DA",1,0)+'Setari model'!$B$123+'Setari model'!$B$124*IF($GI6="DA",1,0))))</x:f>
        <x:v>0</x:v>
      </x:c>
      <x:c r="GK6" s="161" t="n">
        <x:f>IF($A6="","",IF(COUNT($GJ6)=0,"",1+'Setari model'!$B$125*$GJ6))</x:f>
        <x:v>1</x:v>
      </x:c>
      <x:c r="GL6" s="160" t="n">
        <x:f>IF($A6="","",IF($GM6&lt;&gt;"DA",$FJ6,MIN('Setari model'!$B$101,MAX(0.002,$FJ6*$GK6))))</x:f>
        <x:v>0.08824785759973822</x:v>
      </x:c>
      <x:c r="GM6" s="158" t="str">
        <x:f>IF($A6="","",IF(AND($FK6="DA",COUNT($FY6:$GB6)=4,COUNT($I6,$P6,$W6,$AB6,$Z6,$AE6,$EX6,$EY6,$GC6,$GD6)=10,COUNT($BJ6:$BN6)=5),"DA","NU"))</x:f>
        <x:v>DA</x:v>
      </x:c>
      <x:c r="GN6" s="158" t="str">
        <x:f>IF($A6="","",IF($GM6&lt;&gt;"DA","NEDETERMINAT",IF($FI6*$GK6&lt;='Setari model'!$B$99,"SCĂZUT",IF($FI6*$GK6&lt;='Setari model'!$B$100,"MEDIU","RIDICAT"))))</x:f>
        <x:v>SCĂZUT</x:v>
      </x:c>
      <x:c r="GO6" s="160" t="n">
        <x:f>IF($A6="","",IF(OR($GM6&lt;&gt;"DA",$GN6="RIDICAT"),'Setari model'!$B$102,IF($GN6="MEDIU",'Setari model'!$B$103,IF(AND($FM6="DA",$FN6="DA"),'Setari model'!$B$105,'Setari model'!$B$104))))</x:f>
        <x:v>0.94</x:v>
      </x:c>
      <x:c r="GP6" s="160" t="n">
        <x:f t="shared" si="40">IF($A6="","",IF($GL6="","",MIN(1-$GL6,$GO6)))</x:f>
        <x:v>0.9117521424002618</x:v>
      </x:c>
      <x:c r="GQ6" s="162" t="n">
        <x:f t="shared" si="41">IF($A6="","",IF($GP6="","",IF($GP6&gt;0,1/$GP6,"")))</x:f>
        <x:v>1.0967893065405019</x:v>
      </x:c>
      <x:c r="GR6" s="160" t="n">
        <x:f t="shared" si="42">IF($A6="","",IF($EC6="","",$GP6-$EC6))</x:f>
        <x:v>0.03633126697938638</x:v>
      </x:c>
      <x:c r="GS6" s="160" t="n">
        <x:f t="shared" si="43">IF($A6="","",IF($AR6&gt;1,$GP6*$AR6-1,""))</x:f>
        <x:v>0.012044878064290776</x:v>
      </x:c>
      <x:c r="GT6" s="163" t="n">
        <x:f>IF($A6="","",MAX(0,MIN(100,$FT6-IF(AND($GM6&lt;&gt;"DA",$FK6="DA"),'Setari model'!$B$107,0)-'Setari model'!$B$126*IF($GJ6="",0,$GJ6))))</x:f>
        <x:v>71.32636861164305</x:v>
      </x:c>
      <x:c r="GU6" s="158" t="str">
        <x:f t="shared" si="44">IF($A6="","",IF($AR6&lt;=1,"NU – LIPSEȘTE COTA REALĂ",IF($GM6&lt;&gt;"DA","NU – DATE LOW-CONVERSION INCOMPLETE",IF($GN6&lt;&gt;"SCĂZUT","NU – RISC 0-0 "&amp;$GN6,IF($FN6&lt;&gt;"DA","NU – LINEUP NECONFIRMAT",IF($FM6&lt;&gt;"DA","NU – PIAȚĂ NECONFIRMATĂ",IF($EP6&lt;&gt;"DA","NU – PORTOFOLIU","DA")))))))</x:f>
        <x:v>DA</x:v>
      </x:c>
      <x:c r="GV6" s="158" t="str">
        <x:f>IF($A6="","",IF($GU6&lt;&gt;"DA","WATCH / NO BET",IF(AND($GP6&gt;='Setari model'!$B$35,$GT6&gt;=100*'Setari model'!$B$76,$GS6&gt;0),"PARIU RECOMANDAT",IF(AND($GP6&gt;='Setari model'!$B$39,$GT6&gt;=100*'Setari model'!$B$40,$GS6&gt;0),"WATCH – APROAPE DE PRAG","PARIU EVITAT"))))</x:f>
        <x:v>WATCH – APROAPE DE PRAG</x:v>
      </x:c>
      <x:c r="GW6" s="158" t="str">
        <x:f t="shared" si="45">IF($A6="","",IF($GU6&lt;&gt;"DA",$GU6,IF($GT6&lt;75,"Confidence v5 sub 75.",IF($GP6&lt;0.92,"P v5 sub 92%.",IF($GS6&lt;=0,"EV v5 nepozitiv.",IF($GJ6&gt;0,"Low-conversion absorbit în P0; toate porțile rămân trecute.","Toate porțile v5 sunt trecute."))))))</x:f>
        <x:v>Confidence v5 sub 75.</x:v>
      </x:c>
      <x:c r="GX6" s="158" t="str">
        <x:f t="shared" si="46">IF($A6="","","P v5="&amp;TEXT($GP6,"0.0%")&amp;"; P0 v5="&amp;TEXT($GL6,"0.0%")&amp;"; low-conv="&amp;IF(COUNT($GJ6)=0,"n/a",TEXT($GJ6,"0%"))&amp;"; mult.P0="&amp;IF(COUNT($GK6)=0,"n/a",TEXT($GK6,"0.00"))&amp;"; clasă="&amp;$GN6&amp;"; cap="&amp;TEXT($GO6,"0.0%")&amp;"; Confidence="&amp;TEXT($GT6,"0")&amp;"/100; lineup="&amp;$FN6&amp;"; piață="&amp;$FM6&amp;"; EV="&amp;IF($GS6="","n/a",TEXT($GS6,"0.0%"))&amp;"; gate="&amp;$GU6&amp;"; verdict="&amp;$GV6&amp;". "&amp;$GW6)</x:f>
        <x:v>P v5=91.2%; P0 v5=8.8%; low-conv=0%; mult.P0=1.00; clasă=SCĂZUT; cap=94.0%; Confidence=71/100; lineup=DA; piață=DA; EV=1.2%; gate=DA; verdict=WATCH – APROAPE DE PRAG. Confidence v5 sub 75.</x:v>
      </x:c>
      <x:c r="GY6" s="174" t="str">
        <x:f>IF($A6="","",IF($GM6&lt;&gt;"DA","SOURCING INCOMPLETE – REVIEW REQUIRED",IF(MIN($I6,$P6,$W6,$AB6)&lt;'Setari model'!$B$58,"SMALL SAMPLE + PRIOR / SHRINKAGE","VERIFIED / PRIOR / SHRINKAGE")))</x:f>
        <x:v>VERIFIED / PRIOR / SHRINKAGE</x:v>
      </x:c>
      <x:c r="GZ6" s="175" t="n">
        <x:f t="shared" si="47">IF($A6="","",MAX(0,MIN(100,100*(1-AVERAGE(IF($GM6="DA",1,0),MIN(1,$AT6/5))))))</x:f>
        <x:v>0</x:v>
      </x:c>
      <x:c r="HA6" s="175" t="n">
        <x:f>IF($A6="","",IF($GM6&lt;&gt;"DA","",MAX(0,MIN(100,100*(($FI6*$GK6)-'Setari model'!$B$97)/('Setari model'!$B$98-'Setari model'!$B$97)))))</x:f>
        <x:v>7.654184489889976</x:v>
      </x:c>
      <x:c r="HB6" s="175" t="n">
        <x:f>IF($A6="","",MAX(0,MIN(100,100*(ABS($BR6-1)/MAX(1-'Setari model'!$B$53,'Setari model'!$B$54-1)+MIN(1,$BG6/2))/2)))</x:f>
        <x:v>1.100000000000012</x:v>
      </x:c>
      <x:c r="HC6" s="175" t="n">
        <x:f t="shared" si="48">IF($A6="","",MAX(0,MIN(100,100*(1-AVERAGE($CC6,MAX(0,1-(MAX($BJ6:$BN6)-MIN($BJ6:$BN6))/(AVERAGE($BJ6:$BN6)*'Setari model'!$B$45)))))))</x:f>
        <x:v>8.42145248025683</x:v>
      </x:c>
      <x:c r="HD6" s="175" t="n">
        <x:f t="shared" si="49">IF($A6="","",MAX(0,MIN(100,100*MAX(IF($GJ6="",0,$GJ6),MIN(1,$BG6/2)))))</x:f>
        <x:v>0</x:v>
      </x:c>
      <x:c r="HE6" s="175" t="n">
        <x:f>IF($A6="","",IF(COUNT($GZ6:$HD6)&lt;5,"",$GZ6*Risk_Classification!$E$28+$HA6*Risk_Classification!$E$29+$HB6*Risk_Classification!$E$30+$HC6*Risk_Classification!$E$31+$HD6*Risk_Classification!$E$32))</x:f>
        <x:v>3.886353641167856</x:v>
      </x:c>
      <x:c r="HF6" s="176" t="n">
        <x:f t="shared" si="50">IF($A6="","",IF($HE6="","",IF($HE6&lt;=20,1,IF($HE6&lt;=40,2,IF($HE6&lt;=60,3,IF($HE6&lt;=80,4,5))))))</x:f>
        <x:v>1</x:v>
      </x:c>
      <x:c r="HG6" s="176" t="str">
        <x:f t="shared" si="51">IF($A6="","",IF($GM6="DA","PASS","FAIL – DATE CRITICE ZERO-MASS INCOMPLETE"))</x:f>
        <x:v>PASS</x:v>
      </x:c>
      <x:c r="HH6" s="176" t="n">
        <x:f t="shared" si="52">IF($A6="","",IF($HG6&lt;&gt;"PASS",5,$HF6))</x:f>
        <x:v>1</x:v>
      </x:c>
      <x:c r="HI6" s="174" t="str">
        <x:f t="shared" si="53">IF($A6="","",IF($HH6="","N/A",IF($HH6=1,"DEFENSIV",IF($HH6=2,"PRUDENT",IF($HH6=3,"MODERAT",IF($HH6=4,"RIDICAT","WATCH / NO BET"))))))</x:f>
        <x:v>DEFENSIV</x:v>
      </x:c>
      <x:c r="HJ6" s="177" t="str">
        <x:f t="shared" si="54">IF($A6="","","Data="&amp;$GY6&amp;"; DQ="&amp;TEXT($GZ6,"0.0")&amp;"; ZM="&amp;IF($HA6="","n/a",TEXT($HA6,"0.0"))&amp;"; Context="&amp;TEXT($HB6,"0.0")&amp;"; Uncertainty="&amp;TEXT($HC6,"0.0")&amp;"; Compound="&amp;TEXT($HD6,"0.0")&amp;"; Risk Score="&amp;IF($HE6="","n/a",TEXT($HE6,"0.0"))&amp;"; Base="&amp;IF($HF6="","n/a",$HF6)&amp;"; G0="&amp;$HG6&amp;"; Final="&amp;$HH6&amp;". Cota, EV si lineup sunt informative si nu intra in recomandare.")</x:f>
        <x:v>Data=VERIFIED / PRIOR / SHRINKAGE; DQ=0.0; ZM=7.7; Context=1.1; Uncertainty=8.4; Compound=0.0; Risk Score=3.9; Base=1; G0=PASS; Final=1. Cota, EV si lineup sunt informative si nu intra in recomandare.</x:v>
      </x:c>
      <x:c r="HK6" s="174" t="str">
        <x:f t="shared" si="55">IF($A6="","",$HI6)</x:f>
        <x:v>DEFENSIV</x:v>
      </x:c>
    </x:row>
    <x:row r="7" ht="24" customHeight="1">
      <x:c r="A7" s="58" t="s">
        <x:v>283</x:v>
      </x:c>
      <x:c r="B7" s="24" t="s">
        <x:v>258</x:v>
      </x:c>
      <x:c r="C7" s="59">
        <x:v>46275</x:v>
      </x:c>
      <x:c r="D7" s="24" t="s">
        <x:v>276</x:v>
      </x:c>
      <x:c r="E7" s="24" t="s">
        <x:v>284</x:v>
      </x:c>
      <x:c r="F7" s="24" t="s">
        <x:v>285</x:v>
      </x:c>
      <x:c r="G7" s="24" t="s">
        <x:v>286</x:v>
      </x:c>
      <x:c r="H7" s="24" t="s">
        <x:v>287</x:v>
      </x:c>
      <x:c r="I7" s="24">
        <x:v>10</x:v>
      </x:c>
      <x:c r="J7" s="24">
        <x:v>1.7</x:v>
      </x:c>
      <x:c r="K7" s="24">
        <x:v>1.1000000000000001</x:v>
      </x:c>
      <x:c r="L7" s="24">
        <x:v>1.75</x:v>
      </x:c>
      <x:c r="M7" s="24">
        <x:v>1.1000000000000001</x:v>
      </x:c>
      <x:c r="N7" s="18">
        <x:v>0.9</x:v>
      </x:c>
      <x:c r="O7" s="18">
        <x:v>0.1</x:v>
      </x:c>
      <x:c r="P7" s="24">
        <x:v>10</x:v>
      </x:c>
      <x:c r="Q7" s="24">
        <x:v>1.1000000000000001</x:v>
      </x:c>
      <x:c r="R7" s="24">
        <x:v>1.5</x:v>
      </x:c>
      <x:c r="S7" s="24">
        <x:v>1.2</x:v>
      </x:c>
      <x:c r="T7" s="24">
        <x:v>1.45</x:v>
      </x:c>
      <x:c r="U7" s="18">
        <x:v>0.9</x:v>
      </x:c>
      <x:c r="V7" s="18">
        <x:v>0.2</x:v>
      </x:c>
      <x:c r="W7" s="24">
        <x:v>5</x:v>
      </x:c>
      <x:c r="X7" s="24">
        <x:v>1.8</x:v>
      </x:c>
      <x:c r="Y7" s="24">
        <x:v>1.2</x:v>
      </x:c>
      <x:c r="Z7" s="24">
        <x:v>1.85</x:v>
      </x:c>
      <x:c r="AA7" s="24">
        <x:v>1.1499999999999999</x:v>
      </x:c>
      <x:c r="AB7" s="24">
        <x:v>5</x:v>
      </x:c>
      <x:c r="AC7" s="24">
        <x:v>1</x:v>
      </x:c>
      <x:c r="AD7" s="24">
        <x:v>1.4</x:v>
      </x:c>
      <x:c r="AE7" s="24">
        <x:v>1.1000000000000001</x:v>
      </x:c>
      <x:c r="AF7" s="24">
        <x:v>1.4</x:v>
      </x:c>
      <x:c r="AG7" s="24">
        <x:v>1</x:v>
      </x:c>
      <x:c r="AH7" s="24">
        <x:v>2</x:v>
      </x:c>
      <x:c r="AI7" s="18">
        <x:v>1</x:v>
      </x:c>
      <x:c r="AJ7" s="24">
        <x:v>1.45</x:v>
      </x:c>
      <x:c r="AK7" s="24">
        <x:v>1.1499999999999999</x:v>
      </x:c>
      <x:c r="AL7" s="24">
        <x:v>2.6</x:v>
      </x:c>
      <x:c r="AM7" s="18">
        <x:v>0.08</x:v>
      </x:c>
      <x:c r="AN7" s="24">
        <x:v>150</x:v>
      </x:c>
      <x:c r="AO7" s="60">
        <x:v>1.75</x:v>
      </x:c>
      <x:c r="AP7" s="60">
        <x:v>3.55</x:v>
      </x:c>
      <x:c r="AQ7" s="60">
        <x:v>4.5</x:v>
      </x:c>
      <x:c r="AR7" s="60">
        <x:v>1.1000000000000001</x:v>
      </x:c>
      <x:c r="AS7" s="60">
        <x:v>8.1999999999999993</x:v>
      </x:c>
      <x:c r="AT7" s="24">
        <x:v>4</x:v>
      </x:c>
      <x:c r="AU7" s="24">
        <x:v>1</x:v>
      </x:c>
      <x:c r="AV7" s="24">
        <x:v>2</x:v>
      </x:c>
      <x:c r="AW7" s="24">
        <x:v>2</x:v>
      </x:c>
      <x:c r="AX7" s="24">
        <x:v>0</x:v>
      </x:c>
      <x:c r="AY7" s="24">
        <x:v>1</x:v>
      </x:c>
      <x:c r="AZ7" s="24">
        <x:v>0</x:v>
      </x:c>
      <x:c r="BA7" s="24">
        <x:v>0</x:v>
      </x:c>
      <x:c r="BB7" s="24">
        <x:v>0</x:v>
      </x:c>
      <x:c r="BC7" s="24">
        <x:v>0</x:v>
      </x:c>
      <x:c r="BD7" s="24">
        <x:v>0</x:v>
      </x:c>
      <x:c r="BE7" s="24">
        <x:v>2</x:v>
      </x:c>
      <x:c r="BF7" s="24">
        <x:v>1</x:v>
      </x:c>
      <x:c r="BG7" s="24">
        <x:v>0</x:v>
      </x:c>
      <x:c r="BH7" s="61" t="s">
        <x:v>288</x:v>
      </x:c>
      <x:c r="BI7" s="61" t="s">
        <x:v>289</x:v>
      </x:c>
      <x:c r="BJ7" s="62" t="n">
        <x:f>IF($A7="","",SQRT((($I7*IF($J7="",$AJ7,$J7)+'Setari model'!$B$30*$AJ7)/($I7+'Setari model'!$B$30))*(($P7*IF($R7="",$AJ7,$R7)+'Setari model'!$B$30*$AJ7)/($P7+'Setari model'!$B$30)))+SQRT((($P7*IF($Q7="",$AK7,$Q7)+'Setari model'!$B$30*$AK7)/($P7+'Setari model'!$B$30))*(($I7*IF($K7="",$AK7,$K7)+'Setari model'!$B$30*$AK7)/($I7+'Setari model'!$B$30))))</x:f>
        <x:v>2.6545487838134596</x:v>
      </x:c>
      <x:c r="BK7" s="62" t="n">
        <x:f>IF($A7="","",SQRT((($I7*IF($L7="",IF($J7="",$AJ7,$J7),$L7)+'Setari model'!$B$30*$AJ7)/($I7+'Setari model'!$B$30))*(($P7*IF($T7="",IF($R7="",$AJ7,$R7),$T7)+'Setari model'!$B$30*$AJ7)/($P7+'Setari model'!$B$30)))+SQRT((($P7*IF($S7="",IF($Q7="",$AK7,$Q7),$S7)+'Setari model'!$B$30*$AK7)/($P7+'Setari model'!$B$30))*(($I7*IF($M7="",IF($K7="",$AK7,$K7),$M7)+'Setari model'!$B$30*$AK7)/($I7+'Setari model'!$B$30))))</x:f>
        <x:v>2.680731636599641</x:v>
      </x:c>
      <x:c r="BL7" s="62" t="n">
        <x:f>IF($A7="","",SQRT((($W7*IF($X7="",$AL7/2,$X7)+'Setari model'!$B$31*$AL7/2)/($W7+'Setari model'!$B$31))*(($AB7*IF($AD7="",$AL7/2,$AD7)+'Setari model'!$B$31*$AL7/2)/($AB7+'Setari model'!$B$31)))+SQRT((($AB7*IF($AC7="",$AL7/2,$AC7)+'Setari model'!$B$31*$AL7/2)/($AB7+'Setari model'!$B$31))*(($W7*IF($Y7="",$AL7/2,$Y7)+'Setari model'!$B$31*$AL7/2)/($W7+'Setari model'!$B$31))))</x:f>
        <x:v>2.6455054949771233</x:v>
      </x:c>
      <x:c r="BM7" s="62" t="n">
        <x:f>IF($A7="","",SQRT((($W7*IF($Z7="",IF($X7="",$AL7/2,$X7),$Z7)+'Setari model'!$B$31*$AL7/2)/($W7+'Setari model'!$B$31))*(($AB7*IF($AF7="",IF($AD7="",$AL7/2,$AD7),$AF7)+'Setari model'!$B$31*$AL7/2)/($AB7+'Setari model'!$B$31)))+SQRT((($AB7*IF($AE7="",IF($AC7="",$AL7/2,$AC7),$AE7)+'Setari model'!$B$31*$AL7/2)/($AB7+'Setari model'!$B$31))*(($W7*IF($AA7="",IF($Y7="",$AL7/2,$Y7),$AA7)+'Setari model'!$B$31*$AL7/2)/($W7+'Setari model'!$B$31))))</x:f>
        <x:v>2.6706022224399826</x:v>
      </x:c>
      <x:c r="BN7" s="62" t="n">
        <x:f t="shared" si="0">IF($A7="","",IF($AG7&gt;0,($AG7*IF($AH7="",$AL7,$AH7)+5*$AL7)/($AG7+5),$AL7))</x:f>
        <x:v>2.5</x:v>
      </x:c>
      <x:c r="BO7" s="63" t="n">
        <x:f>IF($A7="","",IF($AR7&gt;1,IF($AS7&gt;1,(1/$AR7)/((1/$AR7+1/$AS7)),MIN(0.995,(1/$AR7)/(1+'Setari model'!$B$32))),1-EXP(-$AL7)))</x:f>
        <x:v>0.8817204301075269</x:v>
      </x:c>
      <x:c r="BP7" s="62" t="n">
        <x:f t="shared" si="1">IF($A7="","",-LN(1-$BO7))</x:f>
        <x:v>2.134704220354885</x:v>
      </x:c>
      <x:c r="BQ7" s="62" t="n">
        <x:f>IF($A7="","",$BJ7*INDEX('Setari model'!$B$5:$B$11,MATCH($E7,'Setari model'!$A$5:$A$11,0))+$BK7*INDEX('Setari model'!$C$5:$C$11,MATCH($E7,'Setari model'!$A$5:$A$11,0))+$BL7*INDEX('Setari model'!$D$5:$D$11,MATCH($E7,'Setari model'!$A$5:$A$11,0))+$BM7*INDEX('Setari model'!$E$5:$E$11,MATCH($E7,'Setari model'!$A$5:$A$11,0))+$BN7*INDEX('Setari model'!$F$5:$F$11,MATCH($E7,'Setari model'!$A$5:$A$11,0))+$BP7*INDEX('Setari model'!$G$5:$G$11,MATCH($E7,'Setari model'!$A$5:$A$11,0)))</x:f>
        <x:v>2.487523524208675</x:v>
      </x:c>
      <x:c r="BR7" s="64" t="n">
        <x:f>IF($A7="","",MAX('Setari model'!$B$53,MIN('Setari model'!$B$54,1+($AV7*'Setari model'!$B$15+$AW7*'Setari model'!$B$16+$AX7*'Setari model'!$B$17+$AY7*'Setari model'!$B$18+$AZ7*'Setari model'!$B$19+$BA7*'Setari model'!$B$20+$BB7*'Setari model'!$B$21+$BC7*'Setari model'!$B$22+$BD7*'Setari model'!$B$23+$BE7*'Setari model'!$B$24+$BF7*'Setari model'!$B$25)*INDEX('Setari model'!$H$5:$H$11,MATCH($E7,'Setari model'!$A$5:$A$11,0)))))</x:f>
        <x:v>1.2015</x:v>
      </x:c>
      <x:c r="BS7" s="62" t="n">
        <x:f t="shared" si="2">IF($A7="","",$BQ7*$BR7)</x:f>
        <x:v>2.988759514336723</x:v>
      </x:c>
      <x:c r="BT7" s="63" t="n">
        <x:f t="shared" si="3">IF($A7="","",EXP(-$BS7))</x:f>
        <x:v>0.05034985627516557</x:v>
      </x:c>
      <x:c r="BU7" s="65" t="n">
        <x:f>IF($A7="","",IF(OR($AM7="",$AN7=""),1,1+MIN('Setari model'!$B$33,$AN7/100*'Setari model'!$B$33)*($AM7/EXP(-$AL7)-1)))</x:f>
        <x:v>1.0385495214000677</x:v>
      </x:c>
      <x:c r="BV7" s="63" t="n">
        <x:f>IF($A7="","",MIN(0.45,MAX(0.005,(1-'Setari model'!$B$34*MIN(1,($I7+$P7)/20))*MIN(0.45,$BT7*$BU7)+'Setari model'!$B$34*MIN(1,($I7+$P7)/20)*IF(COUNT($N7,$U7)=2,SQRT(MAX(0,1-$N7)*MAX(0,1-$U7)),IF($AM7="",EXP(-$AL7),$AM7)))))</x:f>
        <x:v>0.06421811435285155</x:v>
      </x:c>
      <x:c r="BW7" s="63" t="n">
        <x:f t="shared" si="4">IF($A7="","",1-$BV7)</x:f>
        <x:v>0.9357818856471485</x:v>
      </x:c>
      <x:c r="BX7" s="62" t="n">
        <x:f t="shared" si="5">IF($A7="","",1/$BW7)</x:f>
        <x:v>1.0686250881084762</x:v>
      </x:c>
      <x:c r="BY7" s="63" t="n">
        <x:f t="shared" si="6">IF($A7="","",$BO7)</x:f>
        <x:v>0.8817204301075269</x:v>
      </x:c>
      <x:c r="BZ7" s="63" t="n">
        <x:f t="shared" si="7">IF($A7="","",$BW7-$BY7)</x:f>
        <x:v>0.054061455539621606</x:v>
      </x:c>
      <x:c r="CA7" s="63" t="n">
        <x:f t="shared" si="8">IF($A7="","",IF($AR7&gt;1,$BW7*$AR7-1,""))</x:f>
        <x:v>0.029360074211863374</x:v>
      </x:c>
      <x:c r="CB7" s="63" t="n">
        <x:f>IF($A7="","",MIN(1,COUNT($I7:$AN7,$AR7:$BG7)/'Setari model'!$B$46))</x:f>
        <x:v>1</x:v>
      </x:c>
      <x:c r="CC7" s="63" t="n">
        <x:f t="shared" si="9">IF($A7="","",0.25*MIN(1,$I7/10)+0.25*MIN(1,$P7/10)+0.15*MIN(1,$W7/5)+0.15*MIN(1,$AB7/5)+0.1*MIN(1,$AG7/5)+0.1*MIN(1,$AN7/100))</x:f>
        <x:v>0.92</x:v>
      </x:c>
      <x:c r="CD7" s="63" t="n">
        <x:f>IF($A7="","",MAX(0,1-(MAX($BJ7:$BN7,$BP7)-MIN($BJ7:$BN7,$BP7))/(AVERAGE($BJ7:$BN7,$BP7)*'Setari model'!$B$45)))</x:f>
        <x:v>0.642794637471636</x:v>
      </x:c>
      <x:c r="CE7" s="66" t="n">
        <x:f>IF($A7="","",MAX(0,MIN(100,100*INDEX('Setari model'!$I$5:$I$11,MATCH($E7,'Setari model'!$A$5:$A$11,0))*('Setari model'!$B$47*$CB7+'Setari model'!$B$48*$CC7+'Setari model'!$B$49*$CD7+'Setari model'!$B$50*$AT7/5+'Setari model'!$B$51*$AU7)-100*'Setari model'!$B$52*$BG7)))</x:f>
        <x:v>79.43030347448945</x:v>
      </x:c>
      <x:c r="CF7" s="65" t="str">
        <x:f t="shared" si="10">IF($A7="","",IF(OR($AT7&lt;3,$BG7&gt;=2,$CB7&lt;0.55,$CC7&lt;0.4),"RIDICAT",IF(OR($AU7=0,$CD7&lt;0.45,$BR7&lt;0.9),"MEDIU","SCĂZUT")))</x:f>
        <x:v>SCĂZUT</x:v>
      </x:c>
      <x:c r="CG7" s="65" t="str">
        <x:f>IF($A7="","",IF($AR7&gt;1,IF(AND($BW7&gt;= 'Setari model'!$B$35,$CE7&gt;=100*'Setari model'!$B$36,$BZ7&gt;= 'Setari model'!$B$37,$CA7&gt;= 'Setari model'!$B$38,$CF7&lt;&gt;"RIDICAT"),"PARIU RECOMANDAT",IF(AND($BW7&gt;= 'Setari model'!$B$39,$CE7&gt;=100*'Setari model'!$B$40,$BZ7&gt;= 'Setari model'!$B$41,$CA7&gt;=0,$CF7&lt;&gt;"RIDICAT"),"RECOMANDAT CU PRUDENȚĂ",IF(AND($BW7&gt;= 'Setari model'!$B$42,$CE7&gt;=100*'Setari model'!$B$43),"ANALIZĂ NECONCLUDENTĂ","PARIU EVITAT"))),IF(AND($BW7&gt;= 'Setari model'!$B$35,$CE7&gt;=100*'Setari model'!$B$36,$CF7&lt;&gt;"RIDICAT"),"FAVORABIL STATISTIC – VERIFICĂ COTA",IF(AND($BW7&gt;= 'Setari model'!$B$42,$CE7&gt;=100*'Setari model'!$B$43),"ANALIZĂ NECONCLUDENTĂ","PARIU EVITAT"))))</x:f>
        <x:v>PARIU RECOMANDAT</x:v>
      </x:c>
      <x:c r="CH7" s="67" t="str">
        <x:f t="shared" si="11">IF($A7="","","P(O0,5)="&amp;TEXT($BW7,"0.0%")&amp;"; λ ajustat="&amp;TEXT($BS7,"0.00")&amp;"; Confidence="&amp;TEXT($CE7,"0")&amp;"/100; Edge="&amp;TEXT($BZ7,"0.0%")&amp;"; risc="&amp;$CF7&amp;". "&amp;$BH7)</x:f>
        <x:v>P(O0,5)=93.6%; λ ajustat=2.99; Confidence=79/100; Edge=5.4%; risc=SCĂZUT. Scorul agregat obligă gazdele să atace; ponderea contextului este mai mare la retur.</x:v>
      </x:c>
      <x:c r="CI7" s="68" t="str">
        <x:f t="shared" si="12">IF($A7="","",$BI7)</x:f>
        <x:v>https://www.uefa.com/ ; https://www.fotmob.com/</x:v>
      </x:c>
      <x:c r="CJ7" s="112">
        <x:v>2</x:v>
      </x:c>
      <x:c r="CK7" s="112">
        <x:v>0</x:v>
      </x:c>
      <x:c r="CL7" s="112">
        <x:v>0</x:v>
      </x:c>
      <x:c r="CM7" s="112">
        <x:v>5.4</x:v>
      </x:c>
      <x:c r="CN7" s="112">
        <x:v>4</x:v>
      </x:c>
      <x:c r="CO7" s="112">
        <x:v>2.1</x:v>
      </x:c>
      <x:c r="CP7" s="112">
        <x:v>1.4</x:v>
      </x:c>
      <x:c r="CQ7" s="112">
        <x:v>0.12</x:v>
      </x:c>
      <x:c r="CR7" s="112">
        <x:v>0.1</x:v>
      </x:c>
      <x:c r="CS7" s="112">
        <x:v>28</x:v>
      </x:c>
      <x:c r="CT7" s="112">
        <x:v>21</x:v>
      </x:c>
      <x:c r="CU7" s="112">
        <x:v>0.27</x:v>
      </x:c>
      <x:c r="CV7" s="112">
        <x:v>0.2</x:v>
      </x:c>
      <x:c r="CW7" s="112">
        <x:v>0</x:v>
      </x:c>
      <x:c r="CX7" s="112">
        <x:v>0</x:v>
      </x:c>
      <x:c r="CY7" s="112">
        <x:v>1</x:v>
      </x:c>
      <x:c r="CZ7" s="112">
        <x:v>1</x:v>
      </x:c>
      <x:c r="DA7" s="112">
        <x:v>1</x:v>
      </x:c>
      <x:c r="DB7" s="112">
        <x:v>1</x:v>
      </x:c>
      <x:c r="DC7" s="114">
        <x:v>1.1200000000000001</x:v>
      </x:c>
      <x:c r="DD7" s="114"/>
      <x:c r="DE7" s="112" t="s">
        <x:v>266</x:v>
      </x:c>
      <x:c r="DF7" s="112"/>
      <x:c r="DG7" s="112"/>
      <x:c r="DH7" s="112"/>
      <x:c r="DI7" s="112"/>
      <x:c r="DJ7" s="112"/>
      <x:c r="DK7" s="112"/>
      <x:c r="DL7" s="112"/>
      <x:c r="DM7" s="112"/>
      <x:c r="DN7" s="112"/>
      <x:c r="DO7" s="112">
        <x:v>0</x:v>
      </x:c>
      <x:c r="DP7" s="112">
        <x:v>0</x:v>
      </x:c>
      <x:c r="DQ7" s="114"/>
      <x:c r="DR7" s="112">
        <x:v>2</x:v>
      </x:c>
      <x:c r="DS7" s="116">
        <x:v>0.2</x:v>
      </x:c>
      <x:c r="DT7" s="120">
        <x:v>1000</x:v>
      </x:c>
      <x:c r="DU7" s="116">
        <x:v>0.02</x:v>
      </x:c>
      <x:c r="DV7" s="116">
        <x:v>0.25</x:v>
      </x:c>
      <x:c r="DW7" s="118" t="n">
        <x:f>IF($A7="","",MAX('Setari model'!$B$71,MIN('Setari model'!$B$72,1+0.08*(IFERROR(AVERAGE($CM7:$CN7)/'Setari model'!$B$66,1)-1)+0.08*(IFERROR(AVERAGE($CO7:$CP7)/'Setari model'!$B$67,1)-1)+0.06*(IFERROR(AVERAGE($CQ7:$CR7)/'Setari model'!$B$68,1)-1)+0.04*(IFERROR(AVERAGE($CS7:$CT7)/'Setari model'!$B$69,1)-1)+0.04*(IFERROR(AVERAGE($CU7:$CV7)/'Setari model'!$B$70,1)-1)-'Setari model'!$B$73*IFERROR(AVERAGE($CW7:$CX7),0))))</x:f>
        <x:v>1.0250343434343436</x:v>
      </x:c>
      <x:c r="DX7" s="118" t="n">
        <x:f>IF($A7="","",1+'Setari model'!$B$62*MAX(IF(OR($CK7=1,$CL7=1),1,0),IF(AND($CJ7&lt;&gt;"",$CJ7&lt;=1),1,0))+'Setari model'!$B$63*IF(AND($CJ7&gt;1,$CJ7&lt;=3),1,0))</x:f>
        <x:v>1.1</x:v>
      </x:c>
      <x:c r="DY7" s="118" t="n">
        <x:f>IF($A7="","",1+'Setari model'!$B$74*(IF($CY7="",0,IF($CY7=0,1,0))+IF($CZ7="",0,IF($CZ7=0,1,0)))+'Setari model'!$B$75*(IF($DA7="",0,IF($DA7=0,1,0))+IF($DB7="",0,IF($DB7=0,1,0))))</x:f>
        <x:v>1</x:v>
      </x:c>
      <x:c r="DZ7" s="117" t="n">
        <x:f>IF($A7="","",MIN(0.6,MAX(0.002,(((1-'Setari model'!$B$34*MIN(1,($I7+$P7)/20))*$BT7+'Setari model'!$B$34*MIN(1,($I7+$P7)/20)*IF(COUNT($N7,$U7)=2,SQRT(MAX(0,1-$N7)*MAX(0,1-$U7)),$BT7))*(1-'Setari model'!$B$65*MIN(1,IF($AN7="",0,$AN7/'Setari model'!$B$64)))+'Setari model'!$B$65*MIN(1,IF($AN7="",0,$AN7/'Setari model'!$B$64))*IF($AM7="",$BT7,$AM7))*$DX7*$DY7/$DW7)))</x:f>
        <x:v>0.07290198857975591</x:v>
      </x:c>
      <x:c r="EA7" s="117" t="n">
        <x:f>IF($A7="","",MIN(1-$DZ7,IF(OR(MIN($I7,$P7)&lt;'Setari model'!$B$58,$CK7=1,$CL7=1,AND($CJ7&lt;&gt;"",$CJ7&lt;=1)),'Setari model'!$B$59,IF(AND($AU7=1,$AR7&gt;1,COUNT($CY7:$DB7)=4),'Setari model'!$B$61,'Setari model'!$B$60))))</x:f>
        <x:v>0.9270980114202441</x:v>
      </x:c>
      <x:c r="EB7" s="115" t="n">
        <x:f t="shared" si="13">IF($A7="","",1/$EA7)</x:f>
        <x:v>1.078634607864249</x:v>
      </x:c>
      <x:c r="EC7" s="117" t="n">
        <x:f t="shared" si="14">IF($A7="","",IF($AR7&gt;1,IF($AS7&gt;1,(1/$AR7)/((1/$AR7)+(1/$AS7)),1/$AR7),""))</x:f>
        <x:v>0.8817204301075269</x:v>
      </x:c>
      <x:c r="ED7" s="117" t="n">
        <x:f t="shared" si="15">IF($A7="","",IF($EC7="","",$EA7-$EC7))</x:f>
        <x:v>0.045377581312717186</x:v>
      </x:c>
      <x:c r="EE7" s="117" t="str">
        <x:f t="shared" si="16">""</x:f>
      </x:c>
      <x:c r="EF7" s="119" t="n">
        <x:f>IF($A7="","",MAX(0,MIN(100,$CE7-200*MAX(0,$EG7-'Setari model'!$B$77)-IF($AU7&lt;&gt;1,10,0)-IF(COUNT($CY7:$DB7)&lt;4,4,0))))</x:f>
        <x:v>77.03030347448944</x:v>
      </x:c>
      <x:c r="EG7" s="117" t="n">
        <x:f>IF($A7="","",'Setari model'!$B$77+IF(MIN($I7,$P7)&lt;'Setari model'!$B$58,0.03,0)+IF(OR($CK7=1,$CL7=1,AND($CJ7&lt;&gt;"",$CJ7&lt;=1)),0.03,0)+IF($AG7=0,0.02,0)+0.03*(1-MIN(1,COUNT($CM7:$CV7)/10))+0.03*(1-MIN(1,IF($AN7="",0,$AN7/'Setari model'!$B$64)))+IF($AR7&lt;=1,0.02,0))</x:f>
        <x:v>0.041999999999999996</x:v>
      </x:c>
      <x:c r="EH7" s="113" t="str">
        <x:f>IF($A7="","",IF(OR(MIN($I7,$P7)&lt;'Setari model'!$B$58,$CK7=1,$CL7=1,AND($CJ7&lt;&gt;"",$CJ7&lt;=1)),"92% – early/regim",IF(AND($AU7=1,$AR7&gt;1,COUNT($CY7:$DB7)=4),"94% – confirmat","93% – standard")))</x:f>
        <x:v>94% – confirmat</x:v>
      </x:c>
      <x:c r="EI7" s="113" t="str">
        <x:f t="shared" si="17">IF($A7="","",IF(AND($EA7&gt;0.9,$AU7&lt;&gt;1),"WAIT XI – HIGH P",IF(AND($EA7&gt;0.9,COUNT($CY7:$DB7)&lt;4),"WAIT DATE CHEIE – HIGH P",IF($EP7&lt;&gt;"DA","NU – PORTOFOLIU","DA"))))</x:f>
        <x:v>DA</x:v>
      </x:c>
      <x:c r="EJ7" s="117" t="str">
        <x:f t="shared" si="18">IF($A7="","",IF($DE7&lt;&gt;"Live 20-30","",IF(SUM($DG7:$DH7)&gt;0,1,IF($EU7="","",1-MIN(0.95,MAX(0.001,EXP(-$EU7)*$DX7*$DY7/$DW7))))))</x:f>
      </x:c>
      <x:c r="EK7" s="117" t="str">
        <x:f t="shared" si="19">""</x:f>
      </x:c>
      <x:c r="EL7" s="113" t="str">
        <x:f>IF($A7="","",IF($DE7="Live 20-30",IF(SUM($DG7:$DH7)&gt;0,"EVENIMENT ÎNDEPLINIT",IF(OR($DF7="",COUNT($DI7:$DN7)&lt;4),"LIVE – WATCH",IF($EJ7&gt;=0.75,"LIVE – FEZABIL TEHNIC","LIVE – NO BET"))),IF($EI7&lt;&gt;"DA","WATCH / NO BET",IF(AND($EA7&gt;=INDEX('Setari model'!$B$35:$B$40,1),$EF7&gt;=100*'Setari model'!$B$76),"PARIU RECOMANDAT",IF(AND($EA7&gt;=INDEX('Setari model'!$B$35:$B$40,5),$EF7&gt;=100*'Setari model'!$B$40),"WATCH – APROAPE DE PRAG","PARIU EVITAT")))))</x:f>
        <x:v>PARIU RECOMANDAT</x:v>
      </x:c>
      <x:c r="EM7" s="113" t="str">
        <x:f t="shared" si="20">IF($A7="","",IF($DE7="Live 20-30",IF(SUM($DG7:$DH7)&gt;0,"Gol deja marcat.",IF($DF7="","Minut live lipsă.",IF(COUNT($DI7:$DN7)&lt;4,"Lipsesc xG/SOT/big chances live.",IF($EJ7&lt;0.75,"P live sub prag.","Semnal live tehnic complet; EV ignorat.")))),IF($EI7&lt;&gt;"DA",$EI7,IF($EF7&lt;75,"Confidence sub 75.",IF($EA7&lt;0.92,"P sub 92%.","G0/Zero-Mass + confidence trecute; EV ignorat.")))))</x:f>
        <x:v>G0/Zero-Mass + confidence trecute; EV ignorat.</x:v>
      </x:c>
      <x:c r="EN7" s="117" t="n">
        <x:f>IF($A7="","",IF(OR($EL7="PARIU RECOMANDAT",$EL7="LIVE – FEZABIL"),MIN(IF($DU7&gt;0,$DU7,'Setari model'!$B$81)/MAX(1,$DR7),IF($DV7&gt;0,$DV7,'Setari model'!$B$80)*MAX(0,((IF($DE7="Live 20-30",$EJ7,$EA7)*IF($DE7="Live 20-30",$DQ7,$AR7)-1)/(IF($DE7="Live 20-30",$DQ7,$AR7)-1)))),0))</x:f>
        <x:v>0.01</x:v>
      </x:c>
      <x:c r="EO7" s="121" t="n">
        <x:f t="shared" si="21">IF($A7="","",IF(AND($EN7&gt;0,$DT7&gt;0),$EN7*$DT7,""))</x:f>
        <x:v>10</x:v>
      </x:c>
      <x:c r="EP7" s="113" t="str">
        <x:f>IF($A7="","",IF(OR($DR7&lt;1,$DR7&gt;'Setari model'!$B$78),"NU – 1–5 selecții",IF($DS7&gt;'Setari model'!$B$79,"NU – corelație", "DA")))</x:f>
        <x:v>DA</x:v>
      </x:c>
      <x:c r="EQ7" s="117" t="str">
        <x:f t="shared" si="22">IF($A7="","",IF(AND($DC7&gt;1,$DD7&gt;1),$DC7/$DD7-1,""))</x:f>
      </x:c>
      <x:c r="ER7" s="113" t="str">
        <x:f t="shared" si="23">IF($A7="","","P v2="&amp;TEXT($EA7,"0.0%")&amp;" ±"&amp;TEXT($EG7,"0.0%")&amp;"; P0 ZIP="&amp;TEXT($DZ7,"0.0%")&amp;"; Confidence="&amp;TEXT($EF7,"0")&amp;"/100; piață reală="&amp;IF($EC7="","NU","DA")&amp;"; EV="&amp;IF($EE7="","n/a",TEXT($EE7,"0.0%"))&amp;"; gate="&amp;$EI7&amp;"; verdict="&amp;$EL7&amp;". "&amp;$EM7)</x:f>
        <x:v>P v2=92.7% ±4.2%; P0 ZIP=7.3%; Confidence=77/100; piață reală=DA; EV=n/a; gate=DA; verdict=PARIU RECOMANDAT. G0/Zero-Mass + confidence trecute; EV ignorat.</x:v>
      </x:c>
      <x:c r="ES7" s="119" t="n">
        <x:f>IF($A7="","",'Setari model'!$B$82)</x:f>
        <x:v>20</x:v>
      </x:c>
      <x:c r="ET7" s="118" t="n">
        <x:f>IF($A7="","",'Setari model'!$B$83)</x:f>
        <x:v>1.5</x:v>
      </x:c>
      <x:c r="EU7" s="115" t="str">
        <x:f t="shared" si="24">IF(OR($A7="",$DE7&lt;&gt;"Live 20-30",$DF7="",$DF7&lt;$ES7,$DF7&gt;=90),"",MAX(0.05,MIN($BS7*$ET7,$BS7*(90-$DF7)/90+0.35*($DI7+$DJ7)+0.06*($DK7+$DL7)+0.15*($DM7+$DN7)+0.1*(MAX($DO7,$DP7)-MIN($DO7,$DP7)))))</x:f>
      </x:c>
      <x:c r="EV7" s="132">
        <x:v>0.06</x:v>
      </x:c>
      <x:c r="EW7" s="132">
        <x:v>7.0000000000000007E-2</x:v>
      </x:c>
      <x:c r="EX7" s="132">
        <x:v>0.35</x:v>
      </x:c>
      <x:c r="EY7" s="132">
        <x:v>0.3</x:v>
      </x:c>
      <x:c r="EZ7" s="132">
        <x:v>0.28000000000000003</x:v>
      </x:c>
      <x:c r="FA7" s="132">
        <x:v>0.3</x:v>
      </x:c>
      <x:c r="FB7" s="247"/>
      <x:c r="FC7" s="134" t="n">
        <x:f t="shared" si="25">IF($A7="","",IF(OR($J7="",$L7="",$L7&lt;=0),"",MAX(0.5,MIN(1.5,$J7/$L7))))</x:f>
        <x:v>0.9714285714285714</x:v>
      </x:c>
      <x:c r="FD7" s="134" t="n">
        <x:f t="shared" si="26">IF($A7="","",IF(OR($Q7="",$S7="",$S7&lt;=0),"",MAX(0.5,MIN(1.5,$Q7/$S7))))</x:f>
        <x:v>0.9166666666666667</x:v>
      </x:c>
      <x:c r="FE7" s="134" t="n">
        <x:f>IF($A7="","",IF(COUNT($EV7:$EW7)&lt;2,"",SQRT($EV7*$EW7)/'Setari model'!$B$87))</x:f>
        <x:v>0.6480740698407861</x:v>
      </x:c>
      <x:c r="FF7" s="134" t="n">
        <x:f>IF($A7="","",IF(COUNT($O7,$V7,$EX7,$EY7)&lt;4,"",AVERAGE(SQRT($O7*$EY7),SQRT($V7*$EX7))/'Setari model'!$B$88))</x:f>
        <x:v>0.8755604237266935</x:v>
      </x:c>
      <x:c r="FG7" s="134" t="n">
        <x:f t="shared" si="27">IF($A7="","",IF(COUNT($FC7:$FD7)&lt;2,"",MAX(0,1-AVERAGE($FC7:$FD7))))</x:f>
        <x:v>0.055952380952380976</x:v>
      </x:c>
      <x:c r="FH7" s="134" t="n">
        <x:f>IF($A7="","",IF(COUNT($EZ7:$FA7)&lt;2,"",'Setari model'!$B$94*AVERAGE($EZ7:$FA7)/'Setari model'!$B$89))</x:f>
        <x:v>0.6214285714285716</x:v>
      </x:c>
      <x:c r="FI7" s="134" t="n">
        <x:f>IF($A7="","",IF(COUNT($FE7:$FH7)&lt;4,"",MAX('Setari model'!$B$97,MIN('Setari model'!$B$98,1+'Setari model'!$B$90*($FE7-1)+'Setari model'!$B$91*($FF7-1)+'Setari model'!$B$92*$FG7+'Setari model'!$B$93*($FH7-1)))))</x:f>
        <x:v>0.7925665385464343</x:v>
      </x:c>
      <x:c r="FJ7" s="133" t="n">
        <x:f>IF($A7="","",IF($FI7="","",MIN('Setari model'!$B$101,MAX(0.002,$DZ7*$FI7))))</x:f>
        <x:v>0.05777967674180883</x:v>
      </x:c>
      <x:c r="FK7" s="131" t="str">
        <x:f t="shared" si="28">IF($A7="","",IF(AND(COUNT($EV7:$FA7)=6,COUNT($O7,$V7,$FC7,$FD7)=4),"DA","NU"))</x:f>
        <x:v>DA</x:v>
      </x:c>
      <x:c r="FL7" s="131" t="str">
        <x:f>IF($A7="","",IF($FK7&lt;&gt;"DA","NEDETERMINAT",IF($FI7&lt;='Setari model'!$B$99,"SCĂZUT",IF($FI7&lt;='Setari model'!$B$100,"MEDIU","RIDICAT"))))</x:f>
        <x:v>SCĂZUT</x:v>
      </x:c>
      <x:c r="FM7" s="131" t="str">
        <x:f>IF($A7="","",IF(AND($AR7&gt;1,$EC7&gt;='Setari model'!$B$106),"DA","NU"))</x:f>
        <x:v>DA</x:v>
      </x:c>
      <x:c r="FN7" s="131" t="str">
        <x:f t="shared" si="29">IF($A7="","",IF(AND($AU7=1,COUNT($CY7:$DB7)=4),"DA","NU"))</x:f>
        <x:v>DA</x:v>
      </x:c>
      <x:c r="FO7" s="133" t="n">
        <x:f>IF($A7="","",IF(OR($FK7&lt;&gt;"DA",$FL7="RIDICAT"),'Setari model'!$B$102,IF($FL7="MEDIU",'Setari model'!$B$103,IF(AND($FM7="DA",$FN7="DA"),'Setari model'!$B$105,'Setari model'!$B$104))))</x:f>
        <x:v>0.94</x:v>
      </x:c>
      <x:c r="FP7" s="133" t="n">
        <x:f t="shared" si="30">IF($A7="","",IF($FJ7="","",MIN(1-$FJ7,$FO7)))</x:f>
        <x:v>0.94</x:v>
      </x:c>
      <x:c r="FQ7" s="135" t="n">
        <x:f t="shared" si="31">IF($A7="","",IF($FP7="","",IF($FP7&gt;0,1/$FP7,"")))</x:f>
        <x:v>1.0638297872340425</x:v>
      </x:c>
      <x:c r="FR7" s="133" t="n">
        <x:f t="shared" si="32">IF($A7="","",IF($EC7="","",$FP7-$EC7))</x:f>
        <x:v>0.05827956989247307</x:v>
      </x:c>
      <x:c r="FS7" s="133" t="n">
        <x:f t="shared" si="33">IF($A7="","",IF($AR7&gt;1,$FP7*$AR7-1,""))</x:f>
        <x:v>0.03400000000000003</x:v>
      </x:c>
      <x:c r="FT7" s="136" t="n">
        <x:f>IF($A7="","",MAX(0,MIN(100,$EF7-IF($FK7&lt;&gt;"DA",'Setari model'!$B$107,0)-IF($FL7="MEDIU",'Setari model'!$B$108,0)-IF($FL7="RIDICAT",'Setari model'!$B$109,0))))</x:f>
        <x:v>77.03030347448944</x:v>
      </x:c>
      <x:c r="FU7" s="131" t="str">
        <x:f t="shared" si="34">IF($A7="","",IF($AR7&lt;=1,"NU – LIPSEȘTE COTA REALĂ",IF($FK7&lt;&gt;"DA","NU – ZERO-RISK INCOMPLET",IF($FL7&lt;&gt;"SCĂZUT","NU – RISC 0-0 "&amp;$FL7,IF($FN7&lt;&gt;"DA","NU – LINEUP NECONFIRMAT",IF($FM7&lt;&gt;"DA","NU – PIAȚĂ NECONFIRMATĂ",IF($EP7&lt;&gt;"DA","NU – PORTOFOLIU","DA")))))))</x:f>
        <x:v>DA</x:v>
      </x:c>
      <x:c r="FV7" s="131" t="str">
        <x:f>IF($A7="","",IF($FU7&lt;&gt;"DA","WATCH / NO BET",IF(AND($FP7&gt;='Setari model'!$B$35,$FT7&gt;=100*'Setari model'!$B$76,$FS7&gt;0),"PARIU RECOMANDAT",IF(AND($FP7&gt;='Setari model'!$B$39,$FT7&gt;=100*'Setari model'!$B$40,$FS7&gt;0),"WATCH – APROAPE DE PRAG","PARIU EVITAT"))))</x:f>
        <x:v>PARIU RECOMANDAT</x:v>
      </x:c>
      <x:c r="FW7" s="131" t="str">
        <x:f t="shared" si="35">IF($A7="","",IF($FU7&lt;&gt;"DA",$FU7,IF($FT7&lt;75,"Confidence v3 sub 75.",IF($FP7&lt;0.92,"P v3 sub 92%.",IF($FS7&lt;=0,"EV v3 nepozitiv.","P0 v3, lineup și piață confirmate.")))))</x:f>
        <x:v>P0 v3, lineup și piață confirmate.</x:v>
      </x:c>
      <x:c r="FX7" s="131" t="str">
        <x:f t="shared" si="36">IF($A7="","","P v3="&amp;TEXT($FP7,"0.0%")&amp;"; P0 v3="&amp;TEXT($FJ7,"0.0%")&amp;"; factor zero="&amp;IF($FI7="","n/a",TEXT($FI7,"0.00x"))&amp;" ("&amp;$FL7&amp;"); cap="&amp;TEXT($FO7,"0.0%")&amp;"; Confidence="&amp;TEXT($FT7,"0")&amp;"/100; lineup="&amp;$FN7&amp;"; piață="&amp;$FM7&amp;"; EV="&amp;IF($FS7="","n/a",TEXT($FS7,"0.0%"))&amp;"; gate="&amp;$FU7&amp;"; verdict="&amp;$FV7&amp;". "&amp;$FW7)</x:f>
        <x:v>P v3=94.0%; P0 v3=5.8%; factor zero=0.79x (SCĂZUT); cap=94.0%; Confidence=77/100; lineup=DA; piață=DA; EV=3.4%; gate=DA; verdict=PARIU RECOMANDAT. P0 v3, lineup și piață confirmate.</x:v>
      </x:c>
      <x:c r="FY7" s="159">
        <x:v>0.1</x:v>
      </x:c>
      <x:c r="FZ7" s="159">
        <x:v>0.2</x:v>
      </x:c>
      <x:c r="GA7" s="157">
        <x:v>0</x:v>
      </x:c>
      <x:c r="GB7" s="157">
        <x:v>1</x:v>
      </x:c>
      <x:c r="GC7" s="161" t="n">
        <x:f t="shared" si="37">IF($A7="","",IF(OR($X7="",$Z7="",$Z7&lt;=0),"",MAX(0.5,MIN(1.5,$X7/$Z7))))</x:f>
        <x:v>0.9729729729729729</x:v>
      </x:c>
      <x:c r="GD7" s="161" t="n">
        <x:f t="shared" si="38">IF($A7="","",IF(OR($AC7="",$AE7="",$AE7&lt;=0),"",MAX(0.5,MIN(1.5,$AC7/$AE7))))</x:f>
        <x:v>0.9090909090909091</x:v>
      </x:c>
      <x:c r="GE7" s="162" t="n">
        <x:f t="shared" si="39">IF($A7="","",IF(COUNT($Z7,$AE7)&lt;2,"",AVERAGE($Z7,$AE7)))</x:f>
        <x:v>1.475</x:v>
      </x:c>
      <x:c r="GF7" s="158" t="str">
        <x:f>IF($A7="","",IF(COUNT($FY7:$FZ7)&lt;2,"NEDETERMINAT",IF(AND($FY7&gt;='Setari model'!$B$113,$FZ7&gt;='Setari model'!$B$113),"DA","NU")))</x:f>
        <x:v>NU</x:v>
      </x:c>
      <x:c r="GG7" s="158" t="str">
        <x:f>IF($A7="","",IF(COUNT($FY7:$FZ7,$EX7:$EY7)&lt;4,"NEDETERMINAT",IF(OR(AND($FY7&gt;='Setari model'!$B$113,$EY7&gt;='Setari model'!$B$114),AND($FZ7&gt;='Setari model'!$B$113,$EX7&gt;='Setari model'!$B$114)),"DA","NU")))</x:f>
        <x:v>DA</x:v>
      </x:c>
      <x:c r="GH7" s="158" t="str">
        <x:f>IF($A7="","",IF(COUNT($BJ7:$BN7,$GC7:$GE7)&lt;8,"NEDETERMINAT",IF(AND((($BJ7*INDEX('Setari model'!$B$5:$B$11,MATCH($E7,'Setari model'!$A$5:$A$11,0))+$BK7*INDEX('Setari model'!$C$5:$C$11,MATCH($E7,'Setari model'!$A$5:$A$11,0))+$BL7*INDEX('Setari model'!$D$5:$D$11,MATCH($E7,'Setari model'!$A$5:$A$11,0))+$BM7*INDEX('Setari model'!$E$5:$E$11,MATCH($E7,'Setari model'!$A$5:$A$11,0))+$BN7*INDEX('Setari model'!$F$5:$F$11,MATCH($E7,'Setari model'!$A$5:$A$11,0)))/(INDEX('Setari model'!$B$5:$B$11,MATCH($E7,'Setari model'!$A$5:$A$11,0))+INDEX('Setari model'!$C$5:$C$11,MATCH($E7,'Setari model'!$A$5:$A$11,0))+INDEX('Setari model'!$D$5:$D$11,MATCH($E7,'Setari model'!$A$5:$A$11,0))+INDEX('Setari model'!$E$5:$E$11,MATCH($E7,'Setari model'!$A$5:$A$11,0))+INDEX('Setari model'!$F$5:$F$11,MATCH($E7,'Setari model'!$A$5:$A$11,0))))*$BR7&gt;='Setari model'!$B$115,(($BJ7*INDEX('Setari model'!$B$5:$B$11,MATCH($E7,'Setari model'!$A$5:$A$11,0))+$BK7*INDEX('Setari model'!$C$5:$C$11,MATCH($E7,'Setari model'!$A$5:$A$11,0))+$BL7*INDEX('Setari model'!$D$5:$D$11,MATCH($E7,'Setari model'!$A$5:$A$11,0))+$BM7*INDEX('Setari model'!$E$5:$E$11,MATCH($E7,'Setari model'!$A$5:$A$11,0))+$BN7*INDEX('Setari model'!$F$5:$F$11,MATCH($E7,'Setari model'!$A$5:$A$11,0)))/(INDEX('Setari model'!$B$5:$B$11,MATCH($E7,'Setari model'!$A$5:$A$11,0))+INDEX('Setari model'!$C$5:$C$11,MATCH($E7,'Setari model'!$A$5:$A$11,0))+INDEX('Setari model'!$D$5:$D$11,MATCH($E7,'Setari model'!$A$5:$A$11,0))+INDEX('Setari model'!$E$5:$E$11,MATCH($E7,'Setari model'!$A$5:$A$11,0))+INDEX('Setari model'!$F$5:$F$11,MATCH($E7,'Setari model'!$A$5:$A$11,0))))*$BR7&lt;='Setari model'!$B$116,AVERAGE($GC7:$GD7)&lt;='Setari model'!$B$117,$GE7&gt;='Setari model'!$B$118),"DA","NU")))</x:f>
        <x:v>NU</x:v>
      </x:c>
      <x:c r="GI7" s="158" t="str">
        <x:f>IF($A7="","",IF(COUNT($W7,$AB7,$GA7:$GB7)&lt;4,"NEDETERMINAT",IF(AND($W7&gt;='Setari model'!$B$120,$AB7&gt;='Setari model'!$B$120,OR(IFERROR($GA7/$W7,0)&gt;='Setari model'!$B$119,IFERROR($GB7/$AB7,0)&gt;='Setari model'!$B$119)),"DA","NU")))</x:f>
        <x:v>DA</x:v>
      </x:c>
      <x:c r="GJ7" s="160" t="n">
        <x:f>IF($A7="","",IF(COUNT($FY7:$GB7)&lt;4,"",IF($GH7&lt;&gt;"DA",0,'Setari model'!$B$121*IF($GF7="DA",1,0)+'Setari model'!$B$122*IF($GG7="DA",1,0)+'Setari model'!$B$123+'Setari model'!$B$124*IF($GI7="DA",1,0))))</x:f>
        <x:v>0</x:v>
      </x:c>
      <x:c r="GK7" s="161" t="n">
        <x:f>IF($A7="","",IF(COUNT($GJ7)=0,"",1+'Setari model'!$B$125*$GJ7))</x:f>
        <x:v>1</x:v>
      </x:c>
      <x:c r="GL7" s="160" t="n">
        <x:f>IF($A7="","",IF($GM7&lt;&gt;"DA",$FJ7,MIN('Setari model'!$B$101,MAX(0.002,$FJ7*$GK7))))</x:f>
        <x:v>0.05777967674180883</x:v>
      </x:c>
      <x:c r="GM7" s="158" t="str">
        <x:f>IF($A7="","",IF(AND($FK7="DA",COUNT($FY7:$GB7)=4,COUNT($I7,$P7,$W7,$AB7,$Z7,$AE7,$EX7,$EY7,$GC7,$GD7)=10,COUNT($BJ7:$BN7)=5),"DA","NU"))</x:f>
        <x:v>DA</x:v>
      </x:c>
      <x:c r="GN7" s="158" t="str">
        <x:f>IF($A7="","",IF($GM7&lt;&gt;"DA","NEDETERMINAT",IF($FI7*$GK7&lt;='Setari model'!$B$99,"SCĂZUT",IF($FI7*$GK7&lt;='Setari model'!$B$100,"MEDIU","RIDICAT"))))</x:f>
        <x:v>SCĂZUT</x:v>
      </x:c>
      <x:c r="GO7" s="160" t="n">
        <x:f>IF($A7="","",IF(OR($GM7&lt;&gt;"DA",$GN7="RIDICAT"),'Setari model'!$B$102,IF($GN7="MEDIU",'Setari model'!$B$103,IF(AND($FM7="DA",$FN7="DA"),'Setari model'!$B$105,'Setari model'!$B$104))))</x:f>
        <x:v>0.94</x:v>
      </x:c>
      <x:c r="GP7" s="160" t="n">
        <x:f t="shared" si="40">IF($A7="","",IF($GL7="","",MIN(1-$GL7,$GO7)))</x:f>
        <x:v>0.94</x:v>
      </x:c>
      <x:c r="GQ7" s="162" t="n">
        <x:f t="shared" si="41">IF($A7="","",IF($GP7="","",IF($GP7&gt;0,1/$GP7,"")))</x:f>
        <x:v>1.0638297872340425</x:v>
      </x:c>
      <x:c r="GR7" s="160" t="n">
        <x:f t="shared" si="42">IF($A7="","",IF($EC7="","",$GP7-$EC7))</x:f>
        <x:v>0.05827956989247307</x:v>
      </x:c>
      <x:c r="GS7" s="160" t="n">
        <x:f t="shared" si="43">IF($A7="","",IF($AR7&gt;1,$GP7*$AR7-1,""))</x:f>
        <x:v>0.03400000000000003</x:v>
      </x:c>
      <x:c r="GT7" s="163" t="n">
        <x:f>IF($A7="","",MAX(0,MIN(100,$FT7-IF(AND($GM7&lt;&gt;"DA",$FK7="DA"),'Setari model'!$B$107,0)-'Setari model'!$B$126*IF($GJ7="",0,$GJ7))))</x:f>
        <x:v>77.03030347448944</x:v>
      </x:c>
      <x:c r="GU7" s="158" t="str">
        <x:f t="shared" si="44">IF($A7="","",IF($AR7&lt;=1,"NU – LIPSEȘTE COTA REALĂ",IF($GM7&lt;&gt;"DA","NU – DATE LOW-CONVERSION INCOMPLETE",IF($GN7&lt;&gt;"SCĂZUT","NU – RISC 0-0 "&amp;$GN7,IF($FN7&lt;&gt;"DA","NU – LINEUP NECONFIRMAT",IF($FM7&lt;&gt;"DA","NU – PIAȚĂ NECONFIRMATĂ",IF($EP7&lt;&gt;"DA","NU – PORTOFOLIU","DA")))))))</x:f>
        <x:v>DA</x:v>
      </x:c>
      <x:c r="GV7" s="158" t="str">
        <x:f>IF($A7="","",IF($GU7&lt;&gt;"DA","WATCH / NO BET",IF(AND($GP7&gt;='Setari model'!$B$35,$GT7&gt;=100*'Setari model'!$B$76,$GS7&gt;0),"PARIU RECOMANDAT",IF(AND($GP7&gt;='Setari model'!$B$39,$GT7&gt;=100*'Setari model'!$B$40,$GS7&gt;0),"WATCH – APROAPE DE PRAG","PARIU EVITAT"))))</x:f>
        <x:v>PARIU RECOMANDAT</x:v>
      </x:c>
      <x:c r="GW7" s="158" t="str">
        <x:f t="shared" si="45">IF($A7="","",IF($GU7&lt;&gt;"DA",$GU7,IF($GT7&lt;75,"Confidence v5 sub 75.",IF($GP7&lt;0.92,"P v5 sub 92%.",IF($GS7&lt;=0,"EV v5 nepozitiv.",IF($GJ7&gt;0,"Low-conversion absorbit în P0; toate porțile rămân trecute.","Toate porțile v5 sunt trecute."))))))</x:f>
        <x:v>Toate porțile v5 sunt trecute.</x:v>
      </x:c>
      <x:c r="GX7" s="158" t="str">
        <x:f t="shared" si="46">IF($A7="","","P v5="&amp;TEXT($GP7,"0.0%")&amp;"; P0 v5="&amp;TEXT($GL7,"0.0%")&amp;"; low-conv="&amp;IF(COUNT($GJ7)=0,"n/a",TEXT($GJ7,"0%"))&amp;"; mult.P0="&amp;IF(COUNT($GK7)=0,"n/a",TEXT($GK7,"0.00"))&amp;"; clasă="&amp;$GN7&amp;"; cap="&amp;TEXT($GO7,"0.0%")&amp;"; Confidence="&amp;TEXT($GT7,"0")&amp;"/100; lineup="&amp;$FN7&amp;"; piață="&amp;$FM7&amp;"; EV="&amp;IF($GS7="","n/a",TEXT($GS7,"0.0%"))&amp;"; gate="&amp;$GU7&amp;"; verdict="&amp;$GV7&amp;". "&amp;$GW7)</x:f>
        <x:v>P v5=94.0%; P0 v5=5.8%; low-conv=0%; mult.P0=1.00; clasă=SCĂZUT; cap=94.0%; Confidence=77/100; lineup=DA; piață=DA; EV=3.4%; gate=DA; verdict=PARIU RECOMANDAT. Toate porțile v5 sunt trecute.</x:v>
      </x:c>
      <x:c r="GY7" s="174" t="str">
        <x:f>IF($A7="","",IF($GM7&lt;&gt;"DA","SOURCING INCOMPLETE – REVIEW REQUIRED",IF(MIN($I7,$P7,$W7,$AB7)&lt;'Setari model'!$B$58,"SMALL SAMPLE + PRIOR / SHRINKAGE","VERIFIED / PRIOR / SHRINKAGE")))</x:f>
        <x:v>VERIFIED / PRIOR / SHRINKAGE</x:v>
      </x:c>
      <x:c r="GZ7" s="175" t="n">
        <x:f t="shared" si="47">IF($A7="","",MAX(0,MIN(100,100*(1-AVERAGE(IF($GM7="DA",1,0),MIN(1,$AT7/5))))))</x:f>
        <x:v>9.999999999999998</x:v>
      </x:c>
      <x:c r="HA7" s="175" t="n">
        <x:f>IF($A7="","",IF($GM7&lt;&gt;"DA","",MAX(0,MIN(100,100*(($FI7*$GK7)-'Setari model'!$B$97)/('Setari model'!$B$98-'Setari model'!$B$97)))))</x:f>
        <x:v>5.007828064286391</x:v>
      </x:c>
      <x:c r="HB7" s="175" t="n">
        <x:f>IF($A7="","",MAX(0,MIN(100,100*(ABS($BR7-1)/MAX(1-'Setari model'!$B$53,'Setari model'!$B$54-1)+MIN(1,$BG7/2))/2)))</x:f>
        <x:v>40.300000000000004</x:v>
      </x:c>
      <x:c r="HC7" s="175" t="n">
        <x:f t="shared" si="48">IF($A7="","",MAX(0,MIN(100,100*(1-AVERAGE($CC7,MAX(0,1-(MAX($BJ7:$BN7)-MIN($BJ7:$BN7))/(AVERAGE($BJ7:$BN7)*'Setari model'!$B$45)))))))</x:f>
        <x:v>9.726000008057555</x:v>
      </x:c>
      <x:c r="HD7" s="175" t="n">
        <x:f t="shared" si="49">IF($A7="","",MAX(0,MIN(100,100*MAX(IF($GJ7="",0,$GJ7),MIN(1,$BG7/2)))))</x:f>
        <x:v>0</x:v>
      </x:c>
      <x:c r="HE7" s="175" t="n">
        <x:f>IF($A7="","",IF(COUNT($GZ7:$HD7)&lt;5,"",$GZ7*Risk_Classification!$E$28+$HA7*Risk_Classification!$E$29+$HB7*Risk_Classification!$E$30+$HC7*Risk_Classification!$E$31+$HD7*Risk_Classification!$E$32))</x:f>
        <x:v>12.964645200107853</x:v>
      </x:c>
      <x:c r="HF7" s="176" t="n">
        <x:f t="shared" si="50">IF($A7="","",IF($HE7="","",IF($HE7&lt;=20,1,IF($HE7&lt;=40,2,IF($HE7&lt;=60,3,IF($HE7&lt;=80,4,5))))))</x:f>
        <x:v>1</x:v>
      </x:c>
      <x:c r="HG7" s="176" t="str">
        <x:f t="shared" si="51">IF($A7="","",IF($GM7="DA","PASS","FAIL – DATE CRITICE ZERO-MASS INCOMPLETE"))</x:f>
        <x:v>PASS</x:v>
      </x:c>
      <x:c r="HH7" s="176" t="n">
        <x:f t="shared" si="52">IF($A7="","",IF($HG7&lt;&gt;"PASS",5,$HF7))</x:f>
        <x:v>1</x:v>
      </x:c>
      <x:c r="HI7" s="174" t="str">
        <x:f t="shared" si="53">IF($A7="","",IF($HH7="","N/A",IF($HH7=1,"DEFENSIV",IF($HH7=2,"PRUDENT",IF($HH7=3,"MODERAT",IF($HH7=4,"RIDICAT","WATCH / NO BET"))))))</x:f>
        <x:v>DEFENSIV</x:v>
      </x:c>
      <x:c r="HJ7" s="177" t="str">
        <x:f t="shared" si="54">IF($A7="","","Data="&amp;$GY7&amp;"; DQ="&amp;TEXT($GZ7,"0.0")&amp;"; ZM="&amp;IF($HA7="","n/a",TEXT($HA7,"0.0"))&amp;"; Context="&amp;TEXT($HB7,"0.0")&amp;"; Uncertainty="&amp;TEXT($HC7,"0.0")&amp;"; Compound="&amp;TEXT($HD7,"0.0")&amp;"; Risk Score="&amp;IF($HE7="","n/a",TEXT($HE7,"0.0"))&amp;"; Base="&amp;IF($HF7="","n/a",$HF7)&amp;"; G0="&amp;$HG7&amp;"; Final="&amp;$HH7&amp;". Cota, EV si lineup sunt informative si nu intra in recomandare.")</x:f>
        <x:v>Data=VERIFIED / PRIOR / SHRINKAGE; DQ=10.0; ZM=5.0; Context=40.3; Uncertainty=9.7; Compound=0.0; Risk Score=13.0; Base=1; G0=PASS; Final=1. Cota, EV si lineup sunt informative si nu intra in recomandare.</x:v>
      </x:c>
      <x:c r="HK7" s="174" t="str">
        <x:f t="shared" si="55">IF($A7="","",$HI7)</x:f>
        <x:v>DEFENSIV</x:v>
      </x:c>
    </x:row>
    <x:row r="8" ht="24" customHeight="1">
      <x:c r="A8" s="58" t="s">
        <x:v>290</x:v>
      </x:c>
      <x:c r="B8" s="24" t="s">
        <x:v>258</x:v>
      </x:c>
      <x:c r="C8" s="59">
        <x:v>46270</x:v>
      </x:c>
      <x:c r="D8" s="24" t="s">
        <x:v>291</x:v>
      </x:c>
      <x:c r="E8" s="24" t="s">
        <x:v>292</x:v>
      </x:c>
      <x:c r="F8" s="24" t="s">
        <x:v>293</x:v>
      </x:c>
      <x:c r="G8" s="24" t="s">
        <x:v>294</x:v>
      </x:c>
      <x:c r="H8" s="24" t="s">
        <x:v>295</x:v>
      </x:c>
      <x:c r="I8" s="24">
        <x:v>4</x:v>
      </x:c>
      <x:c r="J8" s="24">
        <x:v>1</x:v>
      </x:c>
      <x:c r="K8" s="24">
        <x:v>1.2</x:v>
      </x:c>
      <x:c r="L8" s="24">
        <x:v>1.1000000000000001</x:v>
      </x:c>
      <x:c r="M8" s="24">
        <x:v>1.1499999999999999</x:v>
      </x:c>
      <x:c r="N8" s="18">
        <x:v>0.75</x:v>
      </x:c>
      <x:c r="O8" s="18">
        <x:v>0.25</x:v>
      </x:c>
      <x:c r="P8" s="24">
        <x:v>4</x:v>
      </x:c>
      <x:c r="Q8" s="24">
        <x:v>0.8</x:v>
      </x:c>
      <x:c r="R8" s="24">
        <x:v>1</x:v>
      </x:c>
      <x:c r="S8" s="24">
        <x:v>0.9</x:v>
      </x:c>
      <x:c r="T8" s="24">
        <x:v>1.05</x:v>
      </x:c>
      <x:c r="U8" s="18">
        <x:v>0.75</x:v>
      </x:c>
      <x:c r="V8" s="18">
        <x:v>0.25</x:v>
      </x:c>
      <x:c r="W8" s="24">
        <x:v>3</x:v>
      </x:c>
      <x:c r="X8" s="24">
        <x:v>0.7</x:v>
      </x:c>
      <x:c r="Y8" s="24">
        <x:v>1</x:v>
      </x:c>
      <x:c r="Z8" s="24">
        <x:v>0.8</x:v>
      </x:c>
      <x:c r="AA8" s="24">
        <x:v>1</x:v>
      </x:c>
      <x:c r="AB8" s="24">
        <x:v>3</x:v>
      </x:c>
      <x:c r="AC8" s="24">
        <x:v>0.8</x:v>
      </x:c>
      <x:c r="AD8" s="24">
        <x:v>0.9</x:v>
      </x:c>
      <x:c r="AE8" s="24">
        <x:v>0.85</x:v>
      </x:c>
      <x:c r="AF8" s="24">
        <x:v>0.95</x:v>
      </x:c>
      <x:c r="AG8" s="24">
        <x:v>1</x:v>
      </x:c>
      <x:c r="AH8" s="24">
        <x:v>1</x:v>
      </x:c>
      <x:c r="AI8" s="18">
        <x:v>1</x:v>
      </x:c>
      <x:c r="AJ8" s="24">
        <x:v>1.25</x:v>
      </x:c>
      <x:c r="AK8" s="24">
        <x:v>1.05</x:v>
      </x:c>
      <x:c r="AL8" s="24">
        <x:v>2.2999999999999998</x:v>
      </x:c>
      <x:c r="AM8" s="18">
        <x:v>0.12</x:v>
      </x:c>
      <x:c r="AN8" s="24">
        <x:v>30</x:v>
      </x:c>
      <x:c r="AO8" s="60">
        <x:v>2.2000000000000002</x:v>
      </x:c>
      <x:c r="AP8" s="60">
        <x:v>3.1</x:v>
      </x:c>
      <x:c r="AQ8" s="60">
        <x:v>3.1</x:v>
      </x:c>
      <x:c r="AR8" s="60">
        <x:v>1.2</x:v>
      </x:c>
      <x:c r="AS8" s="60">
        <x:v>5.2</x:v>
      </x:c>
      <x:c r="AT8" s="24">
        <x:v>2</x:v>
      </x:c>
      <x:c r="AU8" s="24">
        <x:v>0</x:v>
      </x:c>
      <x:c r="AV8" s="24">
        <x:v>0</x:v>
      </x:c>
      <x:c r="AW8" s="24">
        <x:v>1</x:v>
      </x:c>
      <x:c r="AX8" s="24">
        <x:v>-1</x:v>
      </x:c>
      <x:c r="AY8" s="24">
        <x:v>0</x:v>
      </x:c>
      <x:c r="AZ8" s="24">
        <x:v>-1</x:v>
      </x:c>
      <x:c r="BA8" s="24">
        <x:v>0</x:v>
      </x:c>
      <x:c r="BB8" s="24">
        <x:v>0</x:v>
      </x:c>
      <x:c r="BC8" s="24">
        <x:v>0</x:v>
      </x:c>
      <x:c r="BD8" s="24">
        <x:v>0</x:v>
      </x:c>
      <x:c r="BE8" s="24">
        <x:v>0</x:v>
      </x:c>
      <x:c r="BF8" s="24">
        <x:v>0</x:v>
      </x:c>
      <x:c r="BG8" s="24">
        <x:v>2</x:v>
      </x:c>
      <x:c r="BH8" s="61" t="s">
        <x:v>296</x:v>
      </x:c>
      <x:c r="BI8" s="61" t="s">
        <x:v>297</x:v>
      </x:c>
      <x:c r="BJ8" s="62" t="n">
        <x:f>IF($A8="","",SQRT((($I8*IF($J8="",$AJ8,$J8)+'Setari model'!$B$30*$AJ8)/($I8+'Setari model'!$B$30))*(($P8*IF($R8="",$AJ8,$R8)+'Setari model'!$B$30*$AJ8)/($P8+'Setari model'!$B$30)))+SQRT((($P8*IF($Q8="",$AK8,$Q8)+'Setari model'!$B$30*$AK8)/($P8+'Setari model'!$B$30))*(($I8*IF($K8="",$AK8,$K8)+'Setari model'!$B$30*$AK8)/($I8+'Setari model'!$B$30))))</x:f>
        <x:v>2.197847219883868</x:v>
      </x:c>
      <x:c r="BK8" s="62" t="n">
        <x:f>IF($A8="","",SQRT((($I8*IF($L8="",IF($J8="",$AJ8,$J8),$L8)+'Setari model'!$B$30*$AJ8)/($I8+'Setari model'!$B$30))*(($P8*IF($T8="",IF($R8="",$AJ8,$R8),$T8)+'Setari model'!$B$30*$AJ8)/($P8+'Setari model'!$B$30)))+SQRT((($P8*IF($S8="",IF($Q8="",$AK8,$Q8),$S8)+'Setari model'!$B$30*$AK8)/($P8+'Setari model'!$B$30))*(($I8*IF($M8="",IF($K8="",$AK8,$K8),$M8)+'Setari model'!$B$30*$AK8)/($I8+'Setari model'!$B$30))))</x:f>
        <x:v>2.232470528514365</x:v>
      </x:c>
      <x:c r="BL8" s="62" t="n">
        <x:f>IF($A8="","",SQRT((($W8*IF($X8="",$AL8/2,$X8)+'Setari model'!$B$31*$AL8/2)/($W8+'Setari model'!$B$31))*(($AB8*IF($AD8="",$AL8/2,$AD8)+'Setari model'!$B$31*$AL8/2)/($AB8+'Setari model'!$B$31)))+SQRT((($AB8*IF($AC8="",$AL8/2,$AC8)+'Setari model'!$B$31*$AL8/2)/($AB8+'Setari model'!$B$31))*(($W8*IF($Y8="",$AL8/2,$Y8)+'Setari model'!$B$31*$AL8/2)/($W8+'Setari model'!$B$31))))</x:f>
        <x:v>2.073643691627419</x:v>
      </x:c>
      <x:c r="BM8" s="62" t="n">
        <x:f>IF($A8="","",SQRT((($W8*IF($Z8="",IF($X8="",$AL8/2,$X8),$Z8)+'Setari model'!$B$31*$AL8/2)/($W8+'Setari model'!$B$31))*(($AB8*IF($AF8="",IF($AD8="",$AL8/2,$AD8),$AF8)+'Setari model'!$B$31*$AL8/2)/($AB8+'Setari model'!$B$31)))+SQRT((($AB8*IF($AE8="",IF($AC8="",$AL8/2,$AC8),$AE8)+'Setari model'!$B$31*$AL8/2)/($AB8+'Setari model'!$B$31))*(($W8*IF($AA8="",IF($Y8="",$AL8/2,$Y8),$AA8)+'Setari model'!$B$31*$AL8/2)/($W8+'Setari model'!$B$31))))</x:f>
        <x:v>2.1117509176137617</x:v>
      </x:c>
      <x:c r="BN8" s="62" t="n">
        <x:f t="shared" si="0">IF($A8="","",IF($AG8&gt;0,($AG8*IF($AH8="",$AL8,$AH8)+5*$AL8)/($AG8+5),$AL8))</x:f>
        <x:v>2.0833333333333335</x:v>
      </x:c>
      <x:c r="BO8" s="63" t="n">
        <x:f>IF($A8="","",IF($AR8&gt;1,IF($AS8&gt;1,(1/$AR8)/((1/$AR8+1/$AS8)),MIN(0.995,(1/$AR8)/(1+'Setari model'!$B$32))),1-EXP(-$AL8)))</x:f>
        <x:v>0.8125000000000001</x:v>
      </x:c>
      <x:c r="BP8" s="62" t="n">
        <x:f t="shared" si="1">IF($A8="","",-LN(1-$BO8))</x:f>
        <x:v>1.673976433571672</x:v>
      </x:c>
      <x:c r="BQ8" s="62" t="n">
        <x:f>IF($A8="","",$BJ8*INDEX('Setari model'!$B$5:$B$11,MATCH($E8,'Setari model'!$A$5:$A$11,0))+$BK8*INDEX('Setari model'!$C$5:$C$11,MATCH($E8,'Setari model'!$A$5:$A$11,0))+$BL8*INDEX('Setari model'!$D$5:$D$11,MATCH($E8,'Setari model'!$A$5:$A$11,0))+$BM8*INDEX('Setari model'!$E$5:$E$11,MATCH($E8,'Setari model'!$A$5:$A$11,0))+$BN8*INDEX('Setari model'!$F$5:$F$11,MATCH($E8,'Setari model'!$A$5:$A$11,0))+$BP8*INDEX('Setari model'!$G$5:$G$11,MATCH($E8,'Setari model'!$A$5:$A$11,0)))</x:f>
        <x:v>1.9762050956498416</x:v>
      </x:c>
      <x:c r="BR8" s="64" t="n">
        <x:f>IF($A8="","",MAX('Setari model'!$B$53,MIN('Setari model'!$B$54,1+($AV8*'Setari model'!$B$15+$AW8*'Setari model'!$B$16+$AX8*'Setari model'!$B$17+$AY8*'Setari model'!$B$18+$AZ8*'Setari model'!$B$19+$BA8*'Setari model'!$B$20+$BB8*'Setari model'!$B$21+$BC8*'Setari model'!$B$22+$BD8*'Setari model'!$B$23+$BE8*'Setari model'!$B$24+$BF8*'Setari model'!$B$25)*INDEX('Setari model'!$H$5:$H$11,MATCH($E8,'Setari model'!$A$5:$A$11,0)))))</x:f>
        <x:v>0.9875</x:v>
      </x:c>
      <x:c r="BS8" s="62" t="n">
        <x:f t="shared" si="2">IF($A8="","",$BQ8*$BR8)</x:f>
        <x:v>1.9515025319542187</x:v>
      </x:c>
      <x:c r="BT8" s="63" t="n">
        <x:f t="shared" si="3">IF($A8="","",EXP(-$BS8))</x:f>
        <x:v>0.14206046076642687</x:v>
      </x:c>
      <x:c r="BU8" s="65" t="n">
        <x:f>IF($A8="","",IF(OR($AM8="",$AN8=""),1,1+MIN('Setari model'!$B$33,$AN8/100*'Setari model'!$B$33)*($AM8/EXP(-$AL8)-1)))</x:f>
        <x:v>1.029535284186665</x:v>
      </x:c>
      <x:c r="BV8" s="63" t="n">
        <x:f>IF($A8="","",MIN(0.45,MAX(0.005,(1-'Setari model'!$B$34*MIN(1,($I8+$P8)/20))*MIN(0.45,$BT8*$BU8)+'Setari model'!$B$34*MIN(1,($I8+$P8)/20)*IF(COUNT($N8,$U8)=2,SQRT(MAX(0,1-$N8)*MAX(0,1-$U8)),IF($AM8="",EXP(-$AL8),$AM8)))))</x:f>
        <x:v>0.15663063116216666</x:v>
      </x:c>
      <x:c r="BW8" s="63" t="n">
        <x:f t="shared" si="4">IF($A8="","",1-$BV8)</x:f>
        <x:v>0.8433693688378333</x:v>
      </x:c>
      <x:c r="BX8" s="62" t="n">
        <x:f t="shared" si="5">IF($A8="","",1/$BW8)</x:f>
        <x:v>1.185720085350034</x:v>
      </x:c>
      <x:c r="BY8" s="63" t="n">
        <x:f t="shared" si="6">IF($A8="","",$BO8)</x:f>
        <x:v>0.8125000000000001</x:v>
      </x:c>
      <x:c r="BZ8" s="63" t="n">
        <x:f t="shared" si="7">IF($A8="","",$BW8-$BY8)</x:f>
        <x:v>0.0308693688378332</x:v>
      </x:c>
      <x:c r="CA8" s="63" t="n">
        <x:f t="shared" si="8">IF($A8="","",IF($AR8&gt;1,$BW8*$AR8-1,""))</x:f>
        <x:v>0.012043242605400017</x:v>
      </x:c>
      <x:c r="CB8" s="63" t="n">
        <x:f>IF($A8="","",MIN(1,COUNT($I8:$AN8,$AR8:$BG8)/'Setari model'!$B$46))</x:f>
        <x:v>1</x:v>
      </x:c>
      <x:c r="CC8" s="63" t="n">
        <x:f t="shared" si="9">IF($A8="","",0.25*MIN(1,$I8/10)+0.25*MIN(1,$P8/10)+0.15*MIN(1,$W8/5)+0.15*MIN(1,$AB8/5)+0.1*MIN(1,$AG8/5)+0.1*MIN(1,$AN8/100))</x:f>
        <x:v>0.43000000000000005</x:v>
      </x:c>
      <x:c r="CD8" s="63" t="n">
        <x:f>IF($A8="","",MAX(0,1-(MAX($BJ8:$BN8,$BP8)-MIN($BJ8:$BN8,$BP8))/(AVERAGE($BJ8:$BN8,$BP8)*'Setari model'!$B$45)))</x:f>
        <x:v>0.5486194970630452</x:v>
      </x:c>
      <x:c r="CE8" s="66" t="n">
        <x:f>IF($A8="","",MAX(0,MIN(100,100*INDEX('Setari model'!$I$5:$I$11,MATCH($E8,'Setari model'!$A$5:$A$11,0))*('Setari model'!$B$47*$CB8+'Setari model'!$B$48*$CC8+'Setari model'!$B$49*$CD8+'Setari model'!$B$50*$AT8/5+'Setari model'!$B$51*$AU8)-100*'Setari model'!$B$52*$BG8)))</x:f>
        <x:v>22.90067295888263</x:v>
      </x:c>
      <x:c r="CF8" s="65" t="str">
        <x:f t="shared" si="10">IF($A8="","",IF(OR($AT8&lt;3,$BG8&gt;=2,$CB8&lt;0.55,$CC8&lt;0.4),"RIDICAT",IF(OR($AU8=0,$CD8&lt;0.45,$BR8&lt;0.9),"MEDIU","SCĂZUT")))</x:f>
        <x:v>RIDICAT</x:v>
      </x:c>
      <x:c r="CG8" s="65" t="str">
        <x:f>IF($A8="","",IF($AR8&gt;1,IF(AND($BW8&gt;= 'Setari model'!$B$35,$CE8&gt;=100*'Setari model'!$B$36,$BZ8&gt;= 'Setari model'!$B$37,$CA8&gt;= 'Setari model'!$B$38,$CF8&lt;&gt;"RIDICAT"),"PARIU RECOMANDAT",IF(AND($BW8&gt;= 'Setari model'!$B$39,$CE8&gt;=100*'Setari model'!$B$40,$BZ8&gt;= 'Setari model'!$B$41,$CA8&gt;=0,$CF8&lt;&gt;"RIDICAT"),"RECOMANDAT CU PRUDENȚĂ",IF(AND($BW8&gt;= 'Setari model'!$B$42,$CE8&gt;=100*'Setari model'!$B$43),"ANALIZĂ NECONCLUDENTĂ","PARIU EVITAT"))),IF(AND($BW8&gt;= 'Setari model'!$B$35,$CE8&gt;=100*'Setari model'!$B$36,$CF8&lt;&gt;"RIDICAT"),"FAVORABIL STATISTIC – VERIFICĂ COTA",IF(AND($BW8&gt;= 'Setari model'!$B$42,$CE8&gt;=100*'Setari model'!$B$43),"ANALIZĂ NECONCLUDENTĂ","PARIU EVITAT"))))</x:f>
        <x:v>PARIU EVITAT</x:v>
      </x:c>
      <x:c r="CH8" s="67" t="str">
        <x:f t="shared" si="11">IF($A8="","","P(O0,5)="&amp;TEXT($BW8,"0.0%")&amp;"; λ ajustat="&amp;TEXT($BS8,"0.00")&amp;"; Confidence="&amp;TEXT($CE8,"0")&amp;"/100; Edge="&amp;TEXT($BZ8,"0.0%")&amp;"; risc="&amp;$CF8&amp;". "&amp;$BH8)</x:f>
        <x:v>P(O0,5)=84.3%; λ ajustat=1.95; Confidence=23/100; Edge=3.1%; risc=RIDICAT. Amical cu eșantion mic și rotație probabilă; modelul trebuie să poată evita selecția.</x:v>
      </x:c>
      <x:c r="CI8" s="68" t="str">
        <x:f t="shared" si="12">IF($A8="","",$BI8)</x:f>
        <x:v>https://www.livescore.com/en/ ; https://www.goal.com/</x:v>
      </x:c>
      <x:c r="CJ8" s="112">
        <x:v>1</x:v>
      </x:c>
      <x:c r="CK8" s="112">
        <x:v>0</x:v>
      </x:c>
      <x:c r="CL8" s="112">
        <x:v>0</x:v>
      </x:c>
      <x:c r="CM8" s="112">
        <x:v>3.1</x:v>
      </x:c>
      <x:c r="CN8" s="112">
        <x:v>2.9</x:v>
      </x:c>
      <x:c r="CO8" s="112">
        <x:v>0.8</x:v>
      </x:c>
      <x:c r="CP8" s="112">
        <x:v>0.7</x:v>
      </x:c>
      <x:c r="CQ8" s="112">
        <x:v>0.08</x:v>
      </x:c>
      <x:c r="CR8" s="112">
        <x:v>0.08</x:v>
      </x:c>
      <x:c r="CS8" s="112">
        <x:v>15</x:v>
      </x:c>
      <x:c r="CT8" s="112">
        <x:v>14</x:v>
      </x:c>
      <x:c r="CU8" s="112">
        <x:v>0.16</x:v>
      </x:c>
      <x:c r="CV8" s="112">
        <x:v>0.15</x:v>
      </x:c>
      <x:c r="CW8" s="112">
        <x:v>1</x:v>
      </x:c>
      <x:c r="CX8" s="112">
        <x:v>1</x:v>
      </x:c>
      <x:c r="CY8" s="112"/>
      <x:c r="CZ8" s="112"/>
      <x:c r="DA8" s="112"/>
      <x:c r="DB8" s="112"/>
      <x:c r="DC8" s="114">
        <x:v>1.22</x:v>
      </x:c>
      <x:c r="DD8" s="114"/>
      <x:c r="DE8" s="112" t="s">
        <x:v>266</x:v>
      </x:c>
      <x:c r="DF8" s="112"/>
      <x:c r="DG8" s="112"/>
      <x:c r="DH8" s="112"/>
      <x:c r="DI8" s="112"/>
      <x:c r="DJ8" s="112"/>
      <x:c r="DK8" s="112"/>
      <x:c r="DL8" s="112"/>
      <x:c r="DM8" s="112"/>
      <x:c r="DN8" s="112"/>
      <x:c r="DO8" s="112">
        <x:v>0</x:v>
      </x:c>
      <x:c r="DP8" s="112">
        <x:v>0</x:v>
      </x:c>
      <x:c r="DQ8" s="114"/>
      <x:c r="DR8" s="112">
        <x:v>6</x:v>
      </x:c>
      <x:c r="DS8" s="116">
        <x:v>0.45</x:v>
      </x:c>
      <x:c r="DT8" s="120">
        <x:v>1000</x:v>
      </x:c>
      <x:c r="DU8" s="116">
        <x:v>0.02</x:v>
      </x:c>
      <x:c r="DV8" s="116">
        <x:v>0.25</x:v>
      </x:c>
      <x:c r="DW8" s="118" t="n">
        <x:f>IF($A8="","",MAX('Setari model'!$B$71,MIN('Setari model'!$B$72,1+0.08*(IFERROR(AVERAGE($CM8:$CN8)/'Setari model'!$B$66,1)-1)+0.08*(IFERROR(AVERAGE($CO8:$CP8)/'Setari model'!$B$67,1)-1)+0.06*(IFERROR(AVERAGE($CQ8:$CR8)/'Setari model'!$B$68,1)-1)+0.04*(IFERROR(AVERAGE($CS8:$CT8)/'Setari model'!$B$69,1)-1)+0.04*(IFERROR(AVERAGE($CU8:$CV8)/'Setari model'!$B$70,1)-1)-'Setari model'!$B$73*IFERROR(AVERAGE($CW8:$CX8),0))))</x:f>
        <x:v>0.8624969696969697</x:v>
      </x:c>
      <x:c r="DX8" s="118" t="n">
        <x:f>IF($A8="","",1+'Setari model'!$B$62*MAX(IF(OR($CK8=1,$CL8=1),1,0),IF(AND($CJ8&lt;&gt;"",$CJ8&lt;=1),1,0))+'Setari model'!$B$63*IF(AND($CJ8&gt;1,$CJ8&lt;=3),1,0))</x:f>
        <x:v>1.25</x:v>
      </x:c>
      <x:c r="DY8" s="118" t="n">
        <x:f>IF($A8="","",1+'Setari model'!$B$74*(IF($CY8="",0,IF($CY8=0,1,0))+IF($CZ8="",0,IF($CZ8=0,1,0)))+'Setari model'!$B$75*(IF($DA8="",0,IF($DA8=0,1,0))+IF($DB8="",0,IF($DB8=0,1,0))))</x:f>
        <x:v>1</x:v>
      </x:c>
      <x:c r="DZ8" s="117" t="n">
        <x:f>IF($A8="","",MIN(0.6,MAX(0.002,(((1-'Setari model'!$B$34*MIN(1,($I8+$P8)/20))*$BT8+'Setari model'!$B$34*MIN(1,($I8+$P8)/20)*IF(COUNT($N8,$U8)=2,SQRT(MAX(0,1-$N8)*MAX(0,1-$U8)),$BT8))*(1-'Setari model'!$B$65*MIN(1,IF($AN8="",0,$AN8/'Setari model'!$B$64)))+'Setari model'!$B$65*MIN(1,IF($AN8="",0,$AN8/'Setari model'!$B$64))*IF($AM8="",$BT8,$AM8))*$DX8*$DY8/$DW8)))</x:f>
        <x:v>0.21867199988744385</x:v>
      </x:c>
      <x:c r="EA8" s="117" t="n">
        <x:f>IF($A8="","",MIN(1-$DZ8,IF(OR(MIN($I8,$P8)&lt;'Setari model'!$B$58,$CK8=1,$CL8=1,AND($CJ8&lt;&gt;"",$CJ8&lt;=1)),'Setari model'!$B$59,IF(AND($AU8=1,$AR8&gt;1,COUNT($CY8:$DB8)=4),'Setari model'!$B$61,'Setari model'!$B$60))))</x:f>
        <x:v>0.7813280001125562</x:v>
      </x:c>
      <x:c r="EB8" s="115" t="n">
        <x:f t="shared" si="13">IF($A8="","",1/$EA8)</x:f>
        <x:v>1.2798722173734238</x:v>
      </x:c>
      <x:c r="EC8" s="117" t="n">
        <x:f t="shared" si="14">IF($A8="","",IF($AR8&gt;1,IF($AS8&gt;1,(1/$AR8)/((1/$AR8)+(1/$AS8)),1/$AR8),""))</x:f>
        <x:v>0.8125000000000001</x:v>
      </x:c>
      <x:c r="ED8" s="117" t="n">
        <x:f t="shared" si="15">IF($A8="","",IF($EC8="","",$EA8-$EC8))</x:f>
        <x:v>-0.031171999887443902</x:v>
      </x:c>
      <x:c r="EE8" s="117" t="str">
        <x:f t="shared" si="16">""</x:f>
      </x:c>
      <x:c r="EF8" s="119" t="n">
        <x:f>IF($A8="","",MAX(0,MIN(100,$CE8-200*MAX(0,$EG8-'Setari model'!$B$77)-IF($AU8&lt;&gt;1,10,0)-IF(COUNT($CY8:$DB8)&lt;4,4,0))))</x:f>
        <x:v>0</x:v>
      </x:c>
      <x:c r="EG8" s="117" t="n">
        <x:f>IF($A8="","",'Setari model'!$B$77+IF(MIN($I8,$P8)&lt;'Setari model'!$B$58,0.03,0)+IF(OR($CK8=1,$CL8=1,AND($CJ8&lt;&gt;"",$CJ8&lt;=1)),0.03,0)+IF($AG8=0,0.02,0)+0.03*(1-MIN(1,COUNT($CM8:$CV8)/10))+0.03*(1-MIN(1,IF($AN8="",0,$AN8/'Setari model'!$B$64)))+IF($AR8&lt;=1,0.02,0))</x:f>
        <x:v>0.1164</x:v>
      </x:c>
      <x:c r="EH8" s="113" t="str">
        <x:f>IF($A8="","",IF(OR(MIN($I8,$P8)&lt;'Setari model'!$B$58,$CK8=1,$CL8=1,AND($CJ8&lt;&gt;"",$CJ8&lt;=1)),"92% – early/regim",IF(AND($AU8=1,$AR8&gt;1,COUNT($CY8:$DB8)=4),"94% – confirmat","93% – standard")))</x:f>
        <x:v>92% – early/regim</x:v>
      </x:c>
      <x:c r="EI8" s="113" t="str">
        <x:f t="shared" si="17">IF($A8="","",IF(AND($EA8&gt;0.9,$AU8&lt;&gt;1),"WAIT XI – HIGH P",IF(AND($EA8&gt;0.9,COUNT($CY8:$DB8)&lt;4),"WAIT DATE CHEIE – HIGH P",IF($EP8&lt;&gt;"DA","NU – PORTOFOLIU","DA"))))</x:f>
        <x:v>NU – PORTOFOLIU</x:v>
      </x:c>
      <x:c r="EJ8" s="117" t="str">
        <x:f t="shared" si="18">IF($A8="","",IF($DE8&lt;&gt;"Live 20-30","",IF(SUM($DG8:$DH8)&gt;0,1,IF($EU8="","",1-MIN(0.95,MAX(0.001,EXP(-$EU8)*$DX8*$DY8/$DW8))))))</x:f>
      </x:c>
      <x:c r="EK8" s="117" t="str">
        <x:f t="shared" si="19">""</x:f>
      </x:c>
      <x:c r="EL8" s="113" t="str">
        <x:f>IF($A8="","",IF($DE8="Live 20-30",IF(SUM($DG8:$DH8)&gt;0,"EVENIMENT ÎNDEPLINIT",IF(OR($DF8="",COUNT($DI8:$DN8)&lt;4),"LIVE – WATCH",IF($EJ8&gt;=0.75,"LIVE – FEZABIL TEHNIC","LIVE – NO BET"))),IF($EI8&lt;&gt;"DA","WATCH / NO BET",IF(AND($EA8&gt;=INDEX('Setari model'!$B$35:$B$40,1),$EF8&gt;=100*'Setari model'!$B$76),"PARIU RECOMANDAT",IF(AND($EA8&gt;=INDEX('Setari model'!$B$35:$B$40,5),$EF8&gt;=100*'Setari model'!$B$40),"WATCH – APROAPE DE PRAG","PARIU EVITAT")))))</x:f>
        <x:v>WATCH / NO BET</x:v>
      </x:c>
      <x:c r="EM8" s="113" t="str">
        <x:f t="shared" si="20">IF($A8="","",IF($DE8="Live 20-30",IF(SUM($DG8:$DH8)&gt;0,"Gol deja marcat.",IF($DF8="","Minut live lipsă.",IF(COUNT($DI8:$DN8)&lt;4,"Lipsesc xG/SOT/big chances live.",IF($EJ8&lt;0.75,"P live sub prag.","Semnal live tehnic complet; EV ignorat.")))),IF($EI8&lt;&gt;"DA",$EI8,IF($EF8&lt;75,"Confidence sub 75.",IF($EA8&lt;0.92,"P sub 92%.","G0/Zero-Mass + confidence trecute; EV ignorat.")))))</x:f>
        <x:v>NU – PORTOFOLIU</x:v>
      </x:c>
      <x:c r="EN8" s="117" t="n">
        <x:f>IF($A8="","",IF(OR($EL8="PARIU RECOMANDAT",$EL8="LIVE – FEZABIL"),MIN(IF($DU8&gt;0,$DU8,'Setari model'!$B$81)/MAX(1,$DR8),IF($DV8&gt;0,$DV8,'Setari model'!$B$80)*MAX(0,((IF($DE8="Live 20-30",$EJ8,$EA8)*IF($DE8="Live 20-30",$DQ8,$AR8)-1)/(IF($DE8="Live 20-30",$DQ8,$AR8)-1)))),0))</x:f>
        <x:v>0</x:v>
      </x:c>
      <x:c r="EO8" s="121" t="str">
        <x:f t="shared" si="21">IF($A8="","",IF(AND($EN8&gt;0,$DT8&gt;0),$EN8*$DT8,""))</x:f>
      </x:c>
      <x:c r="EP8" s="113" t="str">
        <x:f>IF($A8="","",IF(OR($DR8&lt;1,$DR8&gt;'Setari model'!$B$78),"NU – 1–5 selecții",IF($DS8&gt;'Setari model'!$B$79,"NU – corelație", "DA")))</x:f>
        <x:v>NU – 1–5 selecții</x:v>
      </x:c>
      <x:c r="EQ8" s="117" t="str">
        <x:f t="shared" si="22">IF($A8="","",IF(AND($DC8&gt;1,$DD8&gt;1),$DC8/$DD8-1,""))</x:f>
      </x:c>
      <x:c r="ER8" s="113" t="str">
        <x:f t="shared" si="23">IF($A8="","","P v2="&amp;TEXT($EA8,"0.0%")&amp;" ±"&amp;TEXT($EG8,"0.0%")&amp;"; P0 ZIP="&amp;TEXT($DZ8,"0.0%")&amp;"; Confidence="&amp;TEXT($EF8,"0")&amp;"/100; piață reală="&amp;IF($EC8="","NU","DA")&amp;"; EV="&amp;IF($EE8="","n/a",TEXT($EE8,"0.0%"))&amp;"; gate="&amp;$EI8&amp;"; verdict="&amp;$EL8&amp;". "&amp;$EM8)</x:f>
        <x:v>P v2=78.1% ±11.6%; P0 ZIP=21.9%; Confidence=0/100; piață reală=DA; EV=n/a; gate=NU – PORTOFOLIU; verdict=WATCH / NO BET. NU – PORTOFOLIU</x:v>
      </x:c>
      <x:c r="ES8" s="119" t="n">
        <x:f>IF($A8="","",'Setari model'!$B$82)</x:f>
        <x:v>20</x:v>
      </x:c>
      <x:c r="ET8" s="118" t="n">
        <x:f>IF($A8="","",'Setari model'!$B$83)</x:f>
        <x:v>1.5</x:v>
      </x:c>
      <x:c r="EU8" s="115" t="str">
        <x:f t="shared" si="24">IF(OR($A8="",$DE8&lt;&gt;"Live 20-30",$DF8="",$DF8&lt;$ES8,$DF8&gt;=90),"",MAX(0.05,MIN($BS8*$ET8,$BS8*(90-$DF8)/90+0.35*($DI8+$DJ8)+0.06*($DK8+$DL8)+0.15*($DM8+$DN8)+0.1*(MAX($DO8,$DP8)-MIN($DO8,$DP8)))))</x:f>
      </x:c>
      <x:c r="EV8" s="132">
        <x:v>0.18</x:v>
      </x:c>
      <x:c r="EW8" s="132">
        <x:v>0.2</x:v>
      </x:c>
      <x:c r="EX8" s="132">
        <x:v>0.2</x:v>
      </x:c>
      <x:c r="EY8" s="132">
        <x:v>0.25</x:v>
      </x:c>
      <x:c r="EZ8" s="132">
        <x:v>0.55000000000000004</x:v>
      </x:c>
      <x:c r="FA8" s="132">
        <x:v>0.6</x:v>
      </x:c>
      <x:c r="FB8" s="247"/>
      <x:c r="FC8" s="134" t="n">
        <x:f t="shared" si="25">IF($A8="","",IF(OR($J8="",$L8="",$L8&lt;=0),"",MAX(0.5,MIN(1.5,$J8/$L8))))</x:f>
        <x:v>0.9090909090909091</x:v>
      </x:c>
      <x:c r="FD8" s="134" t="n">
        <x:f t="shared" si="26">IF($A8="","",IF(OR($Q8="",$S8="",$S8&lt;=0),"",MAX(0.5,MIN(1.5,$Q8/$S8))))</x:f>
        <x:v>0.888888888888889</x:v>
      </x:c>
      <x:c r="FE8" s="134" t="n">
        <x:f>IF($A8="","",IF(COUNT($EV8:$EW8)&lt;2,"",SQRT($EV8*$EW8)/'Setari model'!$B$87))</x:f>
        <x:v>1.8973665961010273</x:v>
      </x:c>
      <x:c r="FF8" s="134" t="n">
        <x:f>IF($A8="","",IF(COUNT($O8,$V8,$EX8,$EY8)&lt;4,"",AVERAGE(SQRT($O8*$EY8),SQRT($V8*$EX8))/'Setari model'!$B$88))</x:f>
        <x:v>0.9472135954999579</x:v>
      </x:c>
      <x:c r="FG8" s="134" t="n">
        <x:f t="shared" si="27">IF($A8="","",IF(COUNT($FC8:$FD8)&lt;2,"",MAX(0,1-AVERAGE($FC8:$FD8))))</x:f>
        <x:v>0.101010101010101</x:v>
      </x:c>
      <x:c r="FH8" s="134" t="n">
        <x:f>IF($A8="","",IF(COUNT($EZ8:$FA8)&lt;2,"",'Setari model'!$B$94*AVERAGE($EZ8:$FA8)/'Setari model'!$B$89))</x:f>
        <x:v>1.2321428571428572</x:v>
      </x:c>
      <x:c r="FI8" s="134" t="n">
        <x:f>IF($A8="","",IF(COUNT($FE8:$FH8)&lt;4,"",MAX('Setari model'!$B$97,MIN('Setari model'!$B$98,1+'Setari model'!$B$90*($FE8-1)+'Setari model'!$B$91*($FF8-1)+'Setari model'!$B$92*$FG8+'Setari model'!$B$93*($FH8-1)))))</x:f>
        <x:v>1.3200046491108872</x:v>
      </x:c>
      <x:c r="FJ8" s="133" t="n">
        <x:f>IF($A8="","",IF($FI8="","",MIN('Setari model'!$B$101,MAX(0.002,$DZ8*$FI8))))</x:f>
        <x:v>0.2886480564818013</x:v>
      </x:c>
      <x:c r="FK8" s="131" t="str">
        <x:f t="shared" si="28">IF($A8="","",IF(AND(COUNT($EV8:$FA8)=6,COUNT($O8,$V8,$FC8,$FD8)=4),"DA","NU"))</x:f>
        <x:v>DA</x:v>
      </x:c>
      <x:c r="FL8" s="131" t="str">
        <x:f>IF($A8="","",IF($FK8&lt;&gt;"DA","NEDETERMINAT",IF($FI8&lt;='Setari model'!$B$99,"SCĂZUT",IF($FI8&lt;='Setari model'!$B$100,"MEDIU","RIDICAT"))))</x:f>
        <x:v>RIDICAT</x:v>
      </x:c>
      <x:c r="FM8" s="131" t="str">
        <x:f>IF($A8="","",IF(AND($AR8&gt;1,$EC8&gt;='Setari model'!$B$106),"DA","NU"))</x:f>
        <x:v>NU</x:v>
      </x:c>
      <x:c r="FN8" s="131" t="str">
        <x:f t="shared" si="29">IF($A8="","",IF(AND($AU8=1,COUNT($CY8:$DB8)=4),"DA","NU"))</x:f>
        <x:v>NU</x:v>
      </x:c>
      <x:c r="FO8" s="133" t="n">
        <x:f>IF($A8="","",IF(OR($FK8&lt;&gt;"DA",$FL8="RIDICAT"),'Setari model'!$B$102,IF($FL8="MEDIU",'Setari model'!$B$103,IF(AND($FM8="DA",$FN8="DA"),'Setari model'!$B$105,'Setari model'!$B$104))))</x:f>
        <x:v>0.9</x:v>
      </x:c>
      <x:c r="FP8" s="133" t="n">
        <x:f t="shared" si="30">IF($A8="","",IF($FJ8="","",MIN(1-$FJ8,$FO8)))</x:f>
        <x:v>0.7113519435181987</x:v>
      </x:c>
      <x:c r="FQ8" s="135" t="n">
        <x:f t="shared" si="31">IF($A8="","",IF($FP8="","",IF($FP8&gt;0,1/$FP8,"")))</x:f>
        <x:v>1.4057739057465817</x:v>
      </x:c>
      <x:c r="FR8" s="133" t="n">
        <x:f t="shared" si="32">IF($A8="","",IF($EC8="","",$FP8-$EC8))</x:f>
        <x:v>-0.10114805648180136</x:v>
      </x:c>
      <x:c r="FS8" s="133" t="n">
        <x:f t="shared" si="33">IF($A8="","",IF($AR8&gt;1,$FP8*$AR8-1,""))</x:f>
        <x:v>-0.14637766777816152</x:v>
      </x:c>
      <x:c r="FT8" s="136" t="n">
        <x:f>IF($A8="","",MAX(0,MIN(100,$EF8-IF($FK8&lt;&gt;"DA",'Setari model'!$B$107,0)-IF($FL8="MEDIU",'Setari model'!$B$108,0)-IF($FL8="RIDICAT",'Setari model'!$B$109,0))))</x:f>
        <x:v>0</x:v>
      </x:c>
      <x:c r="FU8" s="131" t="str">
        <x:f t="shared" si="34">IF($A8="","",IF($AR8&lt;=1,"NU – LIPSEȘTE COTA REALĂ",IF($FK8&lt;&gt;"DA","NU – ZERO-RISK INCOMPLET",IF($FL8&lt;&gt;"SCĂZUT","NU – RISC 0-0 "&amp;$FL8,IF($FN8&lt;&gt;"DA","NU – LINEUP NECONFIRMAT",IF($FM8&lt;&gt;"DA","NU – PIAȚĂ NECONFIRMATĂ",IF($EP8&lt;&gt;"DA","NU – PORTOFOLIU","DA")))))))</x:f>
        <x:v>NU – RISC 0-0 RIDICAT</x:v>
      </x:c>
      <x:c r="FV8" s="131" t="str">
        <x:f>IF($A8="","",IF($FU8&lt;&gt;"DA","WATCH / NO BET",IF(AND($FP8&gt;='Setari model'!$B$35,$FT8&gt;=100*'Setari model'!$B$76,$FS8&gt;0),"PARIU RECOMANDAT",IF(AND($FP8&gt;='Setari model'!$B$39,$FT8&gt;=100*'Setari model'!$B$40,$FS8&gt;0),"WATCH – APROAPE DE PRAG","PARIU EVITAT"))))</x:f>
        <x:v>WATCH / NO BET</x:v>
      </x:c>
      <x:c r="FW8" s="131" t="str">
        <x:f t="shared" si="35">IF($A8="","",IF($FU8&lt;&gt;"DA",$FU8,IF($FT8&lt;75,"Confidence v3 sub 75.",IF($FP8&lt;0.92,"P v3 sub 92%.",IF($FS8&lt;=0,"EV v3 nepozitiv.","P0 v3, lineup și piață confirmate.")))))</x:f>
        <x:v>NU – RISC 0-0 RIDICAT</x:v>
      </x:c>
      <x:c r="FX8" s="131" t="str">
        <x:f t="shared" si="36">IF($A8="","","P v3="&amp;TEXT($FP8,"0.0%")&amp;"; P0 v3="&amp;TEXT($FJ8,"0.0%")&amp;"; factor zero="&amp;IF($FI8="","n/a",TEXT($FI8,"0.00x"))&amp;" ("&amp;$FL8&amp;"); cap="&amp;TEXT($FO8,"0.0%")&amp;"; Confidence="&amp;TEXT($FT8,"0")&amp;"/100; lineup="&amp;$FN8&amp;"; piață="&amp;$FM8&amp;"; EV="&amp;IF($FS8="","n/a",TEXT($FS8,"0.0%"))&amp;"; gate="&amp;$FU8&amp;"; verdict="&amp;$FV8&amp;". "&amp;$FW8)</x:f>
        <x:v>P v3=71.1%; P0 v3=28.9%; factor zero=1.32x (RIDICAT); cap=90.0%; Confidence=0/100; lineup=NU; piață=NU; EV=-14.6%; gate=NU – RISC 0-0 RIDICAT; verdict=WATCH / NO BET. NU – RISC 0-0 RIDICAT</x:v>
      </x:c>
      <x:c r="FY8" s="159">
        <x:v>0.4</x:v>
      </x:c>
      <x:c r="FZ8" s="159">
        <x:v>0.4</x:v>
      </x:c>
      <x:c r="GA8" s="157">
        <x:v>2</x:v>
      </x:c>
      <x:c r="GB8" s="157">
        <x:v>2</x:v>
      </x:c>
      <x:c r="GC8" s="161" t="n">
        <x:f t="shared" si="37">IF($A8="","",IF(OR($X8="",$Z8="",$Z8&lt;=0),"",MAX(0.5,MIN(1.5,$X8/$Z8))))</x:f>
        <x:v>0.8749999999999999</x:v>
      </x:c>
      <x:c r="GD8" s="161" t="n">
        <x:f t="shared" si="38">IF($A8="","",IF(OR($AC8="",$AE8="",$AE8&lt;=0),"",MAX(0.5,MIN(1.5,$AC8/$AE8))))</x:f>
        <x:v>0.9411764705882354</x:v>
      </x:c>
      <x:c r="GE8" s="162" t="n">
        <x:f t="shared" si="39">IF($A8="","",IF(COUNT($Z8,$AE8)&lt;2,"",AVERAGE($Z8,$AE8)))</x:f>
        <x:v>0.825</x:v>
      </x:c>
      <x:c r="GF8" s="158" t="str">
        <x:f>IF($A8="","",IF(COUNT($FY8:$FZ8)&lt;2,"NEDETERMINAT",IF(AND($FY8&gt;='Setari model'!$B$113,$FZ8&gt;='Setari model'!$B$113),"DA","NU")))</x:f>
        <x:v>DA</x:v>
      </x:c>
      <x:c r="GG8" s="158" t="str">
        <x:f>IF($A8="","",IF(COUNT($FY8:$FZ8,$EX8:$EY8)&lt;4,"NEDETERMINAT",IF(OR(AND($FY8&gt;='Setari model'!$B$113,$EY8&gt;='Setari model'!$B$114),AND($FZ8&gt;='Setari model'!$B$113,$EX8&gt;='Setari model'!$B$114)),"DA","NU")))</x:f>
        <x:v>NU</x:v>
      </x:c>
      <x:c r="GH8" s="158" t="str">
        <x:f>IF($A8="","",IF(COUNT($BJ8:$BN8,$GC8:$GE8)&lt;8,"NEDETERMINAT",IF(AND((($BJ8*INDEX('Setari model'!$B$5:$B$11,MATCH($E8,'Setari model'!$A$5:$A$11,0))+$BK8*INDEX('Setari model'!$C$5:$C$11,MATCH($E8,'Setari model'!$A$5:$A$11,0))+$BL8*INDEX('Setari model'!$D$5:$D$11,MATCH($E8,'Setari model'!$A$5:$A$11,0))+$BM8*INDEX('Setari model'!$E$5:$E$11,MATCH($E8,'Setari model'!$A$5:$A$11,0))+$BN8*INDEX('Setari model'!$F$5:$F$11,MATCH($E8,'Setari model'!$A$5:$A$11,0)))/(INDEX('Setari model'!$B$5:$B$11,MATCH($E8,'Setari model'!$A$5:$A$11,0))+INDEX('Setari model'!$C$5:$C$11,MATCH($E8,'Setari model'!$A$5:$A$11,0))+INDEX('Setari model'!$D$5:$D$11,MATCH($E8,'Setari model'!$A$5:$A$11,0))+INDEX('Setari model'!$E$5:$E$11,MATCH($E8,'Setari model'!$A$5:$A$11,0))+INDEX('Setari model'!$F$5:$F$11,MATCH($E8,'Setari model'!$A$5:$A$11,0))))*$BR8&gt;='Setari model'!$B$115,(($BJ8*INDEX('Setari model'!$B$5:$B$11,MATCH($E8,'Setari model'!$A$5:$A$11,0))+$BK8*INDEX('Setari model'!$C$5:$C$11,MATCH($E8,'Setari model'!$A$5:$A$11,0))+$BL8*INDEX('Setari model'!$D$5:$D$11,MATCH($E8,'Setari model'!$A$5:$A$11,0))+$BM8*INDEX('Setari model'!$E$5:$E$11,MATCH($E8,'Setari model'!$A$5:$A$11,0))+$BN8*INDEX('Setari model'!$F$5:$F$11,MATCH($E8,'Setari model'!$A$5:$A$11,0)))/(INDEX('Setari model'!$B$5:$B$11,MATCH($E8,'Setari model'!$A$5:$A$11,0))+INDEX('Setari model'!$C$5:$C$11,MATCH($E8,'Setari model'!$A$5:$A$11,0))+INDEX('Setari model'!$D$5:$D$11,MATCH($E8,'Setari model'!$A$5:$A$11,0))+INDEX('Setari model'!$E$5:$E$11,MATCH($E8,'Setari model'!$A$5:$A$11,0))+INDEX('Setari model'!$F$5:$F$11,MATCH($E8,'Setari model'!$A$5:$A$11,0))))*$BR8&lt;='Setari model'!$B$116,AVERAGE($GC8:$GD8)&lt;='Setari model'!$B$117,$GE8&gt;='Setari model'!$B$118),"DA","NU")))</x:f>
        <x:v>NU</x:v>
      </x:c>
      <x:c r="GI8" s="158" t="str">
        <x:f>IF($A8="","",IF(COUNT($W8,$AB8,$GA8:$GB8)&lt;4,"NEDETERMINAT",IF(AND($W8&gt;='Setari model'!$B$120,$AB8&gt;='Setari model'!$B$120,OR(IFERROR($GA8/$W8,0)&gt;='Setari model'!$B$119,IFERROR($GB8/$AB8,0)&gt;='Setari model'!$B$119)),"DA","NU")))</x:f>
        <x:v>NU</x:v>
      </x:c>
      <x:c r="GJ8" s="160" t="n">
        <x:f>IF($A8="","",IF(COUNT($FY8:$GB8)&lt;4,"",IF($GH8&lt;&gt;"DA",0,'Setari model'!$B$121*IF($GF8="DA",1,0)+'Setari model'!$B$122*IF($GG8="DA",1,0)+'Setari model'!$B$123+'Setari model'!$B$124*IF($GI8="DA",1,0))))</x:f>
        <x:v>0</x:v>
      </x:c>
      <x:c r="GK8" s="161" t="n">
        <x:f>IF($A8="","",IF(COUNT($GJ8)=0,"",1+'Setari model'!$B$125*$GJ8))</x:f>
        <x:v>1</x:v>
      </x:c>
      <x:c r="GL8" s="160" t="n">
        <x:f>IF($A8="","",IF($GM8&lt;&gt;"DA",$FJ8,MIN('Setari model'!$B$101,MAX(0.002,$FJ8*$GK8))))</x:f>
        <x:v>0.2886480564818013</x:v>
      </x:c>
      <x:c r="GM8" s="158" t="str">
        <x:f>IF($A8="","",IF(AND($FK8="DA",COUNT($FY8:$GB8)=4,COUNT($I8,$P8,$W8,$AB8,$Z8,$AE8,$EX8,$EY8,$GC8,$GD8)=10,COUNT($BJ8:$BN8)=5),"DA","NU"))</x:f>
        <x:v>DA</x:v>
      </x:c>
      <x:c r="GN8" s="158" t="str">
        <x:f>IF($A8="","",IF($GM8&lt;&gt;"DA","NEDETERMINAT",IF($FI8*$GK8&lt;='Setari model'!$B$99,"SCĂZUT",IF($FI8*$GK8&lt;='Setari model'!$B$100,"MEDIU","RIDICAT"))))</x:f>
        <x:v>RIDICAT</x:v>
      </x:c>
      <x:c r="GO8" s="160" t="n">
        <x:f>IF($A8="","",IF(OR($GM8&lt;&gt;"DA",$GN8="RIDICAT"),'Setari model'!$B$102,IF($GN8="MEDIU",'Setari model'!$B$103,IF(AND($FM8="DA",$FN8="DA"),'Setari model'!$B$105,'Setari model'!$B$104))))</x:f>
        <x:v>0.9</x:v>
      </x:c>
      <x:c r="GP8" s="160" t="n">
        <x:f t="shared" si="40">IF($A8="","",IF($GL8="","",MIN(1-$GL8,$GO8)))</x:f>
        <x:v>0.7113519435181987</x:v>
      </x:c>
      <x:c r="GQ8" s="162" t="n">
        <x:f t="shared" si="41">IF($A8="","",IF($GP8="","",IF($GP8&gt;0,1/$GP8,"")))</x:f>
        <x:v>1.4057739057465817</x:v>
      </x:c>
      <x:c r="GR8" s="160" t="n">
        <x:f t="shared" si="42">IF($A8="","",IF($EC8="","",$GP8-$EC8))</x:f>
        <x:v>-0.10114805648180136</x:v>
      </x:c>
      <x:c r="GS8" s="160" t="n">
        <x:f t="shared" si="43">IF($A8="","",IF($AR8&gt;1,$GP8*$AR8-1,""))</x:f>
        <x:v>-0.14637766777816152</x:v>
      </x:c>
      <x:c r="GT8" s="163" t="n">
        <x:f>IF($A8="","",MAX(0,MIN(100,$FT8-IF(AND($GM8&lt;&gt;"DA",$FK8="DA"),'Setari model'!$B$107,0)-'Setari model'!$B$126*IF($GJ8="",0,$GJ8))))</x:f>
        <x:v>0</x:v>
      </x:c>
      <x:c r="GU8" s="158" t="str">
        <x:f t="shared" si="44">IF($A8="","",IF($AR8&lt;=1,"NU – LIPSEȘTE COTA REALĂ",IF($GM8&lt;&gt;"DA","NU – DATE LOW-CONVERSION INCOMPLETE",IF($GN8&lt;&gt;"SCĂZUT","NU – RISC 0-0 "&amp;$GN8,IF($FN8&lt;&gt;"DA","NU – LINEUP NECONFIRMAT",IF($FM8&lt;&gt;"DA","NU – PIAȚĂ NECONFIRMATĂ",IF($EP8&lt;&gt;"DA","NU – PORTOFOLIU","DA")))))))</x:f>
        <x:v>NU – RISC 0-0 RIDICAT</x:v>
      </x:c>
      <x:c r="GV8" s="158" t="str">
        <x:f>IF($A8="","",IF($GU8&lt;&gt;"DA","WATCH / NO BET",IF(AND($GP8&gt;='Setari model'!$B$35,$GT8&gt;=100*'Setari model'!$B$76,$GS8&gt;0),"PARIU RECOMANDAT",IF(AND($GP8&gt;='Setari model'!$B$39,$GT8&gt;=100*'Setari model'!$B$40,$GS8&gt;0),"WATCH – APROAPE DE PRAG","PARIU EVITAT"))))</x:f>
        <x:v>WATCH / NO BET</x:v>
      </x:c>
      <x:c r="GW8" s="158" t="str">
        <x:f t="shared" si="45">IF($A8="","",IF($GU8&lt;&gt;"DA",$GU8,IF($GT8&lt;75,"Confidence v5 sub 75.",IF($GP8&lt;0.92,"P v5 sub 92%.",IF($GS8&lt;=0,"EV v5 nepozitiv.",IF($GJ8&gt;0,"Low-conversion absorbit în P0; toate porțile rămân trecute.","Toate porțile v5 sunt trecute."))))))</x:f>
        <x:v>NU – RISC 0-0 RIDICAT</x:v>
      </x:c>
      <x:c r="GX8" s="158" t="str">
        <x:f t="shared" si="46">IF($A8="","","P v5="&amp;TEXT($GP8,"0.0%")&amp;"; P0 v5="&amp;TEXT($GL8,"0.0%")&amp;"; low-conv="&amp;IF(COUNT($GJ8)=0,"n/a",TEXT($GJ8,"0%"))&amp;"; mult.P0="&amp;IF(COUNT($GK8)=0,"n/a",TEXT($GK8,"0.00"))&amp;"; clasă="&amp;$GN8&amp;"; cap="&amp;TEXT($GO8,"0.0%")&amp;"; Confidence="&amp;TEXT($GT8,"0")&amp;"/100; lineup="&amp;$FN8&amp;"; piață="&amp;$FM8&amp;"; EV="&amp;IF($GS8="","n/a",TEXT($GS8,"0.0%"))&amp;"; gate="&amp;$GU8&amp;"; verdict="&amp;$GV8&amp;". "&amp;$GW8)</x:f>
        <x:v>P v5=71.1%; P0 v5=28.9%; low-conv=0%; mult.P0=1.00; clasă=RIDICAT; cap=90.0%; Confidence=0/100; lineup=NU; piață=NU; EV=-14.6%; gate=NU – RISC 0-0 RIDICAT; verdict=WATCH / NO BET. NU – RISC 0-0 RIDICAT</x:v>
      </x:c>
      <x:c r="GY8" s="174" t="str">
        <x:f>IF($A8="","",IF($GM8&lt;&gt;"DA","SOURCING INCOMPLETE – REVIEW REQUIRED",IF(MIN($I8,$P8,$W8,$AB8)&lt;'Setari model'!$B$58,"SMALL SAMPLE + PRIOR / SHRINKAGE","VERIFIED / PRIOR / SHRINKAGE")))</x:f>
        <x:v>SMALL SAMPLE + PRIOR / SHRINKAGE</x:v>
      </x:c>
      <x:c r="GZ8" s="175" t="n">
        <x:f t="shared" si="47">IF($A8="","",MAX(0,MIN(100,100*(1-AVERAGE(IF($GM8="DA",1,0),MIN(1,$AT8/5))))))</x:f>
        <x:v>30.000000000000004</x:v>
      </x:c>
      <x:c r="HA8" s="175" t="n">
        <x:f>IF($A8="","",IF($GM8&lt;&gt;"DA","",MAX(0,MIN(100,100*(($FI8*$GK8)-'Setari model'!$B$97)/('Setari model'!$B$98-'Setari model'!$B$97)))))</x:f>
        <x:v>67.05937048363378</x:v>
      </x:c>
      <x:c r="HB8" s="175" t="n">
        <x:f>IF($A8="","",MAX(0,MIN(100,100*(ABS($BR8-1)/MAX(1-'Setari model'!$B$53,'Setari model'!$B$54-1)+MIN(1,$BG8/2))/2)))</x:f>
        <x:v>52.49999999999999</x:v>
      </x:c>
      <x:c r="HC8" s="175" t="n">
        <x:f t="shared" si="48">IF($A8="","",MAX(0,MIN(100,100*(1-AVERAGE($CC8,MAX(0,1-(MAX($BJ8:$BN8)-MIN($BJ8:$BN8))/(AVERAGE($BJ8:$BN8)*'Setari model'!$B$45)))))))</x:f>
        <x:v>34.685397334897935</x:v>
      </x:c>
      <x:c r="HD8" s="175" t="n">
        <x:f t="shared" si="49">IF($A8="","",MAX(0,MIN(100,100*MAX(IF($GJ8="",0,$GJ8),MIN(1,$BG8/2)))))</x:f>
        <x:v>100</x:v>
      </x:c>
      <x:c r="HE8" s="175" t="n">
        <x:f>IF($A8="","",IF(COUNT($GZ8:$HD8)&lt;5,"",$GZ8*Risk_Classification!$E$28+$HA8*Risk_Classification!$E$29+$HB8*Risk_Classification!$E$30+$HC8*Risk_Classification!$E$31+$HD8*Risk_Classification!$E$32))</x:f>
        <x:v>51.7192363277411</x:v>
      </x:c>
      <x:c r="HF8" s="176" t="n">
        <x:f t="shared" si="50">IF($A8="","",IF($HE8="","",IF($HE8&lt;=20,1,IF($HE8&lt;=40,2,IF($HE8&lt;=60,3,IF($HE8&lt;=80,4,5))))))</x:f>
        <x:v>3</x:v>
      </x:c>
      <x:c r="HG8" s="176" t="str">
        <x:f t="shared" si="51">IF($A8="","",IF($GM8="DA","PASS","FAIL – DATE CRITICE ZERO-MASS INCOMPLETE"))</x:f>
        <x:v>PASS</x:v>
      </x:c>
      <x:c r="HH8" s="176" t="n">
        <x:f t="shared" si="52">IF($A8="","",IF($HG8&lt;&gt;"PASS",5,$HF8))</x:f>
        <x:v>3</x:v>
      </x:c>
      <x:c r="HI8" s="174" t="str">
        <x:f t="shared" si="53">IF($A8="","",IF($HH8="","N/A",IF($HH8=1,"DEFENSIV",IF($HH8=2,"PRUDENT",IF($HH8=3,"MODERAT",IF($HH8=4,"RIDICAT","WATCH / NO BET"))))))</x:f>
        <x:v>MODERAT</x:v>
      </x:c>
      <x:c r="HJ8" s="177" t="str">
        <x:f t="shared" si="54">IF($A8="","","Data="&amp;$GY8&amp;"; DQ="&amp;TEXT($GZ8,"0.0")&amp;"; ZM="&amp;IF($HA8="","n/a",TEXT($HA8,"0.0"))&amp;"; Context="&amp;TEXT($HB8,"0.0")&amp;"; Uncertainty="&amp;TEXT($HC8,"0.0")&amp;"; Compound="&amp;TEXT($HD8,"0.0")&amp;"; Risk Score="&amp;IF($HE8="","n/a",TEXT($HE8,"0.0"))&amp;"; Base="&amp;IF($HF8="","n/a",$HF8)&amp;"; G0="&amp;$HG8&amp;"; Final="&amp;$HH8&amp;". Cota, EV si lineup sunt informative si nu intra in recomandare.")</x:f>
        <x:v>Data=SMALL SAMPLE + PRIOR / SHRINKAGE; DQ=30.0; ZM=67.1; Context=52.5; Uncertainty=34.7; Compound=100.0; Risk Score=51.7; Base=3; G0=PASS; Final=3. Cota, EV si lineup sunt informative si nu intra in recomandare.</x:v>
      </x:c>
      <x:c r="HK8" s="174" t="str">
        <x:f t="shared" si="55">IF($A8="","",$HI8)</x:f>
        <x:v>MODERAT</x:v>
      </x:c>
    </x:row>
    <x:row r="9" ht="24" customHeight="1">
      <x:c r="A9" s="58"/>
      <x:c r="B9" s="24"/>
      <x:c r="C9" s="59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18"/>
      <x:c r="O9" s="18"/>
      <x:c r="P9" s="24"/>
      <x:c r="Q9" s="24"/>
      <x:c r="R9" s="24"/>
      <x:c r="S9" s="24"/>
      <x:c r="T9" s="24"/>
      <x:c r="U9" s="18"/>
      <x:c r="V9" s="18"/>
      <x:c r="W9" s="24"/>
      <x:c r="X9" s="24"/>
      <x:c r="Y9" s="24"/>
      <x:c r="Z9" s="24"/>
      <x:c r="AA9" s="24"/>
      <x:c r="AB9" s="24"/>
      <x:c r="AC9" s="24"/>
      <x:c r="AD9" s="24"/>
      <x:c r="AE9" s="24"/>
      <x:c r="AF9" s="24"/>
      <x:c r="AG9" s="24"/>
      <x:c r="AH9" s="24"/>
      <x:c r="AI9" s="18"/>
      <x:c r="AJ9" s="24"/>
      <x:c r="AK9" s="24"/>
      <x:c r="AL9" s="24"/>
      <x:c r="AM9" s="18"/>
      <x:c r="AN9" s="24"/>
      <x:c r="AO9" s="60"/>
      <x:c r="AP9" s="60"/>
      <x:c r="AQ9" s="60"/>
      <x:c r="AR9" s="60"/>
      <x:c r="AS9" s="60"/>
      <x:c r="AT9" s="24"/>
      <x:c r="AU9" s="24"/>
      <x:c r="AV9" s="24"/>
      <x:c r="AW9" s="24"/>
      <x:c r="AX9" s="24"/>
      <x:c r="AY9" s="24"/>
      <x:c r="AZ9" s="24"/>
      <x:c r="BA9" s="24"/>
      <x:c r="BB9" s="24"/>
      <x:c r="BC9" s="24"/>
      <x:c r="BD9" s="24"/>
      <x:c r="BE9" s="24"/>
      <x:c r="BF9" s="24"/>
      <x:c r="BG9" s="24"/>
      <x:c r="BH9" s="61"/>
      <x:c r="BI9" s="61"/>
      <x:c r="BJ9" s="62" t="str">
        <x:f>IF($A9="","",SQRT((($I9*IF($J9="",$AJ9,$J9)+'Setari model'!$B$30*$AJ9)/($I9+'Setari model'!$B$30))*(($P9*IF($R9="",$AJ9,$R9)+'Setari model'!$B$30*$AJ9)/($P9+'Setari model'!$B$30)))+SQRT((($P9*IF($Q9="",$AK9,$Q9)+'Setari model'!$B$30*$AK9)/($P9+'Setari model'!$B$30))*(($I9*IF($K9="",$AK9,$K9)+'Setari model'!$B$30*$AK9)/($I9+'Setari model'!$B$30))))</x:f>
      </x:c>
      <x:c r="BK9" s="62" t="str">
        <x:f>IF($A9="","",SQRT((($I9*IF($L9="",IF($J9="",$AJ9,$J9),$L9)+'Setari model'!$B$30*$AJ9)/($I9+'Setari model'!$B$30))*(($P9*IF($T9="",IF($R9="",$AJ9,$R9),$T9)+'Setari model'!$B$30*$AJ9)/($P9+'Setari model'!$B$30)))+SQRT((($P9*IF($S9="",IF($Q9="",$AK9,$Q9),$S9)+'Setari model'!$B$30*$AK9)/($P9+'Setari model'!$B$30))*(($I9*IF($M9="",IF($K9="",$AK9,$K9),$M9)+'Setari model'!$B$30*$AK9)/($I9+'Setari model'!$B$30))))</x:f>
      </x:c>
      <x:c r="BL9" s="62" t="str">
        <x:f>IF($A9="","",SQRT((($W9*IF($X9="",$AL9/2,$X9)+'Setari model'!$B$31*$AL9/2)/($W9+'Setari model'!$B$31))*(($AB9*IF($AD9="",$AL9/2,$AD9)+'Setari model'!$B$31*$AL9/2)/($AB9+'Setari model'!$B$31)))+SQRT((($AB9*IF($AC9="",$AL9/2,$AC9)+'Setari model'!$B$31*$AL9/2)/($AB9+'Setari model'!$B$31))*(($W9*IF($Y9="",$AL9/2,$Y9)+'Setari model'!$B$31*$AL9/2)/($W9+'Setari model'!$B$31))))</x:f>
      </x:c>
      <x:c r="BM9" s="62" t="str">
        <x:f>IF($A9="","",SQRT((($W9*IF($Z9="",IF($X9="",$AL9/2,$X9),$Z9)+'Setari model'!$B$31*$AL9/2)/($W9+'Setari model'!$B$31))*(($AB9*IF($AF9="",IF($AD9="",$AL9/2,$AD9),$AF9)+'Setari model'!$B$31*$AL9/2)/($AB9+'Setari model'!$B$31)))+SQRT((($AB9*IF($AE9="",IF($AC9="",$AL9/2,$AC9),$AE9)+'Setari model'!$B$31*$AL9/2)/($AB9+'Setari model'!$B$31))*(($W9*IF($AA9="",IF($Y9="",$AL9/2,$Y9),$AA9)+'Setari model'!$B$31*$AL9/2)/($W9+'Setari model'!$B$31))))</x:f>
      </x:c>
      <x:c r="BN9" s="62" t="str">
        <x:f t="shared" si="0">IF($A9="","",IF($AG9&gt;0,($AG9*IF($AH9="",$AL9,$AH9)+5*$AL9)/($AG9+5),$AL9))</x:f>
      </x:c>
      <x:c r="BO9" s="63" t="str">
        <x:f>IF($A9="","",IF($AR9&gt;1,IF($AS9&gt;1,(1/$AR9)/((1/$AR9+1/$AS9)),MIN(0.995,(1/$AR9)/(1+'Setari model'!$B$32))),1-EXP(-$AL9)))</x:f>
      </x:c>
      <x:c r="BP9" s="62" t="str">
        <x:f t="shared" si="1">IF($A9="","",-LN(1-$BO9))</x:f>
      </x:c>
      <x:c r="BQ9" s="62" t="str">
        <x:f>IF($A9="","",$BJ9*INDEX('Setari model'!$B$5:$B$11,MATCH($E9,'Setari model'!$A$5:$A$11,0))+$BK9*INDEX('Setari model'!$C$5:$C$11,MATCH($E9,'Setari model'!$A$5:$A$11,0))+$BL9*INDEX('Setari model'!$D$5:$D$11,MATCH($E9,'Setari model'!$A$5:$A$11,0))+$BM9*INDEX('Setari model'!$E$5:$E$11,MATCH($E9,'Setari model'!$A$5:$A$11,0))+$BN9*INDEX('Setari model'!$F$5:$F$11,MATCH($E9,'Setari model'!$A$5:$A$11,0))+$BP9*INDEX('Setari model'!$G$5:$G$11,MATCH($E9,'Setari model'!$A$5:$A$11,0)))</x:f>
      </x:c>
      <x:c r="BR9" s="64" t="str">
        <x:f>IF($A9="","",MAX('Setari model'!$B$53,MIN('Setari model'!$B$54,1+($AV9*'Setari model'!$B$15+$AW9*'Setari model'!$B$16+$AX9*'Setari model'!$B$17+$AY9*'Setari model'!$B$18+$AZ9*'Setari model'!$B$19+$BA9*'Setari model'!$B$20+$BB9*'Setari model'!$B$21+$BC9*'Setari model'!$B$22+$BD9*'Setari model'!$B$23+$BE9*'Setari model'!$B$24+$BF9*'Setari model'!$B$25)*INDEX('Setari model'!$H$5:$H$11,MATCH($E9,'Setari model'!$A$5:$A$11,0)))))</x:f>
      </x:c>
      <x:c r="BS9" s="62" t="str">
        <x:f t="shared" si="2">IF($A9="","",$BQ9*$BR9)</x:f>
      </x:c>
      <x:c r="BT9" s="63" t="str">
        <x:f t="shared" si="3">IF($A9="","",EXP(-$BS9))</x:f>
      </x:c>
      <x:c r="BU9" s="65" t="str">
        <x:f>IF($A9="","",IF(OR($AM9="",$AN9=""),1,1+MIN('Setari model'!$B$33,$AN9/100*'Setari model'!$B$33)*($AM9/EXP(-$AL9)-1)))</x:f>
      </x:c>
      <x:c r="BV9" s="63" t="str">
        <x:f>IF($A9="","",MIN(0.45,MAX(0.005,(1-'Setari model'!$B$34*MIN(1,($I9+$P9)/20))*MIN(0.45,$BT9*$BU9)+'Setari model'!$B$34*MIN(1,($I9+$P9)/20)*IF(COUNT($N9,$U9)=2,SQRT(MAX(0,1-$N9)*MAX(0,1-$U9)),IF($AM9="",EXP(-$AL9),$AM9)))))</x:f>
      </x:c>
      <x:c r="BW9" s="63" t="str">
        <x:f t="shared" si="4">IF($A9="","",1-$BV9)</x:f>
      </x:c>
      <x:c r="BX9" s="62" t="str">
        <x:f t="shared" si="5">IF($A9="","",1/$BW9)</x:f>
      </x:c>
      <x:c r="BY9" s="63" t="str">
        <x:f t="shared" si="6">IF($A9="","",$BO9)</x:f>
      </x:c>
      <x:c r="BZ9" s="63" t="str">
        <x:f t="shared" si="7">IF($A9="","",$BW9-$BY9)</x:f>
      </x:c>
      <x:c r="CA9" s="63" t="str">
        <x:f t="shared" si="8">IF($A9="","",IF($AR9&gt;1,$BW9*$AR9-1,""))</x:f>
      </x:c>
      <x:c r="CB9" s="63" t="str">
        <x:f>IF($A9="","",MIN(1,COUNT($I9:$AN9,$AR9:$BG9)/'Setari model'!$B$46))</x:f>
      </x:c>
      <x:c r="CC9" s="63" t="str">
        <x:f t="shared" si="9">IF($A9="","",0.25*MIN(1,$I9/10)+0.25*MIN(1,$P9/10)+0.15*MIN(1,$W9/5)+0.15*MIN(1,$AB9/5)+0.1*MIN(1,$AG9/5)+0.1*MIN(1,$AN9/100))</x:f>
      </x:c>
      <x:c r="CD9" s="63" t="str">
        <x:f>IF($A9="","",MAX(0,1-(MAX($BJ9:$BN9,$BP9)-MIN($BJ9:$BN9,$BP9))/(AVERAGE($BJ9:$BN9,$BP9)*'Setari model'!$B$45)))</x:f>
      </x:c>
      <x:c r="CE9" s="66" t="str">
        <x:f>IF($A9="","",MAX(0,MIN(100,100*INDEX('Setari model'!$I$5:$I$11,MATCH($E9,'Setari model'!$A$5:$A$11,0))*('Setari model'!$B$47*$CB9+'Setari model'!$B$48*$CC9+'Setari model'!$B$49*$CD9+'Setari model'!$B$50*$AT9/5+'Setari model'!$B$51*$AU9)-100*'Setari model'!$B$52*$BG9)))</x:f>
      </x:c>
      <x:c r="CF9" s="65" t="str">
        <x:f t="shared" si="10">IF($A9="","",IF(OR($AT9&lt;3,$BG9&gt;=2,$CB9&lt;0.55,$CC9&lt;0.4),"RIDICAT",IF(OR($AU9=0,$CD9&lt;0.45,$BR9&lt;0.9),"MEDIU","SCĂZUT")))</x:f>
      </x:c>
      <x:c r="CG9" s="65" t="str">
        <x:f>IF($A9="","",IF($AR9&gt;1,IF(AND($BW9&gt;= 'Setari model'!$B$35,$CE9&gt;=100*'Setari model'!$B$36,$BZ9&gt;= 'Setari model'!$B$37,$CA9&gt;= 'Setari model'!$B$38,$CF9&lt;&gt;"RIDICAT"),"PARIU RECOMANDAT",IF(AND($BW9&gt;= 'Setari model'!$B$39,$CE9&gt;=100*'Setari model'!$B$40,$BZ9&gt;= 'Setari model'!$B$41,$CA9&gt;=0,$CF9&lt;&gt;"RIDICAT"),"RECOMANDAT CU PRUDENȚĂ",IF(AND($BW9&gt;= 'Setari model'!$B$42,$CE9&gt;=100*'Setari model'!$B$43),"ANALIZĂ NECONCLUDENTĂ","PARIU EVITAT"))),IF(AND($BW9&gt;= 'Setari model'!$B$35,$CE9&gt;=100*'Setari model'!$B$36,$CF9&lt;&gt;"RIDICAT"),"FAVORABIL STATISTIC – VERIFICĂ COTA",IF(AND($BW9&gt;= 'Setari model'!$B$42,$CE9&gt;=100*'Setari model'!$B$43),"ANALIZĂ NECONCLUDENTĂ","PARIU EVITAT"))))</x:f>
      </x:c>
      <x:c r="CH9" s="67" t="str">
        <x:f t="shared" si="11">IF($A9="","","P(O0,5)="&amp;TEXT($BW9,"0.0%")&amp;"; λ ajustat="&amp;TEXT($BS9,"0.00")&amp;"; Confidence="&amp;TEXT($CE9,"0")&amp;"/100; Edge="&amp;TEXT($BZ9,"0.0%")&amp;"; risc="&amp;$CF9&amp;". "&amp;$BH9)</x:f>
      </x:c>
      <x:c r="CI9" s="68" t="str">
        <x:f t="shared" si="12">IF($A9="","",$BI9)</x:f>
      </x:c>
      <x:c r="CJ9" s="112"/>
      <x:c r="CK9" s="112"/>
      <x:c r="CL9" s="112"/>
      <x:c r="CM9" s="112"/>
      <x:c r="CN9" s="112"/>
      <x:c r="CO9" s="112"/>
      <x:c r="CP9" s="112"/>
      <x:c r="CQ9" s="112"/>
      <x:c r="CR9" s="112"/>
      <x:c r="CS9" s="112"/>
      <x:c r="CT9" s="112"/>
      <x:c r="CU9" s="112"/>
      <x:c r="CV9" s="112"/>
      <x:c r="CW9" s="112"/>
      <x:c r="CX9" s="112"/>
      <x:c r="CY9" s="112"/>
      <x:c r="CZ9" s="112"/>
      <x:c r="DA9" s="112"/>
      <x:c r="DB9" s="112"/>
      <x:c r="DC9" s="114"/>
      <x:c r="DD9" s="114"/>
      <x:c r="DE9" s="112" t="s">
        <x:v>266</x:v>
      </x:c>
      <x:c r="DF9" s="112"/>
      <x:c r="DG9" s="112"/>
      <x:c r="DH9" s="112"/>
      <x:c r="DI9" s="112"/>
      <x:c r="DJ9" s="112"/>
      <x:c r="DK9" s="112"/>
      <x:c r="DL9" s="112"/>
      <x:c r="DM9" s="112"/>
      <x:c r="DN9" s="112"/>
      <x:c r="DO9" s="112"/>
      <x:c r="DP9" s="112"/>
      <x:c r="DQ9" s="114"/>
      <x:c r="DR9" s="112">
        <x:v>1</x:v>
      </x:c>
      <x:c r="DS9" s="116">
        <x:v>0</x:v>
      </x:c>
      <x:c r="DT9" s="120"/>
      <x:c r="DU9" s="116">
        <x:v>0.02</x:v>
      </x:c>
      <x:c r="DV9" s="116">
        <x:v>0.25</x:v>
      </x:c>
      <x:c r="DW9" s="118" t="str">
        <x:f>IF($A9="","",MAX('Setari model'!$B$71,MIN('Setari model'!$B$72,1+0.08*(IFERROR(AVERAGE($CM9:$CN9)/'Setari model'!$B$66,1)-1)+0.08*(IFERROR(AVERAGE($CO9:$CP9)/'Setari model'!$B$67,1)-1)+0.06*(IFERROR(AVERAGE($CQ9:$CR9)/'Setari model'!$B$68,1)-1)+0.04*(IFERROR(AVERAGE($CS9:$CT9)/'Setari model'!$B$69,1)-1)+0.04*(IFERROR(AVERAGE($CU9:$CV9)/'Setari model'!$B$70,1)-1)-'Setari model'!$B$73*IFERROR(AVERAGE($CW9:$CX9),0))))</x:f>
      </x:c>
      <x:c r="DX9" s="118" t="str">
        <x:f>IF($A9="","",1+'Setari model'!$B$62*MAX(IF(OR($CK9=1,$CL9=1),1,0),IF(AND($CJ9&lt;&gt;"",$CJ9&lt;=1),1,0))+'Setari model'!$B$63*IF(AND($CJ9&gt;1,$CJ9&lt;=3),1,0))</x:f>
      </x:c>
      <x:c r="DY9" s="118" t="str">
        <x:f>IF($A9="","",1+'Setari model'!$B$74*(IF($CY9="",0,IF($CY9=0,1,0))+IF($CZ9="",0,IF($CZ9=0,1,0)))+'Setari model'!$B$75*(IF($DA9="",0,IF($DA9=0,1,0))+IF($DB9="",0,IF($DB9=0,1,0))))</x:f>
      </x:c>
      <x:c r="DZ9" s="117" t="str">
        <x:f>IF($A9="","",MIN(0.6,MAX(0.002,(((1-'Setari model'!$B$34*MIN(1,($I9+$P9)/20))*$BT9+'Setari model'!$B$34*MIN(1,($I9+$P9)/20)*IF(COUNT($N9,$U9)=2,SQRT(MAX(0,1-$N9)*MAX(0,1-$U9)),$BT9))*(1-'Setari model'!$B$65*MIN(1,IF($AN9="",0,$AN9/'Setari model'!$B$64)))+'Setari model'!$B$65*MIN(1,IF($AN9="",0,$AN9/'Setari model'!$B$64))*IF($AM9="",$BT9,$AM9))*$DX9*$DY9/$DW9)))</x:f>
      </x:c>
      <x:c r="EA9" s="117" t="str">
        <x:f>IF($A9="","",MIN(1-$DZ9,IF(OR(MIN($I9,$P9)&lt;'Setari model'!$B$58,$CK9=1,$CL9=1,AND($CJ9&lt;&gt;"",$CJ9&lt;=1)),'Setari model'!$B$59,IF(AND($AU9=1,$AR9&gt;1,COUNT($CY9:$DB9)=4),'Setari model'!$B$61,'Setari model'!$B$60))))</x:f>
      </x:c>
      <x:c r="EB9" s="115" t="str">
        <x:f t="shared" si="13">IF($A9="","",1/$EA9)</x:f>
      </x:c>
      <x:c r="EC9" s="117" t="str">
        <x:f t="shared" si="14">IF($A9="","",IF($AR9&gt;1,IF($AS9&gt;1,(1/$AR9)/((1/$AR9)+(1/$AS9)),1/$AR9),""))</x:f>
      </x:c>
      <x:c r="ED9" s="117" t="str">
        <x:f t="shared" si="15">IF($A9="","",IF($EC9="","",$EA9-$EC9))</x:f>
      </x:c>
      <x:c r="EE9" s="117" t="str">
        <x:f t="shared" si="16">""</x:f>
      </x:c>
      <x:c r="EF9" s="119" t="str">
        <x:f>IF($A9="","",MAX(0,MIN(100,$CE9-200*MAX(0,$EG9-'Setari model'!$B$77)-IF($AU9&lt;&gt;1,10,0)-IF(COUNT($CY9:$DB9)&lt;4,4,0))))</x:f>
      </x:c>
      <x:c r="EG9" s="117" t="str">
        <x:f>IF($A9="","",'Setari model'!$B$77+IF(MIN($I9,$P9)&lt;'Setari model'!$B$58,0.03,0)+IF(OR($CK9=1,$CL9=1,AND($CJ9&lt;&gt;"",$CJ9&lt;=1)),0.03,0)+IF($AG9=0,0.02,0)+0.03*(1-MIN(1,COUNT($CM9:$CV9)/10))+0.03*(1-MIN(1,IF($AN9="",0,$AN9/'Setari model'!$B$64)))+IF($AR9&lt;=1,0.02,0))</x:f>
      </x:c>
      <x:c r="EH9" s="113" t="str">
        <x:f>IF($A9="","",IF(OR(MIN($I9,$P9)&lt;'Setari model'!$B$58,$CK9=1,$CL9=1,AND($CJ9&lt;&gt;"",$CJ9&lt;=1)),"92% – early/regim",IF(AND($AU9=1,$AR9&gt;1,COUNT($CY9:$DB9)=4),"94% – confirmat","93% – standard")))</x:f>
      </x:c>
      <x:c r="EI9" s="113" t="str">
        <x:f t="shared" si="17">IF($A9="","",IF(AND($EA9&gt;0.9,$AU9&lt;&gt;1),"WAIT XI – HIGH P",IF(AND($EA9&gt;0.9,COUNT($CY9:$DB9)&lt;4),"WAIT DATE CHEIE – HIGH P",IF($EP9&lt;&gt;"DA","NU – PORTOFOLIU","DA"))))</x:f>
      </x:c>
      <x:c r="EJ9" s="117" t="str">
        <x:f t="shared" si="18">IF($A9="","",IF($DE9&lt;&gt;"Live 20-30","",IF(SUM($DG9:$DH9)&gt;0,1,IF($EU9="","",1-MIN(0.95,MAX(0.001,EXP(-$EU9)*$DX9*$DY9/$DW9))))))</x:f>
      </x:c>
      <x:c r="EK9" s="117" t="str">
        <x:f t="shared" si="19">""</x:f>
      </x:c>
      <x:c r="EL9" s="113" t="str">
        <x:f>IF($A9="","",IF($DE9="Live 20-30",IF(SUM($DG9:$DH9)&gt;0,"EVENIMENT ÎNDEPLINIT",IF(OR($DF9="",COUNT($DI9:$DN9)&lt;4),"LIVE – WATCH",IF($EJ9&gt;=0.75,"LIVE – FEZABIL TEHNIC","LIVE – NO BET"))),IF($EI9&lt;&gt;"DA","WATCH / NO BET",IF(AND($EA9&gt;=INDEX('Setari model'!$B$35:$B$40,1),$EF9&gt;=100*'Setari model'!$B$76),"PARIU RECOMANDAT",IF(AND($EA9&gt;=INDEX('Setari model'!$B$35:$B$40,5),$EF9&gt;=100*'Setari model'!$B$40),"WATCH – APROAPE DE PRAG","PARIU EVITAT")))))</x:f>
      </x:c>
      <x:c r="EM9" s="113" t="str">
        <x:f t="shared" si="20">IF($A9="","",IF($DE9="Live 20-30",IF(SUM($DG9:$DH9)&gt;0,"Gol deja marcat.",IF($DF9="","Minut live lipsă.",IF(COUNT($DI9:$DN9)&lt;4,"Lipsesc xG/SOT/big chances live.",IF($EJ9&lt;0.75,"P live sub prag.","Semnal live tehnic complet; EV ignorat.")))),IF($EI9&lt;&gt;"DA",$EI9,IF($EF9&lt;75,"Confidence sub 75.",IF($EA9&lt;0.92,"P sub 92%.","G0/Zero-Mass + confidence trecute; EV ignorat.")))))</x:f>
      </x:c>
      <x:c r="EN9" s="117" t="str">
        <x:f>IF($A9="","",IF(OR($EL9="PARIU RECOMANDAT",$EL9="LIVE – FEZABIL"),MIN(IF($DU9&gt;0,$DU9,'Setari model'!$B$81)/MAX(1,$DR9),IF($DV9&gt;0,$DV9,'Setari model'!$B$80)*MAX(0,((IF($DE9="Live 20-30",$EJ9,$EA9)*IF($DE9="Live 20-30",$DQ9,$AR9)-1)/(IF($DE9="Live 20-30",$DQ9,$AR9)-1)))),0))</x:f>
      </x:c>
      <x:c r="EO9" s="121" t="str">
        <x:f t="shared" si="21">IF($A9="","",IF(AND($EN9&gt;0,$DT9&gt;0),$EN9*$DT9,""))</x:f>
      </x:c>
      <x:c r="EP9" s="113" t="str">
        <x:f>IF($A9="","",IF(OR($DR9&lt;1,$DR9&gt;'Setari model'!$B$78),"NU – 1–5 selecții",IF($DS9&gt;'Setari model'!$B$79,"NU – corelație", "DA")))</x:f>
      </x:c>
      <x:c r="EQ9" s="117" t="str">
        <x:f t="shared" si="22">IF($A9="","",IF(AND($DC9&gt;1,$DD9&gt;1),$DC9/$DD9-1,""))</x:f>
      </x:c>
      <x:c r="ER9" s="113" t="str">
        <x:f t="shared" si="23">IF($A9="","","P v2="&amp;TEXT($EA9,"0.0%")&amp;" ±"&amp;TEXT($EG9,"0.0%")&amp;"; P0 ZIP="&amp;TEXT($DZ9,"0.0%")&amp;"; Confidence="&amp;TEXT($EF9,"0")&amp;"/100; piață reală="&amp;IF($EC9="","NU","DA")&amp;"; EV="&amp;IF($EE9="","n/a",TEXT($EE9,"0.0%"))&amp;"; gate="&amp;$EI9&amp;"; verdict="&amp;$EL9&amp;". "&amp;$EM9)</x:f>
      </x:c>
      <x:c r="ES9" s="119" t="str">
        <x:f>IF($A9="","",'Setari model'!$B$82)</x:f>
      </x:c>
      <x:c r="ET9" s="118" t="str">
        <x:f>IF($A9="","",'Setari model'!$B$83)</x:f>
      </x:c>
      <x:c r="EU9" s="115" t="str">
        <x:f t="shared" si="24">IF(OR($A9="",$DE9&lt;&gt;"Live 20-30",$DF9="",$DF9&lt;$ES9,$DF9&gt;=90),"",MAX(0.05,MIN($BS9*$ET9,$BS9*(90-$DF9)/90+0.35*($DI9+$DJ9)+0.06*($DK9+$DL9)+0.15*($DM9+$DN9)+0.1*(MAX($DO9,$DP9)-MIN($DO9,$DP9)))))</x:f>
      </x:c>
      <x:c r="EV9" s="132"/>
      <x:c r="EW9" s="132"/>
      <x:c r="EX9" s="132"/>
      <x:c r="EY9" s="132"/>
      <x:c r="EZ9" s="132"/>
      <x:c r="FA9" s="132"/>
      <x:c r="FB9" s="247"/>
      <x:c r="FC9" s="134" t="str">
        <x:f t="shared" si="25">IF($A9="","",IF(OR($J9="",$L9="",$L9&lt;=0),"",MAX(0.5,MIN(1.5,$J9/$L9))))</x:f>
      </x:c>
      <x:c r="FD9" s="134" t="str">
        <x:f t="shared" si="26">IF($A9="","",IF(OR($Q9="",$S9="",$S9&lt;=0),"",MAX(0.5,MIN(1.5,$Q9/$S9))))</x:f>
      </x:c>
      <x:c r="FE9" s="134" t="str">
        <x:f>IF($A9="","",IF(COUNT($EV9:$EW9)&lt;2,"",SQRT($EV9*$EW9)/'Setari model'!$B$87))</x:f>
      </x:c>
      <x:c r="FF9" s="134" t="str">
        <x:f>IF($A9="","",IF(COUNT($O9,$V9,$EX9,$EY9)&lt;4,"",AVERAGE(SQRT($O9*$EY9),SQRT($V9*$EX9))/'Setari model'!$B$88))</x:f>
      </x:c>
      <x:c r="FG9" s="134" t="str">
        <x:f t="shared" si="27">IF($A9="","",IF(COUNT($FC9:$FD9)&lt;2,"",MAX(0,1-AVERAGE($FC9:$FD9))))</x:f>
      </x:c>
      <x:c r="FH9" s="134" t="str">
        <x:f>IF($A9="","",IF(COUNT($EZ9:$FA9)&lt;2,"",'Setari model'!$B$94*AVERAGE($EZ9:$FA9)/'Setari model'!$B$89))</x:f>
      </x:c>
      <x:c r="FI9" s="134" t="str">
        <x:f>IF($A9="","",IF(COUNT($FE9:$FH9)&lt;4,"",MAX('Setari model'!$B$97,MIN('Setari model'!$B$98,1+'Setari model'!$B$90*($FE9-1)+'Setari model'!$B$91*($FF9-1)+'Setari model'!$B$92*$FG9+'Setari model'!$B$93*($FH9-1)))))</x:f>
      </x:c>
      <x:c r="FJ9" s="133" t="str">
        <x:f>IF($A9="","",IF($FI9="","",MIN('Setari model'!$B$101,MAX(0.002,$DZ9*$FI9))))</x:f>
      </x:c>
      <x:c r="FK9" s="131" t="str">
        <x:f t="shared" si="28">IF($A9="","",IF(AND(COUNT($EV9:$FA9)=6,COUNT($O9,$V9,$FC9,$FD9)=4),"DA","NU"))</x:f>
      </x:c>
      <x:c r="FL9" s="131" t="str">
        <x:f>IF($A9="","",IF($FK9&lt;&gt;"DA","NEDETERMINAT",IF($FI9&lt;='Setari model'!$B$99,"SCĂZUT",IF($FI9&lt;='Setari model'!$B$100,"MEDIU","RIDICAT"))))</x:f>
      </x:c>
      <x:c r="FM9" s="131" t="str">
        <x:f>IF($A9="","",IF(AND($AR9&gt;1,$EC9&gt;='Setari model'!$B$106),"DA","NU"))</x:f>
      </x:c>
      <x:c r="FN9" s="131" t="str">
        <x:f t="shared" si="29">IF($A9="","",IF(AND($AU9=1,COUNT($CY9:$DB9)=4),"DA","NU"))</x:f>
      </x:c>
      <x:c r="FO9" s="133" t="str">
        <x:f>IF($A9="","",IF(OR($FK9&lt;&gt;"DA",$FL9="RIDICAT"),'Setari model'!$B$102,IF($FL9="MEDIU",'Setari model'!$B$103,IF(AND($FM9="DA",$FN9="DA"),'Setari model'!$B$105,'Setari model'!$B$104))))</x:f>
      </x:c>
      <x:c r="FP9" s="133" t="str">
        <x:f t="shared" si="30">IF($A9="","",IF($FJ9="","",MIN(1-$FJ9,$FO9)))</x:f>
      </x:c>
      <x:c r="FQ9" s="135" t="str">
        <x:f t="shared" si="31">IF($A9="","",IF($FP9="","",IF($FP9&gt;0,1/$FP9,"")))</x:f>
      </x:c>
      <x:c r="FR9" s="133" t="str">
        <x:f t="shared" si="32">IF($A9="","",IF($EC9="","",$FP9-$EC9))</x:f>
      </x:c>
      <x:c r="FS9" s="133" t="str">
        <x:f t="shared" si="33">IF($A9="","",IF($AR9&gt;1,$FP9*$AR9-1,""))</x:f>
      </x:c>
      <x:c r="FT9" s="136" t="str">
        <x:f>IF($A9="","",MAX(0,MIN(100,$EF9-IF($FK9&lt;&gt;"DA",'Setari model'!$B$107,0)-IF($FL9="MEDIU",'Setari model'!$B$108,0)-IF($FL9="RIDICAT",'Setari model'!$B$109,0))))</x:f>
      </x:c>
      <x:c r="FU9" s="131" t="str">
        <x:f t="shared" si="34">IF($A9="","",IF($AR9&lt;=1,"NU – LIPSEȘTE COTA REALĂ",IF($FK9&lt;&gt;"DA","NU – ZERO-RISK INCOMPLET",IF($FL9&lt;&gt;"SCĂZUT","NU – RISC 0-0 "&amp;$FL9,IF($FN9&lt;&gt;"DA","NU – LINEUP NECONFIRMAT",IF($FM9&lt;&gt;"DA","NU – PIAȚĂ NECONFIRMATĂ",IF($EP9&lt;&gt;"DA","NU – PORTOFOLIU","DA")))))))</x:f>
      </x:c>
      <x:c r="FV9" s="131" t="str">
        <x:f>IF($A9="","",IF($FU9&lt;&gt;"DA","WATCH / NO BET",IF(AND($FP9&gt;='Setari model'!$B$35,$FT9&gt;=100*'Setari model'!$B$76,$FS9&gt;0),"PARIU RECOMANDAT",IF(AND($FP9&gt;='Setari model'!$B$39,$FT9&gt;=100*'Setari model'!$B$40,$FS9&gt;0),"WATCH – APROAPE DE PRAG","PARIU EVITAT"))))</x:f>
      </x:c>
      <x:c r="FW9" s="131" t="str">
        <x:f t="shared" si="35">IF($A9="","",IF($FU9&lt;&gt;"DA",$FU9,IF($FT9&lt;75,"Confidence v3 sub 75.",IF($FP9&lt;0.92,"P v3 sub 92%.",IF($FS9&lt;=0,"EV v3 nepozitiv.","P0 v3, lineup și piață confirmate.")))))</x:f>
      </x:c>
      <x:c r="FX9" s="131" t="str">
        <x:f t="shared" si="36">IF($A9="","","P v3="&amp;TEXT($FP9,"0.0%")&amp;"; P0 v3="&amp;TEXT($FJ9,"0.0%")&amp;"; factor zero="&amp;IF($FI9="","n/a",TEXT($FI9,"0.00x"))&amp;" ("&amp;$FL9&amp;"); cap="&amp;TEXT($FO9,"0.0%")&amp;"; Confidence="&amp;TEXT($FT9,"0")&amp;"/100; lineup="&amp;$FN9&amp;"; piață="&amp;$FM9&amp;"; EV="&amp;IF($FS9="","n/a",TEXT($FS9,"0.0%"))&amp;"; gate="&amp;$FU9&amp;"; verdict="&amp;$FV9&amp;". "&amp;$FW9)</x:f>
      </x:c>
      <x:c r="FY9" s="159"/>
      <x:c r="FZ9" s="159"/>
      <x:c r="GA9" s="157"/>
      <x:c r="GB9" s="157"/>
      <x:c r="GC9" s="161" t="str">
        <x:f t="shared" si="37">IF($A9="","",IF(OR($X9="",$Z9="",$Z9&lt;=0),"",MAX(0.5,MIN(1.5,$X9/$Z9))))</x:f>
      </x:c>
      <x:c r="GD9" s="161" t="str">
        <x:f t="shared" si="38">IF($A9="","",IF(OR($AC9="",$AE9="",$AE9&lt;=0),"",MAX(0.5,MIN(1.5,$AC9/$AE9))))</x:f>
      </x:c>
      <x:c r="GE9" s="162" t="str">
        <x:f t="shared" si="39">IF($A9="","",IF(COUNT($Z9,$AE9)&lt;2,"",AVERAGE($Z9,$AE9)))</x:f>
      </x:c>
      <x:c r="GF9" s="158" t="str">
        <x:f>IF($A9="","",IF(COUNT($FY9:$FZ9)&lt;2,"NEDETERMINAT",IF(AND($FY9&gt;='Setari model'!$B$113,$FZ9&gt;='Setari model'!$B$113),"DA","NU")))</x:f>
      </x:c>
      <x:c r="GG9" s="158" t="str">
        <x:f>IF($A9="","",IF(COUNT($FY9:$FZ9,$EX9:$EY9)&lt;4,"NEDETERMINAT",IF(OR(AND($FY9&gt;='Setari model'!$B$113,$EY9&gt;='Setari model'!$B$114),AND($FZ9&gt;='Setari model'!$B$113,$EX9&gt;='Setari model'!$B$114)),"DA","NU")))</x:f>
      </x:c>
      <x:c r="GH9" s="158" t="str">
        <x:f>IF($A9="","",IF(COUNT($BJ9:$BN9,$GC9:$GE9)&lt;8,"NEDETERMINAT",IF(AND((($BJ9*INDEX('Setari model'!$B$5:$B$11,MATCH($E9,'Setari model'!$A$5:$A$11,0))+$BK9*INDEX('Setari model'!$C$5:$C$11,MATCH($E9,'Setari model'!$A$5:$A$11,0))+$BL9*INDEX('Setari model'!$D$5:$D$11,MATCH($E9,'Setari model'!$A$5:$A$11,0))+$BM9*INDEX('Setari model'!$E$5:$E$11,MATCH($E9,'Setari model'!$A$5:$A$11,0))+$BN9*INDEX('Setari model'!$F$5:$F$11,MATCH($E9,'Setari model'!$A$5:$A$11,0)))/(INDEX('Setari model'!$B$5:$B$11,MATCH($E9,'Setari model'!$A$5:$A$11,0))+INDEX('Setari model'!$C$5:$C$11,MATCH($E9,'Setari model'!$A$5:$A$11,0))+INDEX('Setari model'!$D$5:$D$11,MATCH($E9,'Setari model'!$A$5:$A$11,0))+INDEX('Setari model'!$E$5:$E$11,MATCH($E9,'Setari model'!$A$5:$A$11,0))+INDEX('Setari model'!$F$5:$F$11,MATCH($E9,'Setari model'!$A$5:$A$11,0))))*$BR9&gt;='Setari model'!$B$115,(($BJ9*INDEX('Setari model'!$B$5:$B$11,MATCH($E9,'Setari model'!$A$5:$A$11,0))+$BK9*INDEX('Setari model'!$C$5:$C$11,MATCH($E9,'Setari model'!$A$5:$A$11,0))+$BL9*INDEX('Setari model'!$D$5:$D$11,MATCH($E9,'Setari model'!$A$5:$A$11,0))+$BM9*INDEX('Setari model'!$E$5:$E$11,MATCH($E9,'Setari model'!$A$5:$A$11,0))+$BN9*INDEX('Setari model'!$F$5:$F$11,MATCH($E9,'Setari model'!$A$5:$A$11,0)))/(INDEX('Setari model'!$B$5:$B$11,MATCH($E9,'Setari model'!$A$5:$A$11,0))+INDEX('Setari model'!$C$5:$C$11,MATCH($E9,'Setari model'!$A$5:$A$11,0))+INDEX('Setari model'!$D$5:$D$11,MATCH($E9,'Setari model'!$A$5:$A$11,0))+INDEX('Setari model'!$E$5:$E$11,MATCH($E9,'Setari model'!$A$5:$A$11,0))+INDEX('Setari model'!$F$5:$F$11,MATCH($E9,'Setari model'!$A$5:$A$11,0))))*$BR9&lt;='Setari model'!$B$116,AVERAGE($GC9:$GD9)&lt;='Setari model'!$B$117,$GE9&gt;='Setari model'!$B$118),"DA","NU")))</x:f>
      </x:c>
      <x:c r="GI9" s="158" t="str">
        <x:f>IF($A9="","",IF(COUNT($W9,$AB9,$GA9:$GB9)&lt;4,"NEDETERMINAT",IF(AND($W9&gt;='Setari model'!$B$120,$AB9&gt;='Setari model'!$B$120,OR(IFERROR($GA9/$W9,0)&gt;='Setari model'!$B$119,IFERROR($GB9/$AB9,0)&gt;='Setari model'!$B$119)),"DA","NU")))</x:f>
      </x:c>
      <x:c r="GJ9" s="160" t="str">
        <x:f>IF($A9="","",IF(COUNT($FY9:$GB9)&lt;4,"",IF($GH9&lt;&gt;"DA",0,'Setari model'!$B$121*IF($GF9="DA",1,0)+'Setari model'!$B$122*IF($GG9="DA",1,0)+'Setari model'!$B$123+'Setari model'!$B$124*IF($GI9="DA",1,0))))</x:f>
      </x:c>
      <x:c r="GK9" s="161" t="str">
        <x:f>IF($A9="","",IF(COUNT($GJ9)=0,"",1+'Setari model'!$B$125*$GJ9))</x:f>
      </x:c>
      <x:c r="GL9" s="160" t="str">
        <x:f>IF($A9="","",IF($GM9&lt;&gt;"DA",$FJ9,MIN('Setari model'!$B$101,MAX(0.002,$FJ9*$GK9))))</x:f>
      </x:c>
      <x:c r="GM9" s="158" t="str">
        <x:f>IF($A9="","",IF(AND($FK9="DA",COUNT($FY9:$GB9)=4,COUNT($I9,$P9,$W9,$AB9,$Z9,$AE9,$EX9,$EY9,$GC9,$GD9)=10,COUNT($BJ9:$BN9)=5),"DA","NU"))</x:f>
      </x:c>
      <x:c r="GN9" s="158" t="str">
        <x:f>IF($A9="","",IF($GM9&lt;&gt;"DA","NEDETERMINAT",IF($FI9*$GK9&lt;='Setari model'!$B$99,"SCĂZUT",IF($FI9*$GK9&lt;='Setari model'!$B$100,"MEDIU","RIDICAT"))))</x:f>
      </x:c>
      <x:c r="GO9" s="160" t="str">
        <x:f>IF($A9="","",IF(OR($GM9&lt;&gt;"DA",$GN9="RIDICAT"),'Setari model'!$B$102,IF($GN9="MEDIU",'Setari model'!$B$103,IF(AND($FM9="DA",$FN9="DA"),'Setari model'!$B$105,'Setari model'!$B$104))))</x:f>
      </x:c>
      <x:c r="GP9" s="160" t="str">
        <x:f t="shared" si="40">IF($A9="","",IF($GL9="","",MIN(1-$GL9,$GO9)))</x:f>
      </x:c>
      <x:c r="GQ9" s="162" t="str">
        <x:f t="shared" si="41">IF($A9="","",IF($GP9="","",IF($GP9&gt;0,1/$GP9,"")))</x:f>
      </x:c>
      <x:c r="GR9" s="160" t="str">
        <x:f t="shared" si="42">IF($A9="","",IF($EC9="","",$GP9-$EC9))</x:f>
      </x:c>
      <x:c r="GS9" s="160" t="str">
        <x:f t="shared" si="43">IF($A9="","",IF($AR9&gt;1,$GP9*$AR9-1,""))</x:f>
      </x:c>
      <x:c r="GT9" s="163" t="str">
        <x:f>IF($A9="","",MAX(0,MIN(100,$FT9-IF(AND($GM9&lt;&gt;"DA",$FK9="DA"),'Setari model'!$B$107,0)-'Setari model'!$B$126*IF($GJ9="",0,$GJ9))))</x:f>
      </x:c>
      <x:c r="GU9" s="158" t="str">
        <x:f t="shared" si="44">IF($A9="","",IF($AR9&lt;=1,"NU – LIPSEȘTE COTA REALĂ",IF($GM9&lt;&gt;"DA","NU – DATE LOW-CONVERSION INCOMPLETE",IF($GN9&lt;&gt;"SCĂZUT","NU – RISC 0-0 "&amp;$GN9,IF($FN9&lt;&gt;"DA","NU – LINEUP NECONFIRMAT",IF($FM9&lt;&gt;"DA","NU – PIAȚĂ NECONFIRMATĂ",IF($EP9&lt;&gt;"DA","NU – PORTOFOLIU","DA")))))))</x:f>
      </x:c>
      <x:c r="GV9" s="158" t="str">
        <x:f>IF($A9="","",IF($GU9&lt;&gt;"DA","WATCH / NO BET",IF(AND($GP9&gt;='Setari model'!$B$35,$GT9&gt;=100*'Setari model'!$B$76,$GS9&gt;0),"PARIU RECOMANDAT",IF(AND($GP9&gt;='Setari model'!$B$39,$GT9&gt;=100*'Setari model'!$B$40,$GS9&gt;0),"WATCH – APROAPE DE PRAG","PARIU EVITAT"))))</x:f>
      </x:c>
      <x:c r="GW9" s="158" t="str">
        <x:f t="shared" si="45">IF($A9="","",IF($GU9&lt;&gt;"DA",$GU9,IF($GT9&lt;75,"Confidence v5 sub 75.",IF($GP9&lt;0.92,"P v5 sub 92%.",IF($GS9&lt;=0,"EV v5 nepozitiv.",IF($GJ9&gt;0,"Low-conversion absorbit în P0; toate porțile rămân trecute.","Toate porțile v5 sunt trecute."))))))</x:f>
      </x:c>
      <x:c r="GX9" s="158" t="str">
        <x:f t="shared" si="46">IF($A9="","","P v5="&amp;TEXT($GP9,"0.0%")&amp;"; P0 v5="&amp;TEXT($GL9,"0.0%")&amp;"; low-conv="&amp;IF(COUNT($GJ9)=0,"n/a",TEXT($GJ9,"0%"))&amp;"; mult.P0="&amp;IF(COUNT($GK9)=0,"n/a",TEXT($GK9,"0.00"))&amp;"; clasă="&amp;$GN9&amp;"; cap="&amp;TEXT($GO9,"0.0%")&amp;"; Confidence="&amp;TEXT($GT9,"0")&amp;"/100; lineup="&amp;$FN9&amp;"; piață="&amp;$FM9&amp;"; EV="&amp;IF($GS9="","n/a",TEXT($GS9,"0.0%"))&amp;"; gate="&amp;$GU9&amp;"; verdict="&amp;$GV9&amp;". "&amp;$GW9)</x:f>
      </x:c>
      <x:c r="GY9" s="174" t="str">
        <x:f>IF($A9="","",IF($GM9&lt;&gt;"DA","SOURCING INCOMPLETE – REVIEW REQUIRED",IF(MIN($I9,$P9,$W9,$AB9)&lt;'Setari model'!$B$58,"SMALL SAMPLE + PRIOR / SHRINKAGE","VERIFIED / PRIOR / SHRINKAGE")))</x:f>
      </x:c>
      <x:c r="GZ9" s="175" t="str">
        <x:f t="shared" si="47">IF($A9="","",MAX(0,MIN(100,100*(1-AVERAGE(IF($GM9="DA",1,0),MIN(1,$AT9/5))))))</x:f>
      </x:c>
      <x:c r="HA9" s="175" t="str">
        <x:f>IF($A9="","",IF($GM9&lt;&gt;"DA","",MAX(0,MIN(100,100*(($FI9*$GK9)-'Setari model'!$B$97)/('Setari model'!$B$98-'Setari model'!$B$97)))))</x:f>
      </x:c>
      <x:c r="HB9" s="175" t="str">
        <x:f>IF($A9="","",MAX(0,MIN(100,100*(ABS($BR9-1)/MAX(1-'Setari model'!$B$53,'Setari model'!$B$54-1)+MIN(1,$BG9/2))/2)))</x:f>
      </x:c>
      <x:c r="HC9" s="175" t="str">
        <x:f t="shared" si="48">IF($A9="","",MAX(0,MIN(100,100*(1-AVERAGE($CC9,MAX(0,1-(MAX($BJ9:$BN9)-MIN($BJ9:$BN9))/(AVERAGE($BJ9:$BN9)*'Setari model'!$B$45)))))))</x:f>
      </x:c>
      <x:c r="HD9" s="175" t="str">
        <x:f t="shared" si="49">IF($A9="","",MAX(0,MIN(100,100*MAX(IF($GJ9="",0,$GJ9),MIN(1,$BG9/2)))))</x:f>
      </x:c>
      <x:c r="HE9" s="175" t="str">
        <x:f>IF($A9="","",IF(COUNT($GZ9:$HD9)&lt;5,"",$GZ9*Risk_Classification!$E$28+$HA9*Risk_Classification!$E$29+$HB9*Risk_Classification!$E$30+$HC9*Risk_Classification!$E$31+$HD9*Risk_Classification!$E$32))</x:f>
      </x:c>
      <x:c r="HF9" s="176" t="str">
        <x:f t="shared" si="50">IF($A9="","",IF($HE9="","",IF($HE9&lt;=20,1,IF($HE9&lt;=40,2,IF($HE9&lt;=60,3,IF($HE9&lt;=80,4,5))))))</x:f>
      </x:c>
      <x:c r="HG9" s="176" t="str">
        <x:f t="shared" si="51">IF($A9="","",IF($GM9="DA","PASS","FAIL – DATE CRITICE ZERO-MASS INCOMPLETE"))</x:f>
      </x:c>
      <x:c r="HH9" s="176" t="str">
        <x:f t="shared" si="52">IF($A9="","",IF($HG9&lt;&gt;"PASS",5,$HF9))</x:f>
      </x:c>
      <x:c r="HI9" s="174" t="str">
        <x:f t="shared" si="53">IF($A9="","",IF($HH9="","N/A",IF($HH9=1,"DEFENSIV",IF($HH9=2,"PRUDENT",IF($HH9=3,"MODERAT",IF($HH9=4,"RIDICAT","WATCH / NO BET"))))))</x:f>
      </x:c>
      <x:c r="HJ9" s="177" t="str">
        <x:f t="shared" si="54">IF($A9="","","Data="&amp;$GY9&amp;"; DQ="&amp;TEXT($GZ9,"0.0")&amp;"; ZM="&amp;IF($HA9="","n/a",TEXT($HA9,"0.0"))&amp;"; Context="&amp;TEXT($HB9,"0.0")&amp;"; Uncertainty="&amp;TEXT($HC9,"0.0")&amp;"; Compound="&amp;TEXT($HD9,"0.0")&amp;"; Risk Score="&amp;IF($HE9="","n/a",TEXT($HE9,"0.0"))&amp;"; Base="&amp;IF($HF9="","n/a",$HF9)&amp;"; G0="&amp;$HG9&amp;"; Final="&amp;$HH9&amp;". Cota, EV si lineup sunt informative si nu intra in recomandare.")</x:f>
      </x:c>
      <x:c r="HK9" s="174" t="str">
        <x:f t="shared" si="55">IF($A9="","",$HI9)</x:f>
      </x:c>
    </x:row>
    <x:row r="10" ht="24" customHeight="1">
      <x:c r="A10" s="58"/>
      <x:c r="B10" s="24"/>
      <x:c r="C10" s="59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18"/>
      <x:c r="O10" s="18"/>
      <x:c r="P10" s="24"/>
      <x:c r="Q10" s="24"/>
      <x:c r="R10" s="24"/>
      <x:c r="S10" s="24"/>
      <x:c r="T10" s="24"/>
      <x:c r="U10" s="18"/>
      <x:c r="V10" s="18"/>
      <x:c r="W10" s="24"/>
      <x:c r="X10" s="24"/>
      <x:c r="Y10" s="24"/>
      <x:c r="Z10" s="24"/>
      <x:c r="AA10" s="24"/>
      <x:c r="AB10" s="24"/>
      <x:c r="AC10" s="24"/>
      <x:c r="AD10" s="24"/>
      <x:c r="AE10" s="24"/>
      <x:c r="AF10" s="24"/>
      <x:c r="AG10" s="24"/>
      <x:c r="AH10" s="24"/>
      <x:c r="AI10" s="18"/>
      <x:c r="AJ10" s="24"/>
      <x:c r="AK10" s="24"/>
      <x:c r="AL10" s="24"/>
      <x:c r="AM10" s="18"/>
      <x:c r="AN10" s="24"/>
      <x:c r="AO10" s="60"/>
      <x:c r="AP10" s="60"/>
      <x:c r="AQ10" s="60"/>
      <x:c r="AR10" s="60"/>
      <x:c r="AS10" s="60"/>
      <x:c r="AT10" s="24"/>
      <x:c r="AU10" s="24"/>
      <x:c r="AV10" s="24"/>
      <x:c r="AW10" s="24"/>
      <x:c r="AX10" s="24"/>
      <x:c r="AY10" s="24"/>
      <x:c r="AZ10" s="24"/>
      <x:c r="BA10" s="24"/>
      <x:c r="BB10" s="24"/>
      <x:c r="BC10" s="24"/>
      <x:c r="BD10" s="24"/>
      <x:c r="BE10" s="24"/>
      <x:c r="BF10" s="24"/>
      <x:c r="BG10" s="24"/>
      <x:c r="BH10" s="61"/>
      <x:c r="BI10" s="61"/>
      <x:c r="BJ10" s="62" t="str">
        <x:f>IF($A10="","",SQRT((($I10*IF($J10="",$AJ10,$J10)+'Setari model'!$B$30*$AJ10)/($I10+'Setari model'!$B$30))*(($P10*IF($R10="",$AJ10,$R10)+'Setari model'!$B$30*$AJ10)/($P10+'Setari model'!$B$30)))+SQRT((($P10*IF($Q10="",$AK10,$Q10)+'Setari model'!$B$30*$AK10)/($P10+'Setari model'!$B$30))*(($I10*IF($K10="",$AK10,$K10)+'Setari model'!$B$30*$AK10)/($I10+'Setari model'!$B$30))))</x:f>
      </x:c>
      <x:c r="BK10" s="62" t="str">
        <x:f>IF($A10="","",SQRT((($I10*IF($L10="",IF($J10="",$AJ10,$J10),$L10)+'Setari model'!$B$30*$AJ10)/($I10+'Setari model'!$B$30))*(($P10*IF($T10="",IF($R10="",$AJ10,$R10),$T10)+'Setari model'!$B$30*$AJ10)/($P10+'Setari model'!$B$30)))+SQRT((($P10*IF($S10="",IF($Q10="",$AK10,$Q10),$S10)+'Setari model'!$B$30*$AK10)/($P10+'Setari model'!$B$30))*(($I10*IF($M10="",IF($K10="",$AK10,$K10),$M10)+'Setari model'!$B$30*$AK10)/($I10+'Setari model'!$B$30))))</x:f>
      </x:c>
      <x:c r="BL10" s="62" t="str">
        <x:f>IF($A10="","",SQRT((($W10*IF($X10="",$AL10/2,$X10)+'Setari model'!$B$31*$AL10/2)/($W10+'Setari model'!$B$31))*(($AB10*IF($AD10="",$AL10/2,$AD10)+'Setari model'!$B$31*$AL10/2)/($AB10+'Setari model'!$B$31)))+SQRT((($AB10*IF($AC10="",$AL10/2,$AC10)+'Setari model'!$B$31*$AL10/2)/($AB10+'Setari model'!$B$31))*(($W10*IF($Y10="",$AL10/2,$Y10)+'Setari model'!$B$31*$AL10/2)/($W10+'Setari model'!$B$31))))</x:f>
      </x:c>
      <x:c r="BM10" s="62" t="str">
        <x:f>IF($A10="","",SQRT((($W10*IF($Z10="",IF($X10="",$AL10/2,$X10),$Z10)+'Setari model'!$B$31*$AL10/2)/($W10+'Setari model'!$B$31))*(($AB10*IF($AF10="",IF($AD10="",$AL10/2,$AD10),$AF10)+'Setari model'!$B$31*$AL10/2)/($AB10+'Setari model'!$B$31)))+SQRT((($AB10*IF($AE10="",IF($AC10="",$AL10/2,$AC10),$AE10)+'Setari model'!$B$31*$AL10/2)/($AB10+'Setari model'!$B$31))*(($W10*IF($AA10="",IF($Y10="",$AL10/2,$Y10),$AA10)+'Setari model'!$B$31*$AL10/2)/($W10+'Setari model'!$B$31))))</x:f>
      </x:c>
      <x:c r="BN10" s="62" t="str">
        <x:f t="shared" si="0">IF($A10="","",IF($AG10&gt;0,($AG10*IF($AH10="",$AL10,$AH10)+5*$AL10)/($AG10+5),$AL10))</x:f>
      </x:c>
      <x:c r="BO10" s="63" t="str">
        <x:f>IF($A10="","",IF($AR10&gt;1,IF($AS10&gt;1,(1/$AR10)/((1/$AR10+1/$AS10)),MIN(0.995,(1/$AR10)/(1+'Setari model'!$B$32))),1-EXP(-$AL10)))</x:f>
      </x:c>
      <x:c r="BP10" s="62" t="str">
        <x:f t="shared" si="1">IF($A10="","",-LN(1-$BO10))</x:f>
      </x:c>
      <x:c r="BQ10" s="62" t="str">
        <x:f>IF($A10="","",$BJ10*INDEX('Setari model'!$B$5:$B$11,MATCH($E10,'Setari model'!$A$5:$A$11,0))+$BK10*INDEX('Setari model'!$C$5:$C$11,MATCH($E10,'Setari model'!$A$5:$A$11,0))+$BL10*INDEX('Setari model'!$D$5:$D$11,MATCH($E10,'Setari model'!$A$5:$A$11,0))+$BM10*INDEX('Setari model'!$E$5:$E$11,MATCH($E10,'Setari model'!$A$5:$A$11,0))+$BN10*INDEX('Setari model'!$F$5:$F$11,MATCH($E10,'Setari model'!$A$5:$A$11,0))+$BP10*INDEX('Setari model'!$G$5:$G$11,MATCH($E10,'Setari model'!$A$5:$A$11,0)))</x:f>
      </x:c>
      <x:c r="BR10" s="64" t="str">
        <x:f>IF($A10="","",MAX('Setari model'!$B$53,MIN('Setari model'!$B$54,1+($AV10*'Setari model'!$B$15+$AW10*'Setari model'!$B$16+$AX10*'Setari model'!$B$17+$AY10*'Setari model'!$B$18+$AZ10*'Setari model'!$B$19+$BA10*'Setari model'!$B$20+$BB10*'Setari model'!$B$21+$BC10*'Setari model'!$B$22+$BD10*'Setari model'!$B$23+$BE10*'Setari model'!$B$24+$BF10*'Setari model'!$B$25)*INDEX('Setari model'!$H$5:$H$11,MATCH($E10,'Setari model'!$A$5:$A$11,0)))))</x:f>
      </x:c>
      <x:c r="BS10" s="62" t="str">
        <x:f t="shared" si="2">IF($A10="","",$BQ10*$BR10)</x:f>
      </x:c>
      <x:c r="BT10" s="63" t="str">
        <x:f t="shared" si="3">IF($A10="","",EXP(-$BS10))</x:f>
      </x:c>
      <x:c r="BU10" s="65" t="str">
        <x:f>IF($A10="","",IF(OR($AM10="",$AN10=""),1,1+MIN('Setari model'!$B$33,$AN10/100*'Setari model'!$B$33)*($AM10/EXP(-$AL10)-1)))</x:f>
      </x:c>
      <x:c r="BV10" s="63" t="str">
        <x:f>IF($A10="","",MIN(0.45,MAX(0.005,(1-'Setari model'!$B$34*MIN(1,($I10+$P10)/20))*MIN(0.45,$BT10*$BU10)+'Setari model'!$B$34*MIN(1,($I10+$P10)/20)*IF(COUNT($N10,$U10)=2,SQRT(MAX(0,1-$N10)*MAX(0,1-$U10)),IF($AM10="",EXP(-$AL10),$AM10)))))</x:f>
      </x:c>
      <x:c r="BW10" s="63" t="str">
        <x:f t="shared" si="4">IF($A10="","",1-$BV10)</x:f>
      </x:c>
      <x:c r="BX10" s="62" t="str">
        <x:f t="shared" si="5">IF($A10="","",1/$BW10)</x:f>
      </x:c>
      <x:c r="BY10" s="63" t="str">
        <x:f t="shared" si="6">IF($A10="","",$BO10)</x:f>
      </x:c>
      <x:c r="BZ10" s="63" t="str">
        <x:f t="shared" si="7">IF($A10="","",$BW10-$BY10)</x:f>
      </x:c>
      <x:c r="CA10" s="63" t="str">
        <x:f t="shared" si="8">IF($A10="","",IF($AR10&gt;1,$BW10*$AR10-1,""))</x:f>
      </x:c>
      <x:c r="CB10" s="63" t="str">
        <x:f>IF($A10="","",MIN(1,COUNT($I10:$AN10,$AR10:$BG10)/'Setari model'!$B$46))</x:f>
      </x:c>
      <x:c r="CC10" s="63" t="str">
        <x:f t="shared" si="9">IF($A10="","",0.25*MIN(1,$I10/10)+0.25*MIN(1,$P10/10)+0.15*MIN(1,$W10/5)+0.15*MIN(1,$AB10/5)+0.1*MIN(1,$AG10/5)+0.1*MIN(1,$AN10/100))</x:f>
      </x:c>
      <x:c r="CD10" s="63" t="str">
        <x:f>IF($A10="","",MAX(0,1-(MAX($BJ10:$BN10,$BP10)-MIN($BJ10:$BN10,$BP10))/(AVERAGE($BJ10:$BN10,$BP10)*'Setari model'!$B$45)))</x:f>
      </x:c>
      <x:c r="CE10" s="66" t="str">
        <x:f>IF($A10="","",MAX(0,MIN(100,100*INDEX('Setari model'!$I$5:$I$11,MATCH($E10,'Setari model'!$A$5:$A$11,0))*('Setari model'!$B$47*$CB10+'Setari model'!$B$48*$CC10+'Setari model'!$B$49*$CD10+'Setari model'!$B$50*$AT10/5+'Setari model'!$B$51*$AU10)-100*'Setari model'!$B$52*$BG10)))</x:f>
      </x:c>
      <x:c r="CF10" s="65" t="str">
        <x:f t="shared" si="10">IF($A10="","",IF(OR($AT10&lt;3,$BG10&gt;=2,$CB10&lt;0.55,$CC10&lt;0.4),"RIDICAT",IF(OR($AU10=0,$CD10&lt;0.45,$BR10&lt;0.9),"MEDIU","SCĂZUT")))</x:f>
      </x:c>
      <x:c r="CG10" s="65" t="str">
        <x:f>IF($A10="","",IF($AR10&gt;1,IF(AND($BW10&gt;= 'Setari model'!$B$35,$CE10&gt;=100*'Setari model'!$B$36,$BZ10&gt;= 'Setari model'!$B$37,$CA10&gt;= 'Setari model'!$B$38,$CF10&lt;&gt;"RIDICAT"),"PARIU RECOMANDAT",IF(AND($BW10&gt;= 'Setari model'!$B$39,$CE10&gt;=100*'Setari model'!$B$40,$BZ10&gt;= 'Setari model'!$B$41,$CA10&gt;=0,$CF10&lt;&gt;"RIDICAT"),"RECOMANDAT CU PRUDENȚĂ",IF(AND($BW10&gt;= 'Setari model'!$B$42,$CE10&gt;=100*'Setari model'!$B$43),"ANALIZĂ NECONCLUDENTĂ","PARIU EVITAT"))),IF(AND($BW10&gt;= 'Setari model'!$B$35,$CE10&gt;=100*'Setari model'!$B$36,$CF10&lt;&gt;"RIDICAT"),"FAVORABIL STATISTIC – VERIFICĂ COTA",IF(AND($BW10&gt;= 'Setari model'!$B$42,$CE10&gt;=100*'Setari model'!$B$43),"ANALIZĂ NECONCLUDENTĂ","PARIU EVITAT"))))</x:f>
      </x:c>
      <x:c r="CH10" s="67" t="str">
        <x:f t="shared" si="11">IF($A10="","","P(O0,5)="&amp;TEXT($BW10,"0.0%")&amp;"; λ ajustat="&amp;TEXT($BS10,"0.00")&amp;"; Confidence="&amp;TEXT($CE10,"0")&amp;"/100; Edge="&amp;TEXT($BZ10,"0.0%")&amp;"; risc="&amp;$CF10&amp;". "&amp;$BH10)</x:f>
      </x:c>
      <x:c r="CI10" s="68" t="str">
        <x:f t="shared" si="12">IF($A10="","",$BI10)</x:f>
      </x:c>
      <x:c r="CJ10" s="112"/>
      <x:c r="CK10" s="112"/>
      <x:c r="CL10" s="112"/>
      <x:c r="CM10" s="112"/>
      <x:c r="CN10" s="112"/>
      <x:c r="CO10" s="112"/>
      <x:c r="CP10" s="112"/>
      <x:c r="CQ10" s="112"/>
      <x:c r="CR10" s="112"/>
      <x:c r="CS10" s="112"/>
      <x:c r="CT10" s="112"/>
      <x:c r="CU10" s="112"/>
      <x:c r="CV10" s="112"/>
      <x:c r="CW10" s="112"/>
      <x:c r="CX10" s="112"/>
      <x:c r="CY10" s="112"/>
      <x:c r="CZ10" s="112"/>
      <x:c r="DA10" s="112"/>
      <x:c r="DB10" s="112"/>
      <x:c r="DC10" s="114"/>
      <x:c r="DD10" s="114"/>
      <x:c r="DE10" s="112" t="s">
        <x:v>266</x:v>
      </x:c>
      <x:c r="DF10" s="112"/>
      <x:c r="DG10" s="112"/>
      <x:c r="DH10" s="112"/>
      <x:c r="DI10" s="112"/>
      <x:c r="DJ10" s="112"/>
      <x:c r="DK10" s="112"/>
      <x:c r="DL10" s="112"/>
      <x:c r="DM10" s="112"/>
      <x:c r="DN10" s="112"/>
      <x:c r="DO10" s="112"/>
      <x:c r="DP10" s="112"/>
      <x:c r="DQ10" s="114"/>
      <x:c r="DR10" s="112">
        <x:v>1</x:v>
      </x:c>
      <x:c r="DS10" s="116">
        <x:v>0</x:v>
      </x:c>
      <x:c r="DT10" s="120"/>
      <x:c r="DU10" s="116">
        <x:v>0.02</x:v>
      </x:c>
      <x:c r="DV10" s="116">
        <x:v>0.25</x:v>
      </x:c>
      <x:c r="DW10" s="118" t="str">
        <x:f>IF($A10="","",MAX('Setari model'!$B$71,MIN('Setari model'!$B$72,1+0.08*(IFERROR(AVERAGE($CM10:$CN10)/'Setari model'!$B$66,1)-1)+0.08*(IFERROR(AVERAGE($CO10:$CP10)/'Setari model'!$B$67,1)-1)+0.06*(IFERROR(AVERAGE($CQ10:$CR10)/'Setari model'!$B$68,1)-1)+0.04*(IFERROR(AVERAGE($CS10:$CT10)/'Setari model'!$B$69,1)-1)+0.04*(IFERROR(AVERAGE($CU10:$CV10)/'Setari model'!$B$70,1)-1)-'Setari model'!$B$73*IFERROR(AVERAGE($CW10:$CX10),0))))</x:f>
      </x:c>
      <x:c r="DX10" s="118" t="str">
        <x:f>IF($A10="","",1+'Setari model'!$B$62*MAX(IF(OR($CK10=1,$CL10=1),1,0),IF(AND($CJ10&lt;&gt;"",$CJ10&lt;=1),1,0))+'Setari model'!$B$63*IF(AND($CJ10&gt;1,$CJ10&lt;=3),1,0))</x:f>
      </x:c>
      <x:c r="DY10" s="118" t="str">
        <x:f>IF($A10="","",1+'Setari model'!$B$74*(IF($CY10="",0,IF($CY10=0,1,0))+IF($CZ10="",0,IF($CZ10=0,1,0)))+'Setari model'!$B$75*(IF($DA10="",0,IF($DA10=0,1,0))+IF($DB10="",0,IF($DB10=0,1,0))))</x:f>
      </x:c>
      <x:c r="DZ10" s="117" t="str">
        <x:f>IF($A10="","",MIN(0.6,MAX(0.002,(((1-'Setari model'!$B$34*MIN(1,($I10+$P10)/20))*$BT10+'Setari model'!$B$34*MIN(1,($I10+$P10)/20)*IF(COUNT($N10,$U10)=2,SQRT(MAX(0,1-$N10)*MAX(0,1-$U10)),$BT10))*(1-'Setari model'!$B$65*MIN(1,IF($AN10="",0,$AN10/'Setari model'!$B$64)))+'Setari model'!$B$65*MIN(1,IF($AN10="",0,$AN10/'Setari model'!$B$64))*IF($AM10="",$BT10,$AM10))*$DX10*$DY10/$DW10)))</x:f>
      </x:c>
      <x:c r="EA10" s="117" t="str">
        <x:f>IF($A10="","",MIN(1-$DZ10,IF(OR(MIN($I10,$P10)&lt;'Setari model'!$B$58,$CK10=1,$CL10=1,AND($CJ10&lt;&gt;"",$CJ10&lt;=1)),'Setari model'!$B$59,IF(AND($AU10=1,$AR10&gt;1,COUNT($CY10:$DB10)=4),'Setari model'!$B$61,'Setari model'!$B$60))))</x:f>
      </x:c>
      <x:c r="EB10" s="115" t="str">
        <x:f t="shared" si="13">IF($A10="","",1/$EA10)</x:f>
      </x:c>
      <x:c r="EC10" s="117" t="str">
        <x:f t="shared" si="14">IF($A10="","",IF($AR10&gt;1,IF($AS10&gt;1,(1/$AR10)/((1/$AR10)+(1/$AS10)),1/$AR10),""))</x:f>
      </x:c>
      <x:c r="ED10" s="117" t="str">
        <x:f t="shared" si="15">IF($A10="","",IF($EC10="","",$EA10-$EC10))</x:f>
      </x:c>
      <x:c r="EE10" s="117" t="str">
        <x:f t="shared" si="16">""</x:f>
      </x:c>
      <x:c r="EF10" s="119" t="str">
        <x:f>IF($A10="","",MAX(0,MIN(100,$CE10-200*MAX(0,$EG10-'Setari model'!$B$77)-IF($AU10&lt;&gt;1,10,0)-IF(COUNT($CY10:$DB10)&lt;4,4,0))))</x:f>
      </x:c>
      <x:c r="EG10" s="117" t="str">
        <x:f>IF($A10="","",'Setari model'!$B$77+IF(MIN($I10,$P10)&lt;'Setari model'!$B$58,0.03,0)+IF(OR($CK10=1,$CL10=1,AND($CJ10&lt;&gt;"",$CJ10&lt;=1)),0.03,0)+IF($AG10=0,0.02,0)+0.03*(1-MIN(1,COUNT($CM10:$CV10)/10))+0.03*(1-MIN(1,IF($AN10="",0,$AN10/'Setari model'!$B$64)))+IF($AR10&lt;=1,0.02,0))</x:f>
      </x:c>
      <x:c r="EH10" s="113" t="str">
        <x:f>IF($A10="","",IF(OR(MIN($I10,$P10)&lt;'Setari model'!$B$58,$CK10=1,$CL10=1,AND($CJ10&lt;&gt;"",$CJ10&lt;=1)),"92% – early/regim",IF(AND($AU10=1,$AR10&gt;1,COUNT($CY10:$DB10)=4),"94% – confirmat","93% – standard")))</x:f>
      </x:c>
      <x:c r="EI10" s="113" t="str">
        <x:f t="shared" si="17">IF($A10="","",IF(AND($EA10&gt;0.9,$AU10&lt;&gt;1),"WAIT XI – HIGH P",IF(AND($EA10&gt;0.9,COUNT($CY10:$DB10)&lt;4),"WAIT DATE CHEIE – HIGH P",IF($EP10&lt;&gt;"DA","NU – PORTOFOLIU","DA"))))</x:f>
      </x:c>
      <x:c r="EJ10" s="117" t="str">
        <x:f t="shared" si="18">IF($A10="","",IF($DE10&lt;&gt;"Live 20-30","",IF(SUM($DG10:$DH10)&gt;0,1,IF($EU10="","",1-MIN(0.95,MAX(0.001,EXP(-$EU10)*$DX10*$DY10/$DW10))))))</x:f>
      </x:c>
      <x:c r="EK10" s="117" t="str">
        <x:f t="shared" si="19">""</x:f>
      </x:c>
      <x:c r="EL10" s="113" t="str">
        <x:f>IF($A10="","",IF($DE10="Live 20-30",IF(SUM($DG10:$DH10)&gt;0,"EVENIMENT ÎNDEPLINIT",IF(OR($DF10="",COUNT($DI10:$DN10)&lt;4),"LIVE – WATCH",IF($EJ10&gt;=0.75,"LIVE – FEZABIL TEHNIC","LIVE – NO BET"))),IF($EI10&lt;&gt;"DA","WATCH / NO BET",IF(AND($EA10&gt;=INDEX('Setari model'!$B$35:$B$40,1),$EF10&gt;=100*'Setari model'!$B$76),"PARIU RECOMANDAT",IF(AND($EA10&gt;=INDEX('Setari model'!$B$35:$B$40,5),$EF10&gt;=100*'Setari model'!$B$40),"WATCH – APROAPE DE PRAG","PARIU EVITAT")))))</x:f>
      </x:c>
      <x:c r="EM10" s="113" t="str">
        <x:f t="shared" si="20">IF($A10="","",IF($DE10="Live 20-30",IF(SUM($DG10:$DH10)&gt;0,"Gol deja marcat.",IF($DF10="","Minut live lipsă.",IF(COUNT($DI10:$DN10)&lt;4,"Lipsesc xG/SOT/big chances live.",IF($EJ10&lt;0.75,"P live sub prag.","Semnal live tehnic complet; EV ignorat.")))),IF($EI10&lt;&gt;"DA",$EI10,IF($EF10&lt;75,"Confidence sub 75.",IF($EA10&lt;0.92,"P sub 92%.","G0/Zero-Mass + confidence trecute; EV ignorat.")))))</x:f>
      </x:c>
      <x:c r="EN10" s="117" t="str">
        <x:f>IF($A10="","",IF(OR($EL10="PARIU RECOMANDAT",$EL10="LIVE – FEZABIL"),MIN(IF($DU10&gt;0,$DU10,'Setari model'!$B$81)/MAX(1,$DR10),IF($DV10&gt;0,$DV10,'Setari model'!$B$80)*MAX(0,((IF($DE10="Live 20-30",$EJ10,$EA10)*IF($DE10="Live 20-30",$DQ10,$AR10)-1)/(IF($DE10="Live 20-30",$DQ10,$AR10)-1)))),0))</x:f>
      </x:c>
      <x:c r="EO10" s="121" t="str">
        <x:f t="shared" si="21">IF($A10="","",IF(AND($EN10&gt;0,$DT10&gt;0),$EN10*$DT10,""))</x:f>
      </x:c>
      <x:c r="EP10" s="113" t="str">
        <x:f>IF($A10="","",IF(OR($DR10&lt;1,$DR10&gt;'Setari model'!$B$78),"NU – 1–5 selecții",IF($DS10&gt;'Setari model'!$B$79,"NU – corelație", "DA")))</x:f>
      </x:c>
      <x:c r="EQ10" s="117" t="str">
        <x:f t="shared" si="22">IF($A10="","",IF(AND($DC10&gt;1,$DD10&gt;1),$DC10/$DD10-1,""))</x:f>
      </x:c>
      <x:c r="ER10" s="113" t="str">
        <x:f t="shared" si="23">IF($A10="","","P v2="&amp;TEXT($EA10,"0.0%")&amp;" ±"&amp;TEXT($EG10,"0.0%")&amp;"; P0 ZIP="&amp;TEXT($DZ10,"0.0%")&amp;"; Confidence="&amp;TEXT($EF10,"0")&amp;"/100; piață reală="&amp;IF($EC10="","NU","DA")&amp;"; EV="&amp;IF($EE10="","n/a",TEXT($EE10,"0.0%"))&amp;"; gate="&amp;$EI10&amp;"; verdict="&amp;$EL10&amp;". "&amp;$EM10)</x:f>
      </x:c>
      <x:c r="ES10" s="119" t="str">
        <x:f>IF($A10="","",'Setari model'!$B$82)</x:f>
      </x:c>
      <x:c r="ET10" s="118" t="str">
        <x:f>IF($A10="","",'Setari model'!$B$83)</x:f>
      </x:c>
      <x:c r="EU10" s="115" t="str">
        <x:f t="shared" si="24">IF(OR($A10="",$DE10&lt;&gt;"Live 20-30",$DF10="",$DF10&lt;$ES10,$DF10&gt;=90),"",MAX(0.05,MIN($BS10*$ET10,$BS10*(90-$DF10)/90+0.35*($DI10+$DJ10)+0.06*($DK10+$DL10)+0.15*($DM10+$DN10)+0.1*(MAX($DO10,$DP10)-MIN($DO10,$DP10)))))</x:f>
      </x:c>
      <x:c r="EV10" s="132"/>
      <x:c r="EW10" s="132"/>
      <x:c r="EX10" s="132"/>
      <x:c r="EY10" s="132"/>
      <x:c r="EZ10" s="132"/>
      <x:c r="FA10" s="132"/>
      <x:c r="FB10" s="247"/>
      <x:c r="FC10" s="134" t="str">
        <x:f t="shared" si="25">IF($A10="","",IF(OR($J10="",$L10="",$L10&lt;=0),"",MAX(0.5,MIN(1.5,$J10/$L10))))</x:f>
      </x:c>
      <x:c r="FD10" s="134" t="str">
        <x:f t="shared" si="26">IF($A10="","",IF(OR($Q10="",$S10="",$S10&lt;=0),"",MAX(0.5,MIN(1.5,$Q10/$S10))))</x:f>
      </x:c>
      <x:c r="FE10" s="134" t="str">
        <x:f>IF($A10="","",IF(COUNT($EV10:$EW10)&lt;2,"",SQRT($EV10*$EW10)/'Setari model'!$B$87))</x:f>
      </x:c>
      <x:c r="FF10" s="134" t="str">
        <x:f>IF($A10="","",IF(COUNT($O10,$V10,$EX10,$EY10)&lt;4,"",AVERAGE(SQRT($O10*$EY10),SQRT($V10*$EX10))/'Setari model'!$B$88))</x:f>
      </x:c>
      <x:c r="FG10" s="134" t="str">
        <x:f t="shared" si="27">IF($A10="","",IF(COUNT($FC10:$FD10)&lt;2,"",MAX(0,1-AVERAGE($FC10:$FD10))))</x:f>
      </x:c>
      <x:c r="FH10" s="134" t="str">
        <x:f>IF($A10="","",IF(COUNT($EZ10:$FA10)&lt;2,"",'Setari model'!$B$94*AVERAGE($EZ10:$FA10)/'Setari model'!$B$89))</x:f>
      </x:c>
      <x:c r="FI10" s="134" t="str">
        <x:f>IF($A10="","",IF(COUNT($FE10:$FH10)&lt;4,"",MAX('Setari model'!$B$97,MIN('Setari model'!$B$98,1+'Setari model'!$B$90*($FE10-1)+'Setari model'!$B$91*($FF10-1)+'Setari model'!$B$92*$FG10+'Setari model'!$B$93*($FH10-1)))))</x:f>
      </x:c>
      <x:c r="FJ10" s="133" t="str">
        <x:f>IF($A10="","",IF($FI10="","",MIN('Setari model'!$B$101,MAX(0.002,$DZ10*$FI10))))</x:f>
      </x:c>
      <x:c r="FK10" s="131" t="str">
        <x:f t="shared" si="28">IF($A10="","",IF(AND(COUNT($EV10:$FA10)=6,COUNT($O10,$V10,$FC10,$FD10)=4),"DA","NU"))</x:f>
      </x:c>
      <x:c r="FL10" s="131" t="str">
        <x:f>IF($A10="","",IF($FK10&lt;&gt;"DA","NEDETERMINAT",IF($FI10&lt;='Setari model'!$B$99,"SCĂZUT",IF($FI10&lt;='Setari model'!$B$100,"MEDIU","RIDICAT"))))</x:f>
      </x:c>
      <x:c r="FM10" s="131" t="str">
        <x:f>IF($A10="","",IF(AND($AR10&gt;1,$EC10&gt;='Setari model'!$B$106),"DA","NU"))</x:f>
      </x:c>
      <x:c r="FN10" s="131" t="str">
        <x:f t="shared" si="29">IF($A10="","",IF(AND($AU10=1,COUNT($CY10:$DB10)=4),"DA","NU"))</x:f>
      </x:c>
      <x:c r="FO10" s="133" t="str">
        <x:f>IF($A10="","",IF(OR($FK10&lt;&gt;"DA",$FL10="RIDICAT"),'Setari model'!$B$102,IF($FL10="MEDIU",'Setari model'!$B$103,IF(AND($FM10="DA",$FN10="DA"),'Setari model'!$B$105,'Setari model'!$B$104))))</x:f>
      </x:c>
      <x:c r="FP10" s="133" t="str">
        <x:f t="shared" si="30">IF($A10="","",IF($FJ10="","",MIN(1-$FJ10,$FO10)))</x:f>
      </x:c>
      <x:c r="FQ10" s="135" t="str">
        <x:f t="shared" si="31">IF($A10="","",IF($FP10="","",IF($FP10&gt;0,1/$FP10,"")))</x:f>
      </x:c>
      <x:c r="FR10" s="133" t="str">
        <x:f t="shared" si="32">IF($A10="","",IF($EC10="","",$FP10-$EC10))</x:f>
      </x:c>
      <x:c r="FS10" s="133" t="str">
        <x:f t="shared" si="33">IF($A10="","",IF($AR10&gt;1,$FP10*$AR10-1,""))</x:f>
      </x:c>
      <x:c r="FT10" s="136" t="str">
        <x:f>IF($A10="","",MAX(0,MIN(100,$EF10-IF($FK10&lt;&gt;"DA",'Setari model'!$B$107,0)-IF($FL10="MEDIU",'Setari model'!$B$108,0)-IF($FL10="RIDICAT",'Setari model'!$B$109,0))))</x:f>
      </x:c>
      <x:c r="FU10" s="131" t="str">
        <x:f t="shared" si="34">IF($A10="","",IF($AR10&lt;=1,"NU – LIPSEȘTE COTA REALĂ",IF($FK10&lt;&gt;"DA","NU – ZERO-RISK INCOMPLET",IF($FL10&lt;&gt;"SCĂZUT","NU – RISC 0-0 "&amp;$FL10,IF($FN10&lt;&gt;"DA","NU – LINEUP NECONFIRMAT",IF($FM10&lt;&gt;"DA","NU – PIAȚĂ NECONFIRMATĂ",IF($EP10&lt;&gt;"DA","NU – PORTOFOLIU","DA")))))))</x:f>
      </x:c>
      <x:c r="FV10" s="131" t="str">
        <x:f>IF($A10="","",IF($FU10&lt;&gt;"DA","WATCH / NO BET",IF(AND($FP10&gt;='Setari model'!$B$35,$FT10&gt;=100*'Setari model'!$B$76,$FS10&gt;0),"PARIU RECOMANDAT",IF(AND($FP10&gt;='Setari model'!$B$39,$FT10&gt;=100*'Setari model'!$B$40,$FS10&gt;0),"WATCH – APROAPE DE PRAG","PARIU EVITAT"))))</x:f>
      </x:c>
      <x:c r="FW10" s="131" t="str">
        <x:f t="shared" si="35">IF($A10="","",IF($FU10&lt;&gt;"DA",$FU10,IF($FT10&lt;75,"Confidence v3 sub 75.",IF($FP10&lt;0.92,"P v3 sub 92%.",IF($FS10&lt;=0,"EV v3 nepozitiv.","P0 v3, lineup și piață confirmate.")))))</x:f>
      </x:c>
      <x:c r="FX10" s="131" t="str">
        <x:f t="shared" si="36">IF($A10="","","P v3="&amp;TEXT($FP10,"0.0%")&amp;"; P0 v3="&amp;TEXT($FJ10,"0.0%")&amp;"; factor zero="&amp;IF($FI10="","n/a",TEXT($FI10,"0.00x"))&amp;" ("&amp;$FL10&amp;"); cap="&amp;TEXT($FO10,"0.0%")&amp;"; Confidence="&amp;TEXT($FT10,"0")&amp;"/100; lineup="&amp;$FN10&amp;"; piață="&amp;$FM10&amp;"; EV="&amp;IF($FS10="","n/a",TEXT($FS10,"0.0%"))&amp;"; gate="&amp;$FU10&amp;"; verdict="&amp;$FV10&amp;". "&amp;$FW10)</x:f>
      </x:c>
      <x:c r="FY10" s="159"/>
      <x:c r="FZ10" s="159"/>
      <x:c r="GA10" s="157"/>
      <x:c r="GB10" s="157"/>
      <x:c r="GC10" s="161" t="str">
        <x:f t="shared" si="37">IF($A10="","",IF(OR($X10="",$Z10="",$Z10&lt;=0),"",MAX(0.5,MIN(1.5,$X10/$Z10))))</x:f>
      </x:c>
      <x:c r="GD10" s="161" t="str">
        <x:f t="shared" si="38">IF($A10="","",IF(OR($AC10="",$AE10="",$AE10&lt;=0),"",MAX(0.5,MIN(1.5,$AC10/$AE10))))</x:f>
      </x:c>
      <x:c r="GE10" s="162" t="str">
        <x:f t="shared" si="39">IF($A10="","",IF(COUNT($Z10,$AE10)&lt;2,"",AVERAGE($Z10,$AE10)))</x:f>
      </x:c>
      <x:c r="GF10" s="158" t="str">
        <x:f>IF($A10="","",IF(COUNT($FY10:$FZ10)&lt;2,"NEDETERMINAT",IF(AND($FY10&gt;='Setari model'!$B$113,$FZ10&gt;='Setari model'!$B$113),"DA","NU")))</x:f>
      </x:c>
      <x:c r="GG10" s="158" t="str">
        <x:f>IF($A10="","",IF(COUNT($FY10:$FZ10,$EX10:$EY10)&lt;4,"NEDETERMINAT",IF(OR(AND($FY10&gt;='Setari model'!$B$113,$EY10&gt;='Setari model'!$B$114),AND($FZ10&gt;='Setari model'!$B$113,$EX10&gt;='Setari model'!$B$114)),"DA","NU")))</x:f>
      </x:c>
      <x:c r="GH10" s="158" t="str">
        <x:f>IF($A10="","",IF(COUNT($BJ10:$BN10,$GC10:$GE10)&lt;8,"NEDETERMINAT",IF(AND((($BJ10*INDEX('Setari model'!$B$5:$B$11,MATCH($E10,'Setari model'!$A$5:$A$11,0))+$BK10*INDEX('Setari model'!$C$5:$C$11,MATCH($E10,'Setari model'!$A$5:$A$11,0))+$BL10*INDEX('Setari model'!$D$5:$D$11,MATCH($E10,'Setari model'!$A$5:$A$11,0))+$BM10*INDEX('Setari model'!$E$5:$E$11,MATCH($E10,'Setari model'!$A$5:$A$11,0))+$BN10*INDEX('Setari model'!$F$5:$F$11,MATCH($E10,'Setari model'!$A$5:$A$11,0)))/(INDEX('Setari model'!$B$5:$B$11,MATCH($E10,'Setari model'!$A$5:$A$11,0))+INDEX('Setari model'!$C$5:$C$11,MATCH($E10,'Setari model'!$A$5:$A$11,0))+INDEX('Setari model'!$D$5:$D$11,MATCH($E10,'Setari model'!$A$5:$A$11,0))+INDEX('Setari model'!$E$5:$E$11,MATCH($E10,'Setari model'!$A$5:$A$11,0))+INDEX('Setari model'!$F$5:$F$11,MATCH($E10,'Setari model'!$A$5:$A$11,0))))*$BR10&gt;='Setari model'!$B$115,(($BJ10*INDEX('Setari model'!$B$5:$B$11,MATCH($E10,'Setari model'!$A$5:$A$11,0))+$BK10*INDEX('Setari model'!$C$5:$C$11,MATCH($E10,'Setari model'!$A$5:$A$11,0))+$BL10*INDEX('Setari model'!$D$5:$D$11,MATCH($E10,'Setari model'!$A$5:$A$11,0))+$BM10*INDEX('Setari model'!$E$5:$E$11,MATCH($E10,'Setari model'!$A$5:$A$11,0))+$BN10*INDEX('Setari model'!$F$5:$F$11,MATCH($E10,'Setari model'!$A$5:$A$11,0)))/(INDEX('Setari model'!$B$5:$B$11,MATCH($E10,'Setari model'!$A$5:$A$11,0))+INDEX('Setari model'!$C$5:$C$11,MATCH($E10,'Setari model'!$A$5:$A$11,0))+INDEX('Setari model'!$D$5:$D$11,MATCH($E10,'Setari model'!$A$5:$A$11,0))+INDEX('Setari model'!$E$5:$E$11,MATCH($E10,'Setari model'!$A$5:$A$11,0))+INDEX('Setari model'!$F$5:$F$11,MATCH($E10,'Setari model'!$A$5:$A$11,0))))*$BR10&lt;='Setari model'!$B$116,AVERAGE($GC10:$GD10)&lt;='Setari model'!$B$117,$GE10&gt;='Setari model'!$B$118),"DA","NU")))</x:f>
      </x:c>
      <x:c r="GI10" s="158" t="str">
        <x:f>IF($A10="","",IF(COUNT($W10,$AB10,$GA10:$GB10)&lt;4,"NEDETERMINAT",IF(AND($W10&gt;='Setari model'!$B$120,$AB10&gt;='Setari model'!$B$120,OR(IFERROR($GA10/$W10,0)&gt;='Setari model'!$B$119,IFERROR($GB10/$AB10,0)&gt;='Setari model'!$B$119)),"DA","NU")))</x:f>
      </x:c>
      <x:c r="GJ10" s="160" t="str">
        <x:f>IF($A10="","",IF(COUNT($FY10:$GB10)&lt;4,"",IF($GH10&lt;&gt;"DA",0,'Setari model'!$B$121*IF($GF10="DA",1,0)+'Setari model'!$B$122*IF($GG10="DA",1,0)+'Setari model'!$B$123+'Setari model'!$B$124*IF($GI10="DA",1,0))))</x:f>
      </x:c>
      <x:c r="GK10" s="161" t="str">
        <x:f>IF($A10="","",IF(COUNT($GJ10)=0,"",1+'Setari model'!$B$125*$GJ10))</x:f>
      </x:c>
      <x:c r="GL10" s="160" t="str">
        <x:f>IF($A10="","",IF($GM10&lt;&gt;"DA",$FJ10,MIN('Setari model'!$B$101,MAX(0.002,$FJ10*$GK10))))</x:f>
      </x:c>
      <x:c r="GM10" s="158" t="str">
        <x:f>IF($A10="","",IF(AND($FK10="DA",COUNT($FY10:$GB10)=4,COUNT($I10,$P10,$W10,$AB10,$Z10,$AE10,$EX10,$EY10,$GC10,$GD10)=10,COUNT($BJ10:$BN10)=5),"DA","NU"))</x:f>
      </x:c>
      <x:c r="GN10" s="158" t="str">
        <x:f>IF($A10="","",IF($GM10&lt;&gt;"DA","NEDETERMINAT",IF($FI10*$GK10&lt;='Setari model'!$B$99,"SCĂZUT",IF($FI10*$GK10&lt;='Setari model'!$B$100,"MEDIU","RIDICAT"))))</x:f>
      </x:c>
      <x:c r="GO10" s="160" t="str">
        <x:f>IF($A10="","",IF(OR($GM10&lt;&gt;"DA",$GN10="RIDICAT"),'Setari model'!$B$102,IF($GN10="MEDIU",'Setari model'!$B$103,IF(AND($FM10="DA",$FN10="DA"),'Setari model'!$B$105,'Setari model'!$B$104))))</x:f>
      </x:c>
      <x:c r="GP10" s="160" t="str">
        <x:f t="shared" si="40">IF($A10="","",IF($GL10="","",MIN(1-$GL10,$GO10)))</x:f>
      </x:c>
      <x:c r="GQ10" s="162" t="str">
        <x:f t="shared" si="41">IF($A10="","",IF($GP10="","",IF($GP10&gt;0,1/$GP10,"")))</x:f>
      </x:c>
      <x:c r="GR10" s="160" t="str">
        <x:f t="shared" si="42">IF($A10="","",IF($EC10="","",$GP10-$EC10))</x:f>
      </x:c>
      <x:c r="GS10" s="160" t="str">
        <x:f t="shared" si="43">IF($A10="","",IF($AR10&gt;1,$GP10*$AR10-1,""))</x:f>
      </x:c>
      <x:c r="GT10" s="163" t="str">
        <x:f>IF($A10="","",MAX(0,MIN(100,$FT10-IF(AND($GM10&lt;&gt;"DA",$FK10="DA"),'Setari model'!$B$107,0)-'Setari model'!$B$126*IF($GJ10="",0,$GJ10))))</x:f>
      </x:c>
      <x:c r="GU10" s="158" t="str">
        <x:f t="shared" si="44">IF($A10="","",IF($AR10&lt;=1,"NU – LIPSEȘTE COTA REALĂ",IF($GM10&lt;&gt;"DA","NU – DATE LOW-CONVERSION INCOMPLETE",IF($GN10&lt;&gt;"SCĂZUT","NU – RISC 0-0 "&amp;$GN10,IF($FN10&lt;&gt;"DA","NU – LINEUP NECONFIRMAT",IF($FM10&lt;&gt;"DA","NU – PIAȚĂ NECONFIRMATĂ",IF($EP10&lt;&gt;"DA","NU – PORTOFOLIU","DA")))))))</x:f>
      </x:c>
      <x:c r="GV10" s="158" t="str">
        <x:f>IF($A10="","",IF($GU10&lt;&gt;"DA","WATCH / NO BET",IF(AND($GP10&gt;='Setari model'!$B$35,$GT10&gt;=100*'Setari model'!$B$76,$GS10&gt;0),"PARIU RECOMANDAT",IF(AND($GP10&gt;='Setari model'!$B$39,$GT10&gt;=100*'Setari model'!$B$40,$GS10&gt;0),"WATCH – APROAPE DE PRAG","PARIU EVITAT"))))</x:f>
      </x:c>
      <x:c r="GW10" s="158" t="str">
        <x:f t="shared" si="45">IF($A10="","",IF($GU10&lt;&gt;"DA",$GU10,IF($GT10&lt;75,"Confidence v5 sub 75.",IF($GP10&lt;0.92,"P v5 sub 92%.",IF($GS10&lt;=0,"EV v5 nepozitiv.",IF($GJ10&gt;0,"Low-conversion absorbit în P0; toate porțile rămân trecute.","Toate porțile v5 sunt trecute."))))))</x:f>
      </x:c>
      <x:c r="GX10" s="158" t="str">
        <x:f t="shared" si="46">IF($A10="","","P v5="&amp;TEXT($GP10,"0.0%")&amp;"; P0 v5="&amp;TEXT($GL10,"0.0%")&amp;"; low-conv="&amp;IF(COUNT($GJ10)=0,"n/a",TEXT($GJ10,"0%"))&amp;"; mult.P0="&amp;IF(COUNT($GK10)=0,"n/a",TEXT($GK10,"0.00"))&amp;"; clasă="&amp;$GN10&amp;"; cap="&amp;TEXT($GO10,"0.0%")&amp;"; Confidence="&amp;TEXT($GT10,"0")&amp;"/100; lineup="&amp;$FN10&amp;"; piață="&amp;$FM10&amp;"; EV="&amp;IF($GS10="","n/a",TEXT($GS10,"0.0%"))&amp;"; gate="&amp;$GU10&amp;"; verdict="&amp;$GV10&amp;". "&amp;$GW10)</x:f>
      </x:c>
      <x:c r="GY10" s="174" t="str">
        <x:f>IF($A10="","",IF($GM10&lt;&gt;"DA","SOURCING INCOMPLETE – REVIEW REQUIRED",IF(MIN($I10,$P10,$W10,$AB10)&lt;'Setari model'!$B$58,"SMALL SAMPLE + PRIOR / SHRINKAGE","VERIFIED / PRIOR / SHRINKAGE")))</x:f>
      </x:c>
      <x:c r="GZ10" s="175" t="str">
        <x:f t="shared" si="47">IF($A10="","",MAX(0,MIN(100,100*(1-AVERAGE(IF($GM10="DA",1,0),MIN(1,$AT10/5))))))</x:f>
      </x:c>
      <x:c r="HA10" s="175" t="str">
        <x:f>IF($A10="","",IF($GM10&lt;&gt;"DA","",MAX(0,MIN(100,100*(($FI10*$GK10)-'Setari model'!$B$97)/('Setari model'!$B$98-'Setari model'!$B$97)))))</x:f>
      </x:c>
      <x:c r="HB10" s="175" t="str">
        <x:f>IF($A10="","",MAX(0,MIN(100,100*(ABS($BR10-1)/MAX(1-'Setari model'!$B$53,'Setari model'!$B$54-1)+MIN(1,$BG10/2))/2)))</x:f>
      </x:c>
      <x:c r="HC10" s="175" t="str">
        <x:f t="shared" si="48">IF($A10="","",MAX(0,MIN(100,100*(1-AVERAGE($CC10,MAX(0,1-(MAX($BJ10:$BN10)-MIN($BJ10:$BN10))/(AVERAGE($BJ10:$BN10)*'Setari model'!$B$45)))))))</x:f>
      </x:c>
      <x:c r="HD10" s="175" t="str">
        <x:f t="shared" si="49">IF($A10="","",MAX(0,MIN(100,100*MAX(IF($GJ10="",0,$GJ10),MIN(1,$BG10/2)))))</x:f>
      </x:c>
      <x:c r="HE10" s="175" t="str">
        <x:f>IF($A10="","",IF(COUNT($GZ10:$HD10)&lt;5,"",$GZ10*Risk_Classification!$E$28+$HA10*Risk_Classification!$E$29+$HB10*Risk_Classification!$E$30+$HC10*Risk_Classification!$E$31+$HD10*Risk_Classification!$E$32))</x:f>
      </x:c>
      <x:c r="HF10" s="176" t="str">
        <x:f t="shared" si="50">IF($A10="","",IF($HE10="","",IF($HE10&lt;=20,1,IF($HE10&lt;=40,2,IF($HE10&lt;=60,3,IF($HE10&lt;=80,4,5))))))</x:f>
      </x:c>
      <x:c r="HG10" s="176" t="str">
        <x:f t="shared" si="51">IF($A10="","",IF($GM10="DA","PASS","FAIL – DATE CRITICE ZERO-MASS INCOMPLETE"))</x:f>
      </x:c>
      <x:c r="HH10" s="176" t="str">
        <x:f t="shared" si="52">IF($A10="","",IF($HG10&lt;&gt;"PASS",5,$HF10))</x:f>
      </x:c>
      <x:c r="HI10" s="174" t="str">
        <x:f t="shared" si="53">IF($A10="","",IF($HH10="","N/A",IF($HH10=1,"DEFENSIV",IF($HH10=2,"PRUDENT",IF($HH10=3,"MODERAT",IF($HH10=4,"RIDICAT","WATCH / NO BET"))))))</x:f>
      </x:c>
      <x:c r="HJ10" s="177" t="str">
        <x:f t="shared" si="54">IF($A10="","","Data="&amp;$GY10&amp;"; DQ="&amp;TEXT($GZ10,"0.0")&amp;"; ZM="&amp;IF($HA10="","n/a",TEXT($HA10,"0.0"))&amp;"; Context="&amp;TEXT($HB10,"0.0")&amp;"; Uncertainty="&amp;TEXT($HC10,"0.0")&amp;"; Compound="&amp;TEXT($HD10,"0.0")&amp;"; Risk Score="&amp;IF($HE10="","n/a",TEXT($HE10,"0.0"))&amp;"; Base="&amp;IF($HF10="","n/a",$HF10)&amp;"; G0="&amp;$HG10&amp;"; Final="&amp;$HH10&amp;". Cota, EV si lineup sunt informative si nu intra in recomandare.")</x:f>
      </x:c>
      <x:c r="HK10" s="174" t="str">
        <x:f t="shared" si="55">IF($A10="","",$HI10)</x:f>
      </x:c>
    </x:row>
    <x:row r="11" ht="24" customHeight="1">
      <x:c r="A11" s="58"/>
      <x:c r="B11" s="24"/>
      <x:c r="C11" s="59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18"/>
      <x:c r="O11" s="18"/>
      <x:c r="P11" s="24"/>
      <x:c r="Q11" s="24"/>
      <x:c r="R11" s="24"/>
      <x:c r="S11" s="24"/>
      <x:c r="T11" s="24"/>
      <x:c r="U11" s="18"/>
      <x:c r="V11" s="18"/>
      <x:c r="W11" s="24"/>
      <x:c r="X11" s="24"/>
      <x:c r="Y11" s="24"/>
      <x:c r="Z11" s="24"/>
      <x:c r="AA11" s="24"/>
      <x:c r="AB11" s="24"/>
      <x:c r="AC11" s="24"/>
      <x:c r="AD11" s="24"/>
      <x:c r="AE11" s="24"/>
      <x:c r="AF11" s="24"/>
      <x:c r="AG11" s="24"/>
      <x:c r="AH11" s="24"/>
      <x:c r="AI11" s="18"/>
      <x:c r="AJ11" s="24"/>
      <x:c r="AK11" s="24"/>
      <x:c r="AL11" s="24"/>
      <x:c r="AM11" s="18"/>
      <x:c r="AN11" s="24"/>
      <x:c r="AO11" s="60"/>
      <x:c r="AP11" s="60"/>
      <x:c r="AQ11" s="60"/>
      <x:c r="AR11" s="60"/>
      <x:c r="AS11" s="60"/>
      <x:c r="AT11" s="24"/>
      <x:c r="AU11" s="24"/>
      <x:c r="AV11" s="24"/>
      <x:c r="AW11" s="24"/>
      <x:c r="AX11" s="24"/>
      <x:c r="AY11" s="24"/>
      <x:c r="AZ11" s="24"/>
      <x:c r="BA11" s="24"/>
      <x:c r="BB11" s="24"/>
      <x:c r="BC11" s="24"/>
      <x:c r="BD11" s="24"/>
      <x:c r="BE11" s="24"/>
      <x:c r="BF11" s="24"/>
      <x:c r="BG11" s="24"/>
      <x:c r="BH11" s="61"/>
      <x:c r="BI11" s="61"/>
      <x:c r="BJ11" s="62" t="str">
        <x:f>IF($A11="","",SQRT((($I11*IF($J11="",$AJ11,$J11)+'Setari model'!$B$30*$AJ11)/($I11+'Setari model'!$B$30))*(($P11*IF($R11="",$AJ11,$R11)+'Setari model'!$B$30*$AJ11)/($P11+'Setari model'!$B$30)))+SQRT((($P11*IF($Q11="",$AK11,$Q11)+'Setari model'!$B$30*$AK11)/($P11+'Setari model'!$B$30))*(($I11*IF($K11="",$AK11,$K11)+'Setari model'!$B$30*$AK11)/($I11+'Setari model'!$B$30))))</x:f>
      </x:c>
      <x:c r="BK11" s="62" t="str">
        <x:f>IF($A11="","",SQRT((($I11*IF($L11="",IF($J11="",$AJ11,$J11),$L11)+'Setari model'!$B$30*$AJ11)/($I11+'Setari model'!$B$30))*(($P11*IF($T11="",IF($R11="",$AJ11,$R11),$T11)+'Setari model'!$B$30*$AJ11)/($P11+'Setari model'!$B$30)))+SQRT((($P11*IF($S11="",IF($Q11="",$AK11,$Q11),$S11)+'Setari model'!$B$30*$AK11)/($P11+'Setari model'!$B$30))*(($I11*IF($M11="",IF($K11="",$AK11,$K11),$M11)+'Setari model'!$B$30*$AK11)/($I11+'Setari model'!$B$30))))</x:f>
      </x:c>
      <x:c r="BL11" s="62" t="str">
        <x:f>IF($A11="","",SQRT((($W11*IF($X11="",$AL11/2,$X11)+'Setari model'!$B$31*$AL11/2)/($W11+'Setari model'!$B$31))*(($AB11*IF($AD11="",$AL11/2,$AD11)+'Setari model'!$B$31*$AL11/2)/($AB11+'Setari model'!$B$31)))+SQRT((($AB11*IF($AC11="",$AL11/2,$AC11)+'Setari model'!$B$31*$AL11/2)/($AB11+'Setari model'!$B$31))*(($W11*IF($Y11="",$AL11/2,$Y11)+'Setari model'!$B$31*$AL11/2)/($W11+'Setari model'!$B$31))))</x:f>
      </x:c>
      <x:c r="BM11" s="62" t="str">
        <x:f>IF($A11="","",SQRT((($W11*IF($Z11="",IF($X11="",$AL11/2,$X11),$Z11)+'Setari model'!$B$31*$AL11/2)/($W11+'Setari model'!$B$31))*(($AB11*IF($AF11="",IF($AD11="",$AL11/2,$AD11),$AF11)+'Setari model'!$B$31*$AL11/2)/($AB11+'Setari model'!$B$31)))+SQRT((($AB11*IF($AE11="",IF($AC11="",$AL11/2,$AC11),$AE11)+'Setari model'!$B$31*$AL11/2)/($AB11+'Setari model'!$B$31))*(($W11*IF($AA11="",IF($Y11="",$AL11/2,$Y11),$AA11)+'Setari model'!$B$31*$AL11/2)/($W11+'Setari model'!$B$31))))</x:f>
      </x:c>
      <x:c r="BN11" s="62" t="str">
        <x:f t="shared" si="0">IF($A11="","",IF($AG11&gt;0,($AG11*IF($AH11="",$AL11,$AH11)+5*$AL11)/($AG11+5),$AL11))</x:f>
      </x:c>
      <x:c r="BO11" s="63" t="str">
        <x:f>IF($A11="","",IF($AR11&gt;1,IF($AS11&gt;1,(1/$AR11)/((1/$AR11+1/$AS11)),MIN(0.995,(1/$AR11)/(1+'Setari model'!$B$32))),1-EXP(-$AL11)))</x:f>
      </x:c>
      <x:c r="BP11" s="62" t="str">
        <x:f t="shared" si="1">IF($A11="","",-LN(1-$BO11))</x:f>
      </x:c>
      <x:c r="BQ11" s="62" t="str">
        <x:f>IF($A11="","",$BJ11*INDEX('Setari model'!$B$5:$B$11,MATCH($E11,'Setari model'!$A$5:$A$11,0))+$BK11*INDEX('Setari model'!$C$5:$C$11,MATCH($E11,'Setari model'!$A$5:$A$11,0))+$BL11*INDEX('Setari model'!$D$5:$D$11,MATCH($E11,'Setari model'!$A$5:$A$11,0))+$BM11*INDEX('Setari model'!$E$5:$E$11,MATCH($E11,'Setari model'!$A$5:$A$11,0))+$BN11*INDEX('Setari model'!$F$5:$F$11,MATCH($E11,'Setari model'!$A$5:$A$11,0))+$BP11*INDEX('Setari model'!$G$5:$G$11,MATCH($E11,'Setari model'!$A$5:$A$11,0)))</x:f>
      </x:c>
      <x:c r="BR11" s="64" t="str">
        <x:f>IF($A11="","",MAX('Setari model'!$B$53,MIN('Setari model'!$B$54,1+($AV11*'Setari model'!$B$15+$AW11*'Setari model'!$B$16+$AX11*'Setari model'!$B$17+$AY11*'Setari model'!$B$18+$AZ11*'Setari model'!$B$19+$BA11*'Setari model'!$B$20+$BB11*'Setari model'!$B$21+$BC11*'Setari model'!$B$22+$BD11*'Setari model'!$B$23+$BE11*'Setari model'!$B$24+$BF11*'Setari model'!$B$25)*INDEX('Setari model'!$H$5:$H$11,MATCH($E11,'Setari model'!$A$5:$A$11,0)))))</x:f>
      </x:c>
      <x:c r="BS11" s="62" t="str">
        <x:f t="shared" si="2">IF($A11="","",$BQ11*$BR11)</x:f>
      </x:c>
      <x:c r="BT11" s="63" t="str">
        <x:f t="shared" si="3">IF($A11="","",EXP(-$BS11))</x:f>
      </x:c>
      <x:c r="BU11" s="65" t="str">
        <x:f>IF($A11="","",IF(OR($AM11="",$AN11=""),1,1+MIN('Setari model'!$B$33,$AN11/100*'Setari model'!$B$33)*($AM11/EXP(-$AL11)-1)))</x:f>
      </x:c>
      <x:c r="BV11" s="63" t="str">
        <x:f>IF($A11="","",MIN(0.45,MAX(0.005,(1-'Setari model'!$B$34*MIN(1,($I11+$P11)/20))*MIN(0.45,$BT11*$BU11)+'Setari model'!$B$34*MIN(1,($I11+$P11)/20)*IF(COUNT($N11,$U11)=2,SQRT(MAX(0,1-$N11)*MAX(0,1-$U11)),IF($AM11="",EXP(-$AL11),$AM11)))))</x:f>
      </x:c>
      <x:c r="BW11" s="63" t="str">
        <x:f t="shared" si="4">IF($A11="","",1-$BV11)</x:f>
      </x:c>
      <x:c r="BX11" s="62" t="str">
        <x:f t="shared" si="5">IF($A11="","",1/$BW11)</x:f>
      </x:c>
      <x:c r="BY11" s="63" t="str">
        <x:f t="shared" si="6">IF($A11="","",$BO11)</x:f>
      </x:c>
      <x:c r="BZ11" s="63" t="str">
        <x:f t="shared" si="7">IF($A11="","",$BW11-$BY11)</x:f>
      </x:c>
      <x:c r="CA11" s="63" t="str">
        <x:f t="shared" si="8">IF($A11="","",IF($AR11&gt;1,$BW11*$AR11-1,""))</x:f>
      </x:c>
      <x:c r="CB11" s="63" t="str">
        <x:f>IF($A11="","",MIN(1,COUNT($I11:$AN11,$AR11:$BG11)/'Setari model'!$B$46))</x:f>
      </x:c>
      <x:c r="CC11" s="63" t="str">
        <x:f t="shared" si="9">IF($A11="","",0.25*MIN(1,$I11/10)+0.25*MIN(1,$P11/10)+0.15*MIN(1,$W11/5)+0.15*MIN(1,$AB11/5)+0.1*MIN(1,$AG11/5)+0.1*MIN(1,$AN11/100))</x:f>
      </x:c>
      <x:c r="CD11" s="63" t="str">
        <x:f>IF($A11="","",MAX(0,1-(MAX($BJ11:$BN11,$BP11)-MIN($BJ11:$BN11,$BP11))/(AVERAGE($BJ11:$BN11,$BP11)*'Setari model'!$B$45)))</x:f>
      </x:c>
      <x:c r="CE11" s="66" t="str">
        <x:f>IF($A11="","",MAX(0,MIN(100,100*INDEX('Setari model'!$I$5:$I$11,MATCH($E11,'Setari model'!$A$5:$A$11,0))*('Setari model'!$B$47*$CB11+'Setari model'!$B$48*$CC11+'Setari model'!$B$49*$CD11+'Setari model'!$B$50*$AT11/5+'Setari model'!$B$51*$AU11)-100*'Setari model'!$B$52*$BG11)))</x:f>
      </x:c>
      <x:c r="CF11" s="65" t="str">
        <x:f t="shared" si="10">IF($A11="","",IF(OR($AT11&lt;3,$BG11&gt;=2,$CB11&lt;0.55,$CC11&lt;0.4),"RIDICAT",IF(OR($AU11=0,$CD11&lt;0.45,$BR11&lt;0.9),"MEDIU","SCĂZUT")))</x:f>
      </x:c>
      <x:c r="CG11" s="65" t="str">
        <x:f>IF($A11="","",IF($AR11&gt;1,IF(AND($BW11&gt;= 'Setari model'!$B$35,$CE11&gt;=100*'Setari model'!$B$36,$BZ11&gt;= 'Setari model'!$B$37,$CA11&gt;= 'Setari model'!$B$38,$CF11&lt;&gt;"RIDICAT"),"PARIU RECOMANDAT",IF(AND($BW11&gt;= 'Setari model'!$B$39,$CE11&gt;=100*'Setari model'!$B$40,$BZ11&gt;= 'Setari model'!$B$41,$CA11&gt;=0,$CF11&lt;&gt;"RIDICAT"),"RECOMANDAT CU PRUDENȚĂ",IF(AND($BW11&gt;= 'Setari model'!$B$42,$CE11&gt;=100*'Setari model'!$B$43),"ANALIZĂ NECONCLUDENTĂ","PARIU EVITAT"))),IF(AND($BW11&gt;= 'Setari model'!$B$35,$CE11&gt;=100*'Setari model'!$B$36,$CF11&lt;&gt;"RIDICAT"),"FAVORABIL STATISTIC – VERIFICĂ COTA",IF(AND($BW11&gt;= 'Setari model'!$B$42,$CE11&gt;=100*'Setari model'!$B$43),"ANALIZĂ NECONCLUDENTĂ","PARIU EVITAT"))))</x:f>
      </x:c>
      <x:c r="CH11" s="67" t="str">
        <x:f t="shared" si="11">IF($A11="","","P(O0,5)="&amp;TEXT($BW11,"0.0%")&amp;"; λ ajustat="&amp;TEXT($BS11,"0.00")&amp;"; Confidence="&amp;TEXT($CE11,"0")&amp;"/100; Edge="&amp;TEXT($BZ11,"0.0%")&amp;"; risc="&amp;$CF11&amp;". "&amp;$BH11)</x:f>
      </x:c>
      <x:c r="CI11" s="68" t="str">
        <x:f t="shared" si="12">IF($A11="","",$BI11)</x:f>
      </x:c>
      <x:c r="CJ11" s="112"/>
      <x:c r="CK11" s="112"/>
      <x:c r="CL11" s="112"/>
      <x:c r="CM11" s="112"/>
      <x:c r="CN11" s="112"/>
      <x:c r="CO11" s="112"/>
      <x:c r="CP11" s="112"/>
      <x:c r="CQ11" s="112"/>
      <x:c r="CR11" s="112"/>
      <x:c r="CS11" s="112"/>
      <x:c r="CT11" s="112"/>
      <x:c r="CU11" s="112"/>
      <x:c r="CV11" s="112"/>
      <x:c r="CW11" s="112"/>
      <x:c r="CX11" s="112"/>
      <x:c r="CY11" s="112"/>
      <x:c r="CZ11" s="112"/>
      <x:c r="DA11" s="112"/>
      <x:c r="DB11" s="112"/>
      <x:c r="DC11" s="114"/>
      <x:c r="DD11" s="114"/>
      <x:c r="DE11" s="112" t="s">
        <x:v>266</x:v>
      </x:c>
      <x:c r="DF11" s="112"/>
      <x:c r="DG11" s="112"/>
      <x:c r="DH11" s="112"/>
      <x:c r="DI11" s="112"/>
      <x:c r="DJ11" s="112"/>
      <x:c r="DK11" s="112"/>
      <x:c r="DL11" s="112"/>
      <x:c r="DM11" s="112"/>
      <x:c r="DN11" s="112"/>
      <x:c r="DO11" s="112"/>
      <x:c r="DP11" s="112"/>
      <x:c r="DQ11" s="114"/>
      <x:c r="DR11" s="112">
        <x:v>1</x:v>
      </x:c>
      <x:c r="DS11" s="116">
        <x:v>0</x:v>
      </x:c>
      <x:c r="DT11" s="120"/>
      <x:c r="DU11" s="116">
        <x:v>0.02</x:v>
      </x:c>
      <x:c r="DV11" s="116">
        <x:v>0.25</x:v>
      </x:c>
      <x:c r="DW11" s="118" t="str">
        <x:f>IF($A11="","",MAX('Setari model'!$B$71,MIN('Setari model'!$B$72,1+0.08*(IFERROR(AVERAGE($CM11:$CN11)/'Setari model'!$B$66,1)-1)+0.08*(IFERROR(AVERAGE($CO11:$CP11)/'Setari model'!$B$67,1)-1)+0.06*(IFERROR(AVERAGE($CQ11:$CR11)/'Setari model'!$B$68,1)-1)+0.04*(IFERROR(AVERAGE($CS11:$CT11)/'Setari model'!$B$69,1)-1)+0.04*(IFERROR(AVERAGE($CU11:$CV11)/'Setari model'!$B$70,1)-1)-'Setari model'!$B$73*IFERROR(AVERAGE($CW11:$CX11),0))))</x:f>
      </x:c>
      <x:c r="DX11" s="118" t="str">
        <x:f>IF($A11="","",1+'Setari model'!$B$62*MAX(IF(OR($CK11=1,$CL11=1),1,0),IF(AND($CJ11&lt;&gt;"",$CJ11&lt;=1),1,0))+'Setari model'!$B$63*IF(AND($CJ11&gt;1,$CJ11&lt;=3),1,0))</x:f>
      </x:c>
      <x:c r="DY11" s="118" t="str">
        <x:f>IF($A11="","",1+'Setari model'!$B$74*(IF($CY11="",0,IF($CY11=0,1,0))+IF($CZ11="",0,IF($CZ11=0,1,0)))+'Setari model'!$B$75*(IF($DA11="",0,IF($DA11=0,1,0))+IF($DB11="",0,IF($DB11=0,1,0))))</x:f>
      </x:c>
      <x:c r="DZ11" s="117" t="str">
        <x:f>IF($A11="","",MIN(0.6,MAX(0.002,(((1-'Setari model'!$B$34*MIN(1,($I11+$P11)/20))*$BT11+'Setari model'!$B$34*MIN(1,($I11+$P11)/20)*IF(COUNT($N11,$U11)=2,SQRT(MAX(0,1-$N11)*MAX(0,1-$U11)),$BT11))*(1-'Setari model'!$B$65*MIN(1,IF($AN11="",0,$AN11/'Setari model'!$B$64)))+'Setari model'!$B$65*MIN(1,IF($AN11="",0,$AN11/'Setari model'!$B$64))*IF($AM11="",$BT11,$AM11))*$DX11*$DY11/$DW11)))</x:f>
      </x:c>
      <x:c r="EA11" s="117" t="str">
        <x:f>IF($A11="","",MIN(1-$DZ11,IF(OR(MIN($I11,$P11)&lt;'Setari model'!$B$58,$CK11=1,$CL11=1,AND($CJ11&lt;&gt;"",$CJ11&lt;=1)),'Setari model'!$B$59,IF(AND($AU11=1,$AR11&gt;1,COUNT($CY11:$DB11)=4),'Setari model'!$B$61,'Setari model'!$B$60))))</x:f>
      </x:c>
      <x:c r="EB11" s="115" t="str">
        <x:f t="shared" si="13">IF($A11="","",1/$EA11)</x:f>
      </x:c>
      <x:c r="EC11" s="117" t="str">
        <x:f t="shared" si="14">IF($A11="","",IF($AR11&gt;1,IF($AS11&gt;1,(1/$AR11)/((1/$AR11)+(1/$AS11)),1/$AR11),""))</x:f>
      </x:c>
      <x:c r="ED11" s="117" t="str">
        <x:f t="shared" si="15">IF($A11="","",IF($EC11="","",$EA11-$EC11))</x:f>
      </x:c>
      <x:c r="EE11" s="117" t="str">
        <x:f t="shared" si="16">""</x:f>
      </x:c>
      <x:c r="EF11" s="119" t="str">
        <x:f>IF($A11="","",MAX(0,MIN(100,$CE11-200*MAX(0,$EG11-'Setari model'!$B$77)-IF($AU11&lt;&gt;1,10,0)-IF(COUNT($CY11:$DB11)&lt;4,4,0))))</x:f>
      </x:c>
      <x:c r="EG11" s="117" t="str">
        <x:f>IF($A11="","",'Setari model'!$B$77+IF(MIN($I11,$P11)&lt;'Setari model'!$B$58,0.03,0)+IF(OR($CK11=1,$CL11=1,AND($CJ11&lt;&gt;"",$CJ11&lt;=1)),0.03,0)+IF($AG11=0,0.02,0)+0.03*(1-MIN(1,COUNT($CM11:$CV11)/10))+0.03*(1-MIN(1,IF($AN11="",0,$AN11/'Setari model'!$B$64)))+IF($AR11&lt;=1,0.02,0))</x:f>
      </x:c>
      <x:c r="EH11" s="113" t="str">
        <x:f>IF($A11="","",IF(OR(MIN($I11,$P11)&lt;'Setari model'!$B$58,$CK11=1,$CL11=1,AND($CJ11&lt;&gt;"",$CJ11&lt;=1)),"92% – early/regim",IF(AND($AU11=1,$AR11&gt;1,COUNT($CY11:$DB11)=4),"94% – confirmat","93% – standard")))</x:f>
      </x:c>
      <x:c r="EI11" s="113" t="str">
        <x:f t="shared" si="17">IF($A11="","",IF(AND($EA11&gt;0.9,$AU11&lt;&gt;1),"WAIT XI – HIGH P",IF(AND($EA11&gt;0.9,COUNT($CY11:$DB11)&lt;4),"WAIT DATE CHEIE – HIGH P",IF($EP11&lt;&gt;"DA","NU – PORTOFOLIU","DA"))))</x:f>
      </x:c>
      <x:c r="EJ11" s="117" t="str">
        <x:f t="shared" si="18">IF($A11="","",IF($DE11&lt;&gt;"Live 20-30","",IF(SUM($DG11:$DH11)&gt;0,1,IF($EU11="","",1-MIN(0.95,MAX(0.001,EXP(-$EU11)*$DX11*$DY11/$DW11))))))</x:f>
      </x:c>
      <x:c r="EK11" s="117" t="str">
        <x:f t="shared" si="19">""</x:f>
      </x:c>
      <x:c r="EL11" s="113" t="str">
        <x:f>IF($A11="","",IF($DE11="Live 20-30",IF(SUM($DG11:$DH11)&gt;0,"EVENIMENT ÎNDEPLINIT",IF(OR($DF11="",COUNT($DI11:$DN11)&lt;4),"LIVE – WATCH",IF($EJ11&gt;=0.75,"LIVE – FEZABIL TEHNIC","LIVE – NO BET"))),IF($EI11&lt;&gt;"DA","WATCH / NO BET",IF(AND($EA11&gt;=INDEX('Setari model'!$B$35:$B$40,1),$EF11&gt;=100*'Setari model'!$B$76),"PARIU RECOMANDAT",IF(AND($EA11&gt;=INDEX('Setari model'!$B$35:$B$40,5),$EF11&gt;=100*'Setari model'!$B$40),"WATCH – APROAPE DE PRAG","PARIU EVITAT")))))</x:f>
      </x:c>
      <x:c r="EM11" s="113" t="str">
        <x:f t="shared" si="20">IF($A11="","",IF($DE11="Live 20-30",IF(SUM($DG11:$DH11)&gt;0,"Gol deja marcat.",IF($DF11="","Minut live lipsă.",IF(COUNT($DI11:$DN11)&lt;4,"Lipsesc xG/SOT/big chances live.",IF($EJ11&lt;0.75,"P live sub prag.","Semnal live tehnic complet; EV ignorat.")))),IF($EI11&lt;&gt;"DA",$EI11,IF($EF11&lt;75,"Confidence sub 75.",IF($EA11&lt;0.92,"P sub 92%.","G0/Zero-Mass + confidence trecute; EV ignorat.")))))</x:f>
      </x:c>
      <x:c r="EN11" s="117" t="str">
        <x:f>IF($A11="","",IF(OR($EL11="PARIU RECOMANDAT",$EL11="LIVE – FEZABIL"),MIN(IF($DU11&gt;0,$DU11,'Setari model'!$B$81)/MAX(1,$DR11),IF($DV11&gt;0,$DV11,'Setari model'!$B$80)*MAX(0,((IF($DE11="Live 20-30",$EJ11,$EA11)*IF($DE11="Live 20-30",$DQ11,$AR11)-1)/(IF($DE11="Live 20-30",$DQ11,$AR11)-1)))),0))</x:f>
      </x:c>
      <x:c r="EO11" s="121" t="str">
        <x:f t="shared" si="21">IF($A11="","",IF(AND($EN11&gt;0,$DT11&gt;0),$EN11*$DT11,""))</x:f>
      </x:c>
      <x:c r="EP11" s="113" t="str">
        <x:f>IF($A11="","",IF(OR($DR11&lt;1,$DR11&gt;'Setari model'!$B$78),"NU – 1–5 selecții",IF($DS11&gt;'Setari model'!$B$79,"NU – corelație", "DA")))</x:f>
      </x:c>
      <x:c r="EQ11" s="117" t="str">
        <x:f t="shared" si="22">IF($A11="","",IF(AND($DC11&gt;1,$DD11&gt;1),$DC11/$DD11-1,""))</x:f>
      </x:c>
      <x:c r="ER11" s="113" t="str">
        <x:f t="shared" si="23">IF($A11="","","P v2="&amp;TEXT($EA11,"0.0%")&amp;" ±"&amp;TEXT($EG11,"0.0%")&amp;"; P0 ZIP="&amp;TEXT($DZ11,"0.0%")&amp;"; Confidence="&amp;TEXT($EF11,"0")&amp;"/100; piață reală="&amp;IF($EC11="","NU","DA")&amp;"; EV="&amp;IF($EE11="","n/a",TEXT($EE11,"0.0%"))&amp;"; gate="&amp;$EI11&amp;"; verdict="&amp;$EL11&amp;". "&amp;$EM11)</x:f>
      </x:c>
      <x:c r="ES11" s="119" t="str">
        <x:f>IF($A11="","",'Setari model'!$B$82)</x:f>
      </x:c>
      <x:c r="ET11" s="118" t="str">
        <x:f>IF($A11="","",'Setari model'!$B$83)</x:f>
      </x:c>
      <x:c r="EU11" s="115" t="str">
        <x:f t="shared" si="24">IF(OR($A11="",$DE11&lt;&gt;"Live 20-30",$DF11="",$DF11&lt;$ES11,$DF11&gt;=90),"",MAX(0.05,MIN($BS11*$ET11,$BS11*(90-$DF11)/90+0.35*($DI11+$DJ11)+0.06*($DK11+$DL11)+0.15*($DM11+$DN11)+0.1*(MAX($DO11,$DP11)-MIN($DO11,$DP11)))))</x:f>
      </x:c>
      <x:c r="EV11" s="132"/>
      <x:c r="EW11" s="132"/>
      <x:c r="EX11" s="132"/>
      <x:c r="EY11" s="132"/>
      <x:c r="EZ11" s="132"/>
      <x:c r="FA11" s="132"/>
      <x:c r="FB11" s="247"/>
      <x:c r="FC11" s="134" t="str">
        <x:f t="shared" si="25">IF($A11="","",IF(OR($J11="",$L11="",$L11&lt;=0),"",MAX(0.5,MIN(1.5,$J11/$L11))))</x:f>
      </x:c>
      <x:c r="FD11" s="134" t="str">
        <x:f t="shared" si="26">IF($A11="","",IF(OR($Q11="",$S11="",$S11&lt;=0),"",MAX(0.5,MIN(1.5,$Q11/$S11))))</x:f>
      </x:c>
      <x:c r="FE11" s="134" t="str">
        <x:f>IF($A11="","",IF(COUNT($EV11:$EW11)&lt;2,"",SQRT($EV11*$EW11)/'Setari model'!$B$87))</x:f>
      </x:c>
      <x:c r="FF11" s="134" t="str">
        <x:f>IF($A11="","",IF(COUNT($O11,$V11,$EX11,$EY11)&lt;4,"",AVERAGE(SQRT($O11*$EY11),SQRT($V11*$EX11))/'Setari model'!$B$88))</x:f>
      </x:c>
      <x:c r="FG11" s="134" t="str">
        <x:f t="shared" si="27">IF($A11="","",IF(COUNT($FC11:$FD11)&lt;2,"",MAX(0,1-AVERAGE($FC11:$FD11))))</x:f>
      </x:c>
      <x:c r="FH11" s="134" t="str">
        <x:f>IF($A11="","",IF(COUNT($EZ11:$FA11)&lt;2,"",'Setari model'!$B$94*AVERAGE($EZ11:$FA11)/'Setari model'!$B$89))</x:f>
      </x:c>
      <x:c r="FI11" s="134" t="str">
        <x:f>IF($A11="","",IF(COUNT($FE11:$FH11)&lt;4,"",MAX('Setari model'!$B$97,MIN('Setari model'!$B$98,1+'Setari model'!$B$90*($FE11-1)+'Setari model'!$B$91*($FF11-1)+'Setari model'!$B$92*$FG11+'Setari model'!$B$93*($FH11-1)))))</x:f>
      </x:c>
      <x:c r="FJ11" s="133" t="str">
        <x:f>IF($A11="","",IF($FI11="","",MIN('Setari model'!$B$101,MAX(0.002,$DZ11*$FI11))))</x:f>
      </x:c>
      <x:c r="FK11" s="131" t="str">
        <x:f t="shared" si="28">IF($A11="","",IF(AND(COUNT($EV11:$FA11)=6,COUNT($O11,$V11,$FC11,$FD11)=4),"DA","NU"))</x:f>
      </x:c>
      <x:c r="FL11" s="131" t="str">
        <x:f>IF($A11="","",IF($FK11&lt;&gt;"DA","NEDETERMINAT",IF($FI11&lt;='Setari model'!$B$99,"SCĂZUT",IF($FI11&lt;='Setari model'!$B$100,"MEDIU","RIDICAT"))))</x:f>
      </x:c>
      <x:c r="FM11" s="131" t="str">
        <x:f>IF($A11="","",IF(AND($AR11&gt;1,$EC11&gt;='Setari model'!$B$106),"DA","NU"))</x:f>
      </x:c>
      <x:c r="FN11" s="131" t="str">
        <x:f t="shared" si="29">IF($A11="","",IF(AND($AU11=1,COUNT($CY11:$DB11)=4),"DA","NU"))</x:f>
      </x:c>
      <x:c r="FO11" s="133" t="str">
        <x:f>IF($A11="","",IF(OR($FK11&lt;&gt;"DA",$FL11="RIDICAT"),'Setari model'!$B$102,IF($FL11="MEDIU",'Setari model'!$B$103,IF(AND($FM11="DA",$FN11="DA"),'Setari model'!$B$105,'Setari model'!$B$104))))</x:f>
      </x:c>
      <x:c r="FP11" s="133" t="str">
        <x:f t="shared" si="30">IF($A11="","",IF($FJ11="","",MIN(1-$FJ11,$FO11)))</x:f>
      </x:c>
      <x:c r="FQ11" s="135" t="str">
        <x:f t="shared" si="31">IF($A11="","",IF($FP11="","",IF($FP11&gt;0,1/$FP11,"")))</x:f>
      </x:c>
      <x:c r="FR11" s="133" t="str">
        <x:f t="shared" si="32">IF($A11="","",IF($EC11="","",$FP11-$EC11))</x:f>
      </x:c>
      <x:c r="FS11" s="133" t="str">
        <x:f t="shared" si="33">IF($A11="","",IF($AR11&gt;1,$FP11*$AR11-1,""))</x:f>
      </x:c>
      <x:c r="FT11" s="136" t="str">
        <x:f>IF($A11="","",MAX(0,MIN(100,$EF11-IF($FK11&lt;&gt;"DA",'Setari model'!$B$107,0)-IF($FL11="MEDIU",'Setari model'!$B$108,0)-IF($FL11="RIDICAT",'Setari model'!$B$109,0))))</x:f>
      </x:c>
      <x:c r="FU11" s="131" t="str">
        <x:f t="shared" si="34">IF($A11="","",IF($AR11&lt;=1,"NU – LIPSEȘTE COTA REALĂ",IF($FK11&lt;&gt;"DA","NU – ZERO-RISK INCOMPLET",IF($FL11&lt;&gt;"SCĂZUT","NU – RISC 0-0 "&amp;$FL11,IF($FN11&lt;&gt;"DA","NU – LINEUP NECONFIRMAT",IF($FM11&lt;&gt;"DA","NU – PIAȚĂ NECONFIRMATĂ",IF($EP11&lt;&gt;"DA","NU – PORTOFOLIU","DA")))))))</x:f>
      </x:c>
      <x:c r="FV11" s="131" t="str">
        <x:f>IF($A11="","",IF($FU11&lt;&gt;"DA","WATCH / NO BET",IF(AND($FP11&gt;='Setari model'!$B$35,$FT11&gt;=100*'Setari model'!$B$76,$FS11&gt;0),"PARIU RECOMANDAT",IF(AND($FP11&gt;='Setari model'!$B$39,$FT11&gt;=100*'Setari model'!$B$40,$FS11&gt;0),"WATCH – APROAPE DE PRAG","PARIU EVITAT"))))</x:f>
      </x:c>
      <x:c r="FW11" s="131" t="str">
        <x:f t="shared" si="35">IF($A11="","",IF($FU11&lt;&gt;"DA",$FU11,IF($FT11&lt;75,"Confidence v3 sub 75.",IF($FP11&lt;0.92,"P v3 sub 92%.",IF($FS11&lt;=0,"EV v3 nepozitiv.","P0 v3, lineup și piață confirmate.")))))</x:f>
      </x:c>
      <x:c r="FX11" s="131" t="str">
        <x:f t="shared" si="36">IF($A11="","","P v3="&amp;TEXT($FP11,"0.0%")&amp;"; P0 v3="&amp;TEXT($FJ11,"0.0%")&amp;"; factor zero="&amp;IF($FI11="","n/a",TEXT($FI11,"0.00x"))&amp;" ("&amp;$FL11&amp;"); cap="&amp;TEXT($FO11,"0.0%")&amp;"; Confidence="&amp;TEXT($FT11,"0")&amp;"/100; lineup="&amp;$FN11&amp;"; piață="&amp;$FM11&amp;"; EV="&amp;IF($FS11="","n/a",TEXT($FS11,"0.0%"))&amp;"; gate="&amp;$FU11&amp;"; verdict="&amp;$FV11&amp;". "&amp;$FW11)</x:f>
      </x:c>
      <x:c r="FY11" s="159"/>
      <x:c r="FZ11" s="159"/>
      <x:c r="GA11" s="157"/>
      <x:c r="GB11" s="157"/>
      <x:c r="GC11" s="161" t="str">
        <x:f t="shared" si="37">IF($A11="","",IF(OR($X11="",$Z11="",$Z11&lt;=0),"",MAX(0.5,MIN(1.5,$X11/$Z11))))</x:f>
      </x:c>
      <x:c r="GD11" s="161" t="str">
        <x:f t="shared" si="38">IF($A11="","",IF(OR($AC11="",$AE11="",$AE11&lt;=0),"",MAX(0.5,MIN(1.5,$AC11/$AE11))))</x:f>
      </x:c>
      <x:c r="GE11" s="162" t="str">
        <x:f t="shared" si="39">IF($A11="","",IF(COUNT($Z11,$AE11)&lt;2,"",AVERAGE($Z11,$AE11)))</x:f>
      </x:c>
      <x:c r="GF11" s="158" t="str">
        <x:f>IF($A11="","",IF(COUNT($FY11:$FZ11)&lt;2,"NEDETERMINAT",IF(AND($FY11&gt;='Setari model'!$B$113,$FZ11&gt;='Setari model'!$B$113),"DA","NU")))</x:f>
      </x:c>
      <x:c r="GG11" s="158" t="str">
        <x:f>IF($A11="","",IF(COUNT($FY11:$FZ11,$EX11:$EY11)&lt;4,"NEDETERMINAT",IF(OR(AND($FY11&gt;='Setari model'!$B$113,$EY11&gt;='Setari model'!$B$114),AND($FZ11&gt;='Setari model'!$B$113,$EX11&gt;='Setari model'!$B$114)),"DA","NU")))</x:f>
      </x:c>
      <x:c r="GH11" s="158" t="str">
        <x:f>IF($A11="","",IF(COUNT($BJ11:$BN11,$GC11:$GE11)&lt;8,"NEDETERMINAT",IF(AND((($BJ11*INDEX('Setari model'!$B$5:$B$11,MATCH($E11,'Setari model'!$A$5:$A$11,0))+$BK11*INDEX('Setari model'!$C$5:$C$11,MATCH($E11,'Setari model'!$A$5:$A$11,0))+$BL11*INDEX('Setari model'!$D$5:$D$11,MATCH($E11,'Setari model'!$A$5:$A$11,0))+$BM11*INDEX('Setari model'!$E$5:$E$11,MATCH($E11,'Setari model'!$A$5:$A$11,0))+$BN11*INDEX('Setari model'!$F$5:$F$11,MATCH($E11,'Setari model'!$A$5:$A$11,0)))/(INDEX('Setari model'!$B$5:$B$11,MATCH($E11,'Setari model'!$A$5:$A$11,0))+INDEX('Setari model'!$C$5:$C$11,MATCH($E11,'Setari model'!$A$5:$A$11,0))+INDEX('Setari model'!$D$5:$D$11,MATCH($E11,'Setari model'!$A$5:$A$11,0))+INDEX('Setari model'!$E$5:$E$11,MATCH($E11,'Setari model'!$A$5:$A$11,0))+INDEX('Setari model'!$F$5:$F$11,MATCH($E11,'Setari model'!$A$5:$A$11,0))))*$BR11&gt;='Setari model'!$B$115,(($BJ11*INDEX('Setari model'!$B$5:$B$11,MATCH($E11,'Setari model'!$A$5:$A$11,0))+$BK11*INDEX('Setari model'!$C$5:$C$11,MATCH($E11,'Setari model'!$A$5:$A$11,0))+$BL11*INDEX('Setari model'!$D$5:$D$11,MATCH($E11,'Setari model'!$A$5:$A$11,0))+$BM11*INDEX('Setari model'!$E$5:$E$11,MATCH($E11,'Setari model'!$A$5:$A$11,0))+$BN11*INDEX('Setari model'!$F$5:$F$11,MATCH($E11,'Setari model'!$A$5:$A$11,0)))/(INDEX('Setari model'!$B$5:$B$11,MATCH($E11,'Setari model'!$A$5:$A$11,0))+INDEX('Setari model'!$C$5:$C$11,MATCH($E11,'Setari model'!$A$5:$A$11,0))+INDEX('Setari model'!$D$5:$D$11,MATCH($E11,'Setari model'!$A$5:$A$11,0))+INDEX('Setari model'!$E$5:$E$11,MATCH($E11,'Setari model'!$A$5:$A$11,0))+INDEX('Setari model'!$F$5:$F$11,MATCH($E11,'Setari model'!$A$5:$A$11,0))))*$BR11&lt;='Setari model'!$B$116,AVERAGE($GC11:$GD11)&lt;='Setari model'!$B$117,$GE11&gt;='Setari model'!$B$118),"DA","NU")))</x:f>
      </x:c>
      <x:c r="GI11" s="158" t="str">
        <x:f>IF($A11="","",IF(COUNT($W11,$AB11,$GA11:$GB11)&lt;4,"NEDETERMINAT",IF(AND($W11&gt;='Setari model'!$B$120,$AB11&gt;='Setari model'!$B$120,OR(IFERROR($GA11/$W11,0)&gt;='Setari model'!$B$119,IFERROR($GB11/$AB11,0)&gt;='Setari model'!$B$119)),"DA","NU")))</x:f>
      </x:c>
      <x:c r="GJ11" s="160" t="str">
        <x:f>IF($A11="","",IF(COUNT($FY11:$GB11)&lt;4,"",IF($GH11&lt;&gt;"DA",0,'Setari model'!$B$121*IF($GF11="DA",1,0)+'Setari model'!$B$122*IF($GG11="DA",1,0)+'Setari model'!$B$123+'Setari model'!$B$124*IF($GI11="DA",1,0))))</x:f>
      </x:c>
      <x:c r="GK11" s="161" t="str">
        <x:f>IF($A11="","",IF(COUNT($GJ11)=0,"",1+'Setari model'!$B$125*$GJ11))</x:f>
      </x:c>
      <x:c r="GL11" s="160" t="str">
        <x:f>IF($A11="","",IF($GM11&lt;&gt;"DA",$FJ11,MIN('Setari model'!$B$101,MAX(0.002,$FJ11*$GK11))))</x:f>
      </x:c>
      <x:c r="GM11" s="158" t="str">
        <x:f>IF($A11="","",IF(AND($FK11="DA",COUNT($FY11:$GB11)=4,COUNT($I11,$P11,$W11,$AB11,$Z11,$AE11,$EX11,$EY11,$GC11,$GD11)=10,COUNT($BJ11:$BN11)=5),"DA","NU"))</x:f>
      </x:c>
      <x:c r="GN11" s="158" t="str">
        <x:f>IF($A11="","",IF($GM11&lt;&gt;"DA","NEDETERMINAT",IF($FI11*$GK11&lt;='Setari model'!$B$99,"SCĂZUT",IF($FI11*$GK11&lt;='Setari model'!$B$100,"MEDIU","RIDICAT"))))</x:f>
      </x:c>
      <x:c r="GO11" s="160" t="str">
        <x:f>IF($A11="","",IF(OR($GM11&lt;&gt;"DA",$GN11="RIDICAT"),'Setari model'!$B$102,IF($GN11="MEDIU",'Setari model'!$B$103,IF(AND($FM11="DA",$FN11="DA"),'Setari model'!$B$105,'Setari model'!$B$104))))</x:f>
      </x:c>
      <x:c r="GP11" s="160" t="str">
        <x:f t="shared" si="40">IF($A11="","",IF($GL11="","",MIN(1-$GL11,$GO11)))</x:f>
      </x:c>
      <x:c r="GQ11" s="162" t="str">
        <x:f t="shared" si="41">IF($A11="","",IF($GP11="","",IF($GP11&gt;0,1/$GP11,"")))</x:f>
      </x:c>
      <x:c r="GR11" s="160" t="str">
        <x:f t="shared" si="42">IF($A11="","",IF($EC11="","",$GP11-$EC11))</x:f>
      </x:c>
      <x:c r="GS11" s="160" t="str">
        <x:f t="shared" si="43">IF($A11="","",IF($AR11&gt;1,$GP11*$AR11-1,""))</x:f>
      </x:c>
      <x:c r="GT11" s="163" t="str">
        <x:f>IF($A11="","",MAX(0,MIN(100,$FT11-IF(AND($GM11&lt;&gt;"DA",$FK11="DA"),'Setari model'!$B$107,0)-'Setari model'!$B$126*IF($GJ11="",0,$GJ11))))</x:f>
      </x:c>
      <x:c r="GU11" s="158" t="str">
        <x:f t="shared" si="44">IF($A11="","",IF($AR11&lt;=1,"NU – LIPSEȘTE COTA REALĂ",IF($GM11&lt;&gt;"DA","NU – DATE LOW-CONVERSION INCOMPLETE",IF($GN11&lt;&gt;"SCĂZUT","NU – RISC 0-0 "&amp;$GN11,IF($FN11&lt;&gt;"DA","NU – LINEUP NECONFIRMAT",IF($FM11&lt;&gt;"DA","NU – PIAȚĂ NECONFIRMATĂ",IF($EP11&lt;&gt;"DA","NU – PORTOFOLIU","DA")))))))</x:f>
      </x:c>
      <x:c r="GV11" s="158" t="str">
        <x:f>IF($A11="","",IF($GU11&lt;&gt;"DA","WATCH / NO BET",IF(AND($GP11&gt;='Setari model'!$B$35,$GT11&gt;=100*'Setari model'!$B$76,$GS11&gt;0),"PARIU RECOMANDAT",IF(AND($GP11&gt;='Setari model'!$B$39,$GT11&gt;=100*'Setari model'!$B$40,$GS11&gt;0),"WATCH – APROAPE DE PRAG","PARIU EVITAT"))))</x:f>
      </x:c>
      <x:c r="GW11" s="158" t="str">
        <x:f t="shared" si="45">IF($A11="","",IF($GU11&lt;&gt;"DA",$GU11,IF($GT11&lt;75,"Confidence v5 sub 75.",IF($GP11&lt;0.92,"P v5 sub 92%.",IF($GS11&lt;=0,"EV v5 nepozitiv.",IF($GJ11&gt;0,"Low-conversion absorbit în P0; toate porțile rămân trecute.","Toate porțile v5 sunt trecute."))))))</x:f>
      </x:c>
      <x:c r="GX11" s="158" t="str">
        <x:f t="shared" si="46">IF($A11="","","P v5="&amp;TEXT($GP11,"0.0%")&amp;"; P0 v5="&amp;TEXT($GL11,"0.0%")&amp;"; low-conv="&amp;IF(COUNT($GJ11)=0,"n/a",TEXT($GJ11,"0%"))&amp;"; mult.P0="&amp;IF(COUNT($GK11)=0,"n/a",TEXT($GK11,"0.00"))&amp;"; clasă="&amp;$GN11&amp;"; cap="&amp;TEXT($GO11,"0.0%")&amp;"; Confidence="&amp;TEXT($GT11,"0")&amp;"/100; lineup="&amp;$FN11&amp;"; piață="&amp;$FM11&amp;"; EV="&amp;IF($GS11="","n/a",TEXT($GS11,"0.0%"))&amp;"; gate="&amp;$GU11&amp;"; verdict="&amp;$GV11&amp;". "&amp;$GW11)</x:f>
      </x:c>
      <x:c r="GY11" s="174" t="str">
        <x:f>IF($A11="","",IF($GM11&lt;&gt;"DA","SOURCING INCOMPLETE – REVIEW REQUIRED",IF(MIN($I11,$P11,$W11,$AB11)&lt;'Setari model'!$B$58,"SMALL SAMPLE + PRIOR / SHRINKAGE","VERIFIED / PRIOR / SHRINKAGE")))</x:f>
      </x:c>
      <x:c r="GZ11" s="175" t="str">
        <x:f t="shared" si="47">IF($A11="","",MAX(0,MIN(100,100*(1-AVERAGE(IF($GM11="DA",1,0),MIN(1,$AT11/5))))))</x:f>
      </x:c>
      <x:c r="HA11" s="175" t="str">
        <x:f>IF($A11="","",IF($GM11&lt;&gt;"DA","",MAX(0,MIN(100,100*(($FI11*$GK11)-'Setari model'!$B$97)/('Setari model'!$B$98-'Setari model'!$B$97)))))</x:f>
      </x:c>
      <x:c r="HB11" s="175" t="str">
        <x:f>IF($A11="","",MAX(0,MIN(100,100*(ABS($BR11-1)/MAX(1-'Setari model'!$B$53,'Setari model'!$B$54-1)+MIN(1,$BG11/2))/2)))</x:f>
      </x:c>
      <x:c r="HC11" s="175" t="str">
        <x:f t="shared" si="48">IF($A11="","",MAX(0,MIN(100,100*(1-AVERAGE($CC11,MAX(0,1-(MAX($BJ11:$BN11)-MIN($BJ11:$BN11))/(AVERAGE($BJ11:$BN11)*'Setari model'!$B$45)))))))</x:f>
      </x:c>
      <x:c r="HD11" s="175" t="str">
        <x:f t="shared" si="49">IF($A11="","",MAX(0,MIN(100,100*MAX(IF($GJ11="",0,$GJ11),MIN(1,$BG11/2)))))</x:f>
      </x:c>
      <x:c r="HE11" s="175" t="str">
        <x:f>IF($A11="","",IF(COUNT($GZ11:$HD11)&lt;5,"",$GZ11*Risk_Classification!$E$28+$HA11*Risk_Classification!$E$29+$HB11*Risk_Classification!$E$30+$HC11*Risk_Classification!$E$31+$HD11*Risk_Classification!$E$32))</x:f>
      </x:c>
      <x:c r="HF11" s="176" t="str">
        <x:f t="shared" si="50">IF($A11="","",IF($HE11="","",IF($HE11&lt;=20,1,IF($HE11&lt;=40,2,IF($HE11&lt;=60,3,IF($HE11&lt;=80,4,5))))))</x:f>
      </x:c>
      <x:c r="HG11" s="176" t="str">
        <x:f t="shared" si="51">IF($A11="","",IF($GM11="DA","PASS","FAIL – DATE CRITICE ZERO-MASS INCOMPLETE"))</x:f>
      </x:c>
      <x:c r="HH11" s="176" t="str">
        <x:f t="shared" si="52">IF($A11="","",IF($HG11&lt;&gt;"PASS",5,$HF11))</x:f>
      </x:c>
      <x:c r="HI11" s="174" t="str">
        <x:f t="shared" si="53">IF($A11="","",IF($HH11="","N/A",IF($HH11=1,"DEFENSIV",IF($HH11=2,"PRUDENT",IF($HH11=3,"MODERAT",IF($HH11=4,"RIDICAT","WATCH / NO BET"))))))</x:f>
      </x:c>
      <x:c r="HJ11" s="177" t="str">
        <x:f t="shared" si="54">IF($A11="","","Data="&amp;$GY11&amp;"; DQ="&amp;TEXT($GZ11,"0.0")&amp;"; ZM="&amp;IF($HA11="","n/a",TEXT($HA11,"0.0"))&amp;"; Context="&amp;TEXT($HB11,"0.0")&amp;"; Uncertainty="&amp;TEXT($HC11,"0.0")&amp;"; Compound="&amp;TEXT($HD11,"0.0")&amp;"; Risk Score="&amp;IF($HE11="","n/a",TEXT($HE11,"0.0"))&amp;"; Base="&amp;IF($HF11="","n/a",$HF11)&amp;"; G0="&amp;$HG11&amp;"; Final="&amp;$HH11&amp;". Cota, EV si lineup sunt informative si nu intra in recomandare.")</x:f>
      </x:c>
      <x:c r="HK11" s="174" t="str">
        <x:f t="shared" si="55">IF($A11="","",$HI11)</x:f>
      </x:c>
    </x:row>
    <x:row r="12" ht="24" customHeight="1">
      <x:c r="A12" s="58"/>
      <x:c r="B12" s="24"/>
      <x:c r="C12" s="59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18"/>
      <x:c r="O12" s="18"/>
      <x:c r="P12" s="24"/>
      <x:c r="Q12" s="24"/>
      <x:c r="R12" s="24"/>
      <x:c r="S12" s="24"/>
      <x:c r="T12" s="24"/>
      <x:c r="U12" s="18"/>
      <x:c r="V12" s="18"/>
      <x:c r="W12" s="24"/>
      <x:c r="X12" s="24"/>
      <x:c r="Y12" s="24"/>
      <x:c r="Z12" s="24"/>
      <x:c r="AA12" s="24"/>
      <x:c r="AB12" s="24"/>
      <x:c r="AC12" s="24"/>
      <x:c r="AD12" s="24"/>
      <x:c r="AE12" s="24"/>
      <x:c r="AF12" s="24"/>
      <x:c r="AG12" s="24"/>
      <x:c r="AH12" s="24"/>
      <x:c r="AI12" s="18"/>
      <x:c r="AJ12" s="24"/>
      <x:c r="AK12" s="24"/>
      <x:c r="AL12" s="24"/>
      <x:c r="AM12" s="18"/>
      <x:c r="AN12" s="24"/>
      <x:c r="AO12" s="60"/>
      <x:c r="AP12" s="60"/>
      <x:c r="AQ12" s="60"/>
      <x:c r="AR12" s="60"/>
      <x:c r="AS12" s="60"/>
      <x:c r="AT12" s="24"/>
      <x:c r="AU12" s="24"/>
      <x:c r="AV12" s="24"/>
      <x:c r="AW12" s="24"/>
      <x:c r="AX12" s="24"/>
      <x:c r="AY12" s="24"/>
      <x:c r="AZ12" s="24"/>
      <x:c r="BA12" s="24"/>
      <x:c r="BB12" s="24"/>
      <x:c r="BC12" s="24"/>
      <x:c r="BD12" s="24"/>
      <x:c r="BE12" s="24"/>
      <x:c r="BF12" s="24"/>
      <x:c r="BG12" s="24"/>
      <x:c r="BH12" s="61"/>
      <x:c r="BI12" s="61"/>
      <x:c r="BJ12" s="62" t="str">
        <x:f>IF($A12="","",SQRT((($I12*IF($J12="",$AJ12,$J12)+'Setari model'!$B$30*$AJ12)/($I12+'Setari model'!$B$30))*(($P12*IF($R12="",$AJ12,$R12)+'Setari model'!$B$30*$AJ12)/($P12+'Setari model'!$B$30)))+SQRT((($P12*IF($Q12="",$AK12,$Q12)+'Setari model'!$B$30*$AK12)/($P12+'Setari model'!$B$30))*(($I12*IF($K12="",$AK12,$K12)+'Setari model'!$B$30*$AK12)/($I12+'Setari model'!$B$30))))</x:f>
      </x:c>
      <x:c r="BK12" s="62" t="str">
        <x:f>IF($A12="","",SQRT((($I12*IF($L12="",IF($J12="",$AJ12,$J12),$L12)+'Setari model'!$B$30*$AJ12)/($I12+'Setari model'!$B$30))*(($P12*IF($T12="",IF($R12="",$AJ12,$R12),$T12)+'Setari model'!$B$30*$AJ12)/($P12+'Setari model'!$B$30)))+SQRT((($P12*IF($S12="",IF($Q12="",$AK12,$Q12),$S12)+'Setari model'!$B$30*$AK12)/($P12+'Setari model'!$B$30))*(($I12*IF($M12="",IF($K12="",$AK12,$K12),$M12)+'Setari model'!$B$30*$AK12)/($I12+'Setari model'!$B$30))))</x:f>
      </x:c>
      <x:c r="BL12" s="62" t="str">
        <x:f>IF($A12="","",SQRT((($W12*IF($X12="",$AL12/2,$X12)+'Setari model'!$B$31*$AL12/2)/($W12+'Setari model'!$B$31))*(($AB12*IF($AD12="",$AL12/2,$AD12)+'Setari model'!$B$31*$AL12/2)/($AB12+'Setari model'!$B$31)))+SQRT((($AB12*IF($AC12="",$AL12/2,$AC12)+'Setari model'!$B$31*$AL12/2)/($AB12+'Setari model'!$B$31))*(($W12*IF($Y12="",$AL12/2,$Y12)+'Setari model'!$B$31*$AL12/2)/($W12+'Setari model'!$B$31))))</x:f>
      </x:c>
      <x:c r="BM12" s="62" t="str">
        <x:f>IF($A12="","",SQRT((($W12*IF($Z12="",IF($X12="",$AL12/2,$X12),$Z12)+'Setari model'!$B$31*$AL12/2)/($W12+'Setari model'!$B$31))*(($AB12*IF($AF12="",IF($AD12="",$AL12/2,$AD12),$AF12)+'Setari model'!$B$31*$AL12/2)/($AB12+'Setari model'!$B$31)))+SQRT((($AB12*IF($AE12="",IF($AC12="",$AL12/2,$AC12),$AE12)+'Setari model'!$B$31*$AL12/2)/($AB12+'Setari model'!$B$31))*(($W12*IF($AA12="",IF($Y12="",$AL12/2,$Y12),$AA12)+'Setari model'!$B$31*$AL12/2)/($W12+'Setari model'!$B$31))))</x:f>
      </x:c>
      <x:c r="BN12" s="62" t="str">
        <x:f t="shared" si="0">IF($A12="","",IF($AG12&gt;0,($AG12*IF($AH12="",$AL12,$AH12)+5*$AL12)/($AG12+5),$AL12))</x:f>
      </x:c>
      <x:c r="BO12" s="63" t="str">
        <x:f>IF($A12="","",IF($AR12&gt;1,IF($AS12&gt;1,(1/$AR12)/((1/$AR12+1/$AS12)),MIN(0.995,(1/$AR12)/(1+'Setari model'!$B$32))),1-EXP(-$AL12)))</x:f>
      </x:c>
      <x:c r="BP12" s="62" t="str">
        <x:f t="shared" si="1">IF($A12="","",-LN(1-$BO12))</x:f>
      </x:c>
      <x:c r="BQ12" s="62" t="str">
        <x:f>IF($A12="","",$BJ12*INDEX('Setari model'!$B$5:$B$11,MATCH($E12,'Setari model'!$A$5:$A$11,0))+$BK12*INDEX('Setari model'!$C$5:$C$11,MATCH($E12,'Setari model'!$A$5:$A$11,0))+$BL12*INDEX('Setari model'!$D$5:$D$11,MATCH($E12,'Setari model'!$A$5:$A$11,0))+$BM12*INDEX('Setari model'!$E$5:$E$11,MATCH($E12,'Setari model'!$A$5:$A$11,0))+$BN12*INDEX('Setari model'!$F$5:$F$11,MATCH($E12,'Setari model'!$A$5:$A$11,0))+$BP12*INDEX('Setari model'!$G$5:$G$11,MATCH($E12,'Setari model'!$A$5:$A$11,0)))</x:f>
      </x:c>
      <x:c r="BR12" s="64" t="str">
        <x:f>IF($A12="","",MAX('Setari model'!$B$53,MIN('Setari model'!$B$54,1+($AV12*'Setari model'!$B$15+$AW12*'Setari model'!$B$16+$AX12*'Setari model'!$B$17+$AY12*'Setari model'!$B$18+$AZ12*'Setari model'!$B$19+$BA12*'Setari model'!$B$20+$BB12*'Setari model'!$B$21+$BC12*'Setari model'!$B$22+$BD12*'Setari model'!$B$23+$BE12*'Setari model'!$B$24+$BF12*'Setari model'!$B$25)*INDEX('Setari model'!$H$5:$H$11,MATCH($E12,'Setari model'!$A$5:$A$11,0)))))</x:f>
      </x:c>
      <x:c r="BS12" s="62" t="str">
        <x:f t="shared" si="2">IF($A12="","",$BQ12*$BR12)</x:f>
      </x:c>
      <x:c r="BT12" s="63" t="str">
        <x:f t="shared" si="3">IF($A12="","",EXP(-$BS12))</x:f>
      </x:c>
      <x:c r="BU12" s="65" t="str">
        <x:f>IF($A12="","",IF(OR($AM12="",$AN12=""),1,1+MIN('Setari model'!$B$33,$AN12/100*'Setari model'!$B$33)*($AM12/EXP(-$AL12)-1)))</x:f>
      </x:c>
      <x:c r="BV12" s="63" t="str">
        <x:f>IF($A12="","",MIN(0.45,MAX(0.005,(1-'Setari model'!$B$34*MIN(1,($I12+$P12)/20))*MIN(0.45,$BT12*$BU12)+'Setari model'!$B$34*MIN(1,($I12+$P12)/20)*IF(COUNT($N12,$U12)=2,SQRT(MAX(0,1-$N12)*MAX(0,1-$U12)),IF($AM12="",EXP(-$AL12),$AM12)))))</x:f>
      </x:c>
      <x:c r="BW12" s="63" t="str">
        <x:f t="shared" si="4">IF($A12="","",1-$BV12)</x:f>
      </x:c>
      <x:c r="BX12" s="62" t="str">
        <x:f t="shared" si="5">IF($A12="","",1/$BW12)</x:f>
      </x:c>
      <x:c r="BY12" s="63" t="str">
        <x:f t="shared" si="6">IF($A12="","",$BO12)</x:f>
      </x:c>
      <x:c r="BZ12" s="63" t="str">
        <x:f t="shared" si="7">IF($A12="","",$BW12-$BY12)</x:f>
      </x:c>
      <x:c r="CA12" s="63" t="str">
        <x:f t="shared" si="8">IF($A12="","",IF($AR12&gt;1,$BW12*$AR12-1,""))</x:f>
      </x:c>
      <x:c r="CB12" s="63" t="str">
        <x:f>IF($A12="","",MIN(1,COUNT($I12:$AN12,$AR12:$BG12)/'Setari model'!$B$46))</x:f>
      </x:c>
      <x:c r="CC12" s="63" t="str">
        <x:f t="shared" si="9">IF($A12="","",0.25*MIN(1,$I12/10)+0.25*MIN(1,$P12/10)+0.15*MIN(1,$W12/5)+0.15*MIN(1,$AB12/5)+0.1*MIN(1,$AG12/5)+0.1*MIN(1,$AN12/100))</x:f>
      </x:c>
      <x:c r="CD12" s="63" t="str">
        <x:f>IF($A12="","",MAX(0,1-(MAX($BJ12:$BN12,$BP12)-MIN($BJ12:$BN12,$BP12))/(AVERAGE($BJ12:$BN12,$BP12)*'Setari model'!$B$45)))</x:f>
      </x:c>
      <x:c r="CE12" s="66" t="str">
        <x:f>IF($A12="","",MAX(0,MIN(100,100*INDEX('Setari model'!$I$5:$I$11,MATCH($E12,'Setari model'!$A$5:$A$11,0))*('Setari model'!$B$47*$CB12+'Setari model'!$B$48*$CC12+'Setari model'!$B$49*$CD12+'Setari model'!$B$50*$AT12/5+'Setari model'!$B$51*$AU12)-100*'Setari model'!$B$52*$BG12)))</x:f>
      </x:c>
      <x:c r="CF12" s="65" t="str">
        <x:f t="shared" si="10">IF($A12="","",IF(OR($AT12&lt;3,$BG12&gt;=2,$CB12&lt;0.55,$CC12&lt;0.4),"RIDICAT",IF(OR($AU12=0,$CD12&lt;0.45,$BR12&lt;0.9),"MEDIU","SCĂZUT")))</x:f>
      </x:c>
      <x:c r="CG12" s="65" t="str">
        <x:f>IF($A12="","",IF($AR12&gt;1,IF(AND($BW12&gt;= 'Setari model'!$B$35,$CE12&gt;=100*'Setari model'!$B$36,$BZ12&gt;= 'Setari model'!$B$37,$CA12&gt;= 'Setari model'!$B$38,$CF12&lt;&gt;"RIDICAT"),"PARIU RECOMANDAT",IF(AND($BW12&gt;= 'Setari model'!$B$39,$CE12&gt;=100*'Setari model'!$B$40,$BZ12&gt;= 'Setari model'!$B$41,$CA12&gt;=0,$CF12&lt;&gt;"RIDICAT"),"RECOMANDAT CU PRUDENȚĂ",IF(AND($BW12&gt;= 'Setari model'!$B$42,$CE12&gt;=100*'Setari model'!$B$43),"ANALIZĂ NECONCLUDENTĂ","PARIU EVITAT"))),IF(AND($BW12&gt;= 'Setari model'!$B$35,$CE12&gt;=100*'Setari model'!$B$36,$CF12&lt;&gt;"RIDICAT"),"FAVORABIL STATISTIC – VERIFICĂ COTA",IF(AND($BW12&gt;= 'Setari model'!$B$42,$CE12&gt;=100*'Setari model'!$B$43),"ANALIZĂ NECONCLUDENTĂ","PARIU EVITAT"))))</x:f>
      </x:c>
      <x:c r="CH12" s="67" t="str">
        <x:f t="shared" si="11">IF($A12="","","P(O0,5)="&amp;TEXT($BW12,"0.0%")&amp;"; λ ajustat="&amp;TEXT($BS12,"0.00")&amp;"; Confidence="&amp;TEXT($CE12,"0")&amp;"/100; Edge="&amp;TEXT($BZ12,"0.0%")&amp;"; risc="&amp;$CF12&amp;". "&amp;$BH12)</x:f>
      </x:c>
      <x:c r="CI12" s="68" t="str">
        <x:f t="shared" si="12">IF($A12="","",$BI12)</x:f>
      </x:c>
      <x:c r="CJ12" s="112"/>
      <x:c r="CK12" s="112"/>
      <x:c r="CL12" s="112"/>
      <x:c r="CM12" s="112"/>
      <x:c r="CN12" s="112"/>
      <x:c r="CO12" s="112"/>
      <x:c r="CP12" s="112"/>
      <x:c r="CQ12" s="112"/>
      <x:c r="CR12" s="112"/>
      <x:c r="CS12" s="112"/>
      <x:c r="CT12" s="112"/>
      <x:c r="CU12" s="112"/>
      <x:c r="CV12" s="112"/>
      <x:c r="CW12" s="112"/>
      <x:c r="CX12" s="112"/>
      <x:c r="CY12" s="112"/>
      <x:c r="CZ12" s="112"/>
      <x:c r="DA12" s="112"/>
      <x:c r="DB12" s="112"/>
      <x:c r="DC12" s="114"/>
      <x:c r="DD12" s="114"/>
      <x:c r="DE12" s="112" t="s">
        <x:v>266</x:v>
      </x:c>
      <x:c r="DF12" s="112"/>
      <x:c r="DG12" s="112"/>
      <x:c r="DH12" s="112"/>
      <x:c r="DI12" s="112"/>
      <x:c r="DJ12" s="112"/>
      <x:c r="DK12" s="112"/>
      <x:c r="DL12" s="112"/>
      <x:c r="DM12" s="112"/>
      <x:c r="DN12" s="112"/>
      <x:c r="DO12" s="112"/>
      <x:c r="DP12" s="112"/>
      <x:c r="DQ12" s="114"/>
      <x:c r="DR12" s="112">
        <x:v>1</x:v>
      </x:c>
      <x:c r="DS12" s="116">
        <x:v>0</x:v>
      </x:c>
      <x:c r="DT12" s="120"/>
      <x:c r="DU12" s="116">
        <x:v>0.02</x:v>
      </x:c>
      <x:c r="DV12" s="116">
        <x:v>0.25</x:v>
      </x:c>
      <x:c r="DW12" s="118" t="str">
        <x:f>IF($A12="","",MAX('Setari model'!$B$71,MIN('Setari model'!$B$72,1+0.08*(IFERROR(AVERAGE($CM12:$CN12)/'Setari model'!$B$66,1)-1)+0.08*(IFERROR(AVERAGE($CO12:$CP12)/'Setari model'!$B$67,1)-1)+0.06*(IFERROR(AVERAGE($CQ12:$CR12)/'Setari model'!$B$68,1)-1)+0.04*(IFERROR(AVERAGE($CS12:$CT12)/'Setari model'!$B$69,1)-1)+0.04*(IFERROR(AVERAGE($CU12:$CV12)/'Setari model'!$B$70,1)-1)-'Setari model'!$B$73*IFERROR(AVERAGE($CW12:$CX12),0))))</x:f>
      </x:c>
      <x:c r="DX12" s="118" t="str">
        <x:f>IF($A12="","",1+'Setari model'!$B$62*MAX(IF(OR($CK12=1,$CL12=1),1,0),IF(AND($CJ12&lt;&gt;"",$CJ12&lt;=1),1,0))+'Setari model'!$B$63*IF(AND($CJ12&gt;1,$CJ12&lt;=3),1,0))</x:f>
      </x:c>
      <x:c r="DY12" s="118" t="str">
        <x:f>IF($A12="","",1+'Setari model'!$B$74*(IF($CY12="",0,IF($CY12=0,1,0))+IF($CZ12="",0,IF($CZ12=0,1,0)))+'Setari model'!$B$75*(IF($DA12="",0,IF($DA12=0,1,0))+IF($DB12="",0,IF($DB12=0,1,0))))</x:f>
      </x:c>
      <x:c r="DZ12" s="117" t="str">
        <x:f>IF($A12="","",MIN(0.6,MAX(0.002,(((1-'Setari model'!$B$34*MIN(1,($I12+$P12)/20))*$BT12+'Setari model'!$B$34*MIN(1,($I12+$P12)/20)*IF(COUNT($N12,$U12)=2,SQRT(MAX(0,1-$N12)*MAX(0,1-$U12)),$BT12))*(1-'Setari model'!$B$65*MIN(1,IF($AN12="",0,$AN12/'Setari model'!$B$64)))+'Setari model'!$B$65*MIN(1,IF($AN12="",0,$AN12/'Setari model'!$B$64))*IF($AM12="",$BT12,$AM12))*$DX12*$DY12/$DW12)))</x:f>
      </x:c>
      <x:c r="EA12" s="117" t="str">
        <x:f>IF($A12="","",MIN(1-$DZ12,IF(OR(MIN($I12,$P12)&lt;'Setari model'!$B$58,$CK12=1,$CL12=1,AND($CJ12&lt;&gt;"",$CJ12&lt;=1)),'Setari model'!$B$59,IF(AND($AU12=1,$AR12&gt;1,COUNT($CY12:$DB12)=4),'Setari model'!$B$61,'Setari model'!$B$60))))</x:f>
      </x:c>
      <x:c r="EB12" s="115" t="str">
        <x:f t="shared" si="13">IF($A12="","",1/$EA12)</x:f>
      </x:c>
      <x:c r="EC12" s="117" t="str">
        <x:f t="shared" si="14">IF($A12="","",IF($AR12&gt;1,IF($AS12&gt;1,(1/$AR12)/((1/$AR12)+(1/$AS12)),1/$AR12),""))</x:f>
      </x:c>
      <x:c r="ED12" s="117" t="str">
        <x:f t="shared" si="15">IF($A12="","",IF($EC12="","",$EA12-$EC12))</x:f>
      </x:c>
      <x:c r="EE12" s="117" t="str">
        <x:f t="shared" si="16">""</x:f>
      </x:c>
      <x:c r="EF12" s="119" t="str">
        <x:f>IF($A12="","",MAX(0,MIN(100,$CE12-200*MAX(0,$EG12-'Setari model'!$B$77)-IF($AU12&lt;&gt;1,10,0)-IF(COUNT($CY12:$DB12)&lt;4,4,0))))</x:f>
      </x:c>
      <x:c r="EG12" s="117" t="str">
        <x:f>IF($A12="","",'Setari model'!$B$77+IF(MIN($I12,$P12)&lt;'Setari model'!$B$58,0.03,0)+IF(OR($CK12=1,$CL12=1,AND($CJ12&lt;&gt;"",$CJ12&lt;=1)),0.03,0)+IF($AG12=0,0.02,0)+0.03*(1-MIN(1,COUNT($CM12:$CV12)/10))+0.03*(1-MIN(1,IF($AN12="",0,$AN12/'Setari model'!$B$64)))+IF($AR12&lt;=1,0.02,0))</x:f>
      </x:c>
      <x:c r="EH12" s="113" t="str">
        <x:f>IF($A12="","",IF(OR(MIN($I12,$P12)&lt;'Setari model'!$B$58,$CK12=1,$CL12=1,AND($CJ12&lt;&gt;"",$CJ12&lt;=1)),"92% – early/regim",IF(AND($AU12=1,$AR12&gt;1,COUNT($CY12:$DB12)=4),"94% – confirmat","93% – standard")))</x:f>
      </x:c>
      <x:c r="EI12" s="113" t="str">
        <x:f t="shared" si="17">IF($A12="","",IF(AND($EA12&gt;0.9,$AU12&lt;&gt;1),"WAIT XI – HIGH P",IF(AND($EA12&gt;0.9,COUNT($CY12:$DB12)&lt;4),"WAIT DATE CHEIE – HIGH P",IF($EP12&lt;&gt;"DA","NU – PORTOFOLIU","DA"))))</x:f>
      </x:c>
      <x:c r="EJ12" s="117" t="str">
        <x:f t="shared" si="18">IF($A12="","",IF($DE12&lt;&gt;"Live 20-30","",IF(SUM($DG12:$DH12)&gt;0,1,IF($EU12="","",1-MIN(0.95,MAX(0.001,EXP(-$EU12)*$DX12*$DY12/$DW12))))))</x:f>
      </x:c>
      <x:c r="EK12" s="117" t="str">
        <x:f t="shared" si="19">""</x:f>
      </x:c>
      <x:c r="EL12" s="113" t="str">
        <x:f>IF($A12="","",IF($DE12="Live 20-30",IF(SUM($DG12:$DH12)&gt;0,"EVENIMENT ÎNDEPLINIT",IF(OR($DF12="",COUNT($DI12:$DN12)&lt;4),"LIVE – WATCH",IF($EJ12&gt;=0.75,"LIVE – FEZABIL TEHNIC","LIVE – NO BET"))),IF($EI12&lt;&gt;"DA","WATCH / NO BET",IF(AND($EA12&gt;=INDEX('Setari model'!$B$35:$B$40,1),$EF12&gt;=100*'Setari model'!$B$76),"PARIU RECOMANDAT",IF(AND($EA12&gt;=INDEX('Setari model'!$B$35:$B$40,5),$EF12&gt;=100*'Setari model'!$B$40),"WATCH – APROAPE DE PRAG","PARIU EVITAT")))))</x:f>
      </x:c>
      <x:c r="EM12" s="113" t="str">
        <x:f t="shared" si="20">IF($A12="","",IF($DE12="Live 20-30",IF(SUM($DG12:$DH12)&gt;0,"Gol deja marcat.",IF($DF12="","Minut live lipsă.",IF(COUNT($DI12:$DN12)&lt;4,"Lipsesc xG/SOT/big chances live.",IF($EJ12&lt;0.75,"P live sub prag.","Semnal live tehnic complet; EV ignorat.")))),IF($EI12&lt;&gt;"DA",$EI12,IF($EF12&lt;75,"Confidence sub 75.",IF($EA12&lt;0.92,"P sub 92%.","G0/Zero-Mass + confidence trecute; EV ignorat.")))))</x:f>
      </x:c>
      <x:c r="EN12" s="117" t="str">
        <x:f>IF($A12="","",IF(OR($EL12="PARIU RECOMANDAT",$EL12="LIVE – FEZABIL"),MIN(IF($DU12&gt;0,$DU12,'Setari model'!$B$81)/MAX(1,$DR12),IF($DV12&gt;0,$DV12,'Setari model'!$B$80)*MAX(0,((IF($DE12="Live 20-30",$EJ12,$EA12)*IF($DE12="Live 20-30",$DQ12,$AR12)-1)/(IF($DE12="Live 20-30",$DQ12,$AR12)-1)))),0))</x:f>
      </x:c>
      <x:c r="EO12" s="121" t="str">
        <x:f t="shared" si="21">IF($A12="","",IF(AND($EN12&gt;0,$DT12&gt;0),$EN12*$DT12,""))</x:f>
      </x:c>
      <x:c r="EP12" s="113" t="str">
        <x:f>IF($A12="","",IF(OR($DR12&lt;1,$DR12&gt;'Setari model'!$B$78),"NU – 1–5 selecții",IF($DS12&gt;'Setari model'!$B$79,"NU – corelație", "DA")))</x:f>
      </x:c>
      <x:c r="EQ12" s="117" t="str">
        <x:f t="shared" si="22">IF($A12="","",IF(AND($DC12&gt;1,$DD12&gt;1),$DC12/$DD12-1,""))</x:f>
      </x:c>
      <x:c r="ER12" s="113" t="str">
        <x:f t="shared" si="23">IF($A12="","","P v2="&amp;TEXT($EA12,"0.0%")&amp;" ±"&amp;TEXT($EG12,"0.0%")&amp;"; P0 ZIP="&amp;TEXT($DZ12,"0.0%")&amp;"; Confidence="&amp;TEXT($EF12,"0")&amp;"/100; piață reală="&amp;IF($EC12="","NU","DA")&amp;"; EV="&amp;IF($EE12="","n/a",TEXT($EE12,"0.0%"))&amp;"; gate="&amp;$EI12&amp;"; verdict="&amp;$EL12&amp;". "&amp;$EM12)</x:f>
      </x:c>
      <x:c r="ES12" s="119" t="str">
        <x:f>IF($A12="","",'Setari model'!$B$82)</x:f>
      </x:c>
      <x:c r="ET12" s="118" t="str">
        <x:f>IF($A12="","",'Setari model'!$B$83)</x:f>
      </x:c>
      <x:c r="EU12" s="115" t="str">
        <x:f t="shared" si="24">IF(OR($A12="",$DE12&lt;&gt;"Live 20-30",$DF12="",$DF12&lt;$ES12,$DF12&gt;=90),"",MAX(0.05,MIN($BS12*$ET12,$BS12*(90-$DF12)/90+0.35*($DI12+$DJ12)+0.06*($DK12+$DL12)+0.15*($DM12+$DN12)+0.1*(MAX($DO12,$DP12)-MIN($DO12,$DP12)))))</x:f>
      </x:c>
      <x:c r="EV12" s="132"/>
      <x:c r="EW12" s="132"/>
      <x:c r="EX12" s="132"/>
      <x:c r="EY12" s="132"/>
      <x:c r="EZ12" s="132"/>
      <x:c r="FA12" s="132"/>
      <x:c r="FB12" s="247"/>
      <x:c r="FC12" s="134" t="str">
        <x:f t="shared" si="25">IF($A12="","",IF(OR($J12="",$L12="",$L12&lt;=0),"",MAX(0.5,MIN(1.5,$J12/$L12))))</x:f>
      </x:c>
      <x:c r="FD12" s="134" t="str">
        <x:f t="shared" si="26">IF($A12="","",IF(OR($Q12="",$S12="",$S12&lt;=0),"",MAX(0.5,MIN(1.5,$Q12/$S12))))</x:f>
      </x:c>
      <x:c r="FE12" s="134" t="str">
        <x:f>IF($A12="","",IF(COUNT($EV12:$EW12)&lt;2,"",SQRT($EV12*$EW12)/'Setari model'!$B$87))</x:f>
      </x:c>
      <x:c r="FF12" s="134" t="str">
        <x:f>IF($A12="","",IF(COUNT($O12,$V12,$EX12,$EY12)&lt;4,"",AVERAGE(SQRT($O12*$EY12),SQRT($V12*$EX12))/'Setari model'!$B$88))</x:f>
      </x:c>
      <x:c r="FG12" s="134" t="str">
        <x:f t="shared" si="27">IF($A12="","",IF(COUNT($FC12:$FD12)&lt;2,"",MAX(0,1-AVERAGE($FC12:$FD12))))</x:f>
      </x:c>
      <x:c r="FH12" s="134" t="str">
        <x:f>IF($A12="","",IF(COUNT($EZ12:$FA12)&lt;2,"",'Setari model'!$B$94*AVERAGE($EZ12:$FA12)/'Setari model'!$B$89))</x:f>
      </x:c>
      <x:c r="FI12" s="134" t="str">
        <x:f>IF($A12="","",IF(COUNT($FE12:$FH12)&lt;4,"",MAX('Setari model'!$B$97,MIN('Setari model'!$B$98,1+'Setari model'!$B$90*($FE12-1)+'Setari model'!$B$91*($FF12-1)+'Setari model'!$B$92*$FG12+'Setari model'!$B$93*($FH12-1)))))</x:f>
      </x:c>
      <x:c r="FJ12" s="133" t="str">
        <x:f>IF($A12="","",IF($FI12="","",MIN('Setari model'!$B$101,MAX(0.002,$DZ12*$FI12))))</x:f>
      </x:c>
      <x:c r="FK12" s="131" t="str">
        <x:f t="shared" si="28">IF($A12="","",IF(AND(COUNT($EV12:$FA12)=6,COUNT($O12,$V12,$FC12,$FD12)=4),"DA","NU"))</x:f>
      </x:c>
      <x:c r="FL12" s="131" t="str">
        <x:f>IF($A12="","",IF($FK12&lt;&gt;"DA","NEDETERMINAT",IF($FI12&lt;='Setari model'!$B$99,"SCĂZUT",IF($FI12&lt;='Setari model'!$B$100,"MEDIU","RIDICAT"))))</x:f>
      </x:c>
      <x:c r="FM12" s="131" t="str">
        <x:f>IF($A12="","",IF(AND($AR12&gt;1,$EC12&gt;='Setari model'!$B$106),"DA","NU"))</x:f>
      </x:c>
      <x:c r="FN12" s="131" t="str">
        <x:f t="shared" si="29">IF($A12="","",IF(AND($AU12=1,COUNT($CY12:$DB12)=4),"DA","NU"))</x:f>
      </x:c>
      <x:c r="FO12" s="133" t="str">
        <x:f>IF($A12="","",IF(OR($FK12&lt;&gt;"DA",$FL12="RIDICAT"),'Setari model'!$B$102,IF($FL12="MEDIU",'Setari model'!$B$103,IF(AND($FM12="DA",$FN12="DA"),'Setari model'!$B$105,'Setari model'!$B$104))))</x:f>
      </x:c>
      <x:c r="FP12" s="133" t="str">
        <x:f t="shared" si="30">IF($A12="","",IF($FJ12="","",MIN(1-$FJ12,$FO12)))</x:f>
      </x:c>
      <x:c r="FQ12" s="135" t="str">
        <x:f t="shared" si="31">IF($A12="","",IF($FP12="","",IF($FP12&gt;0,1/$FP12,"")))</x:f>
      </x:c>
      <x:c r="FR12" s="133" t="str">
        <x:f t="shared" si="32">IF($A12="","",IF($EC12="","",$FP12-$EC12))</x:f>
      </x:c>
      <x:c r="FS12" s="133" t="str">
        <x:f t="shared" si="33">IF($A12="","",IF($AR12&gt;1,$FP12*$AR12-1,""))</x:f>
      </x:c>
      <x:c r="FT12" s="136" t="str">
        <x:f>IF($A12="","",MAX(0,MIN(100,$EF12-IF($FK12&lt;&gt;"DA",'Setari model'!$B$107,0)-IF($FL12="MEDIU",'Setari model'!$B$108,0)-IF($FL12="RIDICAT",'Setari model'!$B$109,0))))</x:f>
      </x:c>
      <x:c r="FU12" s="131" t="str">
        <x:f t="shared" si="34">IF($A12="","",IF($AR12&lt;=1,"NU – LIPSEȘTE COTA REALĂ",IF($FK12&lt;&gt;"DA","NU – ZERO-RISK INCOMPLET",IF($FL12&lt;&gt;"SCĂZUT","NU – RISC 0-0 "&amp;$FL12,IF($FN12&lt;&gt;"DA","NU – LINEUP NECONFIRMAT",IF($FM12&lt;&gt;"DA","NU – PIAȚĂ NECONFIRMATĂ",IF($EP12&lt;&gt;"DA","NU – PORTOFOLIU","DA")))))))</x:f>
      </x:c>
      <x:c r="FV12" s="131" t="str">
        <x:f>IF($A12="","",IF($FU12&lt;&gt;"DA","WATCH / NO BET",IF(AND($FP12&gt;='Setari model'!$B$35,$FT12&gt;=100*'Setari model'!$B$76,$FS12&gt;0),"PARIU RECOMANDAT",IF(AND($FP12&gt;='Setari model'!$B$39,$FT12&gt;=100*'Setari model'!$B$40,$FS12&gt;0),"WATCH – APROAPE DE PRAG","PARIU EVITAT"))))</x:f>
      </x:c>
      <x:c r="FW12" s="131" t="str">
        <x:f t="shared" si="35">IF($A12="","",IF($FU12&lt;&gt;"DA",$FU12,IF($FT12&lt;75,"Confidence v3 sub 75.",IF($FP12&lt;0.92,"P v3 sub 92%.",IF($FS12&lt;=0,"EV v3 nepozitiv.","P0 v3, lineup și piață confirmate.")))))</x:f>
      </x:c>
      <x:c r="FX12" s="131" t="str">
        <x:f t="shared" si="36">IF($A12="","","P v3="&amp;TEXT($FP12,"0.0%")&amp;"; P0 v3="&amp;TEXT($FJ12,"0.0%")&amp;"; factor zero="&amp;IF($FI12="","n/a",TEXT($FI12,"0.00x"))&amp;" ("&amp;$FL12&amp;"); cap="&amp;TEXT($FO12,"0.0%")&amp;"; Confidence="&amp;TEXT($FT12,"0")&amp;"/100; lineup="&amp;$FN12&amp;"; piață="&amp;$FM12&amp;"; EV="&amp;IF($FS12="","n/a",TEXT($FS12,"0.0%"))&amp;"; gate="&amp;$FU12&amp;"; verdict="&amp;$FV12&amp;". "&amp;$FW12)</x:f>
      </x:c>
      <x:c r="FY12" s="159"/>
      <x:c r="FZ12" s="159"/>
      <x:c r="GA12" s="157"/>
      <x:c r="GB12" s="157"/>
      <x:c r="GC12" s="161" t="str">
        <x:f t="shared" si="37">IF($A12="","",IF(OR($X12="",$Z12="",$Z12&lt;=0),"",MAX(0.5,MIN(1.5,$X12/$Z12))))</x:f>
      </x:c>
      <x:c r="GD12" s="161" t="str">
        <x:f t="shared" si="38">IF($A12="","",IF(OR($AC12="",$AE12="",$AE12&lt;=0),"",MAX(0.5,MIN(1.5,$AC12/$AE12))))</x:f>
      </x:c>
      <x:c r="GE12" s="162" t="str">
        <x:f t="shared" si="39">IF($A12="","",IF(COUNT($Z12,$AE12)&lt;2,"",AVERAGE($Z12,$AE12)))</x:f>
      </x:c>
      <x:c r="GF12" s="158" t="str">
        <x:f>IF($A12="","",IF(COUNT($FY12:$FZ12)&lt;2,"NEDETERMINAT",IF(AND($FY12&gt;='Setari model'!$B$113,$FZ12&gt;='Setari model'!$B$113),"DA","NU")))</x:f>
      </x:c>
      <x:c r="GG12" s="158" t="str">
        <x:f>IF($A12="","",IF(COUNT($FY12:$FZ12,$EX12:$EY12)&lt;4,"NEDETERMINAT",IF(OR(AND($FY12&gt;='Setari model'!$B$113,$EY12&gt;='Setari model'!$B$114),AND($FZ12&gt;='Setari model'!$B$113,$EX12&gt;='Setari model'!$B$114)),"DA","NU")))</x:f>
      </x:c>
      <x:c r="GH12" s="158" t="str">
        <x:f>IF($A12="","",IF(COUNT($BJ12:$BN12,$GC12:$GE12)&lt;8,"NEDETERMINAT",IF(AND((($BJ12*INDEX('Setari model'!$B$5:$B$11,MATCH($E12,'Setari model'!$A$5:$A$11,0))+$BK12*INDEX('Setari model'!$C$5:$C$11,MATCH($E12,'Setari model'!$A$5:$A$11,0))+$BL12*INDEX('Setari model'!$D$5:$D$11,MATCH($E12,'Setari model'!$A$5:$A$11,0))+$BM12*INDEX('Setari model'!$E$5:$E$11,MATCH($E12,'Setari model'!$A$5:$A$11,0))+$BN12*INDEX('Setari model'!$F$5:$F$11,MATCH($E12,'Setari model'!$A$5:$A$11,0)))/(INDEX('Setari model'!$B$5:$B$11,MATCH($E12,'Setari model'!$A$5:$A$11,0))+INDEX('Setari model'!$C$5:$C$11,MATCH($E12,'Setari model'!$A$5:$A$11,0))+INDEX('Setari model'!$D$5:$D$11,MATCH($E12,'Setari model'!$A$5:$A$11,0))+INDEX('Setari model'!$E$5:$E$11,MATCH($E12,'Setari model'!$A$5:$A$11,0))+INDEX('Setari model'!$F$5:$F$11,MATCH($E12,'Setari model'!$A$5:$A$11,0))))*$BR12&gt;='Setari model'!$B$115,(($BJ12*INDEX('Setari model'!$B$5:$B$11,MATCH($E12,'Setari model'!$A$5:$A$11,0))+$BK12*INDEX('Setari model'!$C$5:$C$11,MATCH($E12,'Setari model'!$A$5:$A$11,0))+$BL12*INDEX('Setari model'!$D$5:$D$11,MATCH($E12,'Setari model'!$A$5:$A$11,0))+$BM12*INDEX('Setari model'!$E$5:$E$11,MATCH($E12,'Setari model'!$A$5:$A$11,0))+$BN12*INDEX('Setari model'!$F$5:$F$11,MATCH($E12,'Setari model'!$A$5:$A$11,0)))/(INDEX('Setari model'!$B$5:$B$11,MATCH($E12,'Setari model'!$A$5:$A$11,0))+INDEX('Setari model'!$C$5:$C$11,MATCH($E12,'Setari model'!$A$5:$A$11,0))+INDEX('Setari model'!$D$5:$D$11,MATCH($E12,'Setari model'!$A$5:$A$11,0))+INDEX('Setari model'!$E$5:$E$11,MATCH($E12,'Setari model'!$A$5:$A$11,0))+INDEX('Setari model'!$F$5:$F$11,MATCH($E12,'Setari model'!$A$5:$A$11,0))))*$BR12&lt;='Setari model'!$B$116,AVERAGE($GC12:$GD12)&lt;='Setari model'!$B$117,$GE12&gt;='Setari model'!$B$118),"DA","NU")))</x:f>
      </x:c>
      <x:c r="GI12" s="158" t="str">
        <x:f>IF($A12="","",IF(COUNT($W12,$AB12,$GA12:$GB12)&lt;4,"NEDETERMINAT",IF(AND($W12&gt;='Setari model'!$B$120,$AB12&gt;='Setari model'!$B$120,OR(IFERROR($GA12/$W12,0)&gt;='Setari model'!$B$119,IFERROR($GB12/$AB12,0)&gt;='Setari model'!$B$119)),"DA","NU")))</x:f>
      </x:c>
      <x:c r="GJ12" s="160" t="str">
        <x:f>IF($A12="","",IF(COUNT($FY12:$GB12)&lt;4,"",IF($GH12&lt;&gt;"DA",0,'Setari model'!$B$121*IF($GF12="DA",1,0)+'Setari model'!$B$122*IF($GG12="DA",1,0)+'Setari model'!$B$123+'Setari model'!$B$124*IF($GI12="DA",1,0))))</x:f>
      </x:c>
      <x:c r="GK12" s="161" t="str">
        <x:f>IF($A12="","",IF(COUNT($GJ12)=0,"",1+'Setari model'!$B$125*$GJ12))</x:f>
      </x:c>
      <x:c r="GL12" s="160" t="str">
        <x:f>IF($A12="","",IF($GM12&lt;&gt;"DA",$FJ12,MIN('Setari model'!$B$101,MAX(0.002,$FJ12*$GK12))))</x:f>
      </x:c>
      <x:c r="GM12" s="158" t="str">
        <x:f>IF($A12="","",IF(AND($FK12="DA",COUNT($FY12:$GB12)=4,COUNT($I12,$P12,$W12,$AB12,$Z12,$AE12,$EX12,$EY12,$GC12,$GD12)=10,COUNT($BJ12:$BN12)=5),"DA","NU"))</x:f>
      </x:c>
      <x:c r="GN12" s="158" t="str">
        <x:f>IF($A12="","",IF($GM12&lt;&gt;"DA","NEDETERMINAT",IF($FI12*$GK12&lt;='Setari model'!$B$99,"SCĂZUT",IF($FI12*$GK12&lt;='Setari model'!$B$100,"MEDIU","RIDICAT"))))</x:f>
      </x:c>
      <x:c r="GO12" s="160" t="str">
        <x:f>IF($A12="","",IF(OR($GM12&lt;&gt;"DA",$GN12="RIDICAT"),'Setari model'!$B$102,IF($GN12="MEDIU",'Setari model'!$B$103,IF(AND($FM12="DA",$FN12="DA"),'Setari model'!$B$105,'Setari model'!$B$104))))</x:f>
      </x:c>
      <x:c r="GP12" s="160" t="str">
        <x:f t="shared" si="40">IF($A12="","",IF($GL12="","",MIN(1-$GL12,$GO12)))</x:f>
      </x:c>
      <x:c r="GQ12" s="162" t="str">
        <x:f t="shared" si="41">IF($A12="","",IF($GP12="","",IF($GP12&gt;0,1/$GP12,"")))</x:f>
      </x:c>
      <x:c r="GR12" s="160" t="str">
        <x:f t="shared" si="42">IF($A12="","",IF($EC12="","",$GP12-$EC12))</x:f>
      </x:c>
      <x:c r="GS12" s="160" t="str">
        <x:f t="shared" si="43">IF($A12="","",IF($AR12&gt;1,$GP12*$AR12-1,""))</x:f>
      </x:c>
      <x:c r="GT12" s="163" t="str">
        <x:f>IF($A12="","",MAX(0,MIN(100,$FT12-IF(AND($GM12&lt;&gt;"DA",$FK12="DA"),'Setari model'!$B$107,0)-'Setari model'!$B$126*IF($GJ12="",0,$GJ12))))</x:f>
      </x:c>
      <x:c r="GU12" s="158" t="str">
        <x:f t="shared" si="44">IF($A12="","",IF($AR12&lt;=1,"NU – LIPSEȘTE COTA REALĂ",IF($GM12&lt;&gt;"DA","NU – DATE LOW-CONVERSION INCOMPLETE",IF($GN12&lt;&gt;"SCĂZUT","NU – RISC 0-0 "&amp;$GN12,IF($FN12&lt;&gt;"DA","NU – LINEUP NECONFIRMAT",IF($FM12&lt;&gt;"DA","NU – PIAȚĂ NECONFIRMATĂ",IF($EP12&lt;&gt;"DA","NU – PORTOFOLIU","DA")))))))</x:f>
      </x:c>
      <x:c r="GV12" s="158" t="str">
        <x:f>IF($A12="","",IF($GU12&lt;&gt;"DA","WATCH / NO BET",IF(AND($GP12&gt;='Setari model'!$B$35,$GT12&gt;=100*'Setari model'!$B$76,$GS12&gt;0),"PARIU RECOMANDAT",IF(AND($GP12&gt;='Setari model'!$B$39,$GT12&gt;=100*'Setari model'!$B$40,$GS12&gt;0),"WATCH – APROAPE DE PRAG","PARIU EVITAT"))))</x:f>
      </x:c>
      <x:c r="GW12" s="158" t="str">
        <x:f t="shared" si="45">IF($A12="","",IF($GU12&lt;&gt;"DA",$GU12,IF($GT12&lt;75,"Confidence v5 sub 75.",IF($GP12&lt;0.92,"P v5 sub 92%.",IF($GS12&lt;=0,"EV v5 nepozitiv.",IF($GJ12&gt;0,"Low-conversion absorbit în P0; toate porțile rămân trecute.","Toate porțile v5 sunt trecute."))))))</x:f>
      </x:c>
      <x:c r="GX12" s="158" t="str">
        <x:f t="shared" si="46">IF($A12="","","P v5="&amp;TEXT($GP12,"0.0%")&amp;"; P0 v5="&amp;TEXT($GL12,"0.0%")&amp;"; low-conv="&amp;IF(COUNT($GJ12)=0,"n/a",TEXT($GJ12,"0%"))&amp;"; mult.P0="&amp;IF(COUNT($GK12)=0,"n/a",TEXT($GK12,"0.00"))&amp;"; clasă="&amp;$GN12&amp;"; cap="&amp;TEXT($GO12,"0.0%")&amp;"; Confidence="&amp;TEXT($GT12,"0")&amp;"/100; lineup="&amp;$FN12&amp;"; piață="&amp;$FM12&amp;"; EV="&amp;IF($GS12="","n/a",TEXT($GS12,"0.0%"))&amp;"; gate="&amp;$GU12&amp;"; verdict="&amp;$GV12&amp;". "&amp;$GW12)</x:f>
      </x:c>
      <x:c r="GY12" s="174" t="str">
        <x:f>IF($A12="","",IF($GM12&lt;&gt;"DA","SOURCING INCOMPLETE – REVIEW REQUIRED",IF(MIN($I12,$P12,$W12,$AB12)&lt;'Setari model'!$B$58,"SMALL SAMPLE + PRIOR / SHRINKAGE","VERIFIED / PRIOR / SHRINKAGE")))</x:f>
      </x:c>
      <x:c r="GZ12" s="175" t="str">
        <x:f t="shared" si="47">IF($A12="","",MAX(0,MIN(100,100*(1-AVERAGE(IF($GM12="DA",1,0),MIN(1,$AT12/5))))))</x:f>
      </x:c>
      <x:c r="HA12" s="175" t="str">
        <x:f>IF($A12="","",IF($GM12&lt;&gt;"DA","",MAX(0,MIN(100,100*(($FI12*$GK12)-'Setari model'!$B$97)/('Setari model'!$B$98-'Setari model'!$B$97)))))</x:f>
      </x:c>
      <x:c r="HB12" s="175" t="str">
        <x:f>IF($A12="","",MAX(0,MIN(100,100*(ABS($BR12-1)/MAX(1-'Setari model'!$B$53,'Setari model'!$B$54-1)+MIN(1,$BG12/2))/2)))</x:f>
      </x:c>
      <x:c r="HC12" s="175" t="str">
        <x:f t="shared" si="48">IF($A12="","",MAX(0,MIN(100,100*(1-AVERAGE($CC12,MAX(0,1-(MAX($BJ12:$BN12)-MIN($BJ12:$BN12))/(AVERAGE($BJ12:$BN12)*'Setari model'!$B$45)))))))</x:f>
      </x:c>
      <x:c r="HD12" s="175" t="str">
        <x:f t="shared" si="49">IF($A12="","",MAX(0,MIN(100,100*MAX(IF($GJ12="",0,$GJ12),MIN(1,$BG12/2)))))</x:f>
      </x:c>
      <x:c r="HE12" s="175" t="str">
        <x:f>IF($A12="","",IF(COUNT($GZ12:$HD12)&lt;5,"",$GZ12*Risk_Classification!$E$28+$HA12*Risk_Classification!$E$29+$HB12*Risk_Classification!$E$30+$HC12*Risk_Classification!$E$31+$HD12*Risk_Classification!$E$32))</x:f>
      </x:c>
      <x:c r="HF12" s="176" t="str">
        <x:f t="shared" si="50">IF($A12="","",IF($HE12="","",IF($HE12&lt;=20,1,IF($HE12&lt;=40,2,IF($HE12&lt;=60,3,IF($HE12&lt;=80,4,5))))))</x:f>
      </x:c>
      <x:c r="HG12" s="176" t="str">
        <x:f t="shared" si="51">IF($A12="","",IF($GM12="DA","PASS","FAIL – DATE CRITICE ZERO-MASS INCOMPLETE"))</x:f>
      </x:c>
      <x:c r="HH12" s="176" t="str">
        <x:f t="shared" si="52">IF($A12="","",IF($HG12&lt;&gt;"PASS",5,$HF12))</x:f>
      </x:c>
      <x:c r="HI12" s="174" t="str">
        <x:f t="shared" si="53">IF($A12="","",IF($HH12="","N/A",IF($HH12=1,"DEFENSIV",IF($HH12=2,"PRUDENT",IF($HH12=3,"MODERAT",IF($HH12=4,"RIDICAT","WATCH / NO BET"))))))</x:f>
      </x:c>
      <x:c r="HJ12" s="177" t="str">
        <x:f t="shared" si="54">IF($A12="","","Data="&amp;$GY12&amp;"; DQ="&amp;TEXT($GZ12,"0.0")&amp;"; ZM="&amp;IF($HA12="","n/a",TEXT($HA12,"0.0"))&amp;"; Context="&amp;TEXT($HB12,"0.0")&amp;"; Uncertainty="&amp;TEXT($HC12,"0.0")&amp;"; Compound="&amp;TEXT($HD12,"0.0")&amp;"; Risk Score="&amp;IF($HE12="","n/a",TEXT($HE12,"0.0"))&amp;"; Base="&amp;IF($HF12="","n/a",$HF12)&amp;"; G0="&amp;$HG12&amp;"; Final="&amp;$HH12&amp;". Cota, EV si lineup sunt informative si nu intra in recomandare.")</x:f>
      </x:c>
      <x:c r="HK12" s="174" t="str">
        <x:f t="shared" si="55">IF($A12="","",$HI12)</x:f>
      </x:c>
    </x:row>
    <x:row r="13" ht="24" customHeight="1">
      <x:c r="A13" s="58"/>
      <x:c r="B13" s="24"/>
      <x:c r="C13" s="59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18"/>
      <x:c r="O13" s="18"/>
      <x:c r="P13" s="24"/>
      <x:c r="Q13" s="24"/>
      <x:c r="R13" s="24"/>
      <x:c r="S13" s="24"/>
      <x:c r="T13" s="24"/>
      <x:c r="U13" s="18"/>
      <x:c r="V13" s="18"/>
      <x:c r="W13" s="24"/>
      <x:c r="X13" s="24"/>
      <x:c r="Y13" s="24"/>
      <x:c r="Z13" s="24"/>
      <x:c r="AA13" s="24"/>
      <x:c r="AB13" s="24"/>
      <x:c r="AC13" s="24"/>
      <x:c r="AD13" s="24"/>
      <x:c r="AE13" s="24"/>
      <x:c r="AF13" s="24"/>
      <x:c r="AG13" s="24"/>
      <x:c r="AH13" s="24"/>
      <x:c r="AI13" s="18"/>
      <x:c r="AJ13" s="24"/>
      <x:c r="AK13" s="24"/>
      <x:c r="AL13" s="24"/>
      <x:c r="AM13" s="18"/>
      <x:c r="AN13" s="24"/>
      <x:c r="AO13" s="60"/>
      <x:c r="AP13" s="60"/>
      <x:c r="AQ13" s="60"/>
      <x:c r="AR13" s="60"/>
      <x:c r="AS13" s="60"/>
      <x:c r="AT13" s="24"/>
      <x:c r="AU13" s="24"/>
      <x:c r="AV13" s="24"/>
      <x:c r="AW13" s="24"/>
      <x:c r="AX13" s="24"/>
      <x:c r="AY13" s="24"/>
      <x:c r="AZ13" s="24"/>
      <x:c r="BA13" s="24"/>
      <x:c r="BB13" s="24"/>
      <x:c r="BC13" s="24"/>
      <x:c r="BD13" s="24"/>
      <x:c r="BE13" s="24"/>
      <x:c r="BF13" s="24"/>
      <x:c r="BG13" s="24"/>
      <x:c r="BH13" s="61"/>
      <x:c r="BI13" s="61"/>
      <x:c r="BJ13" s="62" t="str">
        <x:f>IF($A13="","",SQRT((($I13*IF($J13="",$AJ13,$J13)+'Setari model'!$B$30*$AJ13)/($I13+'Setari model'!$B$30))*(($P13*IF($R13="",$AJ13,$R13)+'Setari model'!$B$30*$AJ13)/($P13+'Setari model'!$B$30)))+SQRT((($P13*IF($Q13="",$AK13,$Q13)+'Setari model'!$B$30*$AK13)/($P13+'Setari model'!$B$30))*(($I13*IF($K13="",$AK13,$K13)+'Setari model'!$B$30*$AK13)/($I13+'Setari model'!$B$30))))</x:f>
      </x:c>
      <x:c r="BK13" s="62" t="str">
        <x:f>IF($A13="","",SQRT((($I13*IF($L13="",IF($J13="",$AJ13,$J13),$L13)+'Setari model'!$B$30*$AJ13)/($I13+'Setari model'!$B$30))*(($P13*IF($T13="",IF($R13="",$AJ13,$R13),$T13)+'Setari model'!$B$30*$AJ13)/($P13+'Setari model'!$B$30)))+SQRT((($P13*IF($S13="",IF($Q13="",$AK13,$Q13),$S13)+'Setari model'!$B$30*$AK13)/($P13+'Setari model'!$B$30))*(($I13*IF($M13="",IF($K13="",$AK13,$K13),$M13)+'Setari model'!$B$30*$AK13)/($I13+'Setari model'!$B$30))))</x:f>
      </x:c>
      <x:c r="BL13" s="62" t="str">
        <x:f>IF($A13="","",SQRT((($W13*IF($X13="",$AL13/2,$X13)+'Setari model'!$B$31*$AL13/2)/($W13+'Setari model'!$B$31))*(($AB13*IF($AD13="",$AL13/2,$AD13)+'Setari model'!$B$31*$AL13/2)/($AB13+'Setari model'!$B$31)))+SQRT((($AB13*IF($AC13="",$AL13/2,$AC13)+'Setari model'!$B$31*$AL13/2)/($AB13+'Setari model'!$B$31))*(($W13*IF($Y13="",$AL13/2,$Y13)+'Setari model'!$B$31*$AL13/2)/($W13+'Setari model'!$B$31))))</x:f>
      </x:c>
      <x:c r="BM13" s="62" t="str">
        <x:f>IF($A13="","",SQRT((($W13*IF($Z13="",IF($X13="",$AL13/2,$X13),$Z13)+'Setari model'!$B$31*$AL13/2)/($W13+'Setari model'!$B$31))*(($AB13*IF($AF13="",IF($AD13="",$AL13/2,$AD13),$AF13)+'Setari model'!$B$31*$AL13/2)/($AB13+'Setari model'!$B$31)))+SQRT((($AB13*IF($AE13="",IF($AC13="",$AL13/2,$AC13),$AE13)+'Setari model'!$B$31*$AL13/2)/($AB13+'Setari model'!$B$31))*(($W13*IF($AA13="",IF($Y13="",$AL13/2,$Y13),$AA13)+'Setari model'!$B$31*$AL13/2)/($W13+'Setari model'!$B$31))))</x:f>
      </x:c>
      <x:c r="BN13" s="62" t="str">
        <x:f t="shared" si="0">IF($A13="","",IF($AG13&gt;0,($AG13*IF($AH13="",$AL13,$AH13)+5*$AL13)/($AG13+5),$AL13))</x:f>
      </x:c>
      <x:c r="BO13" s="63" t="str">
        <x:f>IF($A13="","",IF($AR13&gt;1,IF($AS13&gt;1,(1/$AR13)/((1/$AR13+1/$AS13)),MIN(0.995,(1/$AR13)/(1+'Setari model'!$B$32))),1-EXP(-$AL13)))</x:f>
      </x:c>
      <x:c r="BP13" s="62" t="str">
        <x:f t="shared" si="1">IF($A13="","",-LN(1-$BO13))</x:f>
      </x:c>
      <x:c r="BQ13" s="62" t="str">
        <x:f>IF($A13="","",$BJ13*INDEX('Setari model'!$B$5:$B$11,MATCH($E13,'Setari model'!$A$5:$A$11,0))+$BK13*INDEX('Setari model'!$C$5:$C$11,MATCH($E13,'Setari model'!$A$5:$A$11,0))+$BL13*INDEX('Setari model'!$D$5:$D$11,MATCH($E13,'Setari model'!$A$5:$A$11,0))+$BM13*INDEX('Setari model'!$E$5:$E$11,MATCH($E13,'Setari model'!$A$5:$A$11,0))+$BN13*INDEX('Setari model'!$F$5:$F$11,MATCH($E13,'Setari model'!$A$5:$A$11,0))+$BP13*INDEX('Setari model'!$G$5:$G$11,MATCH($E13,'Setari model'!$A$5:$A$11,0)))</x:f>
      </x:c>
      <x:c r="BR13" s="64" t="str">
        <x:f>IF($A13="","",MAX('Setari model'!$B$53,MIN('Setari model'!$B$54,1+($AV13*'Setari model'!$B$15+$AW13*'Setari model'!$B$16+$AX13*'Setari model'!$B$17+$AY13*'Setari model'!$B$18+$AZ13*'Setari model'!$B$19+$BA13*'Setari model'!$B$20+$BB13*'Setari model'!$B$21+$BC13*'Setari model'!$B$22+$BD13*'Setari model'!$B$23+$BE13*'Setari model'!$B$24+$BF13*'Setari model'!$B$25)*INDEX('Setari model'!$H$5:$H$11,MATCH($E13,'Setari model'!$A$5:$A$11,0)))))</x:f>
      </x:c>
      <x:c r="BS13" s="62" t="str">
        <x:f t="shared" si="2">IF($A13="","",$BQ13*$BR13)</x:f>
      </x:c>
      <x:c r="BT13" s="63" t="str">
        <x:f t="shared" si="3">IF($A13="","",EXP(-$BS13))</x:f>
      </x:c>
      <x:c r="BU13" s="65" t="str">
        <x:f>IF($A13="","",IF(OR($AM13="",$AN13=""),1,1+MIN('Setari model'!$B$33,$AN13/100*'Setari model'!$B$33)*($AM13/EXP(-$AL13)-1)))</x:f>
      </x:c>
      <x:c r="BV13" s="63" t="str">
        <x:f>IF($A13="","",MIN(0.45,MAX(0.005,(1-'Setari model'!$B$34*MIN(1,($I13+$P13)/20))*MIN(0.45,$BT13*$BU13)+'Setari model'!$B$34*MIN(1,($I13+$P13)/20)*IF(COUNT($N13,$U13)=2,SQRT(MAX(0,1-$N13)*MAX(0,1-$U13)),IF($AM13="",EXP(-$AL13),$AM13)))))</x:f>
      </x:c>
      <x:c r="BW13" s="63" t="str">
        <x:f t="shared" si="4">IF($A13="","",1-$BV13)</x:f>
      </x:c>
      <x:c r="BX13" s="62" t="str">
        <x:f t="shared" si="5">IF($A13="","",1/$BW13)</x:f>
      </x:c>
      <x:c r="BY13" s="63" t="str">
        <x:f t="shared" si="6">IF($A13="","",$BO13)</x:f>
      </x:c>
      <x:c r="BZ13" s="63" t="str">
        <x:f t="shared" si="7">IF($A13="","",$BW13-$BY13)</x:f>
      </x:c>
      <x:c r="CA13" s="63" t="str">
        <x:f t="shared" si="8">IF($A13="","",IF($AR13&gt;1,$BW13*$AR13-1,""))</x:f>
      </x:c>
      <x:c r="CB13" s="63" t="str">
        <x:f>IF($A13="","",MIN(1,COUNT($I13:$AN13,$AR13:$BG13)/'Setari model'!$B$46))</x:f>
      </x:c>
      <x:c r="CC13" s="63" t="str">
        <x:f t="shared" si="9">IF($A13="","",0.25*MIN(1,$I13/10)+0.25*MIN(1,$P13/10)+0.15*MIN(1,$W13/5)+0.15*MIN(1,$AB13/5)+0.1*MIN(1,$AG13/5)+0.1*MIN(1,$AN13/100))</x:f>
      </x:c>
      <x:c r="CD13" s="63" t="str">
        <x:f>IF($A13="","",MAX(0,1-(MAX($BJ13:$BN13,$BP13)-MIN($BJ13:$BN13,$BP13))/(AVERAGE($BJ13:$BN13,$BP13)*'Setari model'!$B$45)))</x:f>
      </x:c>
      <x:c r="CE13" s="66" t="str">
        <x:f>IF($A13="","",MAX(0,MIN(100,100*INDEX('Setari model'!$I$5:$I$11,MATCH($E13,'Setari model'!$A$5:$A$11,0))*('Setari model'!$B$47*$CB13+'Setari model'!$B$48*$CC13+'Setari model'!$B$49*$CD13+'Setari model'!$B$50*$AT13/5+'Setari model'!$B$51*$AU13)-100*'Setari model'!$B$52*$BG13)))</x:f>
      </x:c>
      <x:c r="CF13" s="65" t="str">
        <x:f t="shared" si="10">IF($A13="","",IF(OR($AT13&lt;3,$BG13&gt;=2,$CB13&lt;0.55,$CC13&lt;0.4),"RIDICAT",IF(OR($AU13=0,$CD13&lt;0.45,$BR13&lt;0.9),"MEDIU","SCĂZUT")))</x:f>
      </x:c>
      <x:c r="CG13" s="65" t="str">
        <x:f>IF($A13="","",IF($AR13&gt;1,IF(AND($BW13&gt;= 'Setari model'!$B$35,$CE13&gt;=100*'Setari model'!$B$36,$BZ13&gt;= 'Setari model'!$B$37,$CA13&gt;= 'Setari model'!$B$38,$CF13&lt;&gt;"RIDICAT"),"PARIU RECOMANDAT",IF(AND($BW13&gt;= 'Setari model'!$B$39,$CE13&gt;=100*'Setari model'!$B$40,$BZ13&gt;= 'Setari model'!$B$41,$CA13&gt;=0,$CF13&lt;&gt;"RIDICAT"),"RECOMANDAT CU PRUDENȚĂ",IF(AND($BW13&gt;= 'Setari model'!$B$42,$CE13&gt;=100*'Setari model'!$B$43),"ANALIZĂ NECONCLUDENTĂ","PARIU EVITAT"))),IF(AND($BW13&gt;= 'Setari model'!$B$35,$CE13&gt;=100*'Setari model'!$B$36,$CF13&lt;&gt;"RIDICAT"),"FAVORABIL STATISTIC – VERIFICĂ COTA",IF(AND($BW13&gt;= 'Setari model'!$B$42,$CE13&gt;=100*'Setari model'!$B$43),"ANALIZĂ NECONCLUDENTĂ","PARIU EVITAT"))))</x:f>
      </x:c>
      <x:c r="CH13" s="67" t="str">
        <x:f t="shared" si="11">IF($A13="","","P(O0,5)="&amp;TEXT($BW13,"0.0%")&amp;"; λ ajustat="&amp;TEXT($BS13,"0.00")&amp;"; Confidence="&amp;TEXT($CE13,"0")&amp;"/100; Edge="&amp;TEXT($BZ13,"0.0%")&amp;"; risc="&amp;$CF13&amp;". "&amp;$BH13)</x:f>
      </x:c>
      <x:c r="CI13" s="68" t="str">
        <x:f t="shared" si="12">IF($A13="","",$BI13)</x:f>
      </x:c>
      <x:c r="CJ13" s="112"/>
      <x:c r="CK13" s="112"/>
      <x:c r="CL13" s="112"/>
      <x:c r="CM13" s="112"/>
      <x:c r="CN13" s="112"/>
      <x:c r="CO13" s="112"/>
      <x:c r="CP13" s="112"/>
      <x:c r="CQ13" s="112"/>
      <x:c r="CR13" s="112"/>
      <x:c r="CS13" s="112"/>
      <x:c r="CT13" s="112"/>
      <x:c r="CU13" s="112"/>
      <x:c r="CV13" s="112"/>
      <x:c r="CW13" s="112"/>
      <x:c r="CX13" s="112"/>
      <x:c r="CY13" s="112"/>
      <x:c r="CZ13" s="112"/>
      <x:c r="DA13" s="112"/>
      <x:c r="DB13" s="112"/>
      <x:c r="DC13" s="114"/>
      <x:c r="DD13" s="114"/>
      <x:c r="DE13" s="112" t="s">
        <x:v>266</x:v>
      </x:c>
      <x:c r="DF13" s="112"/>
      <x:c r="DG13" s="112"/>
      <x:c r="DH13" s="112"/>
      <x:c r="DI13" s="112"/>
      <x:c r="DJ13" s="112"/>
      <x:c r="DK13" s="112"/>
      <x:c r="DL13" s="112"/>
      <x:c r="DM13" s="112"/>
      <x:c r="DN13" s="112"/>
      <x:c r="DO13" s="112"/>
      <x:c r="DP13" s="112"/>
      <x:c r="DQ13" s="114"/>
      <x:c r="DR13" s="112">
        <x:v>1</x:v>
      </x:c>
      <x:c r="DS13" s="116">
        <x:v>0</x:v>
      </x:c>
      <x:c r="DT13" s="120"/>
      <x:c r="DU13" s="116">
        <x:v>0.02</x:v>
      </x:c>
      <x:c r="DV13" s="116">
        <x:v>0.25</x:v>
      </x:c>
      <x:c r="DW13" s="118" t="str">
        <x:f>IF($A13="","",MAX('Setari model'!$B$71,MIN('Setari model'!$B$72,1+0.08*(IFERROR(AVERAGE($CM13:$CN13)/'Setari model'!$B$66,1)-1)+0.08*(IFERROR(AVERAGE($CO13:$CP13)/'Setari model'!$B$67,1)-1)+0.06*(IFERROR(AVERAGE($CQ13:$CR13)/'Setari model'!$B$68,1)-1)+0.04*(IFERROR(AVERAGE($CS13:$CT13)/'Setari model'!$B$69,1)-1)+0.04*(IFERROR(AVERAGE($CU13:$CV13)/'Setari model'!$B$70,1)-1)-'Setari model'!$B$73*IFERROR(AVERAGE($CW13:$CX13),0))))</x:f>
      </x:c>
      <x:c r="DX13" s="118" t="str">
        <x:f>IF($A13="","",1+'Setari model'!$B$62*MAX(IF(OR($CK13=1,$CL13=1),1,0),IF(AND($CJ13&lt;&gt;"",$CJ13&lt;=1),1,0))+'Setari model'!$B$63*IF(AND($CJ13&gt;1,$CJ13&lt;=3),1,0))</x:f>
      </x:c>
      <x:c r="DY13" s="118" t="str">
        <x:f>IF($A13="","",1+'Setari model'!$B$74*(IF($CY13="",0,IF($CY13=0,1,0))+IF($CZ13="",0,IF($CZ13=0,1,0)))+'Setari model'!$B$75*(IF($DA13="",0,IF($DA13=0,1,0))+IF($DB13="",0,IF($DB13=0,1,0))))</x:f>
      </x:c>
      <x:c r="DZ13" s="117" t="str">
        <x:f>IF($A13="","",MIN(0.6,MAX(0.002,(((1-'Setari model'!$B$34*MIN(1,($I13+$P13)/20))*$BT13+'Setari model'!$B$34*MIN(1,($I13+$P13)/20)*IF(COUNT($N13,$U13)=2,SQRT(MAX(0,1-$N13)*MAX(0,1-$U13)),$BT13))*(1-'Setari model'!$B$65*MIN(1,IF($AN13="",0,$AN13/'Setari model'!$B$64)))+'Setari model'!$B$65*MIN(1,IF($AN13="",0,$AN13/'Setari model'!$B$64))*IF($AM13="",$BT13,$AM13))*$DX13*$DY13/$DW13)))</x:f>
      </x:c>
      <x:c r="EA13" s="117" t="str">
        <x:f>IF($A13="","",MIN(1-$DZ13,IF(OR(MIN($I13,$P13)&lt;'Setari model'!$B$58,$CK13=1,$CL13=1,AND($CJ13&lt;&gt;"",$CJ13&lt;=1)),'Setari model'!$B$59,IF(AND($AU13=1,$AR13&gt;1,COUNT($CY13:$DB13)=4),'Setari model'!$B$61,'Setari model'!$B$60))))</x:f>
      </x:c>
      <x:c r="EB13" s="115" t="str">
        <x:f t="shared" si="13">IF($A13="","",1/$EA13)</x:f>
      </x:c>
      <x:c r="EC13" s="117" t="str">
        <x:f t="shared" si="14">IF($A13="","",IF($AR13&gt;1,IF($AS13&gt;1,(1/$AR13)/((1/$AR13)+(1/$AS13)),1/$AR13),""))</x:f>
      </x:c>
      <x:c r="ED13" s="117" t="str">
        <x:f t="shared" si="15">IF($A13="","",IF($EC13="","",$EA13-$EC13))</x:f>
      </x:c>
      <x:c r="EE13" s="117" t="str">
        <x:f t="shared" si="16">""</x:f>
      </x:c>
      <x:c r="EF13" s="119" t="str">
        <x:f>IF($A13="","",MAX(0,MIN(100,$CE13-200*MAX(0,$EG13-'Setari model'!$B$77)-IF($AU13&lt;&gt;1,10,0)-IF(COUNT($CY13:$DB13)&lt;4,4,0))))</x:f>
      </x:c>
      <x:c r="EG13" s="117" t="str">
        <x:f>IF($A13="","",'Setari model'!$B$77+IF(MIN($I13,$P13)&lt;'Setari model'!$B$58,0.03,0)+IF(OR($CK13=1,$CL13=1,AND($CJ13&lt;&gt;"",$CJ13&lt;=1)),0.03,0)+IF($AG13=0,0.02,0)+0.03*(1-MIN(1,COUNT($CM13:$CV13)/10))+0.03*(1-MIN(1,IF($AN13="",0,$AN13/'Setari model'!$B$64)))+IF($AR13&lt;=1,0.02,0))</x:f>
      </x:c>
      <x:c r="EH13" s="113" t="str">
        <x:f>IF($A13="","",IF(OR(MIN($I13,$P13)&lt;'Setari model'!$B$58,$CK13=1,$CL13=1,AND($CJ13&lt;&gt;"",$CJ13&lt;=1)),"92% – early/regim",IF(AND($AU13=1,$AR13&gt;1,COUNT($CY13:$DB13)=4),"94% – confirmat","93% – standard")))</x:f>
      </x:c>
      <x:c r="EI13" s="113" t="str">
        <x:f t="shared" si="17">IF($A13="","",IF(AND($EA13&gt;0.9,$AU13&lt;&gt;1),"WAIT XI – HIGH P",IF(AND($EA13&gt;0.9,COUNT($CY13:$DB13)&lt;4),"WAIT DATE CHEIE – HIGH P",IF($EP13&lt;&gt;"DA","NU – PORTOFOLIU","DA"))))</x:f>
      </x:c>
      <x:c r="EJ13" s="117" t="str">
        <x:f t="shared" si="18">IF($A13="","",IF($DE13&lt;&gt;"Live 20-30","",IF(SUM($DG13:$DH13)&gt;0,1,IF($EU13="","",1-MIN(0.95,MAX(0.001,EXP(-$EU13)*$DX13*$DY13/$DW13))))))</x:f>
      </x:c>
      <x:c r="EK13" s="117" t="str">
        <x:f t="shared" si="19">""</x:f>
      </x:c>
      <x:c r="EL13" s="113" t="str">
        <x:f>IF($A13="","",IF($DE13="Live 20-30",IF(SUM($DG13:$DH13)&gt;0,"EVENIMENT ÎNDEPLINIT",IF(OR($DF13="",COUNT($DI13:$DN13)&lt;4),"LIVE – WATCH",IF($EJ13&gt;=0.75,"LIVE – FEZABIL TEHNIC","LIVE – NO BET"))),IF($EI13&lt;&gt;"DA","WATCH / NO BET",IF(AND($EA13&gt;=INDEX('Setari model'!$B$35:$B$40,1),$EF13&gt;=100*'Setari model'!$B$76),"PARIU RECOMANDAT",IF(AND($EA13&gt;=INDEX('Setari model'!$B$35:$B$40,5),$EF13&gt;=100*'Setari model'!$B$40),"WATCH – APROAPE DE PRAG","PARIU EVITAT")))))</x:f>
      </x:c>
      <x:c r="EM13" s="113" t="str">
        <x:f t="shared" si="20">IF($A13="","",IF($DE13="Live 20-30",IF(SUM($DG13:$DH13)&gt;0,"Gol deja marcat.",IF($DF13="","Minut live lipsă.",IF(COUNT($DI13:$DN13)&lt;4,"Lipsesc xG/SOT/big chances live.",IF($EJ13&lt;0.75,"P live sub prag.","Semnal live tehnic complet; EV ignorat.")))),IF($EI13&lt;&gt;"DA",$EI13,IF($EF13&lt;75,"Confidence sub 75.",IF($EA13&lt;0.92,"P sub 92%.","G0/Zero-Mass + confidence trecute; EV ignorat.")))))</x:f>
      </x:c>
      <x:c r="EN13" s="117" t="str">
        <x:f>IF($A13="","",IF(OR($EL13="PARIU RECOMANDAT",$EL13="LIVE – FEZABIL"),MIN(IF($DU13&gt;0,$DU13,'Setari model'!$B$81)/MAX(1,$DR13),IF($DV13&gt;0,$DV13,'Setari model'!$B$80)*MAX(0,((IF($DE13="Live 20-30",$EJ13,$EA13)*IF($DE13="Live 20-30",$DQ13,$AR13)-1)/(IF($DE13="Live 20-30",$DQ13,$AR13)-1)))),0))</x:f>
      </x:c>
      <x:c r="EO13" s="121" t="str">
        <x:f t="shared" si="21">IF($A13="","",IF(AND($EN13&gt;0,$DT13&gt;0),$EN13*$DT13,""))</x:f>
      </x:c>
      <x:c r="EP13" s="113" t="str">
        <x:f>IF($A13="","",IF(OR($DR13&lt;1,$DR13&gt;'Setari model'!$B$78),"NU – 1–5 selecții",IF($DS13&gt;'Setari model'!$B$79,"NU – corelație", "DA")))</x:f>
      </x:c>
      <x:c r="EQ13" s="117" t="str">
        <x:f t="shared" si="22">IF($A13="","",IF(AND($DC13&gt;1,$DD13&gt;1),$DC13/$DD13-1,""))</x:f>
      </x:c>
      <x:c r="ER13" s="113" t="str">
        <x:f t="shared" si="23">IF($A13="","","P v2="&amp;TEXT($EA13,"0.0%")&amp;" ±"&amp;TEXT($EG13,"0.0%")&amp;"; P0 ZIP="&amp;TEXT($DZ13,"0.0%")&amp;"; Confidence="&amp;TEXT($EF13,"0")&amp;"/100; piață reală="&amp;IF($EC13="","NU","DA")&amp;"; EV="&amp;IF($EE13="","n/a",TEXT($EE13,"0.0%"))&amp;"; gate="&amp;$EI13&amp;"; verdict="&amp;$EL13&amp;". "&amp;$EM13)</x:f>
      </x:c>
      <x:c r="ES13" s="119" t="str">
        <x:f>IF($A13="","",'Setari model'!$B$82)</x:f>
      </x:c>
      <x:c r="ET13" s="118" t="str">
        <x:f>IF($A13="","",'Setari model'!$B$83)</x:f>
      </x:c>
      <x:c r="EU13" s="115" t="str">
        <x:f t="shared" si="24">IF(OR($A13="",$DE13&lt;&gt;"Live 20-30",$DF13="",$DF13&lt;$ES13,$DF13&gt;=90),"",MAX(0.05,MIN($BS13*$ET13,$BS13*(90-$DF13)/90+0.35*($DI13+$DJ13)+0.06*($DK13+$DL13)+0.15*($DM13+$DN13)+0.1*(MAX($DO13,$DP13)-MIN($DO13,$DP13)))))</x:f>
      </x:c>
      <x:c r="EV13" s="132"/>
      <x:c r="EW13" s="132"/>
      <x:c r="EX13" s="132"/>
      <x:c r="EY13" s="132"/>
      <x:c r="EZ13" s="132"/>
      <x:c r="FA13" s="132"/>
      <x:c r="FB13" s="247"/>
      <x:c r="FC13" s="134" t="str">
        <x:f t="shared" si="25">IF($A13="","",IF(OR($J13="",$L13="",$L13&lt;=0),"",MAX(0.5,MIN(1.5,$J13/$L13))))</x:f>
      </x:c>
      <x:c r="FD13" s="134" t="str">
        <x:f t="shared" si="26">IF($A13="","",IF(OR($Q13="",$S13="",$S13&lt;=0),"",MAX(0.5,MIN(1.5,$Q13/$S13))))</x:f>
      </x:c>
      <x:c r="FE13" s="134" t="str">
        <x:f>IF($A13="","",IF(COUNT($EV13:$EW13)&lt;2,"",SQRT($EV13*$EW13)/'Setari model'!$B$87))</x:f>
      </x:c>
      <x:c r="FF13" s="134" t="str">
        <x:f>IF($A13="","",IF(COUNT($O13,$V13,$EX13,$EY13)&lt;4,"",AVERAGE(SQRT($O13*$EY13),SQRT($V13*$EX13))/'Setari model'!$B$88))</x:f>
      </x:c>
      <x:c r="FG13" s="134" t="str">
        <x:f t="shared" si="27">IF($A13="","",IF(COUNT($FC13:$FD13)&lt;2,"",MAX(0,1-AVERAGE($FC13:$FD13))))</x:f>
      </x:c>
      <x:c r="FH13" s="134" t="str">
        <x:f>IF($A13="","",IF(COUNT($EZ13:$FA13)&lt;2,"",'Setari model'!$B$94*AVERAGE($EZ13:$FA13)/'Setari model'!$B$89))</x:f>
      </x:c>
      <x:c r="FI13" s="134" t="str">
        <x:f>IF($A13="","",IF(COUNT($FE13:$FH13)&lt;4,"",MAX('Setari model'!$B$97,MIN('Setari model'!$B$98,1+'Setari model'!$B$90*($FE13-1)+'Setari model'!$B$91*($FF13-1)+'Setari model'!$B$92*$FG13+'Setari model'!$B$93*($FH13-1)))))</x:f>
      </x:c>
      <x:c r="FJ13" s="133" t="str">
        <x:f>IF($A13="","",IF($FI13="","",MIN('Setari model'!$B$101,MAX(0.002,$DZ13*$FI13))))</x:f>
      </x:c>
      <x:c r="FK13" s="131" t="str">
        <x:f t="shared" si="28">IF($A13="","",IF(AND(COUNT($EV13:$FA13)=6,COUNT($O13,$V13,$FC13,$FD13)=4),"DA","NU"))</x:f>
      </x:c>
      <x:c r="FL13" s="131" t="str">
        <x:f>IF($A13="","",IF($FK13&lt;&gt;"DA","NEDETERMINAT",IF($FI13&lt;='Setari model'!$B$99,"SCĂZUT",IF($FI13&lt;='Setari model'!$B$100,"MEDIU","RIDICAT"))))</x:f>
      </x:c>
      <x:c r="FM13" s="131" t="str">
        <x:f>IF($A13="","",IF(AND($AR13&gt;1,$EC13&gt;='Setari model'!$B$106),"DA","NU"))</x:f>
      </x:c>
      <x:c r="FN13" s="131" t="str">
        <x:f t="shared" si="29">IF($A13="","",IF(AND($AU13=1,COUNT($CY13:$DB13)=4),"DA","NU"))</x:f>
      </x:c>
      <x:c r="FO13" s="133" t="str">
        <x:f>IF($A13="","",IF(OR($FK13&lt;&gt;"DA",$FL13="RIDICAT"),'Setari model'!$B$102,IF($FL13="MEDIU",'Setari model'!$B$103,IF(AND($FM13="DA",$FN13="DA"),'Setari model'!$B$105,'Setari model'!$B$104))))</x:f>
      </x:c>
      <x:c r="FP13" s="133" t="str">
        <x:f t="shared" si="30">IF($A13="","",IF($FJ13="","",MIN(1-$FJ13,$FO13)))</x:f>
      </x:c>
      <x:c r="FQ13" s="135" t="str">
        <x:f t="shared" si="31">IF($A13="","",IF($FP13="","",IF($FP13&gt;0,1/$FP13,"")))</x:f>
      </x:c>
      <x:c r="FR13" s="133" t="str">
        <x:f t="shared" si="32">IF($A13="","",IF($EC13="","",$FP13-$EC13))</x:f>
      </x:c>
      <x:c r="FS13" s="133" t="str">
        <x:f t="shared" si="33">IF($A13="","",IF($AR13&gt;1,$FP13*$AR13-1,""))</x:f>
      </x:c>
      <x:c r="FT13" s="136" t="str">
        <x:f>IF($A13="","",MAX(0,MIN(100,$EF13-IF($FK13&lt;&gt;"DA",'Setari model'!$B$107,0)-IF($FL13="MEDIU",'Setari model'!$B$108,0)-IF($FL13="RIDICAT",'Setari model'!$B$109,0))))</x:f>
      </x:c>
      <x:c r="FU13" s="131" t="str">
        <x:f t="shared" si="34">IF($A13="","",IF($AR13&lt;=1,"NU – LIPSEȘTE COTA REALĂ",IF($FK13&lt;&gt;"DA","NU – ZERO-RISK INCOMPLET",IF($FL13&lt;&gt;"SCĂZUT","NU – RISC 0-0 "&amp;$FL13,IF($FN13&lt;&gt;"DA","NU – LINEUP NECONFIRMAT",IF($FM13&lt;&gt;"DA","NU – PIAȚĂ NECONFIRMATĂ",IF($EP13&lt;&gt;"DA","NU – PORTOFOLIU","DA")))))))</x:f>
      </x:c>
      <x:c r="FV13" s="131" t="str">
        <x:f>IF($A13="","",IF($FU13&lt;&gt;"DA","WATCH / NO BET",IF(AND($FP13&gt;='Setari model'!$B$35,$FT13&gt;=100*'Setari model'!$B$76,$FS13&gt;0),"PARIU RECOMANDAT",IF(AND($FP13&gt;='Setari model'!$B$39,$FT13&gt;=100*'Setari model'!$B$40,$FS13&gt;0),"WATCH – APROAPE DE PRAG","PARIU EVITAT"))))</x:f>
      </x:c>
      <x:c r="FW13" s="131" t="str">
        <x:f t="shared" si="35">IF($A13="","",IF($FU13&lt;&gt;"DA",$FU13,IF($FT13&lt;75,"Confidence v3 sub 75.",IF($FP13&lt;0.92,"P v3 sub 92%.",IF($FS13&lt;=0,"EV v3 nepozitiv.","P0 v3, lineup și piață confirmate.")))))</x:f>
      </x:c>
      <x:c r="FX13" s="131" t="str">
        <x:f t="shared" si="36">IF($A13="","","P v3="&amp;TEXT($FP13,"0.0%")&amp;"; P0 v3="&amp;TEXT($FJ13,"0.0%")&amp;"; factor zero="&amp;IF($FI13="","n/a",TEXT($FI13,"0.00x"))&amp;" ("&amp;$FL13&amp;"); cap="&amp;TEXT($FO13,"0.0%")&amp;"; Confidence="&amp;TEXT($FT13,"0")&amp;"/100; lineup="&amp;$FN13&amp;"; piață="&amp;$FM13&amp;"; EV="&amp;IF($FS13="","n/a",TEXT($FS13,"0.0%"))&amp;"; gate="&amp;$FU13&amp;"; verdict="&amp;$FV13&amp;". "&amp;$FW13)</x:f>
      </x:c>
      <x:c r="FY13" s="159"/>
      <x:c r="FZ13" s="159"/>
      <x:c r="GA13" s="157"/>
      <x:c r="GB13" s="157"/>
      <x:c r="GC13" s="161" t="str">
        <x:f t="shared" si="37">IF($A13="","",IF(OR($X13="",$Z13="",$Z13&lt;=0),"",MAX(0.5,MIN(1.5,$X13/$Z13))))</x:f>
      </x:c>
      <x:c r="GD13" s="161" t="str">
        <x:f t="shared" si="38">IF($A13="","",IF(OR($AC13="",$AE13="",$AE13&lt;=0),"",MAX(0.5,MIN(1.5,$AC13/$AE13))))</x:f>
      </x:c>
      <x:c r="GE13" s="162" t="str">
        <x:f t="shared" si="39">IF($A13="","",IF(COUNT($Z13,$AE13)&lt;2,"",AVERAGE($Z13,$AE13)))</x:f>
      </x:c>
      <x:c r="GF13" s="158" t="str">
        <x:f>IF($A13="","",IF(COUNT($FY13:$FZ13)&lt;2,"NEDETERMINAT",IF(AND($FY13&gt;='Setari model'!$B$113,$FZ13&gt;='Setari model'!$B$113),"DA","NU")))</x:f>
      </x:c>
      <x:c r="GG13" s="158" t="str">
        <x:f>IF($A13="","",IF(COUNT($FY13:$FZ13,$EX13:$EY13)&lt;4,"NEDETERMINAT",IF(OR(AND($FY13&gt;='Setari model'!$B$113,$EY13&gt;='Setari model'!$B$114),AND($FZ13&gt;='Setari model'!$B$113,$EX13&gt;='Setari model'!$B$114)),"DA","NU")))</x:f>
      </x:c>
      <x:c r="GH13" s="158" t="str">
        <x:f>IF($A13="","",IF(COUNT($BJ13:$BN13,$GC13:$GE13)&lt;8,"NEDETERMINAT",IF(AND((($BJ13*INDEX('Setari model'!$B$5:$B$11,MATCH($E13,'Setari model'!$A$5:$A$11,0))+$BK13*INDEX('Setari model'!$C$5:$C$11,MATCH($E13,'Setari model'!$A$5:$A$11,0))+$BL13*INDEX('Setari model'!$D$5:$D$11,MATCH($E13,'Setari model'!$A$5:$A$11,0))+$BM13*INDEX('Setari model'!$E$5:$E$11,MATCH($E13,'Setari model'!$A$5:$A$11,0))+$BN13*INDEX('Setari model'!$F$5:$F$11,MATCH($E13,'Setari model'!$A$5:$A$11,0)))/(INDEX('Setari model'!$B$5:$B$11,MATCH($E13,'Setari model'!$A$5:$A$11,0))+INDEX('Setari model'!$C$5:$C$11,MATCH($E13,'Setari model'!$A$5:$A$11,0))+INDEX('Setari model'!$D$5:$D$11,MATCH($E13,'Setari model'!$A$5:$A$11,0))+INDEX('Setari model'!$E$5:$E$11,MATCH($E13,'Setari model'!$A$5:$A$11,0))+INDEX('Setari model'!$F$5:$F$11,MATCH($E13,'Setari model'!$A$5:$A$11,0))))*$BR13&gt;='Setari model'!$B$115,(($BJ13*INDEX('Setari model'!$B$5:$B$11,MATCH($E13,'Setari model'!$A$5:$A$11,0))+$BK13*INDEX('Setari model'!$C$5:$C$11,MATCH($E13,'Setari model'!$A$5:$A$11,0))+$BL13*INDEX('Setari model'!$D$5:$D$11,MATCH($E13,'Setari model'!$A$5:$A$11,0))+$BM13*INDEX('Setari model'!$E$5:$E$11,MATCH($E13,'Setari model'!$A$5:$A$11,0))+$BN13*INDEX('Setari model'!$F$5:$F$11,MATCH($E13,'Setari model'!$A$5:$A$11,0)))/(INDEX('Setari model'!$B$5:$B$11,MATCH($E13,'Setari model'!$A$5:$A$11,0))+INDEX('Setari model'!$C$5:$C$11,MATCH($E13,'Setari model'!$A$5:$A$11,0))+INDEX('Setari model'!$D$5:$D$11,MATCH($E13,'Setari model'!$A$5:$A$11,0))+INDEX('Setari model'!$E$5:$E$11,MATCH($E13,'Setari model'!$A$5:$A$11,0))+INDEX('Setari model'!$F$5:$F$11,MATCH($E13,'Setari model'!$A$5:$A$11,0))))*$BR13&lt;='Setari model'!$B$116,AVERAGE($GC13:$GD13)&lt;='Setari model'!$B$117,$GE13&gt;='Setari model'!$B$118),"DA","NU")))</x:f>
      </x:c>
      <x:c r="GI13" s="158" t="str">
        <x:f>IF($A13="","",IF(COUNT($W13,$AB13,$GA13:$GB13)&lt;4,"NEDETERMINAT",IF(AND($W13&gt;='Setari model'!$B$120,$AB13&gt;='Setari model'!$B$120,OR(IFERROR($GA13/$W13,0)&gt;='Setari model'!$B$119,IFERROR($GB13/$AB13,0)&gt;='Setari model'!$B$119)),"DA","NU")))</x:f>
      </x:c>
      <x:c r="GJ13" s="160" t="str">
        <x:f>IF($A13="","",IF(COUNT($FY13:$GB13)&lt;4,"",IF($GH13&lt;&gt;"DA",0,'Setari model'!$B$121*IF($GF13="DA",1,0)+'Setari model'!$B$122*IF($GG13="DA",1,0)+'Setari model'!$B$123+'Setari model'!$B$124*IF($GI13="DA",1,0))))</x:f>
      </x:c>
      <x:c r="GK13" s="161" t="str">
        <x:f>IF($A13="","",IF(COUNT($GJ13)=0,"",1+'Setari model'!$B$125*$GJ13))</x:f>
      </x:c>
      <x:c r="GL13" s="160" t="str">
        <x:f>IF($A13="","",IF($GM13&lt;&gt;"DA",$FJ13,MIN('Setari model'!$B$101,MAX(0.002,$FJ13*$GK13))))</x:f>
      </x:c>
      <x:c r="GM13" s="158" t="str">
        <x:f>IF($A13="","",IF(AND($FK13="DA",COUNT($FY13:$GB13)=4,COUNT($I13,$P13,$W13,$AB13,$Z13,$AE13,$EX13,$EY13,$GC13,$GD13)=10,COUNT($BJ13:$BN13)=5),"DA","NU"))</x:f>
      </x:c>
      <x:c r="GN13" s="158" t="str">
        <x:f>IF($A13="","",IF($GM13&lt;&gt;"DA","NEDETERMINAT",IF($FI13*$GK13&lt;='Setari model'!$B$99,"SCĂZUT",IF($FI13*$GK13&lt;='Setari model'!$B$100,"MEDIU","RIDICAT"))))</x:f>
      </x:c>
      <x:c r="GO13" s="160" t="str">
        <x:f>IF($A13="","",IF(OR($GM13&lt;&gt;"DA",$GN13="RIDICAT"),'Setari model'!$B$102,IF($GN13="MEDIU",'Setari model'!$B$103,IF(AND($FM13="DA",$FN13="DA"),'Setari model'!$B$105,'Setari model'!$B$104))))</x:f>
      </x:c>
      <x:c r="GP13" s="160" t="str">
        <x:f t="shared" si="40">IF($A13="","",IF($GL13="","",MIN(1-$GL13,$GO13)))</x:f>
      </x:c>
      <x:c r="GQ13" s="162" t="str">
        <x:f t="shared" si="41">IF($A13="","",IF($GP13="","",IF($GP13&gt;0,1/$GP13,"")))</x:f>
      </x:c>
      <x:c r="GR13" s="160" t="str">
        <x:f t="shared" si="42">IF($A13="","",IF($EC13="","",$GP13-$EC13))</x:f>
      </x:c>
      <x:c r="GS13" s="160" t="str">
        <x:f t="shared" si="43">IF($A13="","",IF($AR13&gt;1,$GP13*$AR13-1,""))</x:f>
      </x:c>
      <x:c r="GT13" s="163" t="str">
        <x:f>IF($A13="","",MAX(0,MIN(100,$FT13-IF(AND($GM13&lt;&gt;"DA",$FK13="DA"),'Setari model'!$B$107,0)-'Setari model'!$B$126*IF($GJ13="",0,$GJ13))))</x:f>
      </x:c>
      <x:c r="GU13" s="158" t="str">
        <x:f t="shared" si="44">IF($A13="","",IF($AR13&lt;=1,"NU – LIPSEȘTE COTA REALĂ",IF($GM13&lt;&gt;"DA","NU – DATE LOW-CONVERSION INCOMPLETE",IF($GN13&lt;&gt;"SCĂZUT","NU – RISC 0-0 "&amp;$GN13,IF($FN13&lt;&gt;"DA","NU – LINEUP NECONFIRMAT",IF($FM13&lt;&gt;"DA","NU – PIAȚĂ NECONFIRMATĂ",IF($EP13&lt;&gt;"DA","NU – PORTOFOLIU","DA")))))))</x:f>
      </x:c>
      <x:c r="GV13" s="158" t="str">
        <x:f>IF($A13="","",IF($GU13&lt;&gt;"DA","WATCH / NO BET",IF(AND($GP13&gt;='Setari model'!$B$35,$GT13&gt;=100*'Setari model'!$B$76,$GS13&gt;0),"PARIU RECOMANDAT",IF(AND($GP13&gt;='Setari model'!$B$39,$GT13&gt;=100*'Setari model'!$B$40,$GS13&gt;0),"WATCH – APROAPE DE PRAG","PARIU EVITAT"))))</x:f>
      </x:c>
      <x:c r="GW13" s="158" t="str">
        <x:f t="shared" si="45">IF($A13="","",IF($GU13&lt;&gt;"DA",$GU13,IF($GT13&lt;75,"Confidence v5 sub 75.",IF($GP13&lt;0.92,"P v5 sub 92%.",IF($GS13&lt;=0,"EV v5 nepozitiv.",IF($GJ13&gt;0,"Low-conversion absorbit în P0; toate porțile rămân trecute.","Toate porțile v5 sunt trecute."))))))</x:f>
      </x:c>
      <x:c r="GX13" s="158" t="str">
        <x:f t="shared" si="46">IF($A13="","","P v5="&amp;TEXT($GP13,"0.0%")&amp;"; P0 v5="&amp;TEXT($GL13,"0.0%")&amp;"; low-conv="&amp;IF(COUNT($GJ13)=0,"n/a",TEXT($GJ13,"0%"))&amp;"; mult.P0="&amp;IF(COUNT($GK13)=0,"n/a",TEXT($GK13,"0.00"))&amp;"; clasă="&amp;$GN13&amp;"; cap="&amp;TEXT($GO13,"0.0%")&amp;"; Confidence="&amp;TEXT($GT13,"0")&amp;"/100; lineup="&amp;$FN13&amp;"; piață="&amp;$FM13&amp;"; EV="&amp;IF($GS13="","n/a",TEXT($GS13,"0.0%"))&amp;"; gate="&amp;$GU13&amp;"; verdict="&amp;$GV13&amp;". "&amp;$GW13)</x:f>
      </x:c>
      <x:c r="GY13" s="174" t="str">
        <x:f>IF($A13="","",IF($GM13&lt;&gt;"DA","SOURCING INCOMPLETE – REVIEW REQUIRED",IF(MIN($I13,$P13,$W13,$AB13)&lt;'Setari model'!$B$58,"SMALL SAMPLE + PRIOR / SHRINKAGE","VERIFIED / PRIOR / SHRINKAGE")))</x:f>
      </x:c>
      <x:c r="GZ13" s="175" t="str">
        <x:f t="shared" si="47">IF($A13="","",MAX(0,MIN(100,100*(1-AVERAGE(IF($GM13="DA",1,0),MIN(1,$AT13/5))))))</x:f>
      </x:c>
      <x:c r="HA13" s="175" t="str">
        <x:f>IF($A13="","",IF($GM13&lt;&gt;"DA","",MAX(0,MIN(100,100*(($FI13*$GK13)-'Setari model'!$B$97)/('Setari model'!$B$98-'Setari model'!$B$97)))))</x:f>
      </x:c>
      <x:c r="HB13" s="175" t="str">
        <x:f>IF($A13="","",MAX(0,MIN(100,100*(ABS($BR13-1)/MAX(1-'Setari model'!$B$53,'Setari model'!$B$54-1)+MIN(1,$BG13/2))/2)))</x:f>
      </x:c>
      <x:c r="HC13" s="175" t="str">
        <x:f t="shared" si="48">IF($A13="","",MAX(0,MIN(100,100*(1-AVERAGE($CC13,MAX(0,1-(MAX($BJ13:$BN13)-MIN($BJ13:$BN13))/(AVERAGE($BJ13:$BN13)*'Setari model'!$B$45)))))))</x:f>
      </x:c>
      <x:c r="HD13" s="175" t="str">
        <x:f t="shared" si="49">IF($A13="","",MAX(0,MIN(100,100*MAX(IF($GJ13="",0,$GJ13),MIN(1,$BG13/2)))))</x:f>
      </x:c>
      <x:c r="HE13" s="175" t="str">
        <x:f>IF($A13="","",IF(COUNT($GZ13:$HD13)&lt;5,"",$GZ13*Risk_Classification!$E$28+$HA13*Risk_Classification!$E$29+$HB13*Risk_Classification!$E$30+$HC13*Risk_Classification!$E$31+$HD13*Risk_Classification!$E$32))</x:f>
      </x:c>
      <x:c r="HF13" s="176" t="str">
        <x:f t="shared" si="50">IF($A13="","",IF($HE13="","",IF($HE13&lt;=20,1,IF($HE13&lt;=40,2,IF($HE13&lt;=60,3,IF($HE13&lt;=80,4,5))))))</x:f>
      </x:c>
      <x:c r="HG13" s="176" t="str">
        <x:f t="shared" si="51">IF($A13="","",IF($GM13="DA","PASS","FAIL – DATE CRITICE ZERO-MASS INCOMPLETE"))</x:f>
      </x:c>
      <x:c r="HH13" s="176" t="str">
        <x:f t="shared" si="52">IF($A13="","",IF($HG13&lt;&gt;"PASS",5,$HF13))</x:f>
      </x:c>
      <x:c r="HI13" s="174" t="str">
        <x:f t="shared" si="53">IF($A13="","",IF($HH13="","N/A",IF($HH13=1,"DEFENSIV",IF($HH13=2,"PRUDENT",IF($HH13=3,"MODERAT",IF($HH13=4,"RIDICAT","WATCH / NO BET"))))))</x:f>
      </x:c>
      <x:c r="HJ13" s="177" t="str">
        <x:f t="shared" si="54">IF($A13="","","Data="&amp;$GY13&amp;"; DQ="&amp;TEXT($GZ13,"0.0")&amp;"; ZM="&amp;IF($HA13="","n/a",TEXT($HA13,"0.0"))&amp;"; Context="&amp;TEXT($HB13,"0.0")&amp;"; Uncertainty="&amp;TEXT($HC13,"0.0")&amp;"; Compound="&amp;TEXT($HD13,"0.0")&amp;"; Risk Score="&amp;IF($HE13="","n/a",TEXT($HE13,"0.0"))&amp;"; Base="&amp;IF($HF13="","n/a",$HF13)&amp;"; G0="&amp;$HG13&amp;"; Final="&amp;$HH13&amp;". Cota, EV si lineup sunt informative si nu intra in recomandare.")</x:f>
      </x:c>
      <x:c r="HK13" s="174" t="str">
        <x:f t="shared" si="55">IF($A13="","",$HI13)</x:f>
      </x:c>
    </x:row>
    <x:row r="14" ht="24" customHeight="1">
      <x:c r="A14" s="58"/>
      <x:c r="B14" s="24"/>
      <x:c r="C14" s="59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18"/>
      <x:c r="O14" s="18"/>
      <x:c r="P14" s="24"/>
      <x:c r="Q14" s="24"/>
      <x:c r="R14" s="24"/>
      <x:c r="S14" s="24"/>
      <x:c r="T14" s="24"/>
      <x:c r="U14" s="18"/>
      <x:c r="V14" s="18"/>
      <x:c r="W14" s="24"/>
      <x:c r="X14" s="24"/>
      <x:c r="Y14" s="24"/>
      <x:c r="Z14" s="24"/>
      <x:c r="AA14" s="24"/>
      <x:c r="AB14" s="24"/>
      <x:c r="AC14" s="24"/>
      <x:c r="AD14" s="24"/>
      <x:c r="AE14" s="24"/>
      <x:c r="AF14" s="24"/>
      <x:c r="AG14" s="24"/>
      <x:c r="AH14" s="24"/>
      <x:c r="AI14" s="18"/>
      <x:c r="AJ14" s="24"/>
      <x:c r="AK14" s="24"/>
      <x:c r="AL14" s="24"/>
      <x:c r="AM14" s="18"/>
      <x:c r="AN14" s="24"/>
      <x:c r="AO14" s="60"/>
      <x:c r="AP14" s="60"/>
      <x:c r="AQ14" s="60"/>
      <x:c r="AR14" s="60"/>
      <x:c r="AS14" s="60"/>
      <x:c r="AT14" s="24"/>
      <x:c r="AU14" s="24"/>
      <x:c r="AV14" s="24"/>
      <x:c r="AW14" s="24"/>
      <x:c r="AX14" s="24"/>
      <x:c r="AY14" s="24"/>
      <x:c r="AZ14" s="24"/>
      <x:c r="BA14" s="24"/>
      <x:c r="BB14" s="24"/>
      <x:c r="BC14" s="24"/>
      <x:c r="BD14" s="24"/>
      <x:c r="BE14" s="24"/>
      <x:c r="BF14" s="24"/>
      <x:c r="BG14" s="24"/>
      <x:c r="BH14" s="61"/>
      <x:c r="BI14" s="61"/>
      <x:c r="BJ14" s="62" t="str">
        <x:f>IF($A14="","",SQRT((($I14*IF($J14="",$AJ14,$J14)+'Setari model'!$B$30*$AJ14)/($I14+'Setari model'!$B$30))*(($P14*IF($R14="",$AJ14,$R14)+'Setari model'!$B$30*$AJ14)/($P14+'Setari model'!$B$30)))+SQRT((($P14*IF($Q14="",$AK14,$Q14)+'Setari model'!$B$30*$AK14)/($P14+'Setari model'!$B$30))*(($I14*IF($K14="",$AK14,$K14)+'Setari model'!$B$30*$AK14)/($I14+'Setari model'!$B$30))))</x:f>
      </x:c>
      <x:c r="BK14" s="62" t="str">
        <x:f>IF($A14="","",SQRT((($I14*IF($L14="",IF($J14="",$AJ14,$J14),$L14)+'Setari model'!$B$30*$AJ14)/($I14+'Setari model'!$B$30))*(($P14*IF($T14="",IF($R14="",$AJ14,$R14),$T14)+'Setari model'!$B$30*$AJ14)/($P14+'Setari model'!$B$30)))+SQRT((($P14*IF($S14="",IF($Q14="",$AK14,$Q14),$S14)+'Setari model'!$B$30*$AK14)/($P14+'Setari model'!$B$30))*(($I14*IF($M14="",IF($K14="",$AK14,$K14),$M14)+'Setari model'!$B$30*$AK14)/($I14+'Setari model'!$B$30))))</x:f>
      </x:c>
      <x:c r="BL14" s="62" t="str">
        <x:f>IF($A14="","",SQRT((($W14*IF($X14="",$AL14/2,$X14)+'Setari model'!$B$31*$AL14/2)/($W14+'Setari model'!$B$31))*(($AB14*IF($AD14="",$AL14/2,$AD14)+'Setari model'!$B$31*$AL14/2)/($AB14+'Setari model'!$B$31)))+SQRT((($AB14*IF($AC14="",$AL14/2,$AC14)+'Setari model'!$B$31*$AL14/2)/($AB14+'Setari model'!$B$31))*(($W14*IF($Y14="",$AL14/2,$Y14)+'Setari model'!$B$31*$AL14/2)/($W14+'Setari model'!$B$31))))</x:f>
      </x:c>
      <x:c r="BM14" s="62" t="str">
        <x:f>IF($A14="","",SQRT((($W14*IF($Z14="",IF($X14="",$AL14/2,$X14),$Z14)+'Setari model'!$B$31*$AL14/2)/($W14+'Setari model'!$B$31))*(($AB14*IF($AF14="",IF($AD14="",$AL14/2,$AD14),$AF14)+'Setari model'!$B$31*$AL14/2)/($AB14+'Setari model'!$B$31)))+SQRT((($AB14*IF($AE14="",IF($AC14="",$AL14/2,$AC14),$AE14)+'Setari model'!$B$31*$AL14/2)/($AB14+'Setari model'!$B$31))*(($W14*IF($AA14="",IF($Y14="",$AL14/2,$Y14),$AA14)+'Setari model'!$B$31*$AL14/2)/($W14+'Setari model'!$B$31))))</x:f>
      </x:c>
      <x:c r="BN14" s="62" t="str">
        <x:f t="shared" si="0">IF($A14="","",IF($AG14&gt;0,($AG14*IF($AH14="",$AL14,$AH14)+5*$AL14)/($AG14+5),$AL14))</x:f>
      </x:c>
      <x:c r="BO14" s="63" t="str">
        <x:f>IF($A14="","",IF($AR14&gt;1,IF($AS14&gt;1,(1/$AR14)/((1/$AR14+1/$AS14)),MIN(0.995,(1/$AR14)/(1+'Setari model'!$B$32))),1-EXP(-$AL14)))</x:f>
      </x:c>
      <x:c r="BP14" s="62" t="str">
        <x:f t="shared" si="1">IF($A14="","",-LN(1-$BO14))</x:f>
      </x:c>
      <x:c r="BQ14" s="62" t="str">
        <x:f>IF($A14="","",$BJ14*INDEX('Setari model'!$B$5:$B$11,MATCH($E14,'Setari model'!$A$5:$A$11,0))+$BK14*INDEX('Setari model'!$C$5:$C$11,MATCH($E14,'Setari model'!$A$5:$A$11,0))+$BL14*INDEX('Setari model'!$D$5:$D$11,MATCH($E14,'Setari model'!$A$5:$A$11,0))+$BM14*INDEX('Setari model'!$E$5:$E$11,MATCH($E14,'Setari model'!$A$5:$A$11,0))+$BN14*INDEX('Setari model'!$F$5:$F$11,MATCH($E14,'Setari model'!$A$5:$A$11,0))+$BP14*INDEX('Setari model'!$G$5:$G$11,MATCH($E14,'Setari model'!$A$5:$A$11,0)))</x:f>
      </x:c>
      <x:c r="BR14" s="64" t="str">
        <x:f>IF($A14="","",MAX('Setari model'!$B$53,MIN('Setari model'!$B$54,1+($AV14*'Setari model'!$B$15+$AW14*'Setari model'!$B$16+$AX14*'Setari model'!$B$17+$AY14*'Setari model'!$B$18+$AZ14*'Setari model'!$B$19+$BA14*'Setari model'!$B$20+$BB14*'Setari model'!$B$21+$BC14*'Setari model'!$B$22+$BD14*'Setari model'!$B$23+$BE14*'Setari model'!$B$24+$BF14*'Setari model'!$B$25)*INDEX('Setari model'!$H$5:$H$11,MATCH($E14,'Setari model'!$A$5:$A$11,0)))))</x:f>
      </x:c>
      <x:c r="BS14" s="62" t="str">
        <x:f t="shared" si="2">IF($A14="","",$BQ14*$BR14)</x:f>
      </x:c>
      <x:c r="BT14" s="63" t="str">
        <x:f t="shared" si="3">IF($A14="","",EXP(-$BS14))</x:f>
      </x:c>
      <x:c r="BU14" s="65" t="str">
        <x:f>IF($A14="","",IF(OR($AM14="",$AN14=""),1,1+MIN('Setari model'!$B$33,$AN14/100*'Setari model'!$B$33)*($AM14/EXP(-$AL14)-1)))</x:f>
      </x:c>
      <x:c r="BV14" s="63" t="str">
        <x:f>IF($A14="","",MIN(0.45,MAX(0.005,(1-'Setari model'!$B$34*MIN(1,($I14+$P14)/20))*MIN(0.45,$BT14*$BU14)+'Setari model'!$B$34*MIN(1,($I14+$P14)/20)*IF(COUNT($N14,$U14)=2,SQRT(MAX(0,1-$N14)*MAX(0,1-$U14)),IF($AM14="",EXP(-$AL14),$AM14)))))</x:f>
      </x:c>
      <x:c r="BW14" s="63" t="str">
        <x:f t="shared" si="4">IF($A14="","",1-$BV14)</x:f>
      </x:c>
      <x:c r="BX14" s="62" t="str">
        <x:f t="shared" si="5">IF($A14="","",1/$BW14)</x:f>
      </x:c>
      <x:c r="BY14" s="63" t="str">
        <x:f t="shared" si="6">IF($A14="","",$BO14)</x:f>
      </x:c>
      <x:c r="BZ14" s="63" t="str">
        <x:f t="shared" si="7">IF($A14="","",$BW14-$BY14)</x:f>
      </x:c>
      <x:c r="CA14" s="63" t="str">
        <x:f t="shared" si="8">IF($A14="","",IF($AR14&gt;1,$BW14*$AR14-1,""))</x:f>
      </x:c>
      <x:c r="CB14" s="63" t="str">
        <x:f>IF($A14="","",MIN(1,COUNT($I14:$AN14,$AR14:$BG14)/'Setari model'!$B$46))</x:f>
      </x:c>
      <x:c r="CC14" s="63" t="str">
        <x:f t="shared" si="9">IF($A14="","",0.25*MIN(1,$I14/10)+0.25*MIN(1,$P14/10)+0.15*MIN(1,$W14/5)+0.15*MIN(1,$AB14/5)+0.1*MIN(1,$AG14/5)+0.1*MIN(1,$AN14/100))</x:f>
      </x:c>
      <x:c r="CD14" s="63" t="str">
        <x:f>IF($A14="","",MAX(0,1-(MAX($BJ14:$BN14,$BP14)-MIN($BJ14:$BN14,$BP14))/(AVERAGE($BJ14:$BN14,$BP14)*'Setari model'!$B$45)))</x:f>
      </x:c>
      <x:c r="CE14" s="66" t="str">
        <x:f>IF($A14="","",MAX(0,MIN(100,100*INDEX('Setari model'!$I$5:$I$11,MATCH($E14,'Setari model'!$A$5:$A$11,0))*('Setari model'!$B$47*$CB14+'Setari model'!$B$48*$CC14+'Setari model'!$B$49*$CD14+'Setari model'!$B$50*$AT14/5+'Setari model'!$B$51*$AU14)-100*'Setari model'!$B$52*$BG14)))</x:f>
      </x:c>
      <x:c r="CF14" s="65" t="str">
        <x:f t="shared" si="10">IF($A14="","",IF(OR($AT14&lt;3,$BG14&gt;=2,$CB14&lt;0.55,$CC14&lt;0.4),"RIDICAT",IF(OR($AU14=0,$CD14&lt;0.45,$BR14&lt;0.9),"MEDIU","SCĂZUT")))</x:f>
      </x:c>
      <x:c r="CG14" s="65" t="str">
        <x:f>IF($A14="","",IF($AR14&gt;1,IF(AND($BW14&gt;= 'Setari model'!$B$35,$CE14&gt;=100*'Setari model'!$B$36,$BZ14&gt;= 'Setari model'!$B$37,$CA14&gt;= 'Setari model'!$B$38,$CF14&lt;&gt;"RIDICAT"),"PARIU RECOMANDAT",IF(AND($BW14&gt;= 'Setari model'!$B$39,$CE14&gt;=100*'Setari model'!$B$40,$BZ14&gt;= 'Setari model'!$B$41,$CA14&gt;=0,$CF14&lt;&gt;"RIDICAT"),"RECOMANDAT CU PRUDENȚĂ",IF(AND($BW14&gt;= 'Setari model'!$B$42,$CE14&gt;=100*'Setari model'!$B$43),"ANALIZĂ NECONCLUDENTĂ","PARIU EVITAT"))),IF(AND($BW14&gt;= 'Setari model'!$B$35,$CE14&gt;=100*'Setari model'!$B$36,$CF14&lt;&gt;"RIDICAT"),"FAVORABIL STATISTIC – VERIFICĂ COTA",IF(AND($BW14&gt;= 'Setari model'!$B$42,$CE14&gt;=100*'Setari model'!$B$43),"ANALIZĂ NECONCLUDENTĂ","PARIU EVITAT"))))</x:f>
      </x:c>
      <x:c r="CH14" s="67" t="str">
        <x:f t="shared" si="11">IF($A14="","","P(O0,5)="&amp;TEXT($BW14,"0.0%")&amp;"; λ ajustat="&amp;TEXT($BS14,"0.00")&amp;"; Confidence="&amp;TEXT($CE14,"0")&amp;"/100; Edge="&amp;TEXT($BZ14,"0.0%")&amp;"; risc="&amp;$CF14&amp;". "&amp;$BH14)</x:f>
      </x:c>
      <x:c r="CI14" s="68" t="str">
        <x:f t="shared" si="12">IF($A14="","",$BI14)</x:f>
      </x:c>
      <x:c r="CJ14" s="112"/>
      <x:c r="CK14" s="112"/>
      <x:c r="CL14" s="112"/>
      <x:c r="CM14" s="112"/>
      <x:c r="CN14" s="112"/>
      <x:c r="CO14" s="112"/>
      <x:c r="CP14" s="112"/>
      <x:c r="CQ14" s="112"/>
      <x:c r="CR14" s="112"/>
      <x:c r="CS14" s="112"/>
      <x:c r="CT14" s="112"/>
      <x:c r="CU14" s="112"/>
      <x:c r="CV14" s="112"/>
      <x:c r="CW14" s="112"/>
      <x:c r="CX14" s="112"/>
      <x:c r="CY14" s="112"/>
      <x:c r="CZ14" s="112"/>
      <x:c r="DA14" s="112"/>
      <x:c r="DB14" s="112"/>
      <x:c r="DC14" s="114"/>
      <x:c r="DD14" s="114"/>
      <x:c r="DE14" s="112" t="s">
        <x:v>266</x:v>
      </x:c>
      <x:c r="DF14" s="112"/>
      <x:c r="DG14" s="112"/>
      <x:c r="DH14" s="112"/>
      <x:c r="DI14" s="112"/>
      <x:c r="DJ14" s="112"/>
      <x:c r="DK14" s="112"/>
      <x:c r="DL14" s="112"/>
      <x:c r="DM14" s="112"/>
      <x:c r="DN14" s="112"/>
      <x:c r="DO14" s="112"/>
      <x:c r="DP14" s="112"/>
      <x:c r="DQ14" s="114"/>
      <x:c r="DR14" s="112">
        <x:v>1</x:v>
      </x:c>
      <x:c r="DS14" s="116">
        <x:v>0</x:v>
      </x:c>
      <x:c r="DT14" s="120"/>
      <x:c r="DU14" s="116">
        <x:v>0.02</x:v>
      </x:c>
      <x:c r="DV14" s="116">
        <x:v>0.25</x:v>
      </x:c>
      <x:c r="DW14" s="118" t="str">
        <x:f>IF($A14="","",MAX('Setari model'!$B$71,MIN('Setari model'!$B$72,1+0.08*(IFERROR(AVERAGE($CM14:$CN14)/'Setari model'!$B$66,1)-1)+0.08*(IFERROR(AVERAGE($CO14:$CP14)/'Setari model'!$B$67,1)-1)+0.06*(IFERROR(AVERAGE($CQ14:$CR14)/'Setari model'!$B$68,1)-1)+0.04*(IFERROR(AVERAGE($CS14:$CT14)/'Setari model'!$B$69,1)-1)+0.04*(IFERROR(AVERAGE($CU14:$CV14)/'Setari model'!$B$70,1)-1)-'Setari model'!$B$73*IFERROR(AVERAGE($CW14:$CX14),0))))</x:f>
      </x:c>
      <x:c r="DX14" s="118" t="str">
        <x:f>IF($A14="","",1+'Setari model'!$B$62*MAX(IF(OR($CK14=1,$CL14=1),1,0),IF(AND($CJ14&lt;&gt;"",$CJ14&lt;=1),1,0))+'Setari model'!$B$63*IF(AND($CJ14&gt;1,$CJ14&lt;=3),1,0))</x:f>
      </x:c>
      <x:c r="DY14" s="118" t="str">
        <x:f>IF($A14="","",1+'Setari model'!$B$74*(IF($CY14="",0,IF($CY14=0,1,0))+IF($CZ14="",0,IF($CZ14=0,1,0)))+'Setari model'!$B$75*(IF($DA14="",0,IF($DA14=0,1,0))+IF($DB14="",0,IF($DB14=0,1,0))))</x:f>
      </x:c>
      <x:c r="DZ14" s="117" t="str">
        <x:f>IF($A14="","",MIN(0.6,MAX(0.002,(((1-'Setari model'!$B$34*MIN(1,($I14+$P14)/20))*$BT14+'Setari model'!$B$34*MIN(1,($I14+$P14)/20)*IF(COUNT($N14,$U14)=2,SQRT(MAX(0,1-$N14)*MAX(0,1-$U14)),$BT14))*(1-'Setari model'!$B$65*MIN(1,IF($AN14="",0,$AN14/'Setari model'!$B$64)))+'Setari model'!$B$65*MIN(1,IF($AN14="",0,$AN14/'Setari model'!$B$64))*IF($AM14="",$BT14,$AM14))*$DX14*$DY14/$DW14)))</x:f>
      </x:c>
      <x:c r="EA14" s="117" t="str">
        <x:f>IF($A14="","",MIN(1-$DZ14,IF(OR(MIN($I14,$P14)&lt;'Setari model'!$B$58,$CK14=1,$CL14=1,AND($CJ14&lt;&gt;"",$CJ14&lt;=1)),'Setari model'!$B$59,IF(AND($AU14=1,$AR14&gt;1,COUNT($CY14:$DB14)=4),'Setari model'!$B$61,'Setari model'!$B$60))))</x:f>
      </x:c>
      <x:c r="EB14" s="115" t="str">
        <x:f t="shared" si="13">IF($A14="","",1/$EA14)</x:f>
      </x:c>
      <x:c r="EC14" s="117" t="str">
        <x:f t="shared" si="14">IF($A14="","",IF($AR14&gt;1,IF($AS14&gt;1,(1/$AR14)/((1/$AR14)+(1/$AS14)),1/$AR14),""))</x:f>
      </x:c>
      <x:c r="ED14" s="117" t="str">
        <x:f t="shared" si="15">IF($A14="","",IF($EC14="","",$EA14-$EC14))</x:f>
      </x:c>
      <x:c r="EE14" s="117" t="str">
        <x:f t="shared" si="16">""</x:f>
      </x:c>
      <x:c r="EF14" s="119" t="str">
        <x:f>IF($A14="","",MAX(0,MIN(100,$CE14-200*MAX(0,$EG14-'Setari model'!$B$77)-IF($AU14&lt;&gt;1,10,0)-IF(COUNT($CY14:$DB14)&lt;4,4,0))))</x:f>
      </x:c>
      <x:c r="EG14" s="117" t="str">
        <x:f>IF($A14="","",'Setari model'!$B$77+IF(MIN($I14,$P14)&lt;'Setari model'!$B$58,0.03,0)+IF(OR($CK14=1,$CL14=1,AND($CJ14&lt;&gt;"",$CJ14&lt;=1)),0.03,0)+IF($AG14=0,0.02,0)+0.03*(1-MIN(1,COUNT($CM14:$CV14)/10))+0.03*(1-MIN(1,IF($AN14="",0,$AN14/'Setari model'!$B$64)))+IF($AR14&lt;=1,0.02,0))</x:f>
      </x:c>
      <x:c r="EH14" s="113" t="str">
        <x:f>IF($A14="","",IF(OR(MIN($I14,$P14)&lt;'Setari model'!$B$58,$CK14=1,$CL14=1,AND($CJ14&lt;&gt;"",$CJ14&lt;=1)),"92% – early/regim",IF(AND($AU14=1,$AR14&gt;1,COUNT($CY14:$DB14)=4),"94% – confirmat","93% – standard")))</x:f>
      </x:c>
      <x:c r="EI14" s="113" t="str">
        <x:f t="shared" si="17">IF($A14="","",IF(AND($EA14&gt;0.9,$AU14&lt;&gt;1),"WAIT XI – HIGH P",IF(AND($EA14&gt;0.9,COUNT($CY14:$DB14)&lt;4),"WAIT DATE CHEIE – HIGH P",IF($EP14&lt;&gt;"DA","NU – PORTOFOLIU","DA"))))</x:f>
      </x:c>
      <x:c r="EJ14" s="117" t="str">
        <x:f t="shared" si="18">IF($A14="","",IF($DE14&lt;&gt;"Live 20-30","",IF(SUM($DG14:$DH14)&gt;0,1,IF($EU14="","",1-MIN(0.95,MAX(0.001,EXP(-$EU14)*$DX14*$DY14/$DW14))))))</x:f>
      </x:c>
      <x:c r="EK14" s="117" t="str">
        <x:f t="shared" si="19">""</x:f>
      </x:c>
      <x:c r="EL14" s="113" t="str">
        <x:f>IF($A14="","",IF($DE14="Live 20-30",IF(SUM($DG14:$DH14)&gt;0,"EVENIMENT ÎNDEPLINIT",IF(OR($DF14="",COUNT($DI14:$DN14)&lt;4),"LIVE – WATCH",IF($EJ14&gt;=0.75,"LIVE – FEZABIL TEHNIC","LIVE – NO BET"))),IF($EI14&lt;&gt;"DA","WATCH / NO BET",IF(AND($EA14&gt;=INDEX('Setari model'!$B$35:$B$40,1),$EF14&gt;=100*'Setari model'!$B$76),"PARIU RECOMANDAT",IF(AND($EA14&gt;=INDEX('Setari model'!$B$35:$B$40,5),$EF14&gt;=100*'Setari model'!$B$40),"WATCH – APROAPE DE PRAG","PARIU EVITAT")))))</x:f>
      </x:c>
      <x:c r="EM14" s="113" t="str">
        <x:f t="shared" si="20">IF($A14="","",IF($DE14="Live 20-30",IF(SUM($DG14:$DH14)&gt;0,"Gol deja marcat.",IF($DF14="","Minut live lipsă.",IF(COUNT($DI14:$DN14)&lt;4,"Lipsesc xG/SOT/big chances live.",IF($EJ14&lt;0.75,"P live sub prag.","Semnal live tehnic complet; EV ignorat.")))),IF($EI14&lt;&gt;"DA",$EI14,IF($EF14&lt;75,"Confidence sub 75.",IF($EA14&lt;0.92,"P sub 92%.","G0/Zero-Mass + confidence trecute; EV ignorat.")))))</x:f>
      </x:c>
      <x:c r="EN14" s="117" t="str">
        <x:f>IF($A14="","",IF(OR($EL14="PARIU RECOMANDAT",$EL14="LIVE – FEZABIL"),MIN(IF($DU14&gt;0,$DU14,'Setari model'!$B$81)/MAX(1,$DR14),IF($DV14&gt;0,$DV14,'Setari model'!$B$80)*MAX(0,((IF($DE14="Live 20-30",$EJ14,$EA14)*IF($DE14="Live 20-30",$DQ14,$AR14)-1)/(IF($DE14="Live 20-30",$DQ14,$AR14)-1)))),0))</x:f>
      </x:c>
      <x:c r="EO14" s="121" t="str">
        <x:f t="shared" si="21">IF($A14="","",IF(AND($EN14&gt;0,$DT14&gt;0),$EN14*$DT14,""))</x:f>
      </x:c>
      <x:c r="EP14" s="113" t="str">
        <x:f>IF($A14="","",IF(OR($DR14&lt;1,$DR14&gt;'Setari model'!$B$78),"NU – 1–5 selecții",IF($DS14&gt;'Setari model'!$B$79,"NU – corelație", "DA")))</x:f>
      </x:c>
      <x:c r="EQ14" s="117" t="str">
        <x:f t="shared" si="22">IF($A14="","",IF(AND($DC14&gt;1,$DD14&gt;1),$DC14/$DD14-1,""))</x:f>
      </x:c>
      <x:c r="ER14" s="113" t="str">
        <x:f t="shared" si="23">IF($A14="","","P v2="&amp;TEXT($EA14,"0.0%")&amp;" ±"&amp;TEXT($EG14,"0.0%")&amp;"; P0 ZIP="&amp;TEXT($DZ14,"0.0%")&amp;"; Confidence="&amp;TEXT($EF14,"0")&amp;"/100; piață reală="&amp;IF($EC14="","NU","DA")&amp;"; EV="&amp;IF($EE14="","n/a",TEXT($EE14,"0.0%"))&amp;"; gate="&amp;$EI14&amp;"; verdict="&amp;$EL14&amp;". "&amp;$EM14)</x:f>
      </x:c>
      <x:c r="ES14" s="119" t="str">
        <x:f>IF($A14="","",'Setari model'!$B$82)</x:f>
      </x:c>
      <x:c r="ET14" s="118" t="str">
        <x:f>IF($A14="","",'Setari model'!$B$83)</x:f>
      </x:c>
      <x:c r="EU14" s="115" t="str">
        <x:f t="shared" si="24">IF(OR($A14="",$DE14&lt;&gt;"Live 20-30",$DF14="",$DF14&lt;$ES14,$DF14&gt;=90),"",MAX(0.05,MIN($BS14*$ET14,$BS14*(90-$DF14)/90+0.35*($DI14+$DJ14)+0.06*($DK14+$DL14)+0.15*($DM14+$DN14)+0.1*(MAX($DO14,$DP14)-MIN($DO14,$DP14)))))</x:f>
      </x:c>
      <x:c r="EV14" s="132"/>
      <x:c r="EW14" s="132"/>
      <x:c r="EX14" s="132"/>
      <x:c r="EY14" s="132"/>
      <x:c r="EZ14" s="132"/>
      <x:c r="FA14" s="132"/>
      <x:c r="FB14" s="247"/>
      <x:c r="FC14" s="134" t="str">
        <x:f t="shared" si="25">IF($A14="","",IF(OR($J14="",$L14="",$L14&lt;=0),"",MAX(0.5,MIN(1.5,$J14/$L14))))</x:f>
      </x:c>
      <x:c r="FD14" s="134" t="str">
        <x:f t="shared" si="26">IF($A14="","",IF(OR($Q14="",$S14="",$S14&lt;=0),"",MAX(0.5,MIN(1.5,$Q14/$S14))))</x:f>
      </x:c>
      <x:c r="FE14" s="134" t="str">
        <x:f>IF($A14="","",IF(COUNT($EV14:$EW14)&lt;2,"",SQRT($EV14*$EW14)/'Setari model'!$B$87))</x:f>
      </x:c>
      <x:c r="FF14" s="134" t="str">
        <x:f>IF($A14="","",IF(COUNT($O14,$V14,$EX14,$EY14)&lt;4,"",AVERAGE(SQRT($O14*$EY14),SQRT($V14*$EX14))/'Setari model'!$B$88))</x:f>
      </x:c>
      <x:c r="FG14" s="134" t="str">
        <x:f t="shared" si="27">IF($A14="","",IF(COUNT($FC14:$FD14)&lt;2,"",MAX(0,1-AVERAGE($FC14:$FD14))))</x:f>
      </x:c>
      <x:c r="FH14" s="134" t="str">
        <x:f>IF($A14="","",IF(COUNT($EZ14:$FA14)&lt;2,"",'Setari model'!$B$94*AVERAGE($EZ14:$FA14)/'Setari model'!$B$89))</x:f>
      </x:c>
      <x:c r="FI14" s="134" t="str">
        <x:f>IF($A14="","",IF(COUNT($FE14:$FH14)&lt;4,"",MAX('Setari model'!$B$97,MIN('Setari model'!$B$98,1+'Setari model'!$B$90*($FE14-1)+'Setari model'!$B$91*($FF14-1)+'Setari model'!$B$92*$FG14+'Setari model'!$B$93*($FH14-1)))))</x:f>
      </x:c>
      <x:c r="FJ14" s="133" t="str">
        <x:f>IF($A14="","",IF($FI14="","",MIN('Setari model'!$B$101,MAX(0.002,$DZ14*$FI14))))</x:f>
      </x:c>
      <x:c r="FK14" s="131" t="str">
        <x:f t="shared" si="28">IF($A14="","",IF(AND(COUNT($EV14:$FA14)=6,COUNT($O14,$V14,$FC14,$FD14)=4),"DA","NU"))</x:f>
      </x:c>
      <x:c r="FL14" s="131" t="str">
        <x:f>IF($A14="","",IF($FK14&lt;&gt;"DA","NEDETERMINAT",IF($FI14&lt;='Setari model'!$B$99,"SCĂZUT",IF($FI14&lt;='Setari model'!$B$100,"MEDIU","RIDICAT"))))</x:f>
      </x:c>
      <x:c r="FM14" s="131" t="str">
        <x:f>IF($A14="","",IF(AND($AR14&gt;1,$EC14&gt;='Setari model'!$B$106),"DA","NU"))</x:f>
      </x:c>
      <x:c r="FN14" s="131" t="str">
        <x:f t="shared" si="29">IF($A14="","",IF(AND($AU14=1,COUNT($CY14:$DB14)=4),"DA","NU"))</x:f>
      </x:c>
      <x:c r="FO14" s="133" t="str">
        <x:f>IF($A14="","",IF(OR($FK14&lt;&gt;"DA",$FL14="RIDICAT"),'Setari model'!$B$102,IF($FL14="MEDIU",'Setari model'!$B$103,IF(AND($FM14="DA",$FN14="DA"),'Setari model'!$B$105,'Setari model'!$B$104))))</x:f>
      </x:c>
      <x:c r="FP14" s="133" t="str">
        <x:f t="shared" si="30">IF($A14="","",IF($FJ14="","",MIN(1-$FJ14,$FO14)))</x:f>
      </x:c>
      <x:c r="FQ14" s="135" t="str">
        <x:f t="shared" si="31">IF($A14="","",IF($FP14="","",IF($FP14&gt;0,1/$FP14,"")))</x:f>
      </x:c>
      <x:c r="FR14" s="133" t="str">
        <x:f t="shared" si="32">IF($A14="","",IF($EC14="","",$FP14-$EC14))</x:f>
      </x:c>
      <x:c r="FS14" s="133" t="str">
        <x:f t="shared" si="33">IF($A14="","",IF($AR14&gt;1,$FP14*$AR14-1,""))</x:f>
      </x:c>
      <x:c r="FT14" s="136" t="str">
        <x:f>IF($A14="","",MAX(0,MIN(100,$EF14-IF($FK14&lt;&gt;"DA",'Setari model'!$B$107,0)-IF($FL14="MEDIU",'Setari model'!$B$108,0)-IF($FL14="RIDICAT",'Setari model'!$B$109,0))))</x:f>
      </x:c>
      <x:c r="FU14" s="131" t="str">
        <x:f t="shared" si="34">IF($A14="","",IF($AR14&lt;=1,"NU – LIPSEȘTE COTA REALĂ",IF($FK14&lt;&gt;"DA","NU – ZERO-RISK INCOMPLET",IF($FL14&lt;&gt;"SCĂZUT","NU – RISC 0-0 "&amp;$FL14,IF($FN14&lt;&gt;"DA","NU – LINEUP NECONFIRMAT",IF($FM14&lt;&gt;"DA","NU – PIAȚĂ NECONFIRMATĂ",IF($EP14&lt;&gt;"DA","NU – PORTOFOLIU","DA")))))))</x:f>
      </x:c>
      <x:c r="FV14" s="131" t="str">
        <x:f>IF($A14="","",IF($FU14&lt;&gt;"DA","WATCH / NO BET",IF(AND($FP14&gt;='Setari model'!$B$35,$FT14&gt;=100*'Setari model'!$B$76,$FS14&gt;0),"PARIU RECOMANDAT",IF(AND($FP14&gt;='Setari model'!$B$39,$FT14&gt;=100*'Setari model'!$B$40,$FS14&gt;0),"WATCH – APROAPE DE PRAG","PARIU EVITAT"))))</x:f>
      </x:c>
      <x:c r="FW14" s="131" t="str">
        <x:f t="shared" si="35">IF($A14="","",IF($FU14&lt;&gt;"DA",$FU14,IF($FT14&lt;75,"Confidence v3 sub 75.",IF($FP14&lt;0.92,"P v3 sub 92%.",IF($FS14&lt;=0,"EV v3 nepozitiv.","P0 v3, lineup și piață confirmate.")))))</x:f>
      </x:c>
      <x:c r="FX14" s="131" t="str">
        <x:f t="shared" si="36">IF($A14="","","P v3="&amp;TEXT($FP14,"0.0%")&amp;"; P0 v3="&amp;TEXT($FJ14,"0.0%")&amp;"; factor zero="&amp;IF($FI14="","n/a",TEXT($FI14,"0.00x"))&amp;" ("&amp;$FL14&amp;"); cap="&amp;TEXT($FO14,"0.0%")&amp;"; Confidence="&amp;TEXT($FT14,"0")&amp;"/100; lineup="&amp;$FN14&amp;"; piață="&amp;$FM14&amp;"; EV="&amp;IF($FS14="","n/a",TEXT($FS14,"0.0%"))&amp;"; gate="&amp;$FU14&amp;"; verdict="&amp;$FV14&amp;". "&amp;$FW14)</x:f>
      </x:c>
      <x:c r="FY14" s="159"/>
      <x:c r="FZ14" s="159"/>
      <x:c r="GA14" s="157"/>
      <x:c r="GB14" s="157"/>
      <x:c r="GC14" s="161" t="str">
        <x:f t="shared" si="37">IF($A14="","",IF(OR($X14="",$Z14="",$Z14&lt;=0),"",MAX(0.5,MIN(1.5,$X14/$Z14))))</x:f>
      </x:c>
      <x:c r="GD14" s="161" t="str">
        <x:f t="shared" si="38">IF($A14="","",IF(OR($AC14="",$AE14="",$AE14&lt;=0),"",MAX(0.5,MIN(1.5,$AC14/$AE14))))</x:f>
      </x:c>
      <x:c r="GE14" s="162" t="str">
        <x:f t="shared" si="39">IF($A14="","",IF(COUNT($Z14,$AE14)&lt;2,"",AVERAGE($Z14,$AE14)))</x:f>
      </x:c>
      <x:c r="GF14" s="158" t="str">
        <x:f>IF($A14="","",IF(COUNT($FY14:$FZ14)&lt;2,"NEDETERMINAT",IF(AND($FY14&gt;='Setari model'!$B$113,$FZ14&gt;='Setari model'!$B$113),"DA","NU")))</x:f>
      </x:c>
      <x:c r="GG14" s="158" t="str">
        <x:f>IF($A14="","",IF(COUNT($FY14:$FZ14,$EX14:$EY14)&lt;4,"NEDETERMINAT",IF(OR(AND($FY14&gt;='Setari model'!$B$113,$EY14&gt;='Setari model'!$B$114),AND($FZ14&gt;='Setari model'!$B$113,$EX14&gt;='Setari model'!$B$114)),"DA","NU")))</x:f>
      </x:c>
      <x:c r="GH14" s="158" t="str">
        <x:f>IF($A14="","",IF(COUNT($BJ14:$BN14,$GC14:$GE14)&lt;8,"NEDETERMINAT",IF(AND((($BJ14*INDEX('Setari model'!$B$5:$B$11,MATCH($E14,'Setari model'!$A$5:$A$11,0))+$BK14*INDEX('Setari model'!$C$5:$C$11,MATCH($E14,'Setari model'!$A$5:$A$11,0))+$BL14*INDEX('Setari model'!$D$5:$D$11,MATCH($E14,'Setari model'!$A$5:$A$11,0))+$BM14*INDEX('Setari model'!$E$5:$E$11,MATCH($E14,'Setari model'!$A$5:$A$11,0))+$BN14*INDEX('Setari model'!$F$5:$F$11,MATCH($E14,'Setari model'!$A$5:$A$11,0)))/(INDEX('Setari model'!$B$5:$B$11,MATCH($E14,'Setari model'!$A$5:$A$11,0))+INDEX('Setari model'!$C$5:$C$11,MATCH($E14,'Setari model'!$A$5:$A$11,0))+INDEX('Setari model'!$D$5:$D$11,MATCH($E14,'Setari model'!$A$5:$A$11,0))+INDEX('Setari model'!$E$5:$E$11,MATCH($E14,'Setari model'!$A$5:$A$11,0))+INDEX('Setari model'!$F$5:$F$11,MATCH($E14,'Setari model'!$A$5:$A$11,0))))*$BR14&gt;='Setari model'!$B$115,(($BJ14*INDEX('Setari model'!$B$5:$B$11,MATCH($E14,'Setari model'!$A$5:$A$11,0))+$BK14*INDEX('Setari model'!$C$5:$C$11,MATCH($E14,'Setari model'!$A$5:$A$11,0))+$BL14*INDEX('Setari model'!$D$5:$D$11,MATCH($E14,'Setari model'!$A$5:$A$11,0))+$BM14*INDEX('Setari model'!$E$5:$E$11,MATCH($E14,'Setari model'!$A$5:$A$11,0))+$BN14*INDEX('Setari model'!$F$5:$F$11,MATCH($E14,'Setari model'!$A$5:$A$11,0)))/(INDEX('Setari model'!$B$5:$B$11,MATCH($E14,'Setari model'!$A$5:$A$11,0))+INDEX('Setari model'!$C$5:$C$11,MATCH($E14,'Setari model'!$A$5:$A$11,0))+INDEX('Setari model'!$D$5:$D$11,MATCH($E14,'Setari model'!$A$5:$A$11,0))+INDEX('Setari model'!$E$5:$E$11,MATCH($E14,'Setari model'!$A$5:$A$11,0))+INDEX('Setari model'!$F$5:$F$11,MATCH($E14,'Setari model'!$A$5:$A$11,0))))*$BR14&lt;='Setari model'!$B$116,AVERAGE($GC14:$GD14)&lt;='Setari model'!$B$117,$GE14&gt;='Setari model'!$B$118),"DA","NU")))</x:f>
      </x:c>
      <x:c r="GI14" s="158" t="str">
        <x:f>IF($A14="","",IF(COUNT($W14,$AB14,$GA14:$GB14)&lt;4,"NEDETERMINAT",IF(AND($W14&gt;='Setari model'!$B$120,$AB14&gt;='Setari model'!$B$120,OR(IFERROR($GA14/$W14,0)&gt;='Setari model'!$B$119,IFERROR($GB14/$AB14,0)&gt;='Setari model'!$B$119)),"DA","NU")))</x:f>
      </x:c>
      <x:c r="GJ14" s="160" t="str">
        <x:f>IF($A14="","",IF(COUNT($FY14:$GB14)&lt;4,"",IF($GH14&lt;&gt;"DA",0,'Setari model'!$B$121*IF($GF14="DA",1,0)+'Setari model'!$B$122*IF($GG14="DA",1,0)+'Setari model'!$B$123+'Setari model'!$B$124*IF($GI14="DA",1,0))))</x:f>
      </x:c>
      <x:c r="GK14" s="161" t="str">
        <x:f>IF($A14="","",IF(COUNT($GJ14)=0,"",1+'Setari model'!$B$125*$GJ14))</x:f>
      </x:c>
      <x:c r="GL14" s="160" t="str">
        <x:f>IF($A14="","",IF($GM14&lt;&gt;"DA",$FJ14,MIN('Setari model'!$B$101,MAX(0.002,$FJ14*$GK14))))</x:f>
      </x:c>
      <x:c r="GM14" s="158" t="str">
        <x:f>IF($A14="","",IF(AND($FK14="DA",COUNT($FY14:$GB14)=4,COUNT($I14,$P14,$W14,$AB14,$Z14,$AE14,$EX14,$EY14,$GC14,$GD14)=10,COUNT($BJ14:$BN14)=5),"DA","NU"))</x:f>
      </x:c>
      <x:c r="GN14" s="158" t="str">
        <x:f>IF($A14="","",IF($GM14&lt;&gt;"DA","NEDETERMINAT",IF($FI14*$GK14&lt;='Setari model'!$B$99,"SCĂZUT",IF($FI14*$GK14&lt;='Setari model'!$B$100,"MEDIU","RIDICAT"))))</x:f>
      </x:c>
      <x:c r="GO14" s="160" t="str">
        <x:f>IF($A14="","",IF(OR($GM14&lt;&gt;"DA",$GN14="RIDICAT"),'Setari model'!$B$102,IF($GN14="MEDIU",'Setari model'!$B$103,IF(AND($FM14="DA",$FN14="DA"),'Setari model'!$B$105,'Setari model'!$B$104))))</x:f>
      </x:c>
      <x:c r="GP14" s="160" t="str">
        <x:f t="shared" si="40">IF($A14="","",IF($GL14="","",MIN(1-$GL14,$GO14)))</x:f>
      </x:c>
      <x:c r="GQ14" s="162" t="str">
        <x:f t="shared" si="41">IF($A14="","",IF($GP14="","",IF($GP14&gt;0,1/$GP14,"")))</x:f>
      </x:c>
      <x:c r="GR14" s="160" t="str">
        <x:f t="shared" si="42">IF($A14="","",IF($EC14="","",$GP14-$EC14))</x:f>
      </x:c>
      <x:c r="GS14" s="160" t="str">
        <x:f t="shared" si="43">IF($A14="","",IF($AR14&gt;1,$GP14*$AR14-1,""))</x:f>
      </x:c>
      <x:c r="GT14" s="163" t="str">
        <x:f>IF($A14="","",MAX(0,MIN(100,$FT14-IF(AND($GM14&lt;&gt;"DA",$FK14="DA"),'Setari model'!$B$107,0)-'Setari model'!$B$126*IF($GJ14="",0,$GJ14))))</x:f>
      </x:c>
      <x:c r="GU14" s="158" t="str">
        <x:f t="shared" si="44">IF($A14="","",IF($AR14&lt;=1,"NU – LIPSEȘTE COTA REALĂ",IF($GM14&lt;&gt;"DA","NU – DATE LOW-CONVERSION INCOMPLETE",IF($GN14&lt;&gt;"SCĂZUT","NU – RISC 0-0 "&amp;$GN14,IF($FN14&lt;&gt;"DA","NU – LINEUP NECONFIRMAT",IF($FM14&lt;&gt;"DA","NU – PIAȚĂ NECONFIRMATĂ",IF($EP14&lt;&gt;"DA","NU – PORTOFOLIU","DA")))))))</x:f>
      </x:c>
      <x:c r="GV14" s="158" t="str">
        <x:f>IF($A14="","",IF($GU14&lt;&gt;"DA","WATCH / NO BET",IF(AND($GP14&gt;='Setari model'!$B$35,$GT14&gt;=100*'Setari model'!$B$76,$GS14&gt;0),"PARIU RECOMANDAT",IF(AND($GP14&gt;='Setari model'!$B$39,$GT14&gt;=100*'Setari model'!$B$40,$GS14&gt;0),"WATCH – APROAPE DE PRAG","PARIU EVITAT"))))</x:f>
      </x:c>
      <x:c r="GW14" s="158" t="str">
        <x:f t="shared" si="45">IF($A14="","",IF($GU14&lt;&gt;"DA",$GU14,IF($GT14&lt;75,"Confidence v5 sub 75.",IF($GP14&lt;0.92,"P v5 sub 92%.",IF($GS14&lt;=0,"EV v5 nepozitiv.",IF($GJ14&gt;0,"Low-conversion absorbit în P0; toate porțile rămân trecute.","Toate porțile v5 sunt trecute."))))))</x:f>
      </x:c>
      <x:c r="GX14" s="158" t="str">
        <x:f t="shared" si="46">IF($A14="","","P v5="&amp;TEXT($GP14,"0.0%")&amp;"; P0 v5="&amp;TEXT($GL14,"0.0%")&amp;"; low-conv="&amp;IF(COUNT($GJ14)=0,"n/a",TEXT($GJ14,"0%"))&amp;"; mult.P0="&amp;IF(COUNT($GK14)=0,"n/a",TEXT($GK14,"0.00"))&amp;"; clasă="&amp;$GN14&amp;"; cap="&amp;TEXT($GO14,"0.0%")&amp;"; Confidence="&amp;TEXT($GT14,"0")&amp;"/100; lineup="&amp;$FN14&amp;"; piață="&amp;$FM14&amp;"; EV="&amp;IF($GS14="","n/a",TEXT($GS14,"0.0%"))&amp;"; gate="&amp;$GU14&amp;"; verdict="&amp;$GV14&amp;". "&amp;$GW14)</x:f>
      </x:c>
      <x:c r="GY14" s="174" t="str">
        <x:f>IF($A14="","",IF($GM14&lt;&gt;"DA","SOURCING INCOMPLETE – REVIEW REQUIRED",IF(MIN($I14,$P14,$W14,$AB14)&lt;'Setari model'!$B$58,"SMALL SAMPLE + PRIOR / SHRINKAGE","VERIFIED / PRIOR / SHRINKAGE")))</x:f>
      </x:c>
      <x:c r="GZ14" s="175" t="str">
        <x:f t="shared" si="47">IF($A14="","",MAX(0,MIN(100,100*(1-AVERAGE(IF($GM14="DA",1,0),MIN(1,$AT14/5))))))</x:f>
      </x:c>
      <x:c r="HA14" s="175" t="str">
        <x:f>IF($A14="","",IF($GM14&lt;&gt;"DA","",MAX(0,MIN(100,100*(($FI14*$GK14)-'Setari model'!$B$97)/('Setari model'!$B$98-'Setari model'!$B$97)))))</x:f>
      </x:c>
      <x:c r="HB14" s="175" t="str">
        <x:f>IF($A14="","",MAX(0,MIN(100,100*(ABS($BR14-1)/MAX(1-'Setari model'!$B$53,'Setari model'!$B$54-1)+MIN(1,$BG14/2))/2)))</x:f>
      </x:c>
      <x:c r="HC14" s="175" t="str">
        <x:f t="shared" si="48">IF($A14="","",MAX(0,MIN(100,100*(1-AVERAGE($CC14,MAX(0,1-(MAX($BJ14:$BN14)-MIN($BJ14:$BN14))/(AVERAGE($BJ14:$BN14)*'Setari model'!$B$45)))))))</x:f>
      </x:c>
      <x:c r="HD14" s="175" t="str">
        <x:f t="shared" si="49">IF($A14="","",MAX(0,MIN(100,100*MAX(IF($GJ14="",0,$GJ14),MIN(1,$BG14/2)))))</x:f>
      </x:c>
      <x:c r="HE14" s="175" t="str">
        <x:f>IF($A14="","",IF(COUNT($GZ14:$HD14)&lt;5,"",$GZ14*Risk_Classification!$E$28+$HA14*Risk_Classification!$E$29+$HB14*Risk_Classification!$E$30+$HC14*Risk_Classification!$E$31+$HD14*Risk_Classification!$E$32))</x:f>
      </x:c>
      <x:c r="HF14" s="176" t="str">
        <x:f t="shared" si="50">IF($A14="","",IF($HE14="","",IF($HE14&lt;=20,1,IF($HE14&lt;=40,2,IF($HE14&lt;=60,3,IF($HE14&lt;=80,4,5))))))</x:f>
      </x:c>
      <x:c r="HG14" s="176" t="str">
        <x:f t="shared" si="51">IF($A14="","",IF($GM14="DA","PASS","FAIL – DATE CRITICE ZERO-MASS INCOMPLETE"))</x:f>
      </x:c>
      <x:c r="HH14" s="176" t="str">
        <x:f t="shared" si="52">IF($A14="","",IF($HG14&lt;&gt;"PASS",5,$HF14))</x:f>
      </x:c>
      <x:c r="HI14" s="174" t="str">
        <x:f t="shared" si="53">IF($A14="","",IF($HH14="","N/A",IF($HH14=1,"DEFENSIV",IF($HH14=2,"PRUDENT",IF($HH14=3,"MODERAT",IF($HH14=4,"RIDICAT","WATCH / NO BET"))))))</x:f>
      </x:c>
      <x:c r="HJ14" s="177" t="str">
        <x:f t="shared" si="54">IF($A14="","","Data="&amp;$GY14&amp;"; DQ="&amp;TEXT($GZ14,"0.0")&amp;"; ZM="&amp;IF($HA14="","n/a",TEXT($HA14,"0.0"))&amp;"; Context="&amp;TEXT($HB14,"0.0")&amp;"; Uncertainty="&amp;TEXT($HC14,"0.0")&amp;"; Compound="&amp;TEXT($HD14,"0.0")&amp;"; Risk Score="&amp;IF($HE14="","n/a",TEXT($HE14,"0.0"))&amp;"; Base="&amp;IF($HF14="","n/a",$HF14)&amp;"; G0="&amp;$HG14&amp;"; Final="&amp;$HH14&amp;". Cota, EV si lineup sunt informative si nu intra in recomandare.")</x:f>
      </x:c>
      <x:c r="HK14" s="174" t="str">
        <x:f t="shared" si="55">IF($A14="","",$HI14)</x:f>
      </x:c>
    </x:row>
    <x:row r="15" ht="24" customHeight="1">
      <x:c r="A15" s="58"/>
      <x:c r="B15" s="24"/>
      <x:c r="C15" s="59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18"/>
      <x:c r="O15" s="18"/>
      <x:c r="P15" s="24"/>
      <x:c r="Q15" s="24"/>
      <x:c r="R15" s="24"/>
      <x:c r="S15" s="24"/>
      <x:c r="T15" s="24"/>
      <x:c r="U15" s="18"/>
      <x:c r="V15" s="18"/>
      <x:c r="W15" s="24"/>
      <x:c r="X15" s="24"/>
      <x:c r="Y15" s="24"/>
      <x:c r="Z15" s="24"/>
      <x:c r="AA15" s="24"/>
      <x:c r="AB15" s="24"/>
      <x:c r="AC15" s="24"/>
      <x:c r="AD15" s="24"/>
      <x:c r="AE15" s="24"/>
      <x:c r="AF15" s="24"/>
      <x:c r="AG15" s="24"/>
      <x:c r="AH15" s="24"/>
      <x:c r="AI15" s="18"/>
      <x:c r="AJ15" s="24"/>
      <x:c r="AK15" s="24"/>
      <x:c r="AL15" s="24"/>
      <x:c r="AM15" s="18"/>
      <x:c r="AN15" s="24"/>
      <x:c r="AO15" s="60"/>
      <x:c r="AP15" s="60"/>
      <x:c r="AQ15" s="60"/>
      <x:c r="AR15" s="60"/>
      <x:c r="AS15" s="60"/>
      <x:c r="AT15" s="24"/>
      <x:c r="AU15" s="24"/>
      <x:c r="AV15" s="24"/>
      <x:c r="AW15" s="24"/>
      <x:c r="AX15" s="24"/>
      <x:c r="AY15" s="24"/>
      <x:c r="AZ15" s="24"/>
      <x:c r="BA15" s="24"/>
      <x:c r="BB15" s="24"/>
      <x:c r="BC15" s="24"/>
      <x:c r="BD15" s="24"/>
      <x:c r="BE15" s="24"/>
      <x:c r="BF15" s="24"/>
      <x:c r="BG15" s="24"/>
      <x:c r="BH15" s="61"/>
      <x:c r="BI15" s="61"/>
      <x:c r="BJ15" s="62" t="str">
        <x:f>IF($A15="","",SQRT((($I15*IF($J15="",$AJ15,$J15)+'Setari model'!$B$30*$AJ15)/($I15+'Setari model'!$B$30))*(($P15*IF($R15="",$AJ15,$R15)+'Setari model'!$B$30*$AJ15)/($P15+'Setari model'!$B$30)))+SQRT((($P15*IF($Q15="",$AK15,$Q15)+'Setari model'!$B$30*$AK15)/($P15+'Setari model'!$B$30))*(($I15*IF($K15="",$AK15,$K15)+'Setari model'!$B$30*$AK15)/($I15+'Setari model'!$B$30))))</x:f>
      </x:c>
      <x:c r="BK15" s="62" t="str">
        <x:f>IF($A15="","",SQRT((($I15*IF($L15="",IF($J15="",$AJ15,$J15),$L15)+'Setari model'!$B$30*$AJ15)/($I15+'Setari model'!$B$30))*(($P15*IF($T15="",IF($R15="",$AJ15,$R15),$T15)+'Setari model'!$B$30*$AJ15)/($P15+'Setari model'!$B$30)))+SQRT((($P15*IF($S15="",IF($Q15="",$AK15,$Q15),$S15)+'Setari model'!$B$30*$AK15)/($P15+'Setari model'!$B$30))*(($I15*IF($M15="",IF($K15="",$AK15,$K15),$M15)+'Setari model'!$B$30*$AK15)/($I15+'Setari model'!$B$30))))</x:f>
      </x:c>
      <x:c r="BL15" s="62" t="str">
        <x:f>IF($A15="","",SQRT((($W15*IF($X15="",$AL15/2,$X15)+'Setari model'!$B$31*$AL15/2)/($W15+'Setari model'!$B$31))*(($AB15*IF($AD15="",$AL15/2,$AD15)+'Setari model'!$B$31*$AL15/2)/($AB15+'Setari model'!$B$31)))+SQRT((($AB15*IF($AC15="",$AL15/2,$AC15)+'Setari model'!$B$31*$AL15/2)/($AB15+'Setari model'!$B$31))*(($W15*IF($Y15="",$AL15/2,$Y15)+'Setari model'!$B$31*$AL15/2)/($W15+'Setari model'!$B$31))))</x:f>
      </x:c>
      <x:c r="BM15" s="62" t="str">
        <x:f>IF($A15="","",SQRT((($W15*IF($Z15="",IF($X15="",$AL15/2,$X15),$Z15)+'Setari model'!$B$31*$AL15/2)/($W15+'Setari model'!$B$31))*(($AB15*IF($AF15="",IF($AD15="",$AL15/2,$AD15),$AF15)+'Setari model'!$B$31*$AL15/2)/($AB15+'Setari model'!$B$31)))+SQRT((($AB15*IF($AE15="",IF($AC15="",$AL15/2,$AC15),$AE15)+'Setari model'!$B$31*$AL15/2)/($AB15+'Setari model'!$B$31))*(($W15*IF($AA15="",IF($Y15="",$AL15/2,$Y15),$AA15)+'Setari model'!$B$31*$AL15/2)/($W15+'Setari model'!$B$31))))</x:f>
      </x:c>
      <x:c r="BN15" s="62" t="str">
        <x:f t="shared" si="0">IF($A15="","",IF($AG15&gt;0,($AG15*IF($AH15="",$AL15,$AH15)+5*$AL15)/($AG15+5),$AL15))</x:f>
      </x:c>
      <x:c r="BO15" s="63" t="str">
        <x:f>IF($A15="","",IF($AR15&gt;1,IF($AS15&gt;1,(1/$AR15)/((1/$AR15+1/$AS15)),MIN(0.995,(1/$AR15)/(1+'Setari model'!$B$32))),1-EXP(-$AL15)))</x:f>
      </x:c>
      <x:c r="BP15" s="62" t="str">
        <x:f t="shared" si="1">IF($A15="","",-LN(1-$BO15))</x:f>
      </x:c>
      <x:c r="BQ15" s="62" t="str">
        <x:f>IF($A15="","",$BJ15*INDEX('Setari model'!$B$5:$B$11,MATCH($E15,'Setari model'!$A$5:$A$11,0))+$BK15*INDEX('Setari model'!$C$5:$C$11,MATCH($E15,'Setari model'!$A$5:$A$11,0))+$BL15*INDEX('Setari model'!$D$5:$D$11,MATCH($E15,'Setari model'!$A$5:$A$11,0))+$BM15*INDEX('Setari model'!$E$5:$E$11,MATCH($E15,'Setari model'!$A$5:$A$11,0))+$BN15*INDEX('Setari model'!$F$5:$F$11,MATCH($E15,'Setari model'!$A$5:$A$11,0))+$BP15*INDEX('Setari model'!$G$5:$G$11,MATCH($E15,'Setari model'!$A$5:$A$11,0)))</x:f>
      </x:c>
      <x:c r="BR15" s="64" t="str">
        <x:f>IF($A15="","",MAX('Setari model'!$B$53,MIN('Setari model'!$B$54,1+($AV15*'Setari model'!$B$15+$AW15*'Setari model'!$B$16+$AX15*'Setari model'!$B$17+$AY15*'Setari model'!$B$18+$AZ15*'Setari model'!$B$19+$BA15*'Setari model'!$B$20+$BB15*'Setari model'!$B$21+$BC15*'Setari model'!$B$22+$BD15*'Setari model'!$B$23+$BE15*'Setari model'!$B$24+$BF15*'Setari model'!$B$25)*INDEX('Setari model'!$H$5:$H$11,MATCH($E15,'Setari model'!$A$5:$A$11,0)))))</x:f>
      </x:c>
      <x:c r="BS15" s="62" t="str">
        <x:f t="shared" si="2">IF($A15="","",$BQ15*$BR15)</x:f>
      </x:c>
      <x:c r="BT15" s="63" t="str">
        <x:f t="shared" si="3">IF($A15="","",EXP(-$BS15))</x:f>
      </x:c>
      <x:c r="BU15" s="65" t="str">
        <x:f>IF($A15="","",IF(OR($AM15="",$AN15=""),1,1+MIN('Setari model'!$B$33,$AN15/100*'Setari model'!$B$33)*($AM15/EXP(-$AL15)-1)))</x:f>
      </x:c>
      <x:c r="BV15" s="63" t="str">
        <x:f>IF($A15="","",MIN(0.45,MAX(0.005,(1-'Setari model'!$B$34*MIN(1,($I15+$P15)/20))*MIN(0.45,$BT15*$BU15)+'Setari model'!$B$34*MIN(1,($I15+$P15)/20)*IF(COUNT($N15,$U15)=2,SQRT(MAX(0,1-$N15)*MAX(0,1-$U15)),IF($AM15="",EXP(-$AL15),$AM15)))))</x:f>
      </x:c>
      <x:c r="BW15" s="63" t="str">
        <x:f t="shared" si="4">IF($A15="","",1-$BV15)</x:f>
      </x:c>
      <x:c r="BX15" s="62" t="str">
        <x:f t="shared" si="5">IF($A15="","",1/$BW15)</x:f>
      </x:c>
      <x:c r="BY15" s="63" t="str">
        <x:f t="shared" si="6">IF($A15="","",$BO15)</x:f>
      </x:c>
      <x:c r="BZ15" s="63" t="str">
        <x:f t="shared" si="7">IF($A15="","",$BW15-$BY15)</x:f>
      </x:c>
      <x:c r="CA15" s="63" t="str">
        <x:f t="shared" si="8">IF($A15="","",IF($AR15&gt;1,$BW15*$AR15-1,""))</x:f>
      </x:c>
      <x:c r="CB15" s="63" t="str">
        <x:f>IF($A15="","",MIN(1,COUNT($I15:$AN15,$AR15:$BG15)/'Setari model'!$B$46))</x:f>
      </x:c>
      <x:c r="CC15" s="63" t="str">
        <x:f t="shared" si="9">IF($A15="","",0.25*MIN(1,$I15/10)+0.25*MIN(1,$P15/10)+0.15*MIN(1,$W15/5)+0.15*MIN(1,$AB15/5)+0.1*MIN(1,$AG15/5)+0.1*MIN(1,$AN15/100))</x:f>
      </x:c>
      <x:c r="CD15" s="63" t="str">
        <x:f>IF($A15="","",MAX(0,1-(MAX($BJ15:$BN15,$BP15)-MIN($BJ15:$BN15,$BP15))/(AVERAGE($BJ15:$BN15,$BP15)*'Setari model'!$B$45)))</x:f>
      </x:c>
      <x:c r="CE15" s="66" t="str">
        <x:f>IF($A15="","",MAX(0,MIN(100,100*INDEX('Setari model'!$I$5:$I$11,MATCH($E15,'Setari model'!$A$5:$A$11,0))*('Setari model'!$B$47*$CB15+'Setari model'!$B$48*$CC15+'Setari model'!$B$49*$CD15+'Setari model'!$B$50*$AT15/5+'Setari model'!$B$51*$AU15)-100*'Setari model'!$B$52*$BG15)))</x:f>
      </x:c>
      <x:c r="CF15" s="65" t="str">
        <x:f t="shared" si="10">IF($A15="","",IF(OR($AT15&lt;3,$BG15&gt;=2,$CB15&lt;0.55,$CC15&lt;0.4),"RIDICAT",IF(OR($AU15=0,$CD15&lt;0.45,$BR15&lt;0.9),"MEDIU","SCĂZUT")))</x:f>
      </x:c>
      <x:c r="CG15" s="65" t="str">
        <x:f>IF($A15="","",IF($AR15&gt;1,IF(AND($BW15&gt;= 'Setari model'!$B$35,$CE15&gt;=100*'Setari model'!$B$36,$BZ15&gt;= 'Setari model'!$B$37,$CA15&gt;= 'Setari model'!$B$38,$CF15&lt;&gt;"RIDICAT"),"PARIU RECOMANDAT",IF(AND($BW15&gt;= 'Setari model'!$B$39,$CE15&gt;=100*'Setari model'!$B$40,$BZ15&gt;= 'Setari model'!$B$41,$CA15&gt;=0,$CF15&lt;&gt;"RIDICAT"),"RECOMANDAT CU PRUDENȚĂ",IF(AND($BW15&gt;= 'Setari model'!$B$42,$CE15&gt;=100*'Setari model'!$B$43),"ANALIZĂ NECONCLUDENTĂ","PARIU EVITAT"))),IF(AND($BW15&gt;= 'Setari model'!$B$35,$CE15&gt;=100*'Setari model'!$B$36,$CF15&lt;&gt;"RIDICAT"),"FAVORABIL STATISTIC – VERIFICĂ COTA",IF(AND($BW15&gt;= 'Setari model'!$B$42,$CE15&gt;=100*'Setari model'!$B$43),"ANALIZĂ NECONCLUDENTĂ","PARIU EVITAT"))))</x:f>
      </x:c>
      <x:c r="CH15" s="67" t="str">
        <x:f t="shared" si="11">IF($A15="","","P(O0,5)="&amp;TEXT($BW15,"0.0%")&amp;"; λ ajustat="&amp;TEXT($BS15,"0.00")&amp;"; Confidence="&amp;TEXT($CE15,"0")&amp;"/100; Edge="&amp;TEXT($BZ15,"0.0%")&amp;"; risc="&amp;$CF15&amp;". "&amp;$BH15)</x:f>
      </x:c>
      <x:c r="CI15" s="68" t="str">
        <x:f t="shared" si="12">IF($A15="","",$BI15)</x:f>
      </x:c>
      <x:c r="CJ15" s="112"/>
      <x:c r="CK15" s="112"/>
      <x:c r="CL15" s="112"/>
      <x:c r="CM15" s="112"/>
      <x:c r="CN15" s="112"/>
      <x:c r="CO15" s="112"/>
      <x:c r="CP15" s="112"/>
      <x:c r="CQ15" s="112"/>
      <x:c r="CR15" s="112"/>
      <x:c r="CS15" s="112"/>
      <x:c r="CT15" s="112"/>
      <x:c r="CU15" s="112"/>
      <x:c r="CV15" s="112"/>
      <x:c r="CW15" s="112"/>
      <x:c r="CX15" s="112"/>
      <x:c r="CY15" s="112"/>
      <x:c r="CZ15" s="112"/>
      <x:c r="DA15" s="112"/>
      <x:c r="DB15" s="112"/>
      <x:c r="DC15" s="114"/>
      <x:c r="DD15" s="114"/>
      <x:c r="DE15" s="112" t="s">
        <x:v>266</x:v>
      </x:c>
      <x:c r="DF15" s="112"/>
      <x:c r="DG15" s="112"/>
      <x:c r="DH15" s="112"/>
      <x:c r="DI15" s="112"/>
      <x:c r="DJ15" s="112"/>
      <x:c r="DK15" s="112"/>
      <x:c r="DL15" s="112"/>
      <x:c r="DM15" s="112"/>
      <x:c r="DN15" s="112"/>
      <x:c r="DO15" s="112"/>
      <x:c r="DP15" s="112"/>
      <x:c r="DQ15" s="114"/>
      <x:c r="DR15" s="112">
        <x:v>1</x:v>
      </x:c>
      <x:c r="DS15" s="116">
        <x:v>0</x:v>
      </x:c>
      <x:c r="DT15" s="120"/>
      <x:c r="DU15" s="116">
        <x:v>0.02</x:v>
      </x:c>
      <x:c r="DV15" s="116">
        <x:v>0.25</x:v>
      </x:c>
      <x:c r="DW15" s="118" t="str">
        <x:f>IF($A15="","",MAX('Setari model'!$B$71,MIN('Setari model'!$B$72,1+0.08*(IFERROR(AVERAGE($CM15:$CN15)/'Setari model'!$B$66,1)-1)+0.08*(IFERROR(AVERAGE($CO15:$CP15)/'Setari model'!$B$67,1)-1)+0.06*(IFERROR(AVERAGE($CQ15:$CR15)/'Setari model'!$B$68,1)-1)+0.04*(IFERROR(AVERAGE($CS15:$CT15)/'Setari model'!$B$69,1)-1)+0.04*(IFERROR(AVERAGE($CU15:$CV15)/'Setari model'!$B$70,1)-1)-'Setari model'!$B$73*IFERROR(AVERAGE($CW15:$CX15),0))))</x:f>
      </x:c>
      <x:c r="DX15" s="118" t="str">
        <x:f>IF($A15="","",1+'Setari model'!$B$62*MAX(IF(OR($CK15=1,$CL15=1),1,0),IF(AND($CJ15&lt;&gt;"",$CJ15&lt;=1),1,0))+'Setari model'!$B$63*IF(AND($CJ15&gt;1,$CJ15&lt;=3),1,0))</x:f>
      </x:c>
      <x:c r="DY15" s="118" t="str">
        <x:f>IF($A15="","",1+'Setari model'!$B$74*(IF($CY15="",0,IF($CY15=0,1,0))+IF($CZ15="",0,IF($CZ15=0,1,0)))+'Setari model'!$B$75*(IF($DA15="",0,IF($DA15=0,1,0))+IF($DB15="",0,IF($DB15=0,1,0))))</x:f>
      </x:c>
      <x:c r="DZ15" s="117" t="str">
        <x:f>IF($A15="","",MIN(0.6,MAX(0.002,(((1-'Setari model'!$B$34*MIN(1,($I15+$P15)/20))*$BT15+'Setari model'!$B$34*MIN(1,($I15+$P15)/20)*IF(COUNT($N15,$U15)=2,SQRT(MAX(0,1-$N15)*MAX(0,1-$U15)),$BT15))*(1-'Setari model'!$B$65*MIN(1,IF($AN15="",0,$AN15/'Setari model'!$B$64)))+'Setari model'!$B$65*MIN(1,IF($AN15="",0,$AN15/'Setari model'!$B$64))*IF($AM15="",$BT15,$AM15))*$DX15*$DY15/$DW15)))</x:f>
      </x:c>
      <x:c r="EA15" s="117" t="str">
        <x:f>IF($A15="","",MIN(1-$DZ15,IF(OR(MIN($I15,$P15)&lt;'Setari model'!$B$58,$CK15=1,$CL15=1,AND($CJ15&lt;&gt;"",$CJ15&lt;=1)),'Setari model'!$B$59,IF(AND($AU15=1,$AR15&gt;1,COUNT($CY15:$DB15)=4),'Setari model'!$B$61,'Setari model'!$B$60))))</x:f>
      </x:c>
      <x:c r="EB15" s="115" t="str">
        <x:f t="shared" si="13">IF($A15="","",1/$EA15)</x:f>
      </x:c>
      <x:c r="EC15" s="117" t="str">
        <x:f t="shared" si="14">IF($A15="","",IF($AR15&gt;1,IF($AS15&gt;1,(1/$AR15)/((1/$AR15)+(1/$AS15)),1/$AR15),""))</x:f>
      </x:c>
      <x:c r="ED15" s="117" t="str">
        <x:f t="shared" si="15">IF($A15="","",IF($EC15="","",$EA15-$EC15))</x:f>
      </x:c>
      <x:c r="EE15" s="117" t="str">
        <x:f t="shared" si="16">""</x:f>
      </x:c>
      <x:c r="EF15" s="119" t="str">
        <x:f>IF($A15="","",MAX(0,MIN(100,$CE15-200*MAX(0,$EG15-'Setari model'!$B$77)-IF($AU15&lt;&gt;1,10,0)-IF(COUNT($CY15:$DB15)&lt;4,4,0))))</x:f>
      </x:c>
      <x:c r="EG15" s="117" t="str">
        <x:f>IF($A15="","",'Setari model'!$B$77+IF(MIN($I15,$P15)&lt;'Setari model'!$B$58,0.03,0)+IF(OR($CK15=1,$CL15=1,AND($CJ15&lt;&gt;"",$CJ15&lt;=1)),0.03,0)+IF($AG15=0,0.02,0)+0.03*(1-MIN(1,COUNT($CM15:$CV15)/10))+0.03*(1-MIN(1,IF($AN15="",0,$AN15/'Setari model'!$B$64)))+IF($AR15&lt;=1,0.02,0))</x:f>
      </x:c>
      <x:c r="EH15" s="113" t="str">
        <x:f>IF($A15="","",IF(OR(MIN($I15,$P15)&lt;'Setari model'!$B$58,$CK15=1,$CL15=1,AND($CJ15&lt;&gt;"",$CJ15&lt;=1)),"92% – early/regim",IF(AND($AU15=1,$AR15&gt;1,COUNT($CY15:$DB15)=4),"94% – confirmat","93% – standard")))</x:f>
      </x:c>
      <x:c r="EI15" s="113" t="str">
        <x:f t="shared" si="17">IF($A15="","",IF(AND($EA15&gt;0.9,$AU15&lt;&gt;1),"WAIT XI – HIGH P",IF(AND($EA15&gt;0.9,COUNT($CY15:$DB15)&lt;4),"WAIT DATE CHEIE – HIGH P",IF($EP15&lt;&gt;"DA","NU – PORTOFOLIU","DA"))))</x:f>
      </x:c>
      <x:c r="EJ15" s="117" t="str">
        <x:f t="shared" si="18">IF($A15="","",IF($DE15&lt;&gt;"Live 20-30","",IF(SUM($DG15:$DH15)&gt;0,1,IF($EU15="","",1-MIN(0.95,MAX(0.001,EXP(-$EU15)*$DX15*$DY15/$DW15))))))</x:f>
      </x:c>
      <x:c r="EK15" s="117" t="str">
        <x:f t="shared" si="19">""</x:f>
      </x:c>
      <x:c r="EL15" s="113" t="str">
        <x:f>IF($A15="","",IF($DE15="Live 20-30",IF(SUM($DG15:$DH15)&gt;0,"EVENIMENT ÎNDEPLINIT",IF(OR($DF15="",COUNT($DI15:$DN15)&lt;4),"LIVE – WATCH",IF($EJ15&gt;=0.75,"LIVE – FEZABIL TEHNIC","LIVE – NO BET"))),IF($EI15&lt;&gt;"DA","WATCH / NO BET",IF(AND($EA15&gt;=INDEX('Setari model'!$B$35:$B$40,1),$EF15&gt;=100*'Setari model'!$B$76),"PARIU RECOMANDAT",IF(AND($EA15&gt;=INDEX('Setari model'!$B$35:$B$40,5),$EF15&gt;=100*'Setari model'!$B$40),"WATCH – APROAPE DE PRAG","PARIU EVITAT")))))</x:f>
      </x:c>
      <x:c r="EM15" s="113" t="str">
        <x:f t="shared" si="20">IF($A15="","",IF($DE15="Live 20-30",IF(SUM($DG15:$DH15)&gt;0,"Gol deja marcat.",IF($DF15="","Minut live lipsă.",IF(COUNT($DI15:$DN15)&lt;4,"Lipsesc xG/SOT/big chances live.",IF($EJ15&lt;0.75,"P live sub prag.","Semnal live tehnic complet; EV ignorat.")))),IF($EI15&lt;&gt;"DA",$EI15,IF($EF15&lt;75,"Confidence sub 75.",IF($EA15&lt;0.92,"P sub 92%.","G0/Zero-Mass + confidence trecute; EV ignorat.")))))</x:f>
      </x:c>
      <x:c r="EN15" s="117" t="str">
        <x:f>IF($A15="","",IF(OR($EL15="PARIU RECOMANDAT",$EL15="LIVE – FEZABIL"),MIN(IF($DU15&gt;0,$DU15,'Setari model'!$B$81)/MAX(1,$DR15),IF($DV15&gt;0,$DV15,'Setari model'!$B$80)*MAX(0,((IF($DE15="Live 20-30",$EJ15,$EA15)*IF($DE15="Live 20-30",$DQ15,$AR15)-1)/(IF($DE15="Live 20-30",$DQ15,$AR15)-1)))),0))</x:f>
      </x:c>
      <x:c r="EO15" s="121" t="str">
        <x:f t="shared" si="21">IF($A15="","",IF(AND($EN15&gt;0,$DT15&gt;0),$EN15*$DT15,""))</x:f>
      </x:c>
      <x:c r="EP15" s="113" t="str">
        <x:f>IF($A15="","",IF(OR($DR15&lt;1,$DR15&gt;'Setari model'!$B$78),"NU – 1–5 selecții",IF($DS15&gt;'Setari model'!$B$79,"NU – corelație", "DA")))</x:f>
      </x:c>
      <x:c r="EQ15" s="117" t="str">
        <x:f t="shared" si="22">IF($A15="","",IF(AND($DC15&gt;1,$DD15&gt;1),$DC15/$DD15-1,""))</x:f>
      </x:c>
      <x:c r="ER15" s="113" t="str">
        <x:f t="shared" si="23">IF($A15="","","P v2="&amp;TEXT($EA15,"0.0%")&amp;" ±"&amp;TEXT($EG15,"0.0%")&amp;"; P0 ZIP="&amp;TEXT($DZ15,"0.0%")&amp;"; Confidence="&amp;TEXT($EF15,"0")&amp;"/100; piață reală="&amp;IF($EC15="","NU","DA")&amp;"; EV="&amp;IF($EE15="","n/a",TEXT($EE15,"0.0%"))&amp;"; gate="&amp;$EI15&amp;"; verdict="&amp;$EL15&amp;". "&amp;$EM15)</x:f>
      </x:c>
      <x:c r="ES15" s="119" t="str">
        <x:f>IF($A15="","",'Setari model'!$B$82)</x:f>
      </x:c>
      <x:c r="ET15" s="118" t="str">
        <x:f>IF($A15="","",'Setari model'!$B$83)</x:f>
      </x:c>
      <x:c r="EU15" s="115" t="str">
        <x:f t="shared" si="24">IF(OR($A15="",$DE15&lt;&gt;"Live 20-30",$DF15="",$DF15&lt;$ES15,$DF15&gt;=90),"",MAX(0.05,MIN($BS15*$ET15,$BS15*(90-$DF15)/90+0.35*($DI15+$DJ15)+0.06*($DK15+$DL15)+0.15*($DM15+$DN15)+0.1*(MAX($DO15,$DP15)-MIN($DO15,$DP15)))))</x:f>
      </x:c>
      <x:c r="EV15" s="132"/>
      <x:c r="EW15" s="132"/>
      <x:c r="EX15" s="132"/>
      <x:c r="EY15" s="132"/>
      <x:c r="EZ15" s="132"/>
      <x:c r="FA15" s="132"/>
      <x:c r="FB15" s="247"/>
      <x:c r="FC15" s="134" t="str">
        <x:f t="shared" si="25">IF($A15="","",IF(OR($J15="",$L15="",$L15&lt;=0),"",MAX(0.5,MIN(1.5,$J15/$L15))))</x:f>
      </x:c>
      <x:c r="FD15" s="134" t="str">
        <x:f t="shared" si="26">IF($A15="","",IF(OR($Q15="",$S15="",$S15&lt;=0),"",MAX(0.5,MIN(1.5,$Q15/$S15))))</x:f>
      </x:c>
      <x:c r="FE15" s="134" t="str">
        <x:f>IF($A15="","",IF(COUNT($EV15:$EW15)&lt;2,"",SQRT($EV15*$EW15)/'Setari model'!$B$87))</x:f>
      </x:c>
      <x:c r="FF15" s="134" t="str">
        <x:f>IF($A15="","",IF(COUNT($O15,$V15,$EX15,$EY15)&lt;4,"",AVERAGE(SQRT($O15*$EY15),SQRT($V15*$EX15))/'Setari model'!$B$88))</x:f>
      </x:c>
      <x:c r="FG15" s="134" t="str">
        <x:f t="shared" si="27">IF($A15="","",IF(COUNT($FC15:$FD15)&lt;2,"",MAX(0,1-AVERAGE($FC15:$FD15))))</x:f>
      </x:c>
      <x:c r="FH15" s="134" t="str">
        <x:f>IF($A15="","",IF(COUNT($EZ15:$FA15)&lt;2,"",'Setari model'!$B$94*AVERAGE($EZ15:$FA15)/'Setari model'!$B$89))</x:f>
      </x:c>
      <x:c r="FI15" s="134" t="str">
        <x:f>IF($A15="","",IF(COUNT($FE15:$FH15)&lt;4,"",MAX('Setari model'!$B$97,MIN('Setari model'!$B$98,1+'Setari model'!$B$90*($FE15-1)+'Setari model'!$B$91*($FF15-1)+'Setari model'!$B$92*$FG15+'Setari model'!$B$93*($FH15-1)))))</x:f>
      </x:c>
      <x:c r="FJ15" s="133" t="str">
        <x:f>IF($A15="","",IF($FI15="","",MIN('Setari model'!$B$101,MAX(0.002,$DZ15*$FI15))))</x:f>
      </x:c>
      <x:c r="FK15" s="131" t="str">
        <x:f t="shared" si="28">IF($A15="","",IF(AND(COUNT($EV15:$FA15)=6,COUNT($O15,$V15,$FC15,$FD15)=4),"DA","NU"))</x:f>
      </x:c>
      <x:c r="FL15" s="131" t="str">
        <x:f>IF($A15="","",IF($FK15&lt;&gt;"DA","NEDETERMINAT",IF($FI15&lt;='Setari model'!$B$99,"SCĂZUT",IF($FI15&lt;='Setari model'!$B$100,"MEDIU","RIDICAT"))))</x:f>
      </x:c>
      <x:c r="FM15" s="131" t="str">
        <x:f>IF($A15="","",IF(AND($AR15&gt;1,$EC15&gt;='Setari model'!$B$106),"DA","NU"))</x:f>
      </x:c>
      <x:c r="FN15" s="131" t="str">
        <x:f t="shared" si="29">IF($A15="","",IF(AND($AU15=1,COUNT($CY15:$DB15)=4),"DA","NU"))</x:f>
      </x:c>
      <x:c r="FO15" s="133" t="str">
        <x:f>IF($A15="","",IF(OR($FK15&lt;&gt;"DA",$FL15="RIDICAT"),'Setari model'!$B$102,IF($FL15="MEDIU",'Setari model'!$B$103,IF(AND($FM15="DA",$FN15="DA"),'Setari model'!$B$105,'Setari model'!$B$104))))</x:f>
      </x:c>
      <x:c r="FP15" s="133" t="str">
        <x:f t="shared" si="30">IF($A15="","",IF($FJ15="","",MIN(1-$FJ15,$FO15)))</x:f>
      </x:c>
      <x:c r="FQ15" s="135" t="str">
        <x:f t="shared" si="31">IF($A15="","",IF($FP15="","",IF($FP15&gt;0,1/$FP15,"")))</x:f>
      </x:c>
      <x:c r="FR15" s="133" t="str">
        <x:f t="shared" si="32">IF($A15="","",IF($EC15="","",$FP15-$EC15))</x:f>
      </x:c>
      <x:c r="FS15" s="133" t="str">
        <x:f t="shared" si="33">IF($A15="","",IF($AR15&gt;1,$FP15*$AR15-1,""))</x:f>
      </x:c>
      <x:c r="FT15" s="136" t="str">
        <x:f>IF($A15="","",MAX(0,MIN(100,$EF15-IF($FK15&lt;&gt;"DA",'Setari model'!$B$107,0)-IF($FL15="MEDIU",'Setari model'!$B$108,0)-IF($FL15="RIDICAT",'Setari model'!$B$109,0))))</x:f>
      </x:c>
      <x:c r="FU15" s="131" t="str">
        <x:f t="shared" si="34">IF($A15="","",IF($AR15&lt;=1,"NU – LIPSEȘTE COTA REALĂ",IF($FK15&lt;&gt;"DA","NU – ZERO-RISK INCOMPLET",IF($FL15&lt;&gt;"SCĂZUT","NU – RISC 0-0 "&amp;$FL15,IF($FN15&lt;&gt;"DA","NU – LINEUP NECONFIRMAT",IF($FM15&lt;&gt;"DA","NU – PIAȚĂ NECONFIRMATĂ",IF($EP15&lt;&gt;"DA","NU – PORTOFOLIU","DA")))))))</x:f>
      </x:c>
      <x:c r="FV15" s="131" t="str">
        <x:f>IF($A15="","",IF($FU15&lt;&gt;"DA","WATCH / NO BET",IF(AND($FP15&gt;='Setari model'!$B$35,$FT15&gt;=100*'Setari model'!$B$76,$FS15&gt;0),"PARIU RECOMANDAT",IF(AND($FP15&gt;='Setari model'!$B$39,$FT15&gt;=100*'Setari model'!$B$40,$FS15&gt;0),"WATCH – APROAPE DE PRAG","PARIU EVITAT"))))</x:f>
      </x:c>
      <x:c r="FW15" s="131" t="str">
        <x:f t="shared" si="35">IF($A15="","",IF($FU15&lt;&gt;"DA",$FU15,IF($FT15&lt;75,"Confidence v3 sub 75.",IF($FP15&lt;0.92,"P v3 sub 92%.",IF($FS15&lt;=0,"EV v3 nepozitiv.","P0 v3, lineup și piață confirmate.")))))</x:f>
      </x:c>
      <x:c r="FX15" s="131" t="str">
        <x:f t="shared" si="36">IF($A15="","","P v3="&amp;TEXT($FP15,"0.0%")&amp;"; P0 v3="&amp;TEXT($FJ15,"0.0%")&amp;"; factor zero="&amp;IF($FI15="","n/a",TEXT($FI15,"0.00x"))&amp;" ("&amp;$FL15&amp;"); cap="&amp;TEXT($FO15,"0.0%")&amp;"; Confidence="&amp;TEXT($FT15,"0")&amp;"/100; lineup="&amp;$FN15&amp;"; piață="&amp;$FM15&amp;"; EV="&amp;IF($FS15="","n/a",TEXT($FS15,"0.0%"))&amp;"; gate="&amp;$FU15&amp;"; verdict="&amp;$FV15&amp;". "&amp;$FW15)</x:f>
      </x:c>
      <x:c r="FY15" s="159"/>
      <x:c r="FZ15" s="159"/>
      <x:c r="GA15" s="157"/>
      <x:c r="GB15" s="157"/>
      <x:c r="GC15" s="161" t="str">
        <x:f t="shared" si="37">IF($A15="","",IF(OR($X15="",$Z15="",$Z15&lt;=0),"",MAX(0.5,MIN(1.5,$X15/$Z15))))</x:f>
      </x:c>
      <x:c r="GD15" s="161" t="str">
        <x:f t="shared" si="38">IF($A15="","",IF(OR($AC15="",$AE15="",$AE15&lt;=0),"",MAX(0.5,MIN(1.5,$AC15/$AE15))))</x:f>
      </x:c>
      <x:c r="GE15" s="162" t="str">
        <x:f t="shared" si="39">IF($A15="","",IF(COUNT($Z15,$AE15)&lt;2,"",AVERAGE($Z15,$AE15)))</x:f>
      </x:c>
      <x:c r="GF15" s="158" t="str">
        <x:f>IF($A15="","",IF(COUNT($FY15:$FZ15)&lt;2,"NEDETERMINAT",IF(AND($FY15&gt;='Setari model'!$B$113,$FZ15&gt;='Setari model'!$B$113),"DA","NU")))</x:f>
      </x:c>
      <x:c r="GG15" s="158" t="str">
        <x:f>IF($A15="","",IF(COUNT($FY15:$FZ15,$EX15:$EY15)&lt;4,"NEDETERMINAT",IF(OR(AND($FY15&gt;='Setari model'!$B$113,$EY15&gt;='Setari model'!$B$114),AND($FZ15&gt;='Setari model'!$B$113,$EX15&gt;='Setari model'!$B$114)),"DA","NU")))</x:f>
      </x:c>
      <x:c r="GH15" s="158" t="str">
        <x:f>IF($A15="","",IF(COUNT($BJ15:$BN15,$GC15:$GE15)&lt;8,"NEDETERMINAT",IF(AND((($BJ15*INDEX('Setari model'!$B$5:$B$11,MATCH($E15,'Setari model'!$A$5:$A$11,0))+$BK15*INDEX('Setari model'!$C$5:$C$11,MATCH($E15,'Setari model'!$A$5:$A$11,0))+$BL15*INDEX('Setari model'!$D$5:$D$11,MATCH($E15,'Setari model'!$A$5:$A$11,0))+$BM15*INDEX('Setari model'!$E$5:$E$11,MATCH($E15,'Setari model'!$A$5:$A$11,0))+$BN15*INDEX('Setari model'!$F$5:$F$11,MATCH($E15,'Setari model'!$A$5:$A$11,0)))/(INDEX('Setari model'!$B$5:$B$11,MATCH($E15,'Setari model'!$A$5:$A$11,0))+INDEX('Setari model'!$C$5:$C$11,MATCH($E15,'Setari model'!$A$5:$A$11,0))+INDEX('Setari model'!$D$5:$D$11,MATCH($E15,'Setari model'!$A$5:$A$11,0))+INDEX('Setari model'!$E$5:$E$11,MATCH($E15,'Setari model'!$A$5:$A$11,0))+INDEX('Setari model'!$F$5:$F$11,MATCH($E15,'Setari model'!$A$5:$A$11,0))))*$BR15&gt;='Setari model'!$B$115,(($BJ15*INDEX('Setari model'!$B$5:$B$11,MATCH($E15,'Setari model'!$A$5:$A$11,0))+$BK15*INDEX('Setari model'!$C$5:$C$11,MATCH($E15,'Setari model'!$A$5:$A$11,0))+$BL15*INDEX('Setari model'!$D$5:$D$11,MATCH($E15,'Setari model'!$A$5:$A$11,0))+$BM15*INDEX('Setari model'!$E$5:$E$11,MATCH($E15,'Setari model'!$A$5:$A$11,0))+$BN15*INDEX('Setari model'!$F$5:$F$11,MATCH($E15,'Setari model'!$A$5:$A$11,0)))/(INDEX('Setari model'!$B$5:$B$11,MATCH($E15,'Setari model'!$A$5:$A$11,0))+INDEX('Setari model'!$C$5:$C$11,MATCH($E15,'Setari model'!$A$5:$A$11,0))+INDEX('Setari model'!$D$5:$D$11,MATCH($E15,'Setari model'!$A$5:$A$11,0))+INDEX('Setari model'!$E$5:$E$11,MATCH($E15,'Setari model'!$A$5:$A$11,0))+INDEX('Setari model'!$F$5:$F$11,MATCH($E15,'Setari model'!$A$5:$A$11,0))))*$BR15&lt;='Setari model'!$B$116,AVERAGE($GC15:$GD15)&lt;='Setari model'!$B$117,$GE15&gt;='Setari model'!$B$118),"DA","NU")))</x:f>
      </x:c>
      <x:c r="GI15" s="158" t="str">
        <x:f>IF($A15="","",IF(COUNT($W15,$AB15,$GA15:$GB15)&lt;4,"NEDETERMINAT",IF(AND($W15&gt;='Setari model'!$B$120,$AB15&gt;='Setari model'!$B$120,OR(IFERROR($GA15/$W15,0)&gt;='Setari model'!$B$119,IFERROR($GB15/$AB15,0)&gt;='Setari model'!$B$119)),"DA","NU")))</x:f>
      </x:c>
      <x:c r="GJ15" s="160" t="str">
        <x:f>IF($A15="","",IF(COUNT($FY15:$GB15)&lt;4,"",IF($GH15&lt;&gt;"DA",0,'Setari model'!$B$121*IF($GF15="DA",1,0)+'Setari model'!$B$122*IF($GG15="DA",1,0)+'Setari model'!$B$123+'Setari model'!$B$124*IF($GI15="DA",1,0))))</x:f>
      </x:c>
      <x:c r="GK15" s="161" t="str">
        <x:f>IF($A15="","",IF(COUNT($GJ15)=0,"",1+'Setari model'!$B$125*$GJ15))</x:f>
      </x:c>
      <x:c r="GL15" s="160" t="str">
        <x:f>IF($A15="","",IF($GM15&lt;&gt;"DA",$FJ15,MIN('Setari model'!$B$101,MAX(0.002,$FJ15*$GK15))))</x:f>
      </x:c>
      <x:c r="GM15" s="158" t="str">
        <x:f>IF($A15="","",IF(AND($FK15="DA",COUNT($FY15:$GB15)=4,COUNT($I15,$P15,$W15,$AB15,$Z15,$AE15,$EX15,$EY15,$GC15,$GD15)=10,COUNT($BJ15:$BN15)=5),"DA","NU"))</x:f>
      </x:c>
      <x:c r="GN15" s="158" t="str">
        <x:f>IF($A15="","",IF($GM15&lt;&gt;"DA","NEDETERMINAT",IF($FI15*$GK15&lt;='Setari model'!$B$99,"SCĂZUT",IF($FI15*$GK15&lt;='Setari model'!$B$100,"MEDIU","RIDICAT"))))</x:f>
      </x:c>
      <x:c r="GO15" s="160" t="str">
        <x:f>IF($A15="","",IF(OR($GM15&lt;&gt;"DA",$GN15="RIDICAT"),'Setari model'!$B$102,IF($GN15="MEDIU",'Setari model'!$B$103,IF(AND($FM15="DA",$FN15="DA"),'Setari model'!$B$105,'Setari model'!$B$104))))</x:f>
      </x:c>
      <x:c r="GP15" s="160" t="str">
        <x:f t="shared" si="40">IF($A15="","",IF($GL15="","",MIN(1-$GL15,$GO15)))</x:f>
      </x:c>
      <x:c r="GQ15" s="162" t="str">
        <x:f t="shared" si="41">IF($A15="","",IF($GP15="","",IF($GP15&gt;0,1/$GP15,"")))</x:f>
      </x:c>
      <x:c r="GR15" s="160" t="str">
        <x:f t="shared" si="42">IF($A15="","",IF($EC15="","",$GP15-$EC15))</x:f>
      </x:c>
      <x:c r="GS15" s="160" t="str">
        <x:f t="shared" si="43">IF($A15="","",IF($AR15&gt;1,$GP15*$AR15-1,""))</x:f>
      </x:c>
      <x:c r="GT15" s="163" t="str">
        <x:f>IF($A15="","",MAX(0,MIN(100,$FT15-IF(AND($GM15&lt;&gt;"DA",$FK15="DA"),'Setari model'!$B$107,0)-'Setari model'!$B$126*IF($GJ15="",0,$GJ15))))</x:f>
      </x:c>
      <x:c r="GU15" s="158" t="str">
        <x:f t="shared" si="44">IF($A15="","",IF($AR15&lt;=1,"NU – LIPSEȘTE COTA REALĂ",IF($GM15&lt;&gt;"DA","NU – DATE LOW-CONVERSION INCOMPLETE",IF($GN15&lt;&gt;"SCĂZUT","NU – RISC 0-0 "&amp;$GN15,IF($FN15&lt;&gt;"DA","NU – LINEUP NECONFIRMAT",IF($FM15&lt;&gt;"DA","NU – PIAȚĂ NECONFIRMATĂ",IF($EP15&lt;&gt;"DA","NU – PORTOFOLIU","DA")))))))</x:f>
      </x:c>
      <x:c r="GV15" s="158" t="str">
        <x:f>IF($A15="","",IF($GU15&lt;&gt;"DA","WATCH / NO BET",IF(AND($GP15&gt;='Setari model'!$B$35,$GT15&gt;=100*'Setari model'!$B$76,$GS15&gt;0),"PARIU RECOMANDAT",IF(AND($GP15&gt;='Setari model'!$B$39,$GT15&gt;=100*'Setari model'!$B$40,$GS15&gt;0),"WATCH – APROAPE DE PRAG","PARIU EVITAT"))))</x:f>
      </x:c>
      <x:c r="GW15" s="158" t="str">
        <x:f t="shared" si="45">IF($A15="","",IF($GU15&lt;&gt;"DA",$GU15,IF($GT15&lt;75,"Confidence v5 sub 75.",IF($GP15&lt;0.92,"P v5 sub 92%.",IF($GS15&lt;=0,"EV v5 nepozitiv.",IF($GJ15&gt;0,"Low-conversion absorbit în P0; toate porțile rămân trecute.","Toate porțile v5 sunt trecute."))))))</x:f>
      </x:c>
      <x:c r="GX15" s="158" t="str">
        <x:f t="shared" si="46">IF($A15="","","P v5="&amp;TEXT($GP15,"0.0%")&amp;"; P0 v5="&amp;TEXT($GL15,"0.0%")&amp;"; low-conv="&amp;IF(COUNT($GJ15)=0,"n/a",TEXT($GJ15,"0%"))&amp;"; mult.P0="&amp;IF(COUNT($GK15)=0,"n/a",TEXT($GK15,"0.00"))&amp;"; clasă="&amp;$GN15&amp;"; cap="&amp;TEXT($GO15,"0.0%")&amp;"; Confidence="&amp;TEXT($GT15,"0")&amp;"/100; lineup="&amp;$FN15&amp;"; piață="&amp;$FM15&amp;"; EV="&amp;IF($GS15="","n/a",TEXT($GS15,"0.0%"))&amp;"; gate="&amp;$GU15&amp;"; verdict="&amp;$GV15&amp;". "&amp;$GW15)</x:f>
      </x:c>
      <x:c r="GY15" s="174" t="str">
        <x:f>IF($A15="","",IF($GM15&lt;&gt;"DA","SOURCING INCOMPLETE – REVIEW REQUIRED",IF(MIN($I15,$P15,$W15,$AB15)&lt;'Setari model'!$B$58,"SMALL SAMPLE + PRIOR / SHRINKAGE","VERIFIED / PRIOR / SHRINKAGE")))</x:f>
      </x:c>
      <x:c r="GZ15" s="175" t="str">
        <x:f t="shared" si="47">IF($A15="","",MAX(0,MIN(100,100*(1-AVERAGE(IF($GM15="DA",1,0),MIN(1,$AT15/5))))))</x:f>
      </x:c>
      <x:c r="HA15" s="175" t="str">
        <x:f>IF($A15="","",IF($GM15&lt;&gt;"DA","",MAX(0,MIN(100,100*(($FI15*$GK15)-'Setari model'!$B$97)/('Setari model'!$B$98-'Setari model'!$B$97)))))</x:f>
      </x:c>
      <x:c r="HB15" s="175" t="str">
        <x:f>IF($A15="","",MAX(0,MIN(100,100*(ABS($BR15-1)/MAX(1-'Setari model'!$B$53,'Setari model'!$B$54-1)+MIN(1,$BG15/2))/2)))</x:f>
      </x:c>
      <x:c r="HC15" s="175" t="str">
        <x:f t="shared" si="48">IF($A15="","",MAX(0,MIN(100,100*(1-AVERAGE($CC15,MAX(0,1-(MAX($BJ15:$BN15)-MIN($BJ15:$BN15))/(AVERAGE($BJ15:$BN15)*'Setari model'!$B$45)))))))</x:f>
      </x:c>
      <x:c r="HD15" s="175" t="str">
        <x:f t="shared" si="49">IF($A15="","",MAX(0,MIN(100,100*MAX(IF($GJ15="",0,$GJ15),MIN(1,$BG15/2)))))</x:f>
      </x:c>
      <x:c r="HE15" s="175" t="str">
        <x:f>IF($A15="","",IF(COUNT($GZ15:$HD15)&lt;5,"",$GZ15*Risk_Classification!$E$28+$HA15*Risk_Classification!$E$29+$HB15*Risk_Classification!$E$30+$HC15*Risk_Classification!$E$31+$HD15*Risk_Classification!$E$32))</x:f>
      </x:c>
      <x:c r="HF15" s="176" t="str">
        <x:f t="shared" si="50">IF($A15="","",IF($HE15="","",IF($HE15&lt;=20,1,IF($HE15&lt;=40,2,IF($HE15&lt;=60,3,IF($HE15&lt;=80,4,5))))))</x:f>
      </x:c>
      <x:c r="HG15" s="176" t="str">
        <x:f t="shared" si="51">IF($A15="","",IF($GM15="DA","PASS","FAIL – DATE CRITICE ZERO-MASS INCOMPLETE"))</x:f>
      </x:c>
      <x:c r="HH15" s="176" t="str">
        <x:f t="shared" si="52">IF($A15="","",IF($HG15&lt;&gt;"PASS",5,$HF15))</x:f>
      </x:c>
      <x:c r="HI15" s="174" t="str">
        <x:f t="shared" si="53">IF($A15="","",IF($HH15="","N/A",IF($HH15=1,"DEFENSIV",IF($HH15=2,"PRUDENT",IF($HH15=3,"MODERAT",IF($HH15=4,"RIDICAT","WATCH / NO BET"))))))</x:f>
      </x:c>
      <x:c r="HJ15" s="177" t="str">
        <x:f t="shared" si="54">IF($A15="","","Data="&amp;$GY15&amp;"; DQ="&amp;TEXT($GZ15,"0.0")&amp;"; ZM="&amp;IF($HA15="","n/a",TEXT($HA15,"0.0"))&amp;"; Context="&amp;TEXT($HB15,"0.0")&amp;"; Uncertainty="&amp;TEXT($HC15,"0.0")&amp;"; Compound="&amp;TEXT($HD15,"0.0")&amp;"; Risk Score="&amp;IF($HE15="","n/a",TEXT($HE15,"0.0"))&amp;"; Base="&amp;IF($HF15="","n/a",$HF15)&amp;"; G0="&amp;$HG15&amp;"; Final="&amp;$HH15&amp;". Cota, EV si lineup sunt informative si nu intra in recomandare.")</x:f>
      </x:c>
      <x:c r="HK15" s="174" t="str">
        <x:f t="shared" si="55">IF($A15="","",$HI15)</x:f>
      </x:c>
    </x:row>
    <x:row r="16" ht="24" customHeight="1">
      <x:c r="A16" s="58"/>
      <x:c r="B16" s="24"/>
      <x:c r="C16" s="59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18"/>
      <x:c r="O16" s="18"/>
      <x:c r="P16" s="24"/>
      <x:c r="Q16" s="24"/>
      <x:c r="R16" s="24"/>
      <x:c r="S16" s="24"/>
      <x:c r="T16" s="24"/>
      <x:c r="U16" s="18"/>
      <x:c r="V16" s="18"/>
      <x:c r="W16" s="24"/>
      <x:c r="X16" s="24"/>
      <x:c r="Y16" s="24"/>
      <x:c r="Z16" s="24"/>
      <x:c r="AA16" s="24"/>
      <x:c r="AB16" s="24"/>
      <x:c r="AC16" s="24"/>
      <x:c r="AD16" s="24"/>
      <x:c r="AE16" s="24"/>
      <x:c r="AF16" s="24"/>
      <x:c r="AG16" s="24"/>
      <x:c r="AH16" s="24"/>
      <x:c r="AI16" s="18"/>
      <x:c r="AJ16" s="24"/>
      <x:c r="AK16" s="24"/>
      <x:c r="AL16" s="24"/>
      <x:c r="AM16" s="18"/>
      <x:c r="AN16" s="24"/>
      <x:c r="AO16" s="60"/>
      <x:c r="AP16" s="60"/>
      <x:c r="AQ16" s="60"/>
      <x:c r="AR16" s="60"/>
      <x:c r="AS16" s="60"/>
      <x:c r="AT16" s="24"/>
      <x:c r="AU16" s="24"/>
      <x:c r="AV16" s="24"/>
      <x:c r="AW16" s="24"/>
      <x:c r="AX16" s="24"/>
      <x:c r="AY16" s="24"/>
      <x:c r="AZ16" s="24"/>
      <x:c r="BA16" s="24"/>
      <x:c r="BB16" s="24"/>
      <x:c r="BC16" s="24"/>
      <x:c r="BD16" s="24"/>
      <x:c r="BE16" s="24"/>
      <x:c r="BF16" s="24"/>
      <x:c r="BG16" s="24"/>
      <x:c r="BH16" s="61"/>
      <x:c r="BI16" s="61"/>
      <x:c r="BJ16" s="62" t="str">
        <x:f>IF($A16="","",SQRT((($I16*IF($J16="",$AJ16,$J16)+'Setari model'!$B$30*$AJ16)/($I16+'Setari model'!$B$30))*(($P16*IF($R16="",$AJ16,$R16)+'Setari model'!$B$30*$AJ16)/($P16+'Setari model'!$B$30)))+SQRT((($P16*IF($Q16="",$AK16,$Q16)+'Setari model'!$B$30*$AK16)/($P16+'Setari model'!$B$30))*(($I16*IF($K16="",$AK16,$K16)+'Setari model'!$B$30*$AK16)/($I16+'Setari model'!$B$30))))</x:f>
      </x:c>
      <x:c r="BK16" s="62" t="str">
        <x:f>IF($A16="","",SQRT((($I16*IF($L16="",IF($J16="",$AJ16,$J16),$L16)+'Setari model'!$B$30*$AJ16)/($I16+'Setari model'!$B$30))*(($P16*IF($T16="",IF($R16="",$AJ16,$R16),$T16)+'Setari model'!$B$30*$AJ16)/($P16+'Setari model'!$B$30)))+SQRT((($P16*IF($S16="",IF($Q16="",$AK16,$Q16),$S16)+'Setari model'!$B$30*$AK16)/($P16+'Setari model'!$B$30))*(($I16*IF($M16="",IF($K16="",$AK16,$K16),$M16)+'Setari model'!$B$30*$AK16)/($I16+'Setari model'!$B$30))))</x:f>
      </x:c>
      <x:c r="BL16" s="62" t="str">
        <x:f>IF($A16="","",SQRT((($W16*IF($X16="",$AL16/2,$X16)+'Setari model'!$B$31*$AL16/2)/($W16+'Setari model'!$B$31))*(($AB16*IF($AD16="",$AL16/2,$AD16)+'Setari model'!$B$31*$AL16/2)/($AB16+'Setari model'!$B$31)))+SQRT((($AB16*IF($AC16="",$AL16/2,$AC16)+'Setari model'!$B$31*$AL16/2)/($AB16+'Setari model'!$B$31))*(($W16*IF($Y16="",$AL16/2,$Y16)+'Setari model'!$B$31*$AL16/2)/($W16+'Setari model'!$B$31))))</x:f>
      </x:c>
      <x:c r="BM16" s="62" t="str">
        <x:f>IF($A16="","",SQRT((($W16*IF($Z16="",IF($X16="",$AL16/2,$X16),$Z16)+'Setari model'!$B$31*$AL16/2)/($W16+'Setari model'!$B$31))*(($AB16*IF($AF16="",IF($AD16="",$AL16/2,$AD16),$AF16)+'Setari model'!$B$31*$AL16/2)/($AB16+'Setari model'!$B$31)))+SQRT((($AB16*IF($AE16="",IF($AC16="",$AL16/2,$AC16),$AE16)+'Setari model'!$B$31*$AL16/2)/($AB16+'Setari model'!$B$31))*(($W16*IF($AA16="",IF($Y16="",$AL16/2,$Y16),$AA16)+'Setari model'!$B$31*$AL16/2)/($W16+'Setari model'!$B$31))))</x:f>
      </x:c>
      <x:c r="BN16" s="62" t="str">
        <x:f t="shared" si="0">IF($A16="","",IF($AG16&gt;0,($AG16*IF($AH16="",$AL16,$AH16)+5*$AL16)/($AG16+5),$AL16))</x:f>
      </x:c>
      <x:c r="BO16" s="63" t="str">
        <x:f>IF($A16="","",IF($AR16&gt;1,IF($AS16&gt;1,(1/$AR16)/((1/$AR16+1/$AS16)),MIN(0.995,(1/$AR16)/(1+'Setari model'!$B$32))),1-EXP(-$AL16)))</x:f>
      </x:c>
      <x:c r="BP16" s="62" t="str">
        <x:f t="shared" si="1">IF($A16="","",-LN(1-$BO16))</x:f>
      </x:c>
      <x:c r="BQ16" s="62" t="str">
        <x:f>IF($A16="","",$BJ16*INDEX('Setari model'!$B$5:$B$11,MATCH($E16,'Setari model'!$A$5:$A$11,0))+$BK16*INDEX('Setari model'!$C$5:$C$11,MATCH($E16,'Setari model'!$A$5:$A$11,0))+$BL16*INDEX('Setari model'!$D$5:$D$11,MATCH($E16,'Setari model'!$A$5:$A$11,0))+$BM16*INDEX('Setari model'!$E$5:$E$11,MATCH($E16,'Setari model'!$A$5:$A$11,0))+$BN16*INDEX('Setari model'!$F$5:$F$11,MATCH($E16,'Setari model'!$A$5:$A$11,0))+$BP16*INDEX('Setari model'!$G$5:$G$11,MATCH($E16,'Setari model'!$A$5:$A$11,0)))</x:f>
      </x:c>
      <x:c r="BR16" s="64" t="str">
        <x:f>IF($A16="","",MAX('Setari model'!$B$53,MIN('Setari model'!$B$54,1+($AV16*'Setari model'!$B$15+$AW16*'Setari model'!$B$16+$AX16*'Setari model'!$B$17+$AY16*'Setari model'!$B$18+$AZ16*'Setari model'!$B$19+$BA16*'Setari model'!$B$20+$BB16*'Setari model'!$B$21+$BC16*'Setari model'!$B$22+$BD16*'Setari model'!$B$23+$BE16*'Setari model'!$B$24+$BF16*'Setari model'!$B$25)*INDEX('Setari model'!$H$5:$H$11,MATCH($E16,'Setari model'!$A$5:$A$11,0)))))</x:f>
      </x:c>
      <x:c r="BS16" s="62" t="str">
        <x:f t="shared" si="2">IF($A16="","",$BQ16*$BR16)</x:f>
      </x:c>
      <x:c r="BT16" s="63" t="str">
        <x:f t="shared" si="3">IF($A16="","",EXP(-$BS16))</x:f>
      </x:c>
      <x:c r="BU16" s="65" t="str">
        <x:f>IF($A16="","",IF(OR($AM16="",$AN16=""),1,1+MIN('Setari model'!$B$33,$AN16/100*'Setari model'!$B$33)*($AM16/EXP(-$AL16)-1)))</x:f>
      </x:c>
      <x:c r="BV16" s="63" t="str">
        <x:f>IF($A16="","",MIN(0.45,MAX(0.005,(1-'Setari model'!$B$34*MIN(1,($I16+$P16)/20))*MIN(0.45,$BT16*$BU16)+'Setari model'!$B$34*MIN(1,($I16+$P16)/20)*IF(COUNT($N16,$U16)=2,SQRT(MAX(0,1-$N16)*MAX(0,1-$U16)),IF($AM16="",EXP(-$AL16),$AM16)))))</x:f>
      </x:c>
      <x:c r="BW16" s="63" t="str">
        <x:f t="shared" si="4">IF($A16="","",1-$BV16)</x:f>
      </x:c>
      <x:c r="BX16" s="62" t="str">
        <x:f t="shared" si="5">IF($A16="","",1/$BW16)</x:f>
      </x:c>
      <x:c r="BY16" s="63" t="str">
        <x:f t="shared" si="6">IF($A16="","",$BO16)</x:f>
      </x:c>
      <x:c r="BZ16" s="63" t="str">
        <x:f t="shared" si="7">IF($A16="","",$BW16-$BY16)</x:f>
      </x:c>
      <x:c r="CA16" s="63" t="str">
        <x:f t="shared" si="8">IF($A16="","",IF($AR16&gt;1,$BW16*$AR16-1,""))</x:f>
      </x:c>
      <x:c r="CB16" s="63" t="str">
        <x:f>IF($A16="","",MIN(1,COUNT($I16:$AN16,$AR16:$BG16)/'Setari model'!$B$46))</x:f>
      </x:c>
      <x:c r="CC16" s="63" t="str">
        <x:f t="shared" si="9">IF($A16="","",0.25*MIN(1,$I16/10)+0.25*MIN(1,$P16/10)+0.15*MIN(1,$W16/5)+0.15*MIN(1,$AB16/5)+0.1*MIN(1,$AG16/5)+0.1*MIN(1,$AN16/100))</x:f>
      </x:c>
      <x:c r="CD16" s="63" t="str">
        <x:f>IF($A16="","",MAX(0,1-(MAX($BJ16:$BN16,$BP16)-MIN($BJ16:$BN16,$BP16))/(AVERAGE($BJ16:$BN16,$BP16)*'Setari model'!$B$45)))</x:f>
      </x:c>
      <x:c r="CE16" s="66" t="str">
        <x:f>IF($A16="","",MAX(0,MIN(100,100*INDEX('Setari model'!$I$5:$I$11,MATCH($E16,'Setari model'!$A$5:$A$11,0))*('Setari model'!$B$47*$CB16+'Setari model'!$B$48*$CC16+'Setari model'!$B$49*$CD16+'Setari model'!$B$50*$AT16/5+'Setari model'!$B$51*$AU16)-100*'Setari model'!$B$52*$BG16)))</x:f>
      </x:c>
      <x:c r="CF16" s="65" t="str">
        <x:f t="shared" si="10">IF($A16="","",IF(OR($AT16&lt;3,$BG16&gt;=2,$CB16&lt;0.55,$CC16&lt;0.4),"RIDICAT",IF(OR($AU16=0,$CD16&lt;0.45,$BR16&lt;0.9),"MEDIU","SCĂZUT")))</x:f>
      </x:c>
      <x:c r="CG16" s="65" t="str">
        <x:f>IF($A16="","",IF($AR16&gt;1,IF(AND($BW16&gt;= 'Setari model'!$B$35,$CE16&gt;=100*'Setari model'!$B$36,$BZ16&gt;= 'Setari model'!$B$37,$CA16&gt;= 'Setari model'!$B$38,$CF16&lt;&gt;"RIDICAT"),"PARIU RECOMANDAT",IF(AND($BW16&gt;= 'Setari model'!$B$39,$CE16&gt;=100*'Setari model'!$B$40,$BZ16&gt;= 'Setari model'!$B$41,$CA16&gt;=0,$CF16&lt;&gt;"RIDICAT"),"RECOMANDAT CU PRUDENȚĂ",IF(AND($BW16&gt;= 'Setari model'!$B$42,$CE16&gt;=100*'Setari model'!$B$43),"ANALIZĂ NECONCLUDENTĂ","PARIU EVITAT"))),IF(AND($BW16&gt;= 'Setari model'!$B$35,$CE16&gt;=100*'Setari model'!$B$36,$CF16&lt;&gt;"RIDICAT"),"FAVORABIL STATISTIC – VERIFICĂ COTA",IF(AND($BW16&gt;= 'Setari model'!$B$42,$CE16&gt;=100*'Setari model'!$B$43),"ANALIZĂ NECONCLUDENTĂ","PARIU EVITAT"))))</x:f>
      </x:c>
      <x:c r="CH16" s="67" t="str">
        <x:f t="shared" si="11">IF($A16="","","P(O0,5)="&amp;TEXT($BW16,"0.0%")&amp;"; λ ajustat="&amp;TEXT($BS16,"0.00")&amp;"; Confidence="&amp;TEXT($CE16,"0")&amp;"/100; Edge="&amp;TEXT($BZ16,"0.0%")&amp;"; risc="&amp;$CF16&amp;". "&amp;$BH16)</x:f>
      </x:c>
      <x:c r="CI16" s="68" t="str">
        <x:f t="shared" si="12">IF($A16="","",$BI16)</x:f>
      </x:c>
      <x:c r="CJ16" s="112"/>
      <x:c r="CK16" s="112"/>
      <x:c r="CL16" s="112"/>
      <x:c r="CM16" s="112"/>
      <x:c r="CN16" s="112"/>
      <x:c r="CO16" s="112"/>
      <x:c r="CP16" s="112"/>
      <x:c r="CQ16" s="112"/>
      <x:c r="CR16" s="112"/>
      <x:c r="CS16" s="112"/>
      <x:c r="CT16" s="112"/>
      <x:c r="CU16" s="112"/>
      <x:c r="CV16" s="112"/>
      <x:c r="CW16" s="112"/>
      <x:c r="CX16" s="112"/>
      <x:c r="CY16" s="112"/>
      <x:c r="CZ16" s="112"/>
      <x:c r="DA16" s="112"/>
      <x:c r="DB16" s="112"/>
      <x:c r="DC16" s="114"/>
      <x:c r="DD16" s="114"/>
      <x:c r="DE16" s="112" t="s">
        <x:v>266</x:v>
      </x:c>
      <x:c r="DF16" s="112"/>
      <x:c r="DG16" s="112"/>
      <x:c r="DH16" s="112"/>
      <x:c r="DI16" s="112"/>
      <x:c r="DJ16" s="112"/>
      <x:c r="DK16" s="112"/>
      <x:c r="DL16" s="112"/>
      <x:c r="DM16" s="112"/>
      <x:c r="DN16" s="112"/>
      <x:c r="DO16" s="112"/>
      <x:c r="DP16" s="112"/>
      <x:c r="DQ16" s="114"/>
      <x:c r="DR16" s="112">
        <x:v>1</x:v>
      </x:c>
      <x:c r="DS16" s="116">
        <x:v>0</x:v>
      </x:c>
      <x:c r="DT16" s="120"/>
      <x:c r="DU16" s="116">
        <x:v>0.02</x:v>
      </x:c>
      <x:c r="DV16" s="116">
        <x:v>0.25</x:v>
      </x:c>
      <x:c r="DW16" s="118" t="str">
        <x:f>IF($A16="","",MAX('Setari model'!$B$71,MIN('Setari model'!$B$72,1+0.08*(IFERROR(AVERAGE($CM16:$CN16)/'Setari model'!$B$66,1)-1)+0.08*(IFERROR(AVERAGE($CO16:$CP16)/'Setari model'!$B$67,1)-1)+0.06*(IFERROR(AVERAGE($CQ16:$CR16)/'Setari model'!$B$68,1)-1)+0.04*(IFERROR(AVERAGE($CS16:$CT16)/'Setari model'!$B$69,1)-1)+0.04*(IFERROR(AVERAGE($CU16:$CV16)/'Setari model'!$B$70,1)-1)-'Setari model'!$B$73*IFERROR(AVERAGE($CW16:$CX16),0))))</x:f>
      </x:c>
      <x:c r="DX16" s="118" t="str">
        <x:f>IF($A16="","",1+'Setari model'!$B$62*MAX(IF(OR($CK16=1,$CL16=1),1,0),IF(AND($CJ16&lt;&gt;"",$CJ16&lt;=1),1,0))+'Setari model'!$B$63*IF(AND($CJ16&gt;1,$CJ16&lt;=3),1,0))</x:f>
      </x:c>
      <x:c r="DY16" s="118" t="str">
        <x:f>IF($A16="","",1+'Setari model'!$B$74*(IF($CY16="",0,IF($CY16=0,1,0))+IF($CZ16="",0,IF($CZ16=0,1,0)))+'Setari model'!$B$75*(IF($DA16="",0,IF($DA16=0,1,0))+IF($DB16="",0,IF($DB16=0,1,0))))</x:f>
      </x:c>
      <x:c r="DZ16" s="117" t="str">
        <x:f>IF($A16="","",MIN(0.6,MAX(0.002,(((1-'Setari model'!$B$34*MIN(1,($I16+$P16)/20))*$BT16+'Setari model'!$B$34*MIN(1,($I16+$P16)/20)*IF(COUNT($N16,$U16)=2,SQRT(MAX(0,1-$N16)*MAX(0,1-$U16)),$BT16))*(1-'Setari model'!$B$65*MIN(1,IF($AN16="",0,$AN16/'Setari model'!$B$64)))+'Setari model'!$B$65*MIN(1,IF($AN16="",0,$AN16/'Setari model'!$B$64))*IF($AM16="",$BT16,$AM16))*$DX16*$DY16/$DW16)))</x:f>
      </x:c>
      <x:c r="EA16" s="117" t="str">
        <x:f>IF($A16="","",MIN(1-$DZ16,IF(OR(MIN($I16,$P16)&lt;'Setari model'!$B$58,$CK16=1,$CL16=1,AND($CJ16&lt;&gt;"",$CJ16&lt;=1)),'Setari model'!$B$59,IF(AND($AU16=1,$AR16&gt;1,COUNT($CY16:$DB16)=4),'Setari model'!$B$61,'Setari model'!$B$60))))</x:f>
      </x:c>
      <x:c r="EB16" s="115" t="str">
        <x:f t="shared" si="13">IF($A16="","",1/$EA16)</x:f>
      </x:c>
      <x:c r="EC16" s="117" t="str">
        <x:f t="shared" si="14">IF($A16="","",IF($AR16&gt;1,IF($AS16&gt;1,(1/$AR16)/((1/$AR16)+(1/$AS16)),1/$AR16),""))</x:f>
      </x:c>
      <x:c r="ED16" s="117" t="str">
        <x:f t="shared" si="15">IF($A16="","",IF($EC16="","",$EA16-$EC16))</x:f>
      </x:c>
      <x:c r="EE16" s="117" t="str">
        <x:f t="shared" si="16">""</x:f>
      </x:c>
      <x:c r="EF16" s="119" t="str">
        <x:f>IF($A16="","",MAX(0,MIN(100,$CE16-200*MAX(0,$EG16-'Setari model'!$B$77)-IF($AU16&lt;&gt;1,10,0)-IF(COUNT($CY16:$DB16)&lt;4,4,0))))</x:f>
      </x:c>
      <x:c r="EG16" s="117" t="str">
        <x:f>IF($A16="","",'Setari model'!$B$77+IF(MIN($I16,$P16)&lt;'Setari model'!$B$58,0.03,0)+IF(OR($CK16=1,$CL16=1,AND($CJ16&lt;&gt;"",$CJ16&lt;=1)),0.03,0)+IF($AG16=0,0.02,0)+0.03*(1-MIN(1,COUNT($CM16:$CV16)/10))+0.03*(1-MIN(1,IF($AN16="",0,$AN16/'Setari model'!$B$64)))+IF($AR16&lt;=1,0.02,0))</x:f>
      </x:c>
      <x:c r="EH16" s="113" t="str">
        <x:f>IF($A16="","",IF(OR(MIN($I16,$P16)&lt;'Setari model'!$B$58,$CK16=1,$CL16=1,AND($CJ16&lt;&gt;"",$CJ16&lt;=1)),"92% – early/regim",IF(AND($AU16=1,$AR16&gt;1,COUNT($CY16:$DB16)=4),"94% – confirmat","93% – standard")))</x:f>
      </x:c>
      <x:c r="EI16" s="113" t="str">
        <x:f t="shared" si="17">IF($A16="","",IF(AND($EA16&gt;0.9,$AU16&lt;&gt;1),"WAIT XI – HIGH P",IF(AND($EA16&gt;0.9,COUNT($CY16:$DB16)&lt;4),"WAIT DATE CHEIE – HIGH P",IF($EP16&lt;&gt;"DA","NU – PORTOFOLIU","DA"))))</x:f>
      </x:c>
      <x:c r="EJ16" s="117" t="str">
        <x:f t="shared" si="18">IF($A16="","",IF($DE16&lt;&gt;"Live 20-30","",IF(SUM($DG16:$DH16)&gt;0,1,IF($EU16="","",1-MIN(0.95,MAX(0.001,EXP(-$EU16)*$DX16*$DY16/$DW16))))))</x:f>
      </x:c>
      <x:c r="EK16" s="117" t="str">
        <x:f t="shared" si="19">""</x:f>
      </x:c>
      <x:c r="EL16" s="113" t="str">
        <x:f>IF($A16="","",IF($DE16="Live 20-30",IF(SUM($DG16:$DH16)&gt;0,"EVENIMENT ÎNDEPLINIT",IF(OR($DF16="",COUNT($DI16:$DN16)&lt;4),"LIVE – WATCH",IF($EJ16&gt;=0.75,"LIVE – FEZABIL TEHNIC","LIVE – NO BET"))),IF($EI16&lt;&gt;"DA","WATCH / NO BET",IF(AND($EA16&gt;=INDEX('Setari model'!$B$35:$B$40,1),$EF16&gt;=100*'Setari model'!$B$76),"PARIU RECOMANDAT",IF(AND($EA16&gt;=INDEX('Setari model'!$B$35:$B$40,5),$EF16&gt;=100*'Setari model'!$B$40),"WATCH – APROAPE DE PRAG","PARIU EVITAT")))))</x:f>
      </x:c>
      <x:c r="EM16" s="113" t="str">
        <x:f t="shared" si="20">IF($A16="","",IF($DE16="Live 20-30",IF(SUM($DG16:$DH16)&gt;0,"Gol deja marcat.",IF($DF16="","Minut live lipsă.",IF(COUNT($DI16:$DN16)&lt;4,"Lipsesc xG/SOT/big chances live.",IF($EJ16&lt;0.75,"P live sub prag.","Semnal live tehnic complet; EV ignorat.")))),IF($EI16&lt;&gt;"DA",$EI16,IF($EF16&lt;75,"Confidence sub 75.",IF($EA16&lt;0.92,"P sub 92%.","G0/Zero-Mass + confidence trecute; EV ignorat.")))))</x:f>
      </x:c>
      <x:c r="EN16" s="117" t="str">
        <x:f>IF($A16="","",IF(OR($EL16="PARIU RECOMANDAT",$EL16="LIVE – FEZABIL"),MIN(IF($DU16&gt;0,$DU16,'Setari model'!$B$81)/MAX(1,$DR16),IF($DV16&gt;0,$DV16,'Setari model'!$B$80)*MAX(0,((IF($DE16="Live 20-30",$EJ16,$EA16)*IF($DE16="Live 20-30",$DQ16,$AR16)-1)/(IF($DE16="Live 20-30",$DQ16,$AR16)-1)))),0))</x:f>
      </x:c>
      <x:c r="EO16" s="121" t="str">
        <x:f t="shared" si="21">IF($A16="","",IF(AND($EN16&gt;0,$DT16&gt;0),$EN16*$DT16,""))</x:f>
      </x:c>
      <x:c r="EP16" s="113" t="str">
        <x:f>IF($A16="","",IF(OR($DR16&lt;1,$DR16&gt;'Setari model'!$B$78),"NU – 1–5 selecții",IF($DS16&gt;'Setari model'!$B$79,"NU – corelație", "DA")))</x:f>
      </x:c>
      <x:c r="EQ16" s="117" t="str">
        <x:f t="shared" si="22">IF($A16="","",IF(AND($DC16&gt;1,$DD16&gt;1),$DC16/$DD16-1,""))</x:f>
      </x:c>
      <x:c r="ER16" s="113" t="str">
        <x:f t="shared" si="23">IF($A16="","","P v2="&amp;TEXT($EA16,"0.0%")&amp;" ±"&amp;TEXT($EG16,"0.0%")&amp;"; P0 ZIP="&amp;TEXT($DZ16,"0.0%")&amp;"; Confidence="&amp;TEXT($EF16,"0")&amp;"/100; piață reală="&amp;IF($EC16="","NU","DA")&amp;"; EV="&amp;IF($EE16="","n/a",TEXT($EE16,"0.0%"))&amp;"; gate="&amp;$EI16&amp;"; verdict="&amp;$EL16&amp;". "&amp;$EM16)</x:f>
      </x:c>
      <x:c r="ES16" s="119" t="str">
        <x:f>IF($A16="","",'Setari model'!$B$82)</x:f>
      </x:c>
      <x:c r="ET16" s="118" t="str">
        <x:f>IF($A16="","",'Setari model'!$B$83)</x:f>
      </x:c>
      <x:c r="EU16" s="115" t="str">
        <x:f t="shared" si="24">IF(OR($A16="",$DE16&lt;&gt;"Live 20-30",$DF16="",$DF16&lt;$ES16,$DF16&gt;=90),"",MAX(0.05,MIN($BS16*$ET16,$BS16*(90-$DF16)/90+0.35*($DI16+$DJ16)+0.06*($DK16+$DL16)+0.15*($DM16+$DN16)+0.1*(MAX($DO16,$DP16)-MIN($DO16,$DP16)))))</x:f>
      </x:c>
      <x:c r="EV16" s="132"/>
      <x:c r="EW16" s="132"/>
      <x:c r="EX16" s="132"/>
      <x:c r="EY16" s="132"/>
      <x:c r="EZ16" s="132"/>
      <x:c r="FA16" s="132"/>
      <x:c r="FB16" s="247"/>
      <x:c r="FC16" s="134" t="str">
        <x:f t="shared" si="25">IF($A16="","",IF(OR($J16="",$L16="",$L16&lt;=0),"",MAX(0.5,MIN(1.5,$J16/$L16))))</x:f>
      </x:c>
      <x:c r="FD16" s="134" t="str">
        <x:f t="shared" si="26">IF($A16="","",IF(OR($Q16="",$S16="",$S16&lt;=0),"",MAX(0.5,MIN(1.5,$Q16/$S16))))</x:f>
      </x:c>
      <x:c r="FE16" s="134" t="str">
        <x:f>IF($A16="","",IF(COUNT($EV16:$EW16)&lt;2,"",SQRT($EV16*$EW16)/'Setari model'!$B$87))</x:f>
      </x:c>
      <x:c r="FF16" s="134" t="str">
        <x:f>IF($A16="","",IF(COUNT($O16,$V16,$EX16,$EY16)&lt;4,"",AVERAGE(SQRT($O16*$EY16),SQRT($V16*$EX16))/'Setari model'!$B$88))</x:f>
      </x:c>
      <x:c r="FG16" s="134" t="str">
        <x:f t="shared" si="27">IF($A16="","",IF(COUNT($FC16:$FD16)&lt;2,"",MAX(0,1-AVERAGE($FC16:$FD16))))</x:f>
      </x:c>
      <x:c r="FH16" s="134" t="str">
        <x:f>IF($A16="","",IF(COUNT($EZ16:$FA16)&lt;2,"",'Setari model'!$B$94*AVERAGE($EZ16:$FA16)/'Setari model'!$B$89))</x:f>
      </x:c>
      <x:c r="FI16" s="134" t="str">
        <x:f>IF($A16="","",IF(COUNT($FE16:$FH16)&lt;4,"",MAX('Setari model'!$B$97,MIN('Setari model'!$B$98,1+'Setari model'!$B$90*($FE16-1)+'Setari model'!$B$91*($FF16-1)+'Setari model'!$B$92*$FG16+'Setari model'!$B$93*($FH16-1)))))</x:f>
      </x:c>
      <x:c r="FJ16" s="133" t="str">
        <x:f>IF($A16="","",IF($FI16="","",MIN('Setari model'!$B$101,MAX(0.002,$DZ16*$FI16))))</x:f>
      </x:c>
      <x:c r="FK16" s="131" t="str">
        <x:f t="shared" si="28">IF($A16="","",IF(AND(COUNT($EV16:$FA16)=6,COUNT($O16,$V16,$FC16,$FD16)=4),"DA","NU"))</x:f>
      </x:c>
      <x:c r="FL16" s="131" t="str">
        <x:f>IF($A16="","",IF($FK16&lt;&gt;"DA","NEDETERMINAT",IF($FI16&lt;='Setari model'!$B$99,"SCĂZUT",IF($FI16&lt;='Setari model'!$B$100,"MEDIU","RIDICAT"))))</x:f>
      </x:c>
      <x:c r="FM16" s="131" t="str">
        <x:f>IF($A16="","",IF(AND($AR16&gt;1,$EC16&gt;='Setari model'!$B$106),"DA","NU"))</x:f>
      </x:c>
      <x:c r="FN16" s="131" t="str">
        <x:f t="shared" si="29">IF($A16="","",IF(AND($AU16=1,COUNT($CY16:$DB16)=4),"DA","NU"))</x:f>
      </x:c>
      <x:c r="FO16" s="133" t="str">
        <x:f>IF($A16="","",IF(OR($FK16&lt;&gt;"DA",$FL16="RIDICAT"),'Setari model'!$B$102,IF($FL16="MEDIU",'Setari model'!$B$103,IF(AND($FM16="DA",$FN16="DA"),'Setari model'!$B$105,'Setari model'!$B$104))))</x:f>
      </x:c>
      <x:c r="FP16" s="133" t="str">
        <x:f t="shared" si="30">IF($A16="","",IF($FJ16="","",MIN(1-$FJ16,$FO16)))</x:f>
      </x:c>
      <x:c r="FQ16" s="135" t="str">
        <x:f t="shared" si="31">IF($A16="","",IF($FP16="","",IF($FP16&gt;0,1/$FP16,"")))</x:f>
      </x:c>
      <x:c r="FR16" s="133" t="str">
        <x:f t="shared" si="32">IF($A16="","",IF($EC16="","",$FP16-$EC16))</x:f>
      </x:c>
      <x:c r="FS16" s="133" t="str">
        <x:f t="shared" si="33">IF($A16="","",IF($AR16&gt;1,$FP16*$AR16-1,""))</x:f>
      </x:c>
      <x:c r="FT16" s="136" t="str">
        <x:f>IF($A16="","",MAX(0,MIN(100,$EF16-IF($FK16&lt;&gt;"DA",'Setari model'!$B$107,0)-IF($FL16="MEDIU",'Setari model'!$B$108,0)-IF($FL16="RIDICAT",'Setari model'!$B$109,0))))</x:f>
      </x:c>
      <x:c r="FU16" s="131" t="str">
        <x:f t="shared" si="34">IF($A16="","",IF($AR16&lt;=1,"NU – LIPSEȘTE COTA REALĂ",IF($FK16&lt;&gt;"DA","NU – ZERO-RISK INCOMPLET",IF($FL16&lt;&gt;"SCĂZUT","NU – RISC 0-0 "&amp;$FL16,IF($FN16&lt;&gt;"DA","NU – LINEUP NECONFIRMAT",IF($FM16&lt;&gt;"DA","NU – PIAȚĂ NECONFIRMATĂ",IF($EP16&lt;&gt;"DA","NU – PORTOFOLIU","DA")))))))</x:f>
      </x:c>
      <x:c r="FV16" s="131" t="str">
        <x:f>IF($A16="","",IF($FU16&lt;&gt;"DA","WATCH / NO BET",IF(AND($FP16&gt;='Setari model'!$B$35,$FT16&gt;=100*'Setari model'!$B$76,$FS16&gt;0),"PARIU RECOMANDAT",IF(AND($FP16&gt;='Setari model'!$B$39,$FT16&gt;=100*'Setari model'!$B$40,$FS16&gt;0),"WATCH – APROAPE DE PRAG","PARIU EVITAT"))))</x:f>
      </x:c>
      <x:c r="FW16" s="131" t="str">
        <x:f t="shared" si="35">IF($A16="","",IF($FU16&lt;&gt;"DA",$FU16,IF($FT16&lt;75,"Confidence v3 sub 75.",IF($FP16&lt;0.92,"P v3 sub 92%.",IF($FS16&lt;=0,"EV v3 nepozitiv.","P0 v3, lineup și piață confirmate.")))))</x:f>
      </x:c>
      <x:c r="FX16" s="131" t="str">
        <x:f t="shared" si="36">IF($A16="","","P v3="&amp;TEXT($FP16,"0.0%")&amp;"; P0 v3="&amp;TEXT($FJ16,"0.0%")&amp;"; factor zero="&amp;IF($FI16="","n/a",TEXT($FI16,"0.00x"))&amp;" ("&amp;$FL16&amp;"); cap="&amp;TEXT($FO16,"0.0%")&amp;"; Confidence="&amp;TEXT($FT16,"0")&amp;"/100; lineup="&amp;$FN16&amp;"; piață="&amp;$FM16&amp;"; EV="&amp;IF($FS16="","n/a",TEXT($FS16,"0.0%"))&amp;"; gate="&amp;$FU16&amp;"; verdict="&amp;$FV16&amp;". "&amp;$FW16)</x:f>
      </x:c>
      <x:c r="FY16" s="159"/>
      <x:c r="FZ16" s="159"/>
      <x:c r="GA16" s="157"/>
      <x:c r="GB16" s="157"/>
      <x:c r="GC16" s="161" t="str">
        <x:f t="shared" si="37">IF($A16="","",IF(OR($X16="",$Z16="",$Z16&lt;=0),"",MAX(0.5,MIN(1.5,$X16/$Z16))))</x:f>
      </x:c>
      <x:c r="GD16" s="161" t="str">
        <x:f t="shared" si="38">IF($A16="","",IF(OR($AC16="",$AE16="",$AE16&lt;=0),"",MAX(0.5,MIN(1.5,$AC16/$AE16))))</x:f>
      </x:c>
      <x:c r="GE16" s="162" t="str">
        <x:f t="shared" si="39">IF($A16="","",IF(COUNT($Z16,$AE16)&lt;2,"",AVERAGE($Z16,$AE16)))</x:f>
      </x:c>
      <x:c r="GF16" s="158" t="str">
        <x:f>IF($A16="","",IF(COUNT($FY16:$FZ16)&lt;2,"NEDETERMINAT",IF(AND($FY16&gt;='Setari model'!$B$113,$FZ16&gt;='Setari model'!$B$113),"DA","NU")))</x:f>
      </x:c>
      <x:c r="GG16" s="158" t="str">
        <x:f>IF($A16="","",IF(COUNT($FY16:$FZ16,$EX16:$EY16)&lt;4,"NEDETERMINAT",IF(OR(AND($FY16&gt;='Setari model'!$B$113,$EY16&gt;='Setari model'!$B$114),AND($FZ16&gt;='Setari model'!$B$113,$EX16&gt;='Setari model'!$B$114)),"DA","NU")))</x:f>
      </x:c>
      <x:c r="GH16" s="158" t="str">
        <x:f>IF($A16="","",IF(COUNT($BJ16:$BN16,$GC16:$GE16)&lt;8,"NEDETERMINAT",IF(AND((($BJ16*INDEX('Setari model'!$B$5:$B$11,MATCH($E16,'Setari model'!$A$5:$A$11,0))+$BK16*INDEX('Setari model'!$C$5:$C$11,MATCH($E16,'Setari model'!$A$5:$A$11,0))+$BL16*INDEX('Setari model'!$D$5:$D$11,MATCH($E16,'Setari model'!$A$5:$A$11,0))+$BM16*INDEX('Setari model'!$E$5:$E$11,MATCH($E16,'Setari model'!$A$5:$A$11,0))+$BN16*INDEX('Setari model'!$F$5:$F$11,MATCH($E16,'Setari model'!$A$5:$A$11,0)))/(INDEX('Setari model'!$B$5:$B$11,MATCH($E16,'Setari model'!$A$5:$A$11,0))+INDEX('Setari model'!$C$5:$C$11,MATCH($E16,'Setari model'!$A$5:$A$11,0))+INDEX('Setari model'!$D$5:$D$11,MATCH($E16,'Setari model'!$A$5:$A$11,0))+INDEX('Setari model'!$E$5:$E$11,MATCH($E16,'Setari model'!$A$5:$A$11,0))+INDEX('Setari model'!$F$5:$F$11,MATCH($E16,'Setari model'!$A$5:$A$11,0))))*$BR16&gt;='Setari model'!$B$115,(($BJ16*INDEX('Setari model'!$B$5:$B$11,MATCH($E16,'Setari model'!$A$5:$A$11,0))+$BK16*INDEX('Setari model'!$C$5:$C$11,MATCH($E16,'Setari model'!$A$5:$A$11,0))+$BL16*INDEX('Setari model'!$D$5:$D$11,MATCH($E16,'Setari model'!$A$5:$A$11,0))+$BM16*INDEX('Setari model'!$E$5:$E$11,MATCH($E16,'Setari model'!$A$5:$A$11,0))+$BN16*INDEX('Setari model'!$F$5:$F$11,MATCH($E16,'Setari model'!$A$5:$A$11,0)))/(INDEX('Setari model'!$B$5:$B$11,MATCH($E16,'Setari model'!$A$5:$A$11,0))+INDEX('Setari model'!$C$5:$C$11,MATCH($E16,'Setari model'!$A$5:$A$11,0))+INDEX('Setari model'!$D$5:$D$11,MATCH($E16,'Setari model'!$A$5:$A$11,0))+INDEX('Setari model'!$E$5:$E$11,MATCH($E16,'Setari model'!$A$5:$A$11,0))+INDEX('Setari model'!$F$5:$F$11,MATCH($E16,'Setari model'!$A$5:$A$11,0))))*$BR16&lt;='Setari model'!$B$116,AVERAGE($GC16:$GD16)&lt;='Setari model'!$B$117,$GE16&gt;='Setari model'!$B$118),"DA","NU")))</x:f>
      </x:c>
      <x:c r="GI16" s="158" t="str">
        <x:f>IF($A16="","",IF(COUNT($W16,$AB16,$GA16:$GB16)&lt;4,"NEDETERMINAT",IF(AND($W16&gt;='Setari model'!$B$120,$AB16&gt;='Setari model'!$B$120,OR(IFERROR($GA16/$W16,0)&gt;='Setari model'!$B$119,IFERROR($GB16/$AB16,0)&gt;='Setari model'!$B$119)),"DA","NU")))</x:f>
      </x:c>
      <x:c r="GJ16" s="160" t="str">
        <x:f>IF($A16="","",IF(COUNT($FY16:$GB16)&lt;4,"",IF($GH16&lt;&gt;"DA",0,'Setari model'!$B$121*IF($GF16="DA",1,0)+'Setari model'!$B$122*IF($GG16="DA",1,0)+'Setari model'!$B$123+'Setari model'!$B$124*IF($GI16="DA",1,0))))</x:f>
      </x:c>
      <x:c r="GK16" s="161" t="str">
        <x:f>IF($A16="","",IF(COUNT($GJ16)=0,"",1+'Setari model'!$B$125*$GJ16))</x:f>
      </x:c>
      <x:c r="GL16" s="160" t="str">
        <x:f>IF($A16="","",IF($GM16&lt;&gt;"DA",$FJ16,MIN('Setari model'!$B$101,MAX(0.002,$FJ16*$GK16))))</x:f>
      </x:c>
      <x:c r="GM16" s="158" t="str">
        <x:f>IF($A16="","",IF(AND($FK16="DA",COUNT($FY16:$GB16)=4,COUNT($I16,$P16,$W16,$AB16,$Z16,$AE16,$EX16,$EY16,$GC16,$GD16)=10,COUNT($BJ16:$BN16)=5),"DA","NU"))</x:f>
      </x:c>
      <x:c r="GN16" s="158" t="str">
        <x:f>IF($A16="","",IF($GM16&lt;&gt;"DA","NEDETERMINAT",IF($FI16*$GK16&lt;='Setari model'!$B$99,"SCĂZUT",IF($FI16*$GK16&lt;='Setari model'!$B$100,"MEDIU","RIDICAT"))))</x:f>
      </x:c>
      <x:c r="GO16" s="160" t="str">
        <x:f>IF($A16="","",IF(OR($GM16&lt;&gt;"DA",$GN16="RIDICAT"),'Setari model'!$B$102,IF($GN16="MEDIU",'Setari model'!$B$103,IF(AND($FM16="DA",$FN16="DA"),'Setari model'!$B$105,'Setari model'!$B$104))))</x:f>
      </x:c>
      <x:c r="GP16" s="160" t="str">
        <x:f t="shared" si="40">IF($A16="","",IF($GL16="","",MIN(1-$GL16,$GO16)))</x:f>
      </x:c>
      <x:c r="GQ16" s="162" t="str">
        <x:f t="shared" si="41">IF($A16="","",IF($GP16="","",IF($GP16&gt;0,1/$GP16,"")))</x:f>
      </x:c>
      <x:c r="GR16" s="160" t="str">
        <x:f t="shared" si="42">IF($A16="","",IF($EC16="","",$GP16-$EC16))</x:f>
      </x:c>
      <x:c r="GS16" s="160" t="str">
        <x:f t="shared" si="43">IF($A16="","",IF($AR16&gt;1,$GP16*$AR16-1,""))</x:f>
      </x:c>
      <x:c r="GT16" s="163" t="str">
        <x:f>IF($A16="","",MAX(0,MIN(100,$FT16-IF(AND($GM16&lt;&gt;"DA",$FK16="DA"),'Setari model'!$B$107,0)-'Setari model'!$B$126*IF($GJ16="",0,$GJ16))))</x:f>
      </x:c>
      <x:c r="GU16" s="158" t="str">
        <x:f t="shared" si="44">IF($A16="","",IF($AR16&lt;=1,"NU – LIPSEȘTE COTA REALĂ",IF($GM16&lt;&gt;"DA","NU – DATE LOW-CONVERSION INCOMPLETE",IF($GN16&lt;&gt;"SCĂZUT","NU – RISC 0-0 "&amp;$GN16,IF($FN16&lt;&gt;"DA","NU – LINEUP NECONFIRMAT",IF($FM16&lt;&gt;"DA","NU – PIAȚĂ NECONFIRMATĂ",IF($EP16&lt;&gt;"DA","NU – PORTOFOLIU","DA")))))))</x:f>
      </x:c>
      <x:c r="GV16" s="158" t="str">
        <x:f>IF($A16="","",IF($GU16&lt;&gt;"DA","WATCH / NO BET",IF(AND($GP16&gt;='Setari model'!$B$35,$GT16&gt;=100*'Setari model'!$B$76,$GS16&gt;0),"PARIU RECOMANDAT",IF(AND($GP16&gt;='Setari model'!$B$39,$GT16&gt;=100*'Setari model'!$B$40,$GS16&gt;0),"WATCH – APROAPE DE PRAG","PARIU EVITAT"))))</x:f>
      </x:c>
      <x:c r="GW16" s="158" t="str">
        <x:f t="shared" si="45">IF($A16="","",IF($GU16&lt;&gt;"DA",$GU16,IF($GT16&lt;75,"Confidence v5 sub 75.",IF($GP16&lt;0.92,"P v5 sub 92%.",IF($GS16&lt;=0,"EV v5 nepozitiv.",IF($GJ16&gt;0,"Low-conversion absorbit în P0; toate porțile rămân trecute.","Toate porțile v5 sunt trecute."))))))</x:f>
      </x:c>
      <x:c r="GX16" s="158" t="str">
        <x:f t="shared" si="46">IF($A16="","","P v5="&amp;TEXT($GP16,"0.0%")&amp;"; P0 v5="&amp;TEXT($GL16,"0.0%")&amp;"; low-conv="&amp;IF(COUNT($GJ16)=0,"n/a",TEXT($GJ16,"0%"))&amp;"; mult.P0="&amp;IF(COUNT($GK16)=0,"n/a",TEXT($GK16,"0.00"))&amp;"; clasă="&amp;$GN16&amp;"; cap="&amp;TEXT($GO16,"0.0%")&amp;"; Confidence="&amp;TEXT($GT16,"0")&amp;"/100; lineup="&amp;$FN16&amp;"; piață="&amp;$FM16&amp;"; EV="&amp;IF($GS16="","n/a",TEXT($GS16,"0.0%"))&amp;"; gate="&amp;$GU16&amp;"; verdict="&amp;$GV16&amp;". "&amp;$GW16)</x:f>
      </x:c>
      <x:c r="GY16" s="174" t="str">
        <x:f>IF($A16="","",IF($GM16&lt;&gt;"DA","SOURCING INCOMPLETE – REVIEW REQUIRED",IF(MIN($I16,$P16,$W16,$AB16)&lt;'Setari model'!$B$58,"SMALL SAMPLE + PRIOR / SHRINKAGE","VERIFIED / PRIOR / SHRINKAGE")))</x:f>
      </x:c>
      <x:c r="GZ16" s="175" t="str">
        <x:f t="shared" si="47">IF($A16="","",MAX(0,MIN(100,100*(1-AVERAGE(IF($GM16="DA",1,0),MIN(1,$AT16/5))))))</x:f>
      </x:c>
      <x:c r="HA16" s="175" t="str">
        <x:f>IF($A16="","",IF($GM16&lt;&gt;"DA","",MAX(0,MIN(100,100*(($FI16*$GK16)-'Setari model'!$B$97)/('Setari model'!$B$98-'Setari model'!$B$97)))))</x:f>
      </x:c>
      <x:c r="HB16" s="175" t="str">
        <x:f>IF($A16="","",MAX(0,MIN(100,100*(ABS($BR16-1)/MAX(1-'Setari model'!$B$53,'Setari model'!$B$54-1)+MIN(1,$BG16/2))/2)))</x:f>
      </x:c>
      <x:c r="HC16" s="175" t="str">
        <x:f t="shared" si="48">IF($A16="","",MAX(0,MIN(100,100*(1-AVERAGE($CC16,MAX(0,1-(MAX($BJ16:$BN16)-MIN($BJ16:$BN16))/(AVERAGE($BJ16:$BN16)*'Setari model'!$B$45)))))))</x:f>
      </x:c>
      <x:c r="HD16" s="175" t="str">
        <x:f t="shared" si="49">IF($A16="","",MAX(0,MIN(100,100*MAX(IF($GJ16="",0,$GJ16),MIN(1,$BG16/2)))))</x:f>
      </x:c>
      <x:c r="HE16" s="175" t="str">
        <x:f>IF($A16="","",IF(COUNT($GZ16:$HD16)&lt;5,"",$GZ16*Risk_Classification!$E$28+$HA16*Risk_Classification!$E$29+$HB16*Risk_Classification!$E$30+$HC16*Risk_Classification!$E$31+$HD16*Risk_Classification!$E$32))</x:f>
      </x:c>
      <x:c r="HF16" s="176" t="str">
        <x:f t="shared" si="50">IF($A16="","",IF($HE16="","",IF($HE16&lt;=20,1,IF($HE16&lt;=40,2,IF($HE16&lt;=60,3,IF($HE16&lt;=80,4,5))))))</x:f>
      </x:c>
      <x:c r="HG16" s="176" t="str">
        <x:f t="shared" si="51">IF($A16="","",IF($GM16="DA","PASS","FAIL – DATE CRITICE ZERO-MASS INCOMPLETE"))</x:f>
      </x:c>
      <x:c r="HH16" s="176" t="str">
        <x:f t="shared" si="52">IF($A16="","",IF($HG16&lt;&gt;"PASS",5,$HF16))</x:f>
      </x:c>
      <x:c r="HI16" s="174" t="str">
        <x:f t="shared" si="53">IF($A16="","",IF($HH16="","N/A",IF($HH16=1,"DEFENSIV",IF($HH16=2,"PRUDENT",IF($HH16=3,"MODERAT",IF($HH16=4,"RIDICAT","WATCH / NO BET"))))))</x:f>
      </x:c>
      <x:c r="HJ16" s="177" t="str">
        <x:f t="shared" si="54">IF($A16="","","Data="&amp;$GY16&amp;"; DQ="&amp;TEXT($GZ16,"0.0")&amp;"; ZM="&amp;IF($HA16="","n/a",TEXT($HA16,"0.0"))&amp;"; Context="&amp;TEXT($HB16,"0.0")&amp;"; Uncertainty="&amp;TEXT($HC16,"0.0")&amp;"; Compound="&amp;TEXT($HD16,"0.0")&amp;"; Risk Score="&amp;IF($HE16="","n/a",TEXT($HE16,"0.0"))&amp;"; Base="&amp;IF($HF16="","n/a",$HF16)&amp;"; G0="&amp;$HG16&amp;"; Final="&amp;$HH16&amp;". Cota, EV si lineup sunt informative si nu intra in recomandare.")</x:f>
      </x:c>
      <x:c r="HK16" s="174" t="str">
        <x:f t="shared" si="55">IF($A16="","",$HI16)</x:f>
      </x:c>
    </x:row>
    <x:row r="17" ht="24" customHeight="1">
      <x:c r="A17" s="58"/>
      <x:c r="B17" s="24"/>
      <x:c r="C17" s="59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18"/>
      <x:c r="O17" s="18"/>
      <x:c r="P17" s="24"/>
      <x:c r="Q17" s="24"/>
      <x:c r="R17" s="24"/>
      <x:c r="S17" s="24"/>
      <x:c r="T17" s="24"/>
      <x:c r="U17" s="18"/>
      <x:c r="V17" s="18"/>
      <x:c r="W17" s="24"/>
      <x:c r="X17" s="24"/>
      <x:c r="Y17" s="24"/>
      <x:c r="Z17" s="24"/>
      <x:c r="AA17" s="24"/>
      <x:c r="AB17" s="24"/>
      <x:c r="AC17" s="24"/>
      <x:c r="AD17" s="24"/>
      <x:c r="AE17" s="24"/>
      <x:c r="AF17" s="24"/>
      <x:c r="AG17" s="24"/>
      <x:c r="AH17" s="24"/>
      <x:c r="AI17" s="18"/>
      <x:c r="AJ17" s="24"/>
      <x:c r="AK17" s="24"/>
      <x:c r="AL17" s="24"/>
      <x:c r="AM17" s="18"/>
      <x:c r="AN17" s="24"/>
      <x:c r="AO17" s="60"/>
      <x:c r="AP17" s="60"/>
      <x:c r="AQ17" s="60"/>
      <x:c r="AR17" s="60"/>
      <x:c r="AS17" s="60"/>
      <x:c r="AT17" s="24"/>
      <x:c r="AU17" s="24"/>
      <x:c r="AV17" s="24"/>
      <x:c r="AW17" s="24"/>
      <x:c r="AX17" s="24"/>
      <x:c r="AY17" s="24"/>
      <x:c r="AZ17" s="24"/>
      <x:c r="BA17" s="24"/>
      <x:c r="BB17" s="24"/>
      <x:c r="BC17" s="24"/>
      <x:c r="BD17" s="24"/>
      <x:c r="BE17" s="24"/>
      <x:c r="BF17" s="24"/>
      <x:c r="BG17" s="24"/>
      <x:c r="BH17" s="61"/>
      <x:c r="BI17" s="61"/>
      <x:c r="BJ17" s="62" t="str">
        <x:f>IF($A17="","",SQRT((($I17*IF($J17="",$AJ17,$J17)+'Setari model'!$B$30*$AJ17)/($I17+'Setari model'!$B$30))*(($P17*IF($R17="",$AJ17,$R17)+'Setari model'!$B$30*$AJ17)/($P17+'Setari model'!$B$30)))+SQRT((($P17*IF($Q17="",$AK17,$Q17)+'Setari model'!$B$30*$AK17)/($P17+'Setari model'!$B$30))*(($I17*IF($K17="",$AK17,$K17)+'Setari model'!$B$30*$AK17)/($I17+'Setari model'!$B$30))))</x:f>
      </x:c>
      <x:c r="BK17" s="62" t="str">
        <x:f>IF($A17="","",SQRT((($I17*IF($L17="",IF($J17="",$AJ17,$J17),$L17)+'Setari model'!$B$30*$AJ17)/($I17+'Setari model'!$B$30))*(($P17*IF($T17="",IF($R17="",$AJ17,$R17),$T17)+'Setari model'!$B$30*$AJ17)/($P17+'Setari model'!$B$30)))+SQRT((($P17*IF($S17="",IF($Q17="",$AK17,$Q17),$S17)+'Setari model'!$B$30*$AK17)/($P17+'Setari model'!$B$30))*(($I17*IF($M17="",IF($K17="",$AK17,$K17),$M17)+'Setari model'!$B$30*$AK17)/($I17+'Setari model'!$B$30))))</x:f>
      </x:c>
      <x:c r="BL17" s="62" t="str">
        <x:f>IF($A17="","",SQRT((($W17*IF($X17="",$AL17/2,$X17)+'Setari model'!$B$31*$AL17/2)/($W17+'Setari model'!$B$31))*(($AB17*IF($AD17="",$AL17/2,$AD17)+'Setari model'!$B$31*$AL17/2)/($AB17+'Setari model'!$B$31)))+SQRT((($AB17*IF($AC17="",$AL17/2,$AC17)+'Setari model'!$B$31*$AL17/2)/($AB17+'Setari model'!$B$31))*(($W17*IF($Y17="",$AL17/2,$Y17)+'Setari model'!$B$31*$AL17/2)/($W17+'Setari model'!$B$31))))</x:f>
      </x:c>
      <x:c r="BM17" s="62" t="str">
        <x:f>IF($A17="","",SQRT((($W17*IF($Z17="",IF($X17="",$AL17/2,$X17),$Z17)+'Setari model'!$B$31*$AL17/2)/($W17+'Setari model'!$B$31))*(($AB17*IF($AF17="",IF($AD17="",$AL17/2,$AD17),$AF17)+'Setari model'!$B$31*$AL17/2)/($AB17+'Setari model'!$B$31)))+SQRT((($AB17*IF($AE17="",IF($AC17="",$AL17/2,$AC17),$AE17)+'Setari model'!$B$31*$AL17/2)/($AB17+'Setari model'!$B$31))*(($W17*IF($AA17="",IF($Y17="",$AL17/2,$Y17),$AA17)+'Setari model'!$B$31*$AL17/2)/($W17+'Setari model'!$B$31))))</x:f>
      </x:c>
      <x:c r="BN17" s="62" t="str">
        <x:f t="shared" si="0">IF($A17="","",IF($AG17&gt;0,($AG17*IF($AH17="",$AL17,$AH17)+5*$AL17)/($AG17+5),$AL17))</x:f>
      </x:c>
      <x:c r="BO17" s="63" t="str">
        <x:f>IF($A17="","",IF($AR17&gt;1,IF($AS17&gt;1,(1/$AR17)/((1/$AR17+1/$AS17)),MIN(0.995,(1/$AR17)/(1+'Setari model'!$B$32))),1-EXP(-$AL17)))</x:f>
      </x:c>
      <x:c r="BP17" s="62" t="str">
        <x:f t="shared" si="1">IF($A17="","",-LN(1-$BO17))</x:f>
      </x:c>
      <x:c r="BQ17" s="62" t="str">
        <x:f>IF($A17="","",$BJ17*INDEX('Setari model'!$B$5:$B$11,MATCH($E17,'Setari model'!$A$5:$A$11,0))+$BK17*INDEX('Setari model'!$C$5:$C$11,MATCH($E17,'Setari model'!$A$5:$A$11,0))+$BL17*INDEX('Setari model'!$D$5:$D$11,MATCH($E17,'Setari model'!$A$5:$A$11,0))+$BM17*INDEX('Setari model'!$E$5:$E$11,MATCH($E17,'Setari model'!$A$5:$A$11,0))+$BN17*INDEX('Setari model'!$F$5:$F$11,MATCH($E17,'Setari model'!$A$5:$A$11,0))+$BP17*INDEX('Setari model'!$G$5:$G$11,MATCH($E17,'Setari model'!$A$5:$A$11,0)))</x:f>
      </x:c>
      <x:c r="BR17" s="64" t="str">
        <x:f>IF($A17="","",MAX('Setari model'!$B$53,MIN('Setari model'!$B$54,1+($AV17*'Setari model'!$B$15+$AW17*'Setari model'!$B$16+$AX17*'Setari model'!$B$17+$AY17*'Setari model'!$B$18+$AZ17*'Setari model'!$B$19+$BA17*'Setari model'!$B$20+$BB17*'Setari model'!$B$21+$BC17*'Setari model'!$B$22+$BD17*'Setari model'!$B$23+$BE17*'Setari model'!$B$24+$BF17*'Setari model'!$B$25)*INDEX('Setari model'!$H$5:$H$11,MATCH($E17,'Setari model'!$A$5:$A$11,0)))))</x:f>
      </x:c>
      <x:c r="BS17" s="62" t="str">
        <x:f t="shared" si="2">IF($A17="","",$BQ17*$BR17)</x:f>
      </x:c>
      <x:c r="BT17" s="63" t="str">
        <x:f t="shared" si="3">IF($A17="","",EXP(-$BS17))</x:f>
      </x:c>
      <x:c r="BU17" s="65" t="str">
        <x:f>IF($A17="","",IF(OR($AM17="",$AN17=""),1,1+MIN('Setari model'!$B$33,$AN17/100*'Setari model'!$B$33)*($AM17/EXP(-$AL17)-1)))</x:f>
      </x:c>
      <x:c r="BV17" s="63" t="str">
        <x:f>IF($A17="","",MIN(0.45,MAX(0.005,(1-'Setari model'!$B$34*MIN(1,($I17+$P17)/20))*MIN(0.45,$BT17*$BU17)+'Setari model'!$B$34*MIN(1,($I17+$P17)/20)*IF(COUNT($N17,$U17)=2,SQRT(MAX(0,1-$N17)*MAX(0,1-$U17)),IF($AM17="",EXP(-$AL17),$AM17)))))</x:f>
      </x:c>
      <x:c r="BW17" s="63" t="str">
        <x:f t="shared" si="4">IF($A17="","",1-$BV17)</x:f>
      </x:c>
      <x:c r="BX17" s="62" t="str">
        <x:f t="shared" si="5">IF($A17="","",1/$BW17)</x:f>
      </x:c>
      <x:c r="BY17" s="63" t="str">
        <x:f t="shared" si="6">IF($A17="","",$BO17)</x:f>
      </x:c>
      <x:c r="BZ17" s="63" t="str">
        <x:f t="shared" si="7">IF($A17="","",$BW17-$BY17)</x:f>
      </x:c>
      <x:c r="CA17" s="63" t="str">
        <x:f t="shared" si="8">IF($A17="","",IF($AR17&gt;1,$BW17*$AR17-1,""))</x:f>
      </x:c>
      <x:c r="CB17" s="63" t="str">
        <x:f>IF($A17="","",MIN(1,COUNT($I17:$AN17,$AR17:$BG17)/'Setari model'!$B$46))</x:f>
      </x:c>
      <x:c r="CC17" s="63" t="str">
        <x:f t="shared" si="9">IF($A17="","",0.25*MIN(1,$I17/10)+0.25*MIN(1,$P17/10)+0.15*MIN(1,$W17/5)+0.15*MIN(1,$AB17/5)+0.1*MIN(1,$AG17/5)+0.1*MIN(1,$AN17/100))</x:f>
      </x:c>
      <x:c r="CD17" s="63" t="str">
        <x:f>IF($A17="","",MAX(0,1-(MAX($BJ17:$BN17,$BP17)-MIN($BJ17:$BN17,$BP17))/(AVERAGE($BJ17:$BN17,$BP17)*'Setari model'!$B$45)))</x:f>
      </x:c>
      <x:c r="CE17" s="66" t="str">
        <x:f>IF($A17="","",MAX(0,MIN(100,100*INDEX('Setari model'!$I$5:$I$11,MATCH($E17,'Setari model'!$A$5:$A$11,0))*('Setari model'!$B$47*$CB17+'Setari model'!$B$48*$CC17+'Setari model'!$B$49*$CD17+'Setari model'!$B$50*$AT17/5+'Setari model'!$B$51*$AU17)-100*'Setari model'!$B$52*$BG17)))</x:f>
      </x:c>
      <x:c r="CF17" s="65" t="str">
        <x:f t="shared" si="10">IF($A17="","",IF(OR($AT17&lt;3,$BG17&gt;=2,$CB17&lt;0.55,$CC17&lt;0.4),"RIDICAT",IF(OR($AU17=0,$CD17&lt;0.45,$BR17&lt;0.9),"MEDIU","SCĂZUT")))</x:f>
      </x:c>
      <x:c r="CG17" s="65" t="str">
        <x:f>IF($A17="","",IF($AR17&gt;1,IF(AND($BW17&gt;= 'Setari model'!$B$35,$CE17&gt;=100*'Setari model'!$B$36,$BZ17&gt;= 'Setari model'!$B$37,$CA17&gt;= 'Setari model'!$B$38,$CF17&lt;&gt;"RIDICAT"),"PARIU RECOMANDAT",IF(AND($BW17&gt;= 'Setari model'!$B$39,$CE17&gt;=100*'Setari model'!$B$40,$BZ17&gt;= 'Setari model'!$B$41,$CA17&gt;=0,$CF17&lt;&gt;"RIDICAT"),"RECOMANDAT CU PRUDENȚĂ",IF(AND($BW17&gt;= 'Setari model'!$B$42,$CE17&gt;=100*'Setari model'!$B$43),"ANALIZĂ NECONCLUDENTĂ","PARIU EVITAT"))),IF(AND($BW17&gt;= 'Setari model'!$B$35,$CE17&gt;=100*'Setari model'!$B$36,$CF17&lt;&gt;"RIDICAT"),"FAVORABIL STATISTIC – VERIFICĂ COTA",IF(AND($BW17&gt;= 'Setari model'!$B$42,$CE17&gt;=100*'Setari model'!$B$43),"ANALIZĂ NECONCLUDENTĂ","PARIU EVITAT"))))</x:f>
      </x:c>
      <x:c r="CH17" s="67" t="str">
        <x:f t="shared" si="11">IF($A17="","","P(O0,5)="&amp;TEXT($BW17,"0.0%")&amp;"; λ ajustat="&amp;TEXT($BS17,"0.00")&amp;"; Confidence="&amp;TEXT($CE17,"0")&amp;"/100; Edge="&amp;TEXT($BZ17,"0.0%")&amp;"; risc="&amp;$CF17&amp;". "&amp;$BH17)</x:f>
      </x:c>
      <x:c r="CI17" s="68" t="str">
        <x:f t="shared" si="12">IF($A17="","",$BI17)</x:f>
      </x:c>
      <x:c r="CJ17" s="112"/>
      <x:c r="CK17" s="112"/>
      <x:c r="CL17" s="112"/>
      <x:c r="CM17" s="112"/>
      <x:c r="CN17" s="112"/>
      <x:c r="CO17" s="112"/>
      <x:c r="CP17" s="112"/>
      <x:c r="CQ17" s="112"/>
      <x:c r="CR17" s="112"/>
      <x:c r="CS17" s="112"/>
      <x:c r="CT17" s="112"/>
      <x:c r="CU17" s="112"/>
      <x:c r="CV17" s="112"/>
      <x:c r="CW17" s="112"/>
      <x:c r="CX17" s="112"/>
      <x:c r="CY17" s="112"/>
      <x:c r="CZ17" s="112"/>
      <x:c r="DA17" s="112"/>
      <x:c r="DB17" s="112"/>
      <x:c r="DC17" s="114"/>
      <x:c r="DD17" s="114"/>
      <x:c r="DE17" s="112" t="s">
        <x:v>266</x:v>
      </x:c>
      <x:c r="DF17" s="112"/>
      <x:c r="DG17" s="112"/>
      <x:c r="DH17" s="112"/>
      <x:c r="DI17" s="112"/>
      <x:c r="DJ17" s="112"/>
      <x:c r="DK17" s="112"/>
      <x:c r="DL17" s="112"/>
      <x:c r="DM17" s="112"/>
      <x:c r="DN17" s="112"/>
      <x:c r="DO17" s="112"/>
      <x:c r="DP17" s="112"/>
      <x:c r="DQ17" s="114"/>
      <x:c r="DR17" s="112">
        <x:v>1</x:v>
      </x:c>
      <x:c r="DS17" s="116">
        <x:v>0</x:v>
      </x:c>
      <x:c r="DT17" s="120"/>
      <x:c r="DU17" s="116">
        <x:v>0.02</x:v>
      </x:c>
      <x:c r="DV17" s="116">
        <x:v>0.25</x:v>
      </x:c>
      <x:c r="DW17" s="118" t="str">
        <x:f>IF($A17="","",MAX('Setari model'!$B$71,MIN('Setari model'!$B$72,1+0.08*(IFERROR(AVERAGE($CM17:$CN17)/'Setari model'!$B$66,1)-1)+0.08*(IFERROR(AVERAGE($CO17:$CP17)/'Setari model'!$B$67,1)-1)+0.06*(IFERROR(AVERAGE($CQ17:$CR17)/'Setari model'!$B$68,1)-1)+0.04*(IFERROR(AVERAGE($CS17:$CT17)/'Setari model'!$B$69,1)-1)+0.04*(IFERROR(AVERAGE($CU17:$CV17)/'Setari model'!$B$70,1)-1)-'Setari model'!$B$73*IFERROR(AVERAGE($CW17:$CX17),0))))</x:f>
      </x:c>
      <x:c r="DX17" s="118" t="str">
        <x:f>IF($A17="","",1+'Setari model'!$B$62*MAX(IF(OR($CK17=1,$CL17=1),1,0),IF(AND($CJ17&lt;&gt;"",$CJ17&lt;=1),1,0))+'Setari model'!$B$63*IF(AND($CJ17&gt;1,$CJ17&lt;=3),1,0))</x:f>
      </x:c>
      <x:c r="DY17" s="118" t="str">
        <x:f>IF($A17="","",1+'Setari model'!$B$74*(IF($CY17="",0,IF($CY17=0,1,0))+IF($CZ17="",0,IF($CZ17=0,1,0)))+'Setari model'!$B$75*(IF($DA17="",0,IF($DA17=0,1,0))+IF($DB17="",0,IF($DB17=0,1,0))))</x:f>
      </x:c>
      <x:c r="DZ17" s="117" t="str">
        <x:f>IF($A17="","",MIN(0.6,MAX(0.002,(((1-'Setari model'!$B$34*MIN(1,($I17+$P17)/20))*$BT17+'Setari model'!$B$34*MIN(1,($I17+$P17)/20)*IF(COUNT($N17,$U17)=2,SQRT(MAX(0,1-$N17)*MAX(0,1-$U17)),$BT17))*(1-'Setari model'!$B$65*MIN(1,IF($AN17="",0,$AN17/'Setari model'!$B$64)))+'Setari model'!$B$65*MIN(1,IF($AN17="",0,$AN17/'Setari model'!$B$64))*IF($AM17="",$BT17,$AM17))*$DX17*$DY17/$DW17)))</x:f>
      </x:c>
      <x:c r="EA17" s="117" t="str">
        <x:f>IF($A17="","",MIN(1-$DZ17,IF(OR(MIN($I17,$P17)&lt;'Setari model'!$B$58,$CK17=1,$CL17=1,AND($CJ17&lt;&gt;"",$CJ17&lt;=1)),'Setari model'!$B$59,IF(AND($AU17=1,$AR17&gt;1,COUNT($CY17:$DB17)=4),'Setari model'!$B$61,'Setari model'!$B$60))))</x:f>
      </x:c>
      <x:c r="EB17" s="115" t="str">
        <x:f t="shared" si="13">IF($A17="","",1/$EA17)</x:f>
      </x:c>
      <x:c r="EC17" s="117" t="str">
        <x:f t="shared" si="14">IF($A17="","",IF($AR17&gt;1,IF($AS17&gt;1,(1/$AR17)/((1/$AR17)+(1/$AS17)),1/$AR17),""))</x:f>
      </x:c>
      <x:c r="ED17" s="117" t="str">
        <x:f t="shared" si="15">IF($A17="","",IF($EC17="","",$EA17-$EC17))</x:f>
      </x:c>
      <x:c r="EE17" s="117" t="str">
        <x:f t="shared" si="16">""</x:f>
      </x:c>
      <x:c r="EF17" s="119" t="str">
        <x:f>IF($A17="","",MAX(0,MIN(100,$CE17-200*MAX(0,$EG17-'Setari model'!$B$77)-IF($AU17&lt;&gt;1,10,0)-IF(COUNT($CY17:$DB17)&lt;4,4,0))))</x:f>
      </x:c>
      <x:c r="EG17" s="117" t="str">
        <x:f>IF($A17="","",'Setari model'!$B$77+IF(MIN($I17,$P17)&lt;'Setari model'!$B$58,0.03,0)+IF(OR($CK17=1,$CL17=1,AND($CJ17&lt;&gt;"",$CJ17&lt;=1)),0.03,0)+IF($AG17=0,0.02,0)+0.03*(1-MIN(1,COUNT($CM17:$CV17)/10))+0.03*(1-MIN(1,IF($AN17="",0,$AN17/'Setari model'!$B$64)))+IF($AR17&lt;=1,0.02,0))</x:f>
      </x:c>
      <x:c r="EH17" s="113" t="str">
        <x:f>IF($A17="","",IF(OR(MIN($I17,$P17)&lt;'Setari model'!$B$58,$CK17=1,$CL17=1,AND($CJ17&lt;&gt;"",$CJ17&lt;=1)),"92% – early/regim",IF(AND($AU17=1,$AR17&gt;1,COUNT($CY17:$DB17)=4),"94% – confirmat","93% – standard")))</x:f>
      </x:c>
      <x:c r="EI17" s="113" t="str">
        <x:f t="shared" si="17">IF($A17="","",IF(AND($EA17&gt;0.9,$AU17&lt;&gt;1),"WAIT XI – HIGH P",IF(AND($EA17&gt;0.9,COUNT($CY17:$DB17)&lt;4),"WAIT DATE CHEIE – HIGH P",IF($EP17&lt;&gt;"DA","NU – PORTOFOLIU","DA"))))</x:f>
      </x:c>
      <x:c r="EJ17" s="117" t="str">
        <x:f t="shared" si="18">IF($A17="","",IF($DE17&lt;&gt;"Live 20-30","",IF(SUM($DG17:$DH17)&gt;0,1,IF($EU17="","",1-MIN(0.95,MAX(0.001,EXP(-$EU17)*$DX17*$DY17/$DW17))))))</x:f>
      </x:c>
      <x:c r="EK17" s="117" t="str">
        <x:f t="shared" si="19">""</x:f>
      </x:c>
      <x:c r="EL17" s="113" t="str">
        <x:f>IF($A17="","",IF($DE17="Live 20-30",IF(SUM($DG17:$DH17)&gt;0,"EVENIMENT ÎNDEPLINIT",IF(OR($DF17="",COUNT($DI17:$DN17)&lt;4),"LIVE – WATCH",IF($EJ17&gt;=0.75,"LIVE – FEZABIL TEHNIC","LIVE – NO BET"))),IF($EI17&lt;&gt;"DA","WATCH / NO BET",IF(AND($EA17&gt;=INDEX('Setari model'!$B$35:$B$40,1),$EF17&gt;=100*'Setari model'!$B$76),"PARIU RECOMANDAT",IF(AND($EA17&gt;=INDEX('Setari model'!$B$35:$B$40,5),$EF17&gt;=100*'Setari model'!$B$40),"WATCH – APROAPE DE PRAG","PARIU EVITAT")))))</x:f>
      </x:c>
      <x:c r="EM17" s="113" t="str">
        <x:f t="shared" si="20">IF($A17="","",IF($DE17="Live 20-30",IF(SUM($DG17:$DH17)&gt;0,"Gol deja marcat.",IF($DF17="","Minut live lipsă.",IF(COUNT($DI17:$DN17)&lt;4,"Lipsesc xG/SOT/big chances live.",IF($EJ17&lt;0.75,"P live sub prag.","Semnal live tehnic complet; EV ignorat.")))),IF($EI17&lt;&gt;"DA",$EI17,IF($EF17&lt;75,"Confidence sub 75.",IF($EA17&lt;0.92,"P sub 92%.","G0/Zero-Mass + confidence trecute; EV ignorat.")))))</x:f>
      </x:c>
      <x:c r="EN17" s="117" t="str">
        <x:f>IF($A17="","",IF(OR($EL17="PARIU RECOMANDAT",$EL17="LIVE – FEZABIL"),MIN(IF($DU17&gt;0,$DU17,'Setari model'!$B$81)/MAX(1,$DR17),IF($DV17&gt;0,$DV17,'Setari model'!$B$80)*MAX(0,((IF($DE17="Live 20-30",$EJ17,$EA17)*IF($DE17="Live 20-30",$DQ17,$AR17)-1)/(IF($DE17="Live 20-30",$DQ17,$AR17)-1)))),0))</x:f>
      </x:c>
      <x:c r="EO17" s="121" t="str">
        <x:f t="shared" si="21">IF($A17="","",IF(AND($EN17&gt;0,$DT17&gt;0),$EN17*$DT17,""))</x:f>
      </x:c>
      <x:c r="EP17" s="113" t="str">
        <x:f>IF($A17="","",IF(OR($DR17&lt;1,$DR17&gt;'Setari model'!$B$78),"NU – 1–5 selecții",IF($DS17&gt;'Setari model'!$B$79,"NU – corelație", "DA")))</x:f>
      </x:c>
      <x:c r="EQ17" s="117" t="str">
        <x:f t="shared" si="22">IF($A17="","",IF(AND($DC17&gt;1,$DD17&gt;1),$DC17/$DD17-1,""))</x:f>
      </x:c>
      <x:c r="ER17" s="113" t="str">
        <x:f t="shared" si="23">IF($A17="","","P v2="&amp;TEXT($EA17,"0.0%")&amp;" ±"&amp;TEXT($EG17,"0.0%")&amp;"; P0 ZIP="&amp;TEXT($DZ17,"0.0%")&amp;"; Confidence="&amp;TEXT($EF17,"0")&amp;"/100; piață reală="&amp;IF($EC17="","NU","DA")&amp;"; EV="&amp;IF($EE17="","n/a",TEXT($EE17,"0.0%"))&amp;"; gate="&amp;$EI17&amp;"; verdict="&amp;$EL17&amp;". "&amp;$EM17)</x:f>
      </x:c>
      <x:c r="ES17" s="119" t="str">
        <x:f>IF($A17="","",'Setari model'!$B$82)</x:f>
      </x:c>
      <x:c r="ET17" s="118" t="str">
        <x:f>IF($A17="","",'Setari model'!$B$83)</x:f>
      </x:c>
      <x:c r="EU17" s="115" t="str">
        <x:f t="shared" si="24">IF(OR($A17="",$DE17&lt;&gt;"Live 20-30",$DF17="",$DF17&lt;$ES17,$DF17&gt;=90),"",MAX(0.05,MIN($BS17*$ET17,$BS17*(90-$DF17)/90+0.35*($DI17+$DJ17)+0.06*($DK17+$DL17)+0.15*($DM17+$DN17)+0.1*(MAX($DO17,$DP17)-MIN($DO17,$DP17)))))</x:f>
      </x:c>
      <x:c r="EV17" s="132"/>
      <x:c r="EW17" s="132"/>
      <x:c r="EX17" s="132"/>
      <x:c r="EY17" s="132"/>
      <x:c r="EZ17" s="132"/>
      <x:c r="FA17" s="132"/>
      <x:c r="FB17" s="247"/>
      <x:c r="FC17" s="134" t="str">
        <x:f t="shared" si="25">IF($A17="","",IF(OR($J17="",$L17="",$L17&lt;=0),"",MAX(0.5,MIN(1.5,$J17/$L17))))</x:f>
      </x:c>
      <x:c r="FD17" s="134" t="str">
        <x:f t="shared" si="26">IF($A17="","",IF(OR($Q17="",$S17="",$S17&lt;=0),"",MAX(0.5,MIN(1.5,$Q17/$S17))))</x:f>
      </x:c>
      <x:c r="FE17" s="134" t="str">
        <x:f>IF($A17="","",IF(COUNT($EV17:$EW17)&lt;2,"",SQRT($EV17*$EW17)/'Setari model'!$B$87))</x:f>
      </x:c>
      <x:c r="FF17" s="134" t="str">
        <x:f>IF($A17="","",IF(COUNT($O17,$V17,$EX17,$EY17)&lt;4,"",AVERAGE(SQRT($O17*$EY17),SQRT($V17*$EX17))/'Setari model'!$B$88))</x:f>
      </x:c>
      <x:c r="FG17" s="134" t="str">
        <x:f t="shared" si="27">IF($A17="","",IF(COUNT($FC17:$FD17)&lt;2,"",MAX(0,1-AVERAGE($FC17:$FD17))))</x:f>
      </x:c>
      <x:c r="FH17" s="134" t="str">
        <x:f>IF($A17="","",IF(COUNT($EZ17:$FA17)&lt;2,"",'Setari model'!$B$94*AVERAGE($EZ17:$FA17)/'Setari model'!$B$89))</x:f>
      </x:c>
      <x:c r="FI17" s="134" t="str">
        <x:f>IF($A17="","",IF(COUNT($FE17:$FH17)&lt;4,"",MAX('Setari model'!$B$97,MIN('Setari model'!$B$98,1+'Setari model'!$B$90*($FE17-1)+'Setari model'!$B$91*($FF17-1)+'Setari model'!$B$92*$FG17+'Setari model'!$B$93*($FH17-1)))))</x:f>
      </x:c>
      <x:c r="FJ17" s="133" t="str">
        <x:f>IF($A17="","",IF($FI17="","",MIN('Setari model'!$B$101,MAX(0.002,$DZ17*$FI17))))</x:f>
      </x:c>
      <x:c r="FK17" s="131" t="str">
        <x:f t="shared" si="28">IF($A17="","",IF(AND(COUNT($EV17:$FA17)=6,COUNT($O17,$V17,$FC17,$FD17)=4),"DA","NU"))</x:f>
      </x:c>
      <x:c r="FL17" s="131" t="str">
        <x:f>IF($A17="","",IF($FK17&lt;&gt;"DA","NEDETERMINAT",IF($FI17&lt;='Setari model'!$B$99,"SCĂZUT",IF($FI17&lt;='Setari model'!$B$100,"MEDIU","RIDICAT"))))</x:f>
      </x:c>
      <x:c r="FM17" s="131" t="str">
        <x:f>IF($A17="","",IF(AND($AR17&gt;1,$EC17&gt;='Setari model'!$B$106),"DA","NU"))</x:f>
      </x:c>
      <x:c r="FN17" s="131" t="str">
        <x:f t="shared" si="29">IF($A17="","",IF(AND($AU17=1,COUNT($CY17:$DB17)=4),"DA","NU"))</x:f>
      </x:c>
      <x:c r="FO17" s="133" t="str">
        <x:f>IF($A17="","",IF(OR($FK17&lt;&gt;"DA",$FL17="RIDICAT"),'Setari model'!$B$102,IF($FL17="MEDIU",'Setari model'!$B$103,IF(AND($FM17="DA",$FN17="DA"),'Setari model'!$B$105,'Setari model'!$B$104))))</x:f>
      </x:c>
      <x:c r="FP17" s="133" t="str">
        <x:f t="shared" si="30">IF($A17="","",IF($FJ17="","",MIN(1-$FJ17,$FO17)))</x:f>
      </x:c>
      <x:c r="FQ17" s="135" t="str">
        <x:f t="shared" si="31">IF($A17="","",IF($FP17="","",IF($FP17&gt;0,1/$FP17,"")))</x:f>
      </x:c>
      <x:c r="FR17" s="133" t="str">
        <x:f t="shared" si="32">IF($A17="","",IF($EC17="","",$FP17-$EC17))</x:f>
      </x:c>
      <x:c r="FS17" s="133" t="str">
        <x:f t="shared" si="33">IF($A17="","",IF($AR17&gt;1,$FP17*$AR17-1,""))</x:f>
      </x:c>
      <x:c r="FT17" s="136" t="str">
        <x:f>IF($A17="","",MAX(0,MIN(100,$EF17-IF($FK17&lt;&gt;"DA",'Setari model'!$B$107,0)-IF($FL17="MEDIU",'Setari model'!$B$108,0)-IF($FL17="RIDICAT",'Setari model'!$B$109,0))))</x:f>
      </x:c>
      <x:c r="FU17" s="131" t="str">
        <x:f t="shared" si="34">IF($A17="","",IF($AR17&lt;=1,"NU – LIPSEȘTE COTA REALĂ",IF($FK17&lt;&gt;"DA","NU – ZERO-RISK INCOMPLET",IF($FL17&lt;&gt;"SCĂZUT","NU – RISC 0-0 "&amp;$FL17,IF($FN17&lt;&gt;"DA","NU – LINEUP NECONFIRMAT",IF($FM17&lt;&gt;"DA","NU – PIAȚĂ NECONFIRMATĂ",IF($EP17&lt;&gt;"DA","NU – PORTOFOLIU","DA")))))))</x:f>
      </x:c>
      <x:c r="FV17" s="131" t="str">
        <x:f>IF($A17="","",IF($FU17&lt;&gt;"DA","WATCH / NO BET",IF(AND($FP17&gt;='Setari model'!$B$35,$FT17&gt;=100*'Setari model'!$B$76,$FS17&gt;0),"PARIU RECOMANDAT",IF(AND($FP17&gt;='Setari model'!$B$39,$FT17&gt;=100*'Setari model'!$B$40,$FS17&gt;0),"WATCH – APROAPE DE PRAG","PARIU EVITAT"))))</x:f>
      </x:c>
      <x:c r="FW17" s="131" t="str">
        <x:f t="shared" si="35">IF($A17="","",IF($FU17&lt;&gt;"DA",$FU17,IF($FT17&lt;75,"Confidence v3 sub 75.",IF($FP17&lt;0.92,"P v3 sub 92%.",IF($FS17&lt;=0,"EV v3 nepozitiv.","P0 v3, lineup și piață confirmate.")))))</x:f>
      </x:c>
      <x:c r="FX17" s="131" t="str">
        <x:f t="shared" si="36">IF($A17="","","P v3="&amp;TEXT($FP17,"0.0%")&amp;"; P0 v3="&amp;TEXT($FJ17,"0.0%")&amp;"; factor zero="&amp;IF($FI17="","n/a",TEXT($FI17,"0.00x"))&amp;" ("&amp;$FL17&amp;"); cap="&amp;TEXT($FO17,"0.0%")&amp;"; Confidence="&amp;TEXT($FT17,"0")&amp;"/100; lineup="&amp;$FN17&amp;"; piață="&amp;$FM17&amp;"; EV="&amp;IF($FS17="","n/a",TEXT($FS17,"0.0%"))&amp;"; gate="&amp;$FU17&amp;"; verdict="&amp;$FV17&amp;". "&amp;$FW17)</x:f>
      </x:c>
      <x:c r="FY17" s="159"/>
      <x:c r="FZ17" s="159"/>
      <x:c r="GA17" s="157"/>
      <x:c r="GB17" s="157"/>
      <x:c r="GC17" s="161" t="str">
        <x:f t="shared" si="37">IF($A17="","",IF(OR($X17="",$Z17="",$Z17&lt;=0),"",MAX(0.5,MIN(1.5,$X17/$Z17))))</x:f>
      </x:c>
      <x:c r="GD17" s="161" t="str">
        <x:f t="shared" si="38">IF($A17="","",IF(OR($AC17="",$AE17="",$AE17&lt;=0),"",MAX(0.5,MIN(1.5,$AC17/$AE17))))</x:f>
      </x:c>
      <x:c r="GE17" s="162" t="str">
        <x:f t="shared" si="39">IF($A17="","",IF(COUNT($Z17,$AE17)&lt;2,"",AVERAGE($Z17,$AE17)))</x:f>
      </x:c>
      <x:c r="GF17" s="158" t="str">
        <x:f>IF($A17="","",IF(COUNT($FY17:$FZ17)&lt;2,"NEDETERMINAT",IF(AND($FY17&gt;='Setari model'!$B$113,$FZ17&gt;='Setari model'!$B$113),"DA","NU")))</x:f>
      </x:c>
      <x:c r="GG17" s="158" t="str">
        <x:f>IF($A17="","",IF(COUNT($FY17:$FZ17,$EX17:$EY17)&lt;4,"NEDETERMINAT",IF(OR(AND($FY17&gt;='Setari model'!$B$113,$EY17&gt;='Setari model'!$B$114),AND($FZ17&gt;='Setari model'!$B$113,$EX17&gt;='Setari model'!$B$114)),"DA","NU")))</x:f>
      </x:c>
      <x:c r="GH17" s="158" t="str">
        <x:f>IF($A17="","",IF(COUNT($BJ17:$BN17,$GC17:$GE17)&lt;8,"NEDETERMINAT",IF(AND((($BJ17*INDEX('Setari model'!$B$5:$B$11,MATCH($E17,'Setari model'!$A$5:$A$11,0))+$BK17*INDEX('Setari model'!$C$5:$C$11,MATCH($E17,'Setari model'!$A$5:$A$11,0))+$BL17*INDEX('Setari model'!$D$5:$D$11,MATCH($E17,'Setari model'!$A$5:$A$11,0))+$BM17*INDEX('Setari model'!$E$5:$E$11,MATCH($E17,'Setari model'!$A$5:$A$11,0))+$BN17*INDEX('Setari model'!$F$5:$F$11,MATCH($E17,'Setari model'!$A$5:$A$11,0)))/(INDEX('Setari model'!$B$5:$B$11,MATCH($E17,'Setari model'!$A$5:$A$11,0))+INDEX('Setari model'!$C$5:$C$11,MATCH($E17,'Setari model'!$A$5:$A$11,0))+INDEX('Setari model'!$D$5:$D$11,MATCH($E17,'Setari model'!$A$5:$A$11,0))+INDEX('Setari model'!$E$5:$E$11,MATCH($E17,'Setari model'!$A$5:$A$11,0))+INDEX('Setari model'!$F$5:$F$11,MATCH($E17,'Setari model'!$A$5:$A$11,0))))*$BR17&gt;='Setari model'!$B$115,(($BJ17*INDEX('Setari model'!$B$5:$B$11,MATCH($E17,'Setari model'!$A$5:$A$11,0))+$BK17*INDEX('Setari model'!$C$5:$C$11,MATCH($E17,'Setari model'!$A$5:$A$11,0))+$BL17*INDEX('Setari model'!$D$5:$D$11,MATCH($E17,'Setari model'!$A$5:$A$11,0))+$BM17*INDEX('Setari model'!$E$5:$E$11,MATCH($E17,'Setari model'!$A$5:$A$11,0))+$BN17*INDEX('Setari model'!$F$5:$F$11,MATCH($E17,'Setari model'!$A$5:$A$11,0)))/(INDEX('Setari model'!$B$5:$B$11,MATCH($E17,'Setari model'!$A$5:$A$11,0))+INDEX('Setari model'!$C$5:$C$11,MATCH($E17,'Setari model'!$A$5:$A$11,0))+INDEX('Setari model'!$D$5:$D$11,MATCH($E17,'Setari model'!$A$5:$A$11,0))+INDEX('Setari model'!$E$5:$E$11,MATCH($E17,'Setari model'!$A$5:$A$11,0))+INDEX('Setari model'!$F$5:$F$11,MATCH($E17,'Setari model'!$A$5:$A$11,0))))*$BR17&lt;='Setari model'!$B$116,AVERAGE($GC17:$GD17)&lt;='Setari model'!$B$117,$GE17&gt;='Setari model'!$B$118),"DA","NU")))</x:f>
      </x:c>
      <x:c r="GI17" s="158" t="str">
        <x:f>IF($A17="","",IF(COUNT($W17,$AB17,$GA17:$GB17)&lt;4,"NEDETERMINAT",IF(AND($W17&gt;='Setari model'!$B$120,$AB17&gt;='Setari model'!$B$120,OR(IFERROR($GA17/$W17,0)&gt;='Setari model'!$B$119,IFERROR($GB17/$AB17,0)&gt;='Setari model'!$B$119)),"DA","NU")))</x:f>
      </x:c>
      <x:c r="GJ17" s="160" t="str">
        <x:f>IF($A17="","",IF(COUNT($FY17:$GB17)&lt;4,"",IF($GH17&lt;&gt;"DA",0,'Setari model'!$B$121*IF($GF17="DA",1,0)+'Setari model'!$B$122*IF($GG17="DA",1,0)+'Setari model'!$B$123+'Setari model'!$B$124*IF($GI17="DA",1,0))))</x:f>
      </x:c>
      <x:c r="GK17" s="161" t="str">
        <x:f>IF($A17="","",IF(COUNT($GJ17)=0,"",1+'Setari model'!$B$125*$GJ17))</x:f>
      </x:c>
      <x:c r="GL17" s="160" t="str">
        <x:f>IF($A17="","",IF($GM17&lt;&gt;"DA",$FJ17,MIN('Setari model'!$B$101,MAX(0.002,$FJ17*$GK17))))</x:f>
      </x:c>
      <x:c r="GM17" s="158" t="str">
        <x:f>IF($A17="","",IF(AND($FK17="DA",COUNT($FY17:$GB17)=4,COUNT($I17,$P17,$W17,$AB17,$Z17,$AE17,$EX17,$EY17,$GC17,$GD17)=10,COUNT($BJ17:$BN17)=5),"DA","NU"))</x:f>
      </x:c>
      <x:c r="GN17" s="158" t="str">
        <x:f>IF($A17="","",IF($GM17&lt;&gt;"DA","NEDETERMINAT",IF($FI17*$GK17&lt;='Setari model'!$B$99,"SCĂZUT",IF($FI17*$GK17&lt;='Setari model'!$B$100,"MEDIU","RIDICAT"))))</x:f>
      </x:c>
      <x:c r="GO17" s="160" t="str">
        <x:f>IF($A17="","",IF(OR($GM17&lt;&gt;"DA",$GN17="RIDICAT"),'Setari model'!$B$102,IF($GN17="MEDIU",'Setari model'!$B$103,IF(AND($FM17="DA",$FN17="DA"),'Setari model'!$B$105,'Setari model'!$B$104))))</x:f>
      </x:c>
      <x:c r="GP17" s="160" t="str">
        <x:f t="shared" si="40">IF($A17="","",IF($GL17="","",MIN(1-$GL17,$GO17)))</x:f>
      </x:c>
      <x:c r="GQ17" s="162" t="str">
        <x:f t="shared" si="41">IF($A17="","",IF($GP17="","",IF($GP17&gt;0,1/$GP17,"")))</x:f>
      </x:c>
      <x:c r="GR17" s="160" t="str">
        <x:f t="shared" si="42">IF($A17="","",IF($EC17="","",$GP17-$EC17))</x:f>
      </x:c>
      <x:c r="GS17" s="160" t="str">
        <x:f t="shared" si="43">IF($A17="","",IF($AR17&gt;1,$GP17*$AR17-1,""))</x:f>
      </x:c>
      <x:c r="GT17" s="163" t="str">
        <x:f>IF($A17="","",MAX(0,MIN(100,$FT17-IF(AND($GM17&lt;&gt;"DA",$FK17="DA"),'Setari model'!$B$107,0)-'Setari model'!$B$126*IF($GJ17="",0,$GJ17))))</x:f>
      </x:c>
      <x:c r="GU17" s="158" t="str">
        <x:f t="shared" si="44">IF($A17="","",IF($AR17&lt;=1,"NU – LIPSEȘTE COTA REALĂ",IF($GM17&lt;&gt;"DA","NU – DATE LOW-CONVERSION INCOMPLETE",IF($GN17&lt;&gt;"SCĂZUT","NU – RISC 0-0 "&amp;$GN17,IF($FN17&lt;&gt;"DA","NU – LINEUP NECONFIRMAT",IF($FM17&lt;&gt;"DA","NU – PIAȚĂ NECONFIRMATĂ",IF($EP17&lt;&gt;"DA","NU – PORTOFOLIU","DA")))))))</x:f>
      </x:c>
      <x:c r="GV17" s="158" t="str">
        <x:f>IF($A17="","",IF($GU17&lt;&gt;"DA","WATCH / NO BET",IF(AND($GP17&gt;='Setari model'!$B$35,$GT17&gt;=100*'Setari model'!$B$76,$GS17&gt;0),"PARIU RECOMANDAT",IF(AND($GP17&gt;='Setari model'!$B$39,$GT17&gt;=100*'Setari model'!$B$40,$GS17&gt;0),"WATCH – APROAPE DE PRAG","PARIU EVITAT"))))</x:f>
      </x:c>
      <x:c r="GW17" s="158" t="str">
        <x:f t="shared" si="45">IF($A17="","",IF($GU17&lt;&gt;"DA",$GU17,IF($GT17&lt;75,"Confidence v5 sub 75.",IF($GP17&lt;0.92,"P v5 sub 92%.",IF($GS17&lt;=0,"EV v5 nepozitiv.",IF($GJ17&gt;0,"Low-conversion absorbit în P0; toate porțile rămân trecute.","Toate porțile v5 sunt trecute."))))))</x:f>
      </x:c>
      <x:c r="GX17" s="158" t="str">
        <x:f t="shared" si="46">IF($A17="","","P v5="&amp;TEXT($GP17,"0.0%")&amp;"; P0 v5="&amp;TEXT($GL17,"0.0%")&amp;"; low-conv="&amp;IF(COUNT($GJ17)=0,"n/a",TEXT($GJ17,"0%"))&amp;"; mult.P0="&amp;IF(COUNT($GK17)=0,"n/a",TEXT($GK17,"0.00"))&amp;"; clasă="&amp;$GN17&amp;"; cap="&amp;TEXT($GO17,"0.0%")&amp;"; Confidence="&amp;TEXT($GT17,"0")&amp;"/100; lineup="&amp;$FN17&amp;"; piață="&amp;$FM17&amp;"; EV="&amp;IF($GS17="","n/a",TEXT($GS17,"0.0%"))&amp;"; gate="&amp;$GU17&amp;"; verdict="&amp;$GV17&amp;". "&amp;$GW17)</x:f>
      </x:c>
      <x:c r="GY17" s="174" t="str">
        <x:f>IF($A17="","",IF($GM17&lt;&gt;"DA","SOURCING INCOMPLETE – REVIEW REQUIRED",IF(MIN($I17,$P17,$W17,$AB17)&lt;'Setari model'!$B$58,"SMALL SAMPLE + PRIOR / SHRINKAGE","VERIFIED / PRIOR / SHRINKAGE")))</x:f>
      </x:c>
      <x:c r="GZ17" s="175" t="str">
        <x:f t="shared" si="47">IF($A17="","",MAX(0,MIN(100,100*(1-AVERAGE(IF($GM17="DA",1,0),MIN(1,$AT17/5))))))</x:f>
      </x:c>
      <x:c r="HA17" s="175" t="str">
        <x:f>IF($A17="","",IF($GM17&lt;&gt;"DA","",MAX(0,MIN(100,100*(($FI17*$GK17)-'Setari model'!$B$97)/('Setari model'!$B$98-'Setari model'!$B$97)))))</x:f>
      </x:c>
      <x:c r="HB17" s="175" t="str">
        <x:f>IF($A17="","",MAX(0,MIN(100,100*(ABS($BR17-1)/MAX(1-'Setari model'!$B$53,'Setari model'!$B$54-1)+MIN(1,$BG17/2))/2)))</x:f>
      </x:c>
      <x:c r="HC17" s="175" t="str">
        <x:f t="shared" si="48">IF($A17="","",MAX(0,MIN(100,100*(1-AVERAGE($CC17,MAX(0,1-(MAX($BJ17:$BN17)-MIN($BJ17:$BN17))/(AVERAGE($BJ17:$BN17)*'Setari model'!$B$45)))))))</x:f>
      </x:c>
      <x:c r="HD17" s="175" t="str">
        <x:f t="shared" si="49">IF($A17="","",MAX(0,MIN(100,100*MAX(IF($GJ17="",0,$GJ17),MIN(1,$BG17/2)))))</x:f>
      </x:c>
      <x:c r="HE17" s="175" t="str">
        <x:f>IF($A17="","",IF(COUNT($GZ17:$HD17)&lt;5,"",$GZ17*Risk_Classification!$E$28+$HA17*Risk_Classification!$E$29+$HB17*Risk_Classification!$E$30+$HC17*Risk_Classification!$E$31+$HD17*Risk_Classification!$E$32))</x:f>
      </x:c>
      <x:c r="HF17" s="176" t="str">
        <x:f t="shared" si="50">IF($A17="","",IF($HE17="","",IF($HE17&lt;=20,1,IF($HE17&lt;=40,2,IF($HE17&lt;=60,3,IF($HE17&lt;=80,4,5))))))</x:f>
      </x:c>
      <x:c r="HG17" s="176" t="str">
        <x:f t="shared" si="51">IF($A17="","",IF($GM17="DA","PASS","FAIL – DATE CRITICE ZERO-MASS INCOMPLETE"))</x:f>
      </x:c>
      <x:c r="HH17" s="176" t="str">
        <x:f t="shared" si="52">IF($A17="","",IF($HG17&lt;&gt;"PASS",5,$HF17))</x:f>
      </x:c>
      <x:c r="HI17" s="174" t="str">
        <x:f t="shared" si="53">IF($A17="","",IF($HH17="","N/A",IF($HH17=1,"DEFENSIV",IF($HH17=2,"PRUDENT",IF($HH17=3,"MODERAT",IF($HH17=4,"RIDICAT","WATCH / NO BET"))))))</x:f>
      </x:c>
      <x:c r="HJ17" s="177" t="str">
        <x:f t="shared" si="54">IF($A17="","","Data="&amp;$GY17&amp;"; DQ="&amp;TEXT($GZ17,"0.0")&amp;"; ZM="&amp;IF($HA17="","n/a",TEXT($HA17,"0.0"))&amp;"; Context="&amp;TEXT($HB17,"0.0")&amp;"; Uncertainty="&amp;TEXT($HC17,"0.0")&amp;"; Compound="&amp;TEXT($HD17,"0.0")&amp;"; Risk Score="&amp;IF($HE17="","n/a",TEXT($HE17,"0.0"))&amp;"; Base="&amp;IF($HF17="","n/a",$HF17)&amp;"; G0="&amp;$HG17&amp;"; Final="&amp;$HH17&amp;". Cota, EV si lineup sunt informative si nu intra in recomandare.")</x:f>
      </x:c>
      <x:c r="HK17" s="174" t="str">
        <x:f t="shared" si="55">IF($A17="","",$HI17)</x:f>
      </x:c>
    </x:row>
    <x:row r="18" ht="24" customHeight="1">
      <x:c r="A18" s="58"/>
      <x:c r="B18" s="24"/>
      <x:c r="C18" s="59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18"/>
      <x:c r="O18" s="18"/>
      <x:c r="P18" s="24"/>
      <x:c r="Q18" s="24"/>
      <x:c r="R18" s="24"/>
      <x:c r="S18" s="24"/>
      <x:c r="T18" s="24"/>
      <x:c r="U18" s="18"/>
      <x:c r="V18" s="18"/>
      <x:c r="W18" s="24"/>
      <x:c r="X18" s="24"/>
      <x:c r="Y18" s="24"/>
      <x:c r="Z18" s="24"/>
      <x:c r="AA18" s="24"/>
      <x:c r="AB18" s="24"/>
      <x:c r="AC18" s="24"/>
      <x:c r="AD18" s="24"/>
      <x:c r="AE18" s="24"/>
      <x:c r="AF18" s="24"/>
      <x:c r="AG18" s="24"/>
      <x:c r="AH18" s="24"/>
      <x:c r="AI18" s="18"/>
      <x:c r="AJ18" s="24"/>
      <x:c r="AK18" s="24"/>
      <x:c r="AL18" s="24"/>
      <x:c r="AM18" s="18"/>
      <x:c r="AN18" s="24"/>
      <x:c r="AO18" s="60"/>
      <x:c r="AP18" s="60"/>
      <x:c r="AQ18" s="60"/>
      <x:c r="AR18" s="60"/>
      <x:c r="AS18" s="60"/>
      <x:c r="AT18" s="24"/>
      <x:c r="AU18" s="24"/>
      <x:c r="AV18" s="24"/>
      <x:c r="AW18" s="24"/>
      <x:c r="AX18" s="24"/>
      <x:c r="AY18" s="24"/>
      <x:c r="AZ18" s="24"/>
      <x:c r="BA18" s="24"/>
      <x:c r="BB18" s="24"/>
      <x:c r="BC18" s="24"/>
      <x:c r="BD18" s="24"/>
      <x:c r="BE18" s="24"/>
      <x:c r="BF18" s="24"/>
      <x:c r="BG18" s="24"/>
      <x:c r="BH18" s="61"/>
      <x:c r="BI18" s="61"/>
      <x:c r="BJ18" s="62" t="str">
        <x:f>IF($A18="","",SQRT((($I18*IF($J18="",$AJ18,$J18)+'Setari model'!$B$30*$AJ18)/($I18+'Setari model'!$B$30))*(($P18*IF($R18="",$AJ18,$R18)+'Setari model'!$B$30*$AJ18)/($P18+'Setari model'!$B$30)))+SQRT((($P18*IF($Q18="",$AK18,$Q18)+'Setari model'!$B$30*$AK18)/($P18+'Setari model'!$B$30))*(($I18*IF($K18="",$AK18,$K18)+'Setari model'!$B$30*$AK18)/($I18+'Setari model'!$B$30))))</x:f>
      </x:c>
      <x:c r="BK18" s="62" t="str">
        <x:f>IF($A18="","",SQRT((($I18*IF($L18="",IF($J18="",$AJ18,$J18),$L18)+'Setari model'!$B$30*$AJ18)/($I18+'Setari model'!$B$30))*(($P18*IF($T18="",IF($R18="",$AJ18,$R18),$T18)+'Setari model'!$B$30*$AJ18)/($P18+'Setari model'!$B$30)))+SQRT((($P18*IF($S18="",IF($Q18="",$AK18,$Q18),$S18)+'Setari model'!$B$30*$AK18)/($P18+'Setari model'!$B$30))*(($I18*IF($M18="",IF($K18="",$AK18,$K18),$M18)+'Setari model'!$B$30*$AK18)/($I18+'Setari model'!$B$30))))</x:f>
      </x:c>
      <x:c r="BL18" s="62" t="str">
        <x:f>IF($A18="","",SQRT((($W18*IF($X18="",$AL18/2,$X18)+'Setari model'!$B$31*$AL18/2)/($W18+'Setari model'!$B$31))*(($AB18*IF($AD18="",$AL18/2,$AD18)+'Setari model'!$B$31*$AL18/2)/($AB18+'Setari model'!$B$31)))+SQRT((($AB18*IF($AC18="",$AL18/2,$AC18)+'Setari model'!$B$31*$AL18/2)/($AB18+'Setari model'!$B$31))*(($W18*IF($Y18="",$AL18/2,$Y18)+'Setari model'!$B$31*$AL18/2)/($W18+'Setari model'!$B$31))))</x:f>
      </x:c>
      <x:c r="BM18" s="62" t="str">
        <x:f>IF($A18="","",SQRT((($W18*IF($Z18="",IF($X18="",$AL18/2,$X18),$Z18)+'Setari model'!$B$31*$AL18/2)/($W18+'Setari model'!$B$31))*(($AB18*IF($AF18="",IF($AD18="",$AL18/2,$AD18),$AF18)+'Setari model'!$B$31*$AL18/2)/($AB18+'Setari model'!$B$31)))+SQRT((($AB18*IF($AE18="",IF($AC18="",$AL18/2,$AC18),$AE18)+'Setari model'!$B$31*$AL18/2)/($AB18+'Setari model'!$B$31))*(($W18*IF($AA18="",IF($Y18="",$AL18/2,$Y18),$AA18)+'Setari model'!$B$31*$AL18/2)/($W18+'Setari model'!$B$31))))</x:f>
      </x:c>
      <x:c r="BN18" s="62" t="str">
        <x:f t="shared" si="0">IF($A18="","",IF($AG18&gt;0,($AG18*IF($AH18="",$AL18,$AH18)+5*$AL18)/($AG18+5),$AL18))</x:f>
      </x:c>
      <x:c r="BO18" s="63" t="str">
        <x:f>IF($A18="","",IF($AR18&gt;1,IF($AS18&gt;1,(1/$AR18)/((1/$AR18+1/$AS18)),MIN(0.995,(1/$AR18)/(1+'Setari model'!$B$32))),1-EXP(-$AL18)))</x:f>
      </x:c>
      <x:c r="BP18" s="62" t="str">
        <x:f t="shared" si="1">IF($A18="","",-LN(1-$BO18))</x:f>
      </x:c>
      <x:c r="BQ18" s="62" t="str">
        <x:f>IF($A18="","",$BJ18*INDEX('Setari model'!$B$5:$B$11,MATCH($E18,'Setari model'!$A$5:$A$11,0))+$BK18*INDEX('Setari model'!$C$5:$C$11,MATCH($E18,'Setari model'!$A$5:$A$11,0))+$BL18*INDEX('Setari model'!$D$5:$D$11,MATCH($E18,'Setari model'!$A$5:$A$11,0))+$BM18*INDEX('Setari model'!$E$5:$E$11,MATCH($E18,'Setari model'!$A$5:$A$11,0))+$BN18*INDEX('Setari model'!$F$5:$F$11,MATCH($E18,'Setari model'!$A$5:$A$11,0))+$BP18*INDEX('Setari model'!$G$5:$G$11,MATCH($E18,'Setari model'!$A$5:$A$11,0)))</x:f>
      </x:c>
      <x:c r="BR18" s="64" t="str">
        <x:f>IF($A18="","",MAX('Setari model'!$B$53,MIN('Setari model'!$B$54,1+($AV18*'Setari model'!$B$15+$AW18*'Setari model'!$B$16+$AX18*'Setari model'!$B$17+$AY18*'Setari model'!$B$18+$AZ18*'Setari model'!$B$19+$BA18*'Setari model'!$B$20+$BB18*'Setari model'!$B$21+$BC18*'Setari model'!$B$22+$BD18*'Setari model'!$B$23+$BE18*'Setari model'!$B$24+$BF18*'Setari model'!$B$25)*INDEX('Setari model'!$H$5:$H$11,MATCH($E18,'Setari model'!$A$5:$A$11,0)))))</x:f>
      </x:c>
      <x:c r="BS18" s="62" t="str">
        <x:f t="shared" si="2">IF($A18="","",$BQ18*$BR18)</x:f>
      </x:c>
      <x:c r="BT18" s="63" t="str">
        <x:f t="shared" si="3">IF($A18="","",EXP(-$BS18))</x:f>
      </x:c>
      <x:c r="BU18" s="65" t="str">
        <x:f>IF($A18="","",IF(OR($AM18="",$AN18=""),1,1+MIN('Setari model'!$B$33,$AN18/100*'Setari model'!$B$33)*($AM18/EXP(-$AL18)-1)))</x:f>
      </x:c>
      <x:c r="BV18" s="63" t="str">
        <x:f>IF($A18="","",MIN(0.45,MAX(0.005,(1-'Setari model'!$B$34*MIN(1,($I18+$P18)/20))*MIN(0.45,$BT18*$BU18)+'Setari model'!$B$34*MIN(1,($I18+$P18)/20)*IF(COUNT($N18,$U18)=2,SQRT(MAX(0,1-$N18)*MAX(0,1-$U18)),IF($AM18="",EXP(-$AL18),$AM18)))))</x:f>
      </x:c>
      <x:c r="BW18" s="63" t="str">
        <x:f t="shared" si="4">IF($A18="","",1-$BV18)</x:f>
      </x:c>
      <x:c r="BX18" s="62" t="str">
        <x:f t="shared" si="5">IF($A18="","",1/$BW18)</x:f>
      </x:c>
      <x:c r="BY18" s="63" t="str">
        <x:f t="shared" si="6">IF($A18="","",$BO18)</x:f>
      </x:c>
      <x:c r="BZ18" s="63" t="str">
        <x:f t="shared" si="7">IF($A18="","",$BW18-$BY18)</x:f>
      </x:c>
      <x:c r="CA18" s="63" t="str">
        <x:f t="shared" si="8">IF($A18="","",IF($AR18&gt;1,$BW18*$AR18-1,""))</x:f>
      </x:c>
      <x:c r="CB18" s="63" t="str">
        <x:f>IF($A18="","",MIN(1,COUNT($I18:$AN18,$AR18:$BG18)/'Setari model'!$B$46))</x:f>
      </x:c>
      <x:c r="CC18" s="63" t="str">
        <x:f t="shared" si="9">IF($A18="","",0.25*MIN(1,$I18/10)+0.25*MIN(1,$P18/10)+0.15*MIN(1,$W18/5)+0.15*MIN(1,$AB18/5)+0.1*MIN(1,$AG18/5)+0.1*MIN(1,$AN18/100))</x:f>
      </x:c>
      <x:c r="CD18" s="63" t="str">
        <x:f>IF($A18="","",MAX(0,1-(MAX($BJ18:$BN18,$BP18)-MIN($BJ18:$BN18,$BP18))/(AVERAGE($BJ18:$BN18,$BP18)*'Setari model'!$B$45)))</x:f>
      </x:c>
      <x:c r="CE18" s="66" t="str">
        <x:f>IF($A18="","",MAX(0,MIN(100,100*INDEX('Setari model'!$I$5:$I$11,MATCH($E18,'Setari model'!$A$5:$A$11,0))*('Setari model'!$B$47*$CB18+'Setari model'!$B$48*$CC18+'Setari model'!$B$49*$CD18+'Setari model'!$B$50*$AT18/5+'Setari model'!$B$51*$AU18)-100*'Setari model'!$B$52*$BG18)))</x:f>
      </x:c>
      <x:c r="CF18" s="65" t="str">
        <x:f t="shared" si="10">IF($A18="","",IF(OR($AT18&lt;3,$BG18&gt;=2,$CB18&lt;0.55,$CC18&lt;0.4),"RIDICAT",IF(OR($AU18=0,$CD18&lt;0.45,$BR18&lt;0.9),"MEDIU","SCĂZUT")))</x:f>
      </x:c>
      <x:c r="CG18" s="65" t="str">
        <x:f>IF($A18="","",IF($AR18&gt;1,IF(AND($BW18&gt;= 'Setari model'!$B$35,$CE18&gt;=100*'Setari model'!$B$36,$BZ18&gt;= 'Setari model'!$B$37,$CA18&gt;= 'Setari model'!$B$38,$CF18&lt;&gt;"RIDICAT"),"PARIU RECOMANDAT",IF(AND($BW18&gt;= 'Setari model'!$B$39,$CE18&gt;=100*'Setari model'!$B$40,$BZ18&gt;= 'Setari model'!$B$41,$CA18&gt;=0,$CF18&lt;&gt;"RIDICAT"),"RECOMANDAT CU PRUDENȚĂ",IF(AND($BW18&gt;= 'Setari model'!$B$42,$CE18&gt;=100*'Setari model'!$B$43),"ANALIZĂ NECONCLUDENTĂ","PARIU EVITAT"))),IF(AND($BW18&gt;= 'Setari model'!$B$35,$CE18&gt;=100*'Setari model'!$B$36,$CF18&lt;&gt;"RIDICAT"),"FAVORABIL STATISTIC – VERIFICĂ COTA",IF(AND($BW18&gt;= 'Setari model'!$B$42,$CE18&gt;=100*'Setari model'!$B$43),"ANALIZĂ NECONCLUDENTĂ","PARIU EVITAT"))))</x:f>
      </x:c>
      <x:c r="CH18" s="67" t="str">
        <x:f t="shared" si="11">IF($A18="","","P(O0,5)="&amp;TEXT($BW18,"0.0%")&amp;"; λ ajustat="&amp;TEXT($BS18,"0.00")&amp;"; Confidence="&amp;TEXT($CE18,"0")&amp;"/100; Edge="&amp;TEXT($BZ18,"0.0%")&amp;"; risc="&amp;$CF18&amp;". "&amp;$BH18)</x:f>
      </x:c>
      <x:c r="CI18" s="68" t="str">
        <x:f t="shared" si="12">IF($A18="","",$BI18)</x:f>
      </x:c>
      <x:c r="CJ18" s="112"/>
      <x:c r="CK18" s="112"/>
      <x:c r="CL18" s="112"/>
      <x:c r="CM18" s="112"/>
      <x:c r="CN18" s="112"/>
      <x:c r="CO18" s="112"/>
      <x:c r="CP18" s="112"/>
      <x:c r="CQ18" s="112"/>
      <x:c r="CR18" s="112"/>
      <x:c r="CS18" s="112"/>
      <x:c r="CT18" s="112"/>
      <x:c r="CU18" s="112"/>
      <x:c r="CV18" s="112"/>
      <x:c r="CW18" s="112"/>
      <x:c r="CX18" s="112"/>
      <x:c r="CY18" s="112"/>
      <x:c r="CZ18" s="112"/>
      <x:c r="DA18" s="112"/>
      <x:c r="DB18" s="112"/>
      <x:c r="DC18" s="114"/>
      <x:c r="DD18" s="114"/>
      <x:c r="DE18" s="112" t="s">
        <x:v>266</x:v>
      </x:c>
      <x:c r="DF18" s="112"/>
      <x:c r="DG18" s="112"/>
      <x:c r="DH18" s="112"/>
      <x:c r="DI18" s="112"/>
      <x:c r="DJ18" s="112"/>
      <x:c r="DK18" s="112"/>
      <x:c r="DL18" s="112"/>
      <x:c r="DM18" s="112"/>
      <x:c r="DN18" s="112"/>
      <x:c r="DO18" s="112"/>
      <x:c r="DP18" s="112"/>
      <x:c r="DQ18" s="114"/>
      <x:c r="DR18" s="112">
        <x:v>1</x:v>
      </x:c>
      <x:c r="DS18" s="116">
        <x:v>0</x:v>
      </x:c>
      <x:c r="DT18" s="120"/>
      <x:c r="DU18" s="116">
        <x:v>0.02</x:v>
      </x:c>
      <x:c r="DV18" s="116">
        <x:v>0.25</x:v>
      </x:c>
      <x:c r="DW18" s="118" t="str">
        <x:f>IF($A18="","",MAX('Setari model'!$B$71,MIN('Setari model'!$B$72,1+0.08*(IFERROR(AVERAGE($CM18:$CN18)/'Setari model'!$B$66,1)-1)+0.08*(IFERROR(AVERAGE($CO18:$CP18)/'Setari model'!$B$67,1)-1)+0.06*(IFERROR(AVERAGE($CQ18:$CR18)/'Setari model'!$B$68,1)-1)+0.04*(IFERROR(AVERAGE($CS18:$CT18)/'Setari model'!$B$69,1)-1)+0.04*(IFERROR(AVERAGE($CU18:$CV18)/'Setari model'!$B$70,1)-1)-'Setari model'!$B$73*IFERROR(AVERAGE($CW18:$CX18),0))))</x:f>
      </x:c>
      <x:c r="DX18" s="118" t="str">
        <x:f>IF($A18="","",1+'Setari model'!$B$62*MAX(IF(OR($CK18=1,$CL18=1),1,0),IF(AND($CJ18&lt;&gt;"",$CJ18&lt;=1),1,0))+'Setari model'!$B$63*IF(AND($CJ18&gt;1,$CJ18&lt;=3),1,0))</x:f>
      </x:c>
      <x:c r="DY18" s="118" t="str">
        <x:f>IF($A18="","",1+'Setari model'!$B$74*(IF($CY18="",0,IF($CY18=0,1,0))+IF($CZ18="",0,IF($CZ18=0,1,0)))+'Setari model'!$B$75*(IF($DA18="",0,IF($DA18=0,1,0))+IF($DB18="",0,IF($DB18=0,1,0))))</x:f>
      </x:c>
      <x:c r="DZ18" s="117" t="str">
        <x:f>IF($A18="","",MIN(0.6,MAX(0.002,(((1-'Setari model'!$B$34*MIN(1,($I18+$P18)/20))*$BT18+'Setari model'!$B$34*MIN(1,($I18+$P18)/20)*IF(COUNT($N18,$U18)=2,SQRT(MAX(0,1-$N18)*MAX(0,1-$U18)),$BT18))*(1-'Setari model'!$B$65*MIN(1,IF($AN18="",0,$AN18/'Setari model'!$B$64)))+'Setari model'!$B$65*MIN(1,IF($AN18="",0,$AN18/'Setari model'!$B$64))*IF($AM18="",$BT18,$AM18))*$DX18*$DY18/$DW18)))</x:f>
      </x:c>
      <x:c r="EA18" s="117" t="str">
        <x:f>IF($A18="","",MIN(1-$DZ18,IF(OR(MIN($I18,$P18)&lt;'Setari model'!$B$58,$CK18=1,$CL18=1,AND($CJ18&lt;&gt;"",$CJ18&lt;=1)),'Setari model'!$B$59,IF(AND($AU18=1,$AR18&gt;1,COUNT($CY18:$DB18)=4),'Setari model'!$B$61,'Setari model'!$B$60))))</x:f>
      </x:c>
      <x:c r="EB18" s="115" t="str">
        <x:f t="shared" si="13">IF($A18="","",1/$EA18)</x:f>
      </x:c>
      <x:c r="EC18" s="117" t="str">
        <x:f t="shared" si="14">IF($A18="","",IF($AR18&gt;1,IF($AS18&gt;1,(1/$AR18)/((1/$AR18)+(1/$AS18)),1/$AR18),""))</x:f>
      </x:c>
      <x:c r="ED18" s="117" t="str">
        <x:f t="shared" si="15">IF($A18="","",IF($EC18="","",$EA18-$EC18))</x:f>
      </x:c>
      <x:c r="EE18" s="117" t="str">
        <x:f t="shared" si="16">""</x:f>
      </x:c>
      <x:c r="EF18" s="119" t="str">
        <x:f>IF($A18="","",MAX(0,MIN(100,$CE18-200*MAX(0,$EG18-'Setari model'!$B$77)-IF($AU18&lt;&gt;1,10,0)-IF(COUNT($CY18:$DB18)&lt;4,4,0))))</x:f>
      </x:c>
      <x:c r="EG18" s="117" t="str">
        <x:f>IF($A18="","",'Setari model'!$B$77+IF(MIN($I18,$P18)&lt;'Setari model'!$B$58,0.03,0)+IF(OR($CK18=1,$CL18=1,AND($CJ18&lt;&gt;"",$CJ18&lt;=1)),0.03,0)+IF($AG18=0,0.02,0)+0.03*(1-MIN(1,COUNT($CM18:$CV18)/10))+0.03*(1-MIN(1,IF($AN18="",0,$AN18/'Setari model'!$B$64)))+IF($AR18&lt;=1,0.02,0))</x:f>
      </x:c>
      <x:c r="EH18" s="113" t="str">
        <x:f>IF($A18="","",IF(OR(MIN($I18,$P18)&lt;'Setari model'!$B$58,$CK18=1,$CL18=1,AND($CJ18&lt;&gt;"",$CJ18&lt;=1)),"92% – early/regim",IF(AND($AU18=1,$AR18&gt;1,COUNT($CY18:$DB18)=4),"94% – confirmat","93% – standard")))</x:f>
      </x:c>
      <x:c r="EI18" s="113" t="str">
        <x:f t="shared" si="17">IF($A18="","",IF(AND($EA18&gt;0.9,$AU18&lt;&gt;1),"WAIT XI – HIGH P",IF(AND($EA18&gt;0.9,COUNT($CY18:$DB18)&lt;4),"WAIT DATE CHEIE – HIGH P",IF($EP18&lt;&gt;"DA","NU – PORTOFOLIU","DA"))))</x:f>
      </x:c>
      <x:c r="EJ18" s="117" t="str">
        <x:f t="shared" si="18">IF($A18="","",IF($DE18&lt;&gt;"Live 20-30","",IF(SUM($DG18:$DH18)&gt;0,1,IF($EU18="","",1-MIN(0.95,MAX(0.001,EXP(-$EU18)*$DX18*$DY18/$DW18))))))</x:f>
      </x:c>
      <x:c r="EK18" s="117" t="str">
        <x:f t="shared" si="19">""</x:f>
      </x:c>
      <x:c r="EL18" s="113" t="str">
        <x:f>IF($A18="","",IF($DE18="Live 20-30",IF(SUM($DG18:$DH18)&gt;0,"EVENIMENT ÎNDEPLINIT",IF(OR($DF18="",COUNT($DI18:$DN18)&lt;4),"LIVE – WATCH",IF($EJ18&gt;=0.75,"LIVE – FEZABIL TEHNIC","LIVE – NO BET"))),IF($EI18&lt;&gt;"DA","WATCH / NO BET",IF(AND($EA18&gt;=INDEX('Setari model'!$B$35:$B$40,1),$EF18&gt;=100*'Setari model'!$B$76),"PARIU RECOMANDAT",IF(AND($EA18&gt;=INDEX('Setari model'!$B$35:$B$40,5),$EF18&gt;=100*'Setari model'!$B$40),"WATCH – APROAPE DE PRAG","PARIU EVITAT")))))</x:f>
      </x:c>
      <x:c r="EM18" s="113" t="str">
        <x:f t="shared" si="20">IF($A18="","",IF($DE18="Live 20-30",IF(SUM($DG18:$DH18)&gt;0,"Gol deja marcat.",IF($DF18="","Minut live lipsă.",IF(COUNT($DI18:$DN18)&lt;4,"Lipsesc xG/SOT/big chances live.",IF($EJ18&lt;0.75,"P live sub prag.","Semnal live tehnic complet; EV ignorat.")))),IF($EI18&lt;&gt;"DA",$EI18,IF($EF18&lt;75,"Confidence sub 75.",IF($EA18&lt;0.92,"P sub 92%.","G0/Zero-Mass + confidence trecute; EV ignorat.")))))</x:f>
      </x:c>
      <x:c r="EN18" s="117" t="str">
        <x:f>IF($A18="","",IF(OR($EL18="PARIU RECOMANDAT",$EL18="LIVE – FEZABIL"),MIN(IF($DU18&gt;0,$DU18,'Setari model'!$B$81)/MAX(1,$DR18),IF($DV18&gt;0,$DV18,'Setari model'!$B$80)*MAX(0,((IF($DE18="Live 20-30",$EJ18,$EA18)*IF($DE18="Live 20-30",$DQ18,$AR18)-1)/(IF($DE18="Live 20-30",$DQ18,$AR18)-1)))),0))</x:f>
      </x:c>
      <x:c r="EO18" s="121" t="str">
        <x:f t="shared" si="21">IF($A18="","",IF(AND($EN18&gt;0,$DT18&gt;0),$EN18*$DT18,""))</x:f>
      </x:c>
      <x:c r="EP18" s="113" t="str">
        <x:f>IF($A18="","",IF(OR($DR18&lt;1,$DR18&gt;'Setari model'!$B$78),"NU – 1–5 selecții",IF($DS18&gt;'Setari model'!$B$79,"NU – corelație", "DA")))</x:f>
      </x:c>
      <x:c r="EQ18" s="117" t="str">
        <x:f t="shared" si="22">IF($A18="","",IF(AND($DC18&gt;1,$DD18&gt;1),$DC18/$DD18-1,""))</x:f>
      </x:c>
      <x:c r="ER18" s="113" t="str">
        <x:f t="shared" si="23">IF($A18="","","P v2="&amp;TEXT($EA18,"0.0%")&amp;" ±"&amp;TEXT($EG18,"0.0%")&amp;"; P0 ZIP="&amp;TEXT($DZ18,"0.0%")&amp;"; Confidence="&amp;TEXT($EF18,"0")&amp;"/100; piață reală="&amp;IF($EC18="","NU","DA")&amp;"; EV="&amp;IF($EE18="","n/a",TEXT($EE18,"0.0%"))&amp;"; gate="&amp;$EI18&amp;"; verdict="&amp;$EL18&amp;". "&amp;$EM18)</x:f>
      </x:c>
      <x:c r="ES18" s="119" t="str">
        <x:f>IF($A18="","",'Setari model'!$B$82)</x:f>
      </x:c>
      <x:c r="ET18" s="118" t="str">
        <x:f>IF($A18="","",'Setari model'!$B$83)</x:f>
      </x:c>
      <x:c r="EU18" s="115" t="str">
        <x:f t="shared" si="24">IF(OR($A18="",$DE18&lt;&gt;"Live 20-30",$DF18="",$DF18&lt;$ES18,$DF18&gt;=90),"",MAX(0.05,MIN($BS18*$ET18,$BS18*(90-$DF18)/90+0.35*($DI18+$DJ18)+0.06*($DK18+$DL18)+0.15*($DM18+$DN18)+0.1*(MAX($DO18,$DP18)-MIN($DO18,$DP18)))))</x:f>
      </x:c>
      <x:c r="EV18" s="132"/>
      <x:c r="EW18" s="132"/>
      <x:c r="EX18" s="132"/>
      <x:c r="EY18" s="132"/>
      <x:c r="EZ18" s="132"/>
      <x:c r="FA18" s="132"/>
      <x:c r="FB18" s="247"/>
      <x:c r="FC18" s="134" t="str">
        <x:f t="shared" si="25">IF($A18="","",IF(OR($J18="",$L18="",$L18&lt;=0),"",MAX(0.5,MIN(1.5,$J18/$L18))))</x:f>
      </x:c>
      <x:c r="FD18" s="134" t="str">
        <x:f t="shared" si="26">IF($A18="","",IF(OR($Q18="",$S18="",$S18&lt;=0),"",MAX(0.5,MIN(1.5,$Q18/$S18))))</x:f>
      </x:c>
      <x:c r="FE18" s="134" t="str">
        <x:f>IF($A18="","",IF(COUNT($EV18:$EW18)&lt;2,"",SQRT($EV18*$EW18)/'Setari model'!$B$87))</x:f>
      </x:c>
      <x:c r="FF18" s="134" t="str">
        <x:f>IF($A18="","",IF(COUNT($O18,$V18,$EX18,$EY18)&lt;4,"",AVERAGE(SQRT($O18*$EY18),SQRT($V18*$EX18))/'Setari model'!$B$88))</x:f>
      </x:c>
      <x:c r="FG18" s="134" t="str">
        <x:f t="shared" si="27">IF($A18="","",IF(COUNT($FC18:$FD18)&lt;2,"",MAX(0,1-AVERAGE($FC18:$FD18))))</x:f>
      </x:c>
      <x:c r="FH18" s="134" t="str">
        <x:f>IF($A18="","",IF(COUNT($EZ18:$FA18)&lt;2,"",'Setari model'!$B$94*AVERAGE($EZ18:$FA18)/'Setari model'!$B$89))</x:f>
      </x:c>
      <x:c r="FI18" s="134" t="str">
        <x:f>IF($A18="","",IF(COUNT($FE18:$FH18)&lt;4,"",MAX('Setari model'!$B$97,MIN('Setari model'!$B$98,1+'Setari model'!$B$90*($FE18-1)+'Setari model'!$B$91*($FF18-1)+'Setari model'!$B$92*$FG18+'Setari model'!$B$93*($FH18-1)))))</x:f>
      </x:c>
      <x:c r="FJ18" s="133" t="str">
        <x:f>IF($A18="","",IF($FI18="","",MIN('Setari model'!$B$101,MAX(0.002,$DZ18*$FI18))))</x:f>
      </x:c>
      <x:c r="FK18" s="131" t="str">
        <x:f t="shared" si="28">IF($A18="","",IF(AND(COUNT($EV18:$FA18)=6,COUNT($O18,$V18,$FC18,$FD18)=4),"DA","NU"))</x:f>
      </x:c>
      <x:c r="FL18" s="131" t="str">
        <x:f>IF($A18="","",IF($FK18&lt;&gt;"DA","NEDETERMINAT",IF($FI18&lt;='Setari model'!$B$99,"SCĂZUT",IF($FI18&lt;='Setari model'!$B$100,"MEDIU","RIDICAT"))))</x:f>
      </x:c>
      <x:c r="FM18" s="131" t="str">
        <x:f>IF($A18="","",IF(AND($AR18&gt;1,$EC18&gt;='Setari model'!$B$106),"DA","NU"))</x:f>
      </x:c>
      <x:c r="FN18" s="131" t="str">
        <x:f t="shared" si="29">IF($A18="","",IF(AND($AU18=1,COUNT($CY18:$DB18)=4),"DA","NU"))</x:f>
      </x:c>
      <x:c r="FO18" s="133" t="str">
        <x:f>IF($A18="","",IF(OR($FK18&lt;&gt;"DA",$FL18="RIDICAT"),'Setari model'!$B$102,IF($FL18="MEDIU",'Setari model'!$B$103,IF(AND($FM18="DA",$FN18="DA"),'Setari model'!$B$105,'Setari model'!$B$104))))</x:f>
      </x:c>
      <x:c r="FP18" s="133" t="str">
        <x:f t="shared" si="30">IF($A18="","",IF($FJ18="","",MIN(1-$FJ18,$FO18)))</x:f>
      </x:c>
      <x:c r="FQ18" s="135" t="str">
        <x:f t="shared" si="31">IF($A18="","",IF($FP18="","",IF($FP18&gt;0,1/$FP18,"")))</x:f>
      </x:c>
      <x:c r="FR18" s="133" t="str">
        <x:f t="shared" si="32">IF($A18="","",IF($EC18="","",$FP18-$EC18))</x:f>
      </x:c>
      <x:c r="FS18" s="133" t="str">
        <x:f t="shared" si="33">IF($A18="","",IF($AR18&gt;1,$FP18*$AR18-1,""))</x:f>
      </x:c>
      <x:c r="FT18" s="136" t="str">
        <x:f>IF($A18="","",MAX(0,MIN(100,$EF18-IF($FK18&lt;&gt;"DA",'Setari model'!$B$107,0)-IF($FL18="MEDIU",'Setari model'!$B$108,0)-IF($FL18="RIDICAT",'Setari model'!$B$109,0))))</x:f>
      </x:c>
      <x:c r="FU18" s="131" t="str">
        <x:f t="shared" si="34">IF($A18="","",IF($AR18&lt;=1,"NU – LIPSEȘTE COTA REALĂ",IF($FK18&lt;&gt;"DA","NU – ZERO-RISK INCOMPLET",IF($FL18&lt;&gt;"SCĂZUT","NU – RISC 0-0 "&amp;$FL18,IF($FN18&lt;&gt;"DA","NU – LINEUP NECONFIRMAT",IF($FM18&lt;&gt;"DA","NU – PIAȚĂ NECONFIRMATĂ",IF($EP18&lt;&gt;"DA","NU – PORTOFOLIU","DA")))))))</x:f>
      </x:c>
      <x:c r="FV18" s="131" t="str">
        <x:f>IF($A18="","",IF($FU18&lt;&gt;"DA","WATCH / NO BET",IF(AND($FP18&gt;='Setari model'!$B$35,$FT18&gt;=100*'Setari model'!$B$76,$FS18&gt;0),"PARIU RECOMANDAT",IF(AND($FP18&gt;='Setari model'!$B$39,$FT18&gt;=100*'Setari model'!$B$40,$FS18&gt;0),"WATCH – APROAPE DE PRAG","PARIU EVITAT"))))</x:f>
      </x:c>
      <x:c r="FW18" s="131" t="str">
        <x:f t="shared" si="35">IF($A18="","",IF($FU18&lt;&gt;"DA",$FU18,IF($FT18&lt;75,"Confidence v3 sub 75.",IF($FP18&lt;0.92,"P v3 sub 92%.",IF($FS18&lt;=0,"EV v3 nepozitiv.","P0 v3, lineup și piață confirmate.")))))</x:f>
      </x:c>
      <x:c r="FX18" s="131" t="str">
        <x:f t="shared" si="36">IF($A18="","","P v3="&amp;TEXT($FP18,"0.0%")&amp;"; P0 v3="&amp;TEXT($FJ18,"0.0%")&amp;"; factor zero="&amp;IF($FI18="","n/a",TEXT($FI18,"0.00x"))&amp;" ("&amp;$FL18&amp;"); cap="&amp;TEXT($FO18,"0.0%")&amp;"; Confidence="&amp;TEXT($FT18,"0")&amp;"/100; lineup="&amp;$FN18&amp;"; piață="&amp;$FM18&amp;"; EV="&amp;IF($FS18="","n/a",TEXT($FS18,"0.0%"))&amp;"; gate="&amp;$FU18&amp;"; verdict="&amp;$FV18&amp;". "&amp;$FW18)</x:f>
      </x:c>
      <x:c r="FY18" s="159"/>
      <x:c r="FZ18" s="159"/>
      <x:c r="GA18" s="157"/>
      <x:c r="GB18" s="157"/>
      <x:c r="GC18" s="161" t="str">
        <x:f t="shared" si="37">IF($A18="","",IF(OR($X18="",$Z18="",$Z18&lt;=0),"",MAX(0.5,MIN(1.5,$X18/$Z18))))</x:f>
      </x:c>
      <x:c r="GD18" s="161" t="str">
        <x:f t="shared" si="38">IF($A18="","",IF(OR($AC18="",$AE18="",$AE18&lt;=0),"",MAX(0.5,MIN(1.5,$AC18/$AE18))))</x:f>
      </x:c>
      <x:c r="GE18" s="162" t="str">
        <x:f t="shared" si="39">IF($A18="","",IF(COUNT($Z18,$AE18)&lt;2,"",AVERAGE($Z18,$AE18)))</x:f>
      </x:c>
      <x:c r="GF18" s="158" t="str">
        <x:f>IF($A18="","",IF(COUNT($FY18:$FZ18)&lt;2,"NEDETERMINAT",IF(AND($FY18&gt;='Setari model'!$B$113,$FZ18&gt;='Setari model'!$B$113),"DA","NU")))</x:f>
      </x:c>
      <x:c r="GG18" s="158" t="str">
        <x:f>IF($A18="","",IF(COUNT($FY18:$FZ18,$EX18:$EY18)&lt;4,"NEDETERMINAT",IF(OR(AND($FY18&gt;='Setari model'!$B$113,$EY18&gt;='Setari model'!$B$114),AND($FZ18&gt;='Setari model'!$B$113,$EX18&gt;='Setari model'!$B$114)),"DA","NU")))</x:f>
      </x:c>
      <x:c r="GH18" s="158" t="str">
        <x:f>IF($A18="","",IF(COUNT($BJ18:$BN18,$GC18:$GE18)&lt;8,"NEDETERMINAT",IF(AND((($BJ18*INDEX('Setari model'!$B$5:$B$11,MATCH($E18,'Setari model'!$A$5:$A$11,0))+$BK18*INDEX('Setari model'!$C$5:$C$11,MATCH($E18,'Setari model'!$A$5:$A$11,0))+$BL18*INDEX('Setari model'!$D$5:$D$11,MATCH($E18,'Setari model'!$A$5:$A$11,0))+$BM18*INDEX('Setari model'!$E$5:$E$11,MATCH($E18,'Setari model'!$A$5:$A$11,0))+$BN18*INDEX('Setari model'!$F$5:$F$11,MATCH($E18,'Setari model'!$A$5:$A$11,0)))/(INDEX('Setari model'!$B$5:$B$11,MATCH($E18,'Setari model'!$A$5:$A$11,0))+INDEX('Setari model'!$C$5:$C$11,MATCH($E18,'Setari model'!$A$5:$A$11,0))+INDEX('Setari model'!$D$5:$D$11,MATCH($E18,'Setari model'!$A$5:$A$11,0))+INDEX('Setari model'!$E$5:$E$11,MATCH($E18,'Setari model'!$A$5:$A$11,0))+INDEX('Setari model'!$F$5:$F$11,MATCH($E18,'Setari model'!$A$5:$A$11,0))))*$BR18&gt;='Setari model'!$B$115,(($BJ18*INDEX('Setari model'!$B$5:$B$11,MATCH($E18,'Setari model'!$A$5:$A$11,0))+$BK18*INDEX('Setari model'!$C$5:$C$11,MATCH($E18,'Setari model'!$A$5:$A$11,0))+$BL18*INDEX('Setari model'!$D$5:$D$11,MATCH($E18,'Setari model'!$A$5:$A$11,0))+$BM18*INDEX('Setari model'!$E$5:$E$11,MATCH($E18,'Setari model'!$A$5:$A$11,0))+$BN18*INDEX('Setari model'!$F$5:$F$11,MATCH($E18,'Setari model'!$A$5:$A$11,0)))/(INDEX('Setari model'!$B$5:$B$11,MATCH($E18,'Setari model'!$A$5:$A$11,0))+INDEX('Setari model'!$C$5:$C$11,MATCH($E18,'Setari model'!$A$5:$A$11,0))+INDEX('Setari model'!$D$5:$D$11,MATCH($E18,'Setari model'!$A$5:$A$11,0))+INDEX('Setari model'!$E$5:$E$11,MATCH($E18,'Setari model'!$A$5:$A$11,0))+INDEX('Setari model'!$F$5:$F$11,MATCH($E18,'Setari model'!$A$5:$A$11,0))))*$BR18&lt;='Setari model'!$B$116,AVERAGE($GC18:$GD18)&lt;='Setari model'!$B$117,$GE18&gt;='Setari model'!$B$118),"DA","NU")))</x:f>
      </x:c>
      <x:c r="GI18" s="158" t="str">
        <x:f>IF($A18="","",IF(COUNT($W18,$AB18,$GA18:$GB18)&lt;4,"NEDETERMINAT",IF(AND($W18&gt;='Setari model'!$B$120,$AB18&gt;='Setari model'!$B$120,OR(IFERROR($GA18/$W18,0)&gt;='Setari model'!$B$119,IFERROR($GB18/$AB18,0)&gt;='Setari model'!$B$119)),"DA","NU")))</x:f>
      </x:c>
      <x:c r="GJ18" s="160" t="str">
        <x:f>IF($A18="","",IF(COUNT($FY18:$GB18)&lt;4,"",IF($GH18&lt;&gt;"DA",0,'Setari model'!$B$121*IF($GF18="DA",1,0)+'Setari model'!$B$122*IF($GG18="DA",1,0)+'Setari model'!$B$123+'Setari model'!$B$124*IF($GI18="DA",1,0))))</x:f>
      </x:c>
      <x:c r="GK18" s="161" t="str">
        <x:f>IF($A18="","",IF(COUNT($GJ18)=0,"",1+'Setari model'!$B$125*$GJ18))</x:f>
      </x:c>
      <x:c r="GL18" s="160" t="str">
        <x:f>IF($A18="","",IF($GM18&lt;&gt;"DA",$FJ18,MIN('Setari model'!$B$101,MAX(0.002,$FJ18*$GK18))))</x:f>
      </x:c>
      <x:c r="GM18" s="158" t="str">
        <x:f>IF($A18="","",IF(AND($FK18="DA",COUNT($FY18:$GB18)=4,COUNT($I18,$P18,$W18,$AB18,$Z18,$AE18,$EX18,$EY18,$GC18,$GD18)=10,COUNT($BJ18:$BN18)=5),"DA","NU"))</x:f>
      </x:c>
      <x:c r="GN18" s="158" t="str">
        <x:f>IF($A18="","",IF($GM18&lt;&gt;"DA","NEDETERMINAT",IF($FI18*$GK18&lt;='Setari model'!$B$99,"SCĂZUT",IF($FI18*$GK18&lt;='Setari model'!$B$100,"MEDIU","RIDICAT"))))</x:f>
      </x:c>
      <x:c r="GO18" s="160" t="str">
        <x:f>IF($A18="","",IF(OR($GM18&lt;&gt;"DA",$GN18="RIDICAT"),'Setari model'!$B$102,IF($GN18="MEDIU",'Setari model'!$B$103,IF(AND($FM18="DA",$FN18="DA"),'Setari model'!$B$105,'Setari model'!$B$104))))</x:f>
      </x:c>
      <x:c r="GP18" s="160" t="str">
        <x:f t="shared" si="40">IF($A18="","",IF($GL18="","",MIN(1-$GL18,$GO18)))</x:f>
      </x:c>
      <x:c r="GQ18" s="162" t="str">
        <x:f t="shared" si="41">IF($A18="","",IF($GP18="","",IF($GP18&gt;0,1/$GP18,"")))</x:f>
      </x:c>
      <x:c r="GR18" s="160" t="str">
        <x:f t="shared" si="42">IF($A18="","",IF($EC18="","",$GP18-$EC18))</x:f>
      </x:c>
      <x:c r="GS18" s="160" t="str">
        <x:f t="shared" si="43">IF($A18="","",IF($AR18&gt;1,$GP18*$AR18-1,""))</x:f>
      </x:c>
      <x:c r="GT18" s="163" t="str">
        <x:f>IF($A18="","",MAX(0,MIN(100,$FT18-IF(AND($GM18&lt;&gt;"DA",$FK18="DA"),'Setari model'!$B$107,0)-'Setari model'!$B$126*IF($GJ18="",0,$GJ18))))</x:f>
      </x:c>
      <x:c r="GU18" s="158" t="str">
        <x:f t="shared" si="44">IF($A18="","",IF($AR18&lt;=1,"NU – LIPSEȘTE COTA REALĂ",IF($GM18&lt;&gt;"DA","NU – DATE LOW-CONVERSION INCOMPLETE",IF($GN18&lt;&gt;"SCĂZUT","NU – RISC 0-0 "&amp;$GN18,IF($FN18&lt;&gt;"DA","NU – LINEUP NECONFIRMAT",IF($FM18&lt;&gt;"DA","NU – PIAȚĂ NECONFIRMATĂ",IF($EP18&lt;&gt;"DA","NU – PORTOFOLIU","DA")))))))</x:f>
      </x:c>
      <x:c r="GV18" s="158" t="str">
        <x:f>IF($A18="","",IF($GU18&lt;&gt;"DA","WATCH / NO BET",IF(AND($GP18&gt;='Setari model'!$B$35,$GT18&gt;=100*'Setari model'!$B$76,$GS18&gt;0),"PARIU RECOMANDAT",IF(AND($GP18&gt;='Setari model'!$B$39,$GT18&gt;=100*'Setari model'!$B$40,$GS18&gt;0),"WATCH – APROAPE DE PRAG","PARIU EVITAT"))))</x:f>
      </x:c>
      <x:c r="GW18" s="158" t="str">
        <x:f t="shared" si="45">IF($A18="","",IF($GU18&lt;&gt;"DA",$GU18,IF($GT18&lt;75,"Confidence v5 sub 75.",IF($GP18&lt;0.92,"P v5 sub 92%.",IF($GS18&lt;=0,"EV v5 nepozitiv.",IF($GJ18&gt;0,"Low-conversion absorbit în P0; toate porțile rămân trecute.","Toate porțile v5 sunt trecute."))))))</x:f>
      </x:c>
      <x:c r="GX18" s="158" t="str">
        <x:f t="shared" si="46">IF($A18="","","P v5="&amp;TEXT($GP18,"0.0%")&amp;"; P0 v5="&amp;TEXT($GL18,"0.0%")&amp;"; low-conv="&amp;IF(COUNT($GJ18)=0,"n/a",TEXT($GJ18,"0%"))&amp;"; mult.P0="&amp;IF(COUNT($GK18)=0,"n/a",TEXT($GK18,"0.00"))&amp;"; clasă="&amp;$GN18&amp;"; cap="&amp;TEXT($GO18,"0.0%")&amp;"; Confidence="&amp;TEXT($GT18,"0")&amp;"/100; lineup="&amp;$FN18&amp;"; piață="&amp;$FM18&amp;"; EV="&amp;IF($GS18="","n/a",TEXT($GS18,"0.0%"))&amp;"; gate="&amp;$GU18&amp;"; verdict="&amp;$GV18&amp;". "&amp;$GW18)</x:f>
      </x:c>
      <x:c r="GY18" s="174" t="str">
        <x:f>IF($A18="","",IF($GM18&lt;&gt;"DA","SOURCING INCOMPLETE – REVIEW REQUIRED",IF(MIN($I18,$P18,$W18,$AB18)&lt;'Setari model'!$B$58,"SMALL SAMPLE + PRIOR / SHRINKAGE","VERIFIED / PRIOR / SHRINKAGE")))</x:f>
      </x:c>
      <x:c r="GZ18" s="175" t="str">
        <x:f t="shared" si="47">IF($A18="","",MAX(0,MIN(100,100*(1-AVERAGE(IF($GM18="DA",1,0),MIN(1,$AT18/5))))))</x:f>
      </x:c>
      <x:c r="HA18" s="175" t="str">
        <x:f>IF($A18="","",IF($GM18&lt;&gt;"DA","",MAX(0,MIN(100,100*(($FI18*$GK18)-'Setari model'!$B$97)/('Setari model'!$B$98-'Setari model'!$B$97)))))</x:f>
      </x:c>
      <x:c r="HB18" s="175" t="str">
        <x:f>IF($A18="","",MAX(0,MIN(100,100*(ABS($BR18-1)/MAX(1-'Setari model'!$B$53,'Setari model'!$B$54-1)+MIN(1,$BG18/2))/2)))</x:f>
      </x:c>
      <x:c r="HC18" s="175" t="str">
        <x:f t="shared" si="48">IF($A18="","",MAX(0,MIN(100,100*(1-AVERAGE($CC18,MAX(0,1-(MAX($BJ18:$BN18)-MIN($BJ18:$BN18))/(AVERAGE($BJ18:$BN18)*'Setari model'!$B$45)))))))</x:f>
      </x:c>
      <x:c r="HD18" s="175" t="str">
        <x:f t="shared" si="49">IF($A18="","",MAX(0,MIN(100,100*MAX(IF($GJ18="",0,$GJ18),MIN(1,$BG18/2)))))</x:f>
      </x:c>
      <x:c r="HE18" s="175" t="str">
        <x:f>IF($A18="","",IF(COUNT($GZ18:$HD18)&lt;5,"",$GZ18*Risk_Classification!$E$28+$HA18*Risk_Classification!$E$29+$HB18*Risk_Classification!$E$30+$HC18*Risk_Classification!$E$31+$HD18*Risk_Classification!$E$32))</x:f>
      </x:c>
      <x:c r="HF18" s="176" t="str">
        <x:f t="shared" si="50">IF($A18="","",IF($HE18="","",IF($HE18&lt;=20,1,IF($HE18&lt;=40,2,IF($HE18&lt;=60,3,IF($HE18&lt;=80,4,5))))))</x:f>
      </x:c>
      <x:c r="HG18" s="176" t="str">
        <x:f t="shared" si="51">IF($A18="","",IF($GM18="DA","PASS","FAIL – DATE CRITICE ZERO-MASS INCOMPLETE"))</x:f>
      </x:c>
      <x:c r="HH18" s="176" t="str">
        <x:f t="shared" si="52">IF($A18="","",IF($HG18&lt;&gt;"PASS",5,$HF18))</x:f>
      </x:c>
      <x:c r="HI18" s="174" t="str">
        <x:f t="shared" si="53">IF($A18="","",IF($HH18="","N/A",IF($HH18=1,"DEFENSIV",IF($HH18=2,"PRUDENT",IF($HH18=3,"MODERAT",IF($HH18=4,"RIDICAT","WATCH / NO BET"))))))</x:f>
      </x:c>
      <x:c r="HJ18" s="177" t="str">
        <x:f t="shared" si="54">IF($A18="","","Data="&amp;$GY18&amp;"; DQ="&amp;TEXT($GZ18,"0.0")&amp;"; ZM="&amp;IF($HA18="","n/a",TEXT($HA18,"0.0"))&amp;"; Context="&amp;TEXT($HB18,"0.0")&amp;"; Uncertainty="&amp;TEXT($HC18,"0.0")&amp;"; Compound="&amp;TEXT($HD18,"0.0")&amp;"; Risk Score="&amp;IF($HE18="","n/a",TEXT($HE18,"0.0"))&amp;"; Base="&amp;IF($HF18="","n/a",$HF18)&amp;"; G0="&amp;$HG18&amp;"; Final="&amp;$HH18&amp;". Cota, EV si lineup sunt informative si nu intra in recomandare.")</x:f>
      </x:c>
      <x:c r="HK18" s="174" t="str">
        <x:f t="shared" si="55">IF($A18="","",$HI18)</x:f>
      </x:c>
    </x:row>
    <x:row r="19" ht="24" customHeight="1">
      <x:c r="A19" s="58"/>
      <x:c r="B19" s="24"/>
      <x:c r="C19" s="59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18"/>
      <x:c r="O19" s="18"/>
      <x:c r="P19" s="24"/>
      <x:c r="Q19" s="24"/>
      <x:c r="R19" s="24"/>
      <x:c r="S19" s="24"/>
      <x:c r="T19" s="24"/>
      <x:c r="U19" s="18"/>
      <x:c r="V19" s="18"/>
      <x:c r="W19" s="24"/>
      <x:c r="X19" s="24"/>
      <x:c r="Y19" s="24"/>
      <x:c r="Z19" s="24"/>
      <x:c r="AA19" s="24"/>
      <x:c r="AB19" s="24"/>
      <x:c r="AC19" s="24"/>
      <x:c r="AD19" s="24"/>
      <x:c r="AE19" s="24"/>
      <x:c r="AF19" s="24"/>
      <x:c r="AG19" s="24"/>
      <x:c r="AH19" s="24"/>
      <x:c r="AI19" s="18"/>
      <x:c r="AJ19" s="24"/>
      <x:c r="AK19" s="24"/>
      <x:c r="AL19" s="24"/>
      <x:c r="AM19" s="18"/>
      <x:c r="AN19" s="24"/>
      <x:c r="AO19" s="60"/>
      <x:c r="AP19" s="60"/>
      <x:c r="AQ19" s="60"/>
      <x:c r="AR19" s="60"/>
      <x:c r="AS19" s="60"/>
      <x:c r="AT19" s="24"/>
      <x:c r="AU19" s="24"/>
      <x:c r="AV19" s="24"/>
      <x:c r="AW19" s="24"/>
      <x:c r="AX19" s="24"/>
      <x:c r="AY19" s="24"/>
      <x:c r="AZ19" s="24"/>
      <x:c r="BA19" s="24"/>
      <x:c r="BB19" s="24"/>
      <x:c r="BC19" s="24"/>
      <x:c r="BD19" s="24"/>
      <x:c r="BE19" s="24"/>
      <x:c r="BF19" s="24"/>
      <x:c r="BG19" s="24"/>
      <x:c r="BH19" s="61"/>
      <x:c r="BI19" s="61"/>
      <x:c r="BJ19" s="62" t="str">
        <x:f>IF($A19="","",SQRT((($I19*IF($J19="",$AJ19,$J19)+'Setari model'!$B$30*$AJ19)/($I19+'Setari model'!$B$30))*(($P19*IF($R19="",$AJ19,$R19)+'Setari model'!$B$30*$AJ19)/($P19+'Setari model'!$B$30)))+SQRT((($P19*IF($Q19="",$AK19,$Q19)+'Setari model'!$B$30*$AK19)/($P19+'Setari model'!$B$30))*(($I19*IF($K19="",$AK19,$K19)+'Setari model'!$B$30*$AK19)/($I19+'Setari model'!$B$30))))</x:f>
      </x:c>
      <x:c r="BK19" s="62" t="str">
        <x:f>IF($A19="","",SQRT((($I19*IF($L19="",IF($J19="",$AJ19,$J19),$L19)+'Setari model'!$B$30*$AJ19)/($I19+'Setari model'!$B$30))*(($P19*IF($T19="",IF($R19="",$AJ19,$R19),$T19)+'Setari model'!$B$30*$AJ19)/($P19+'Setari model'!$B$30)))+SQRT((($P19*IF($S19="",IF($Q19="",$AK19,$Q19),$S19)+'Setari model'!$B$30*$AK19)/($P19+'Setari model'!$B$30))*(($I19*IF($M19="",IF($K19="",$AK19,$K19),$M19)+'Setari model'!$B$30*$AK19)/($I19+'Setari model'!$B$30))))</x:f>
      </x:c>
      <x:c r="BL19" s="62" t="str">
        <x:f>IF($A19="","",SQRT((($W19*IF($X19="",$AL19/2,$X19)+'Setari model'!$B$31*$AL19/2)/($W19+'Setari model'!$B$31))*(($AB19*IF($AD19="",$AL19/2,$AD19)+'Setari model'!$B$31*$AL19/2)/($AB19+'Setari model'!$B$31)))+SQRT((($AB19*IF($AC19="",$AL19/2,$AC19)+'Setari model'!$B$31*$AL19/2)/($AB19+'Setari model'!$B$31))*(($W19*IF($Y19="",$AL19/2,$Y19)+'Setari model'!$B$31*$AL19/2)/($W19+'Setari model'!$B$31))))</x:f>
      </x:c>
      <x:c r="BM19" s="62" t="str">
        <x:f>IF($A19="","",SQRT((($W19*IF($Z19="",IF($X19="",$AL19/2,$X19),$Z19)+'Setari model'!$B$31*$AL19/2)/($W19+'Setari model'!$B$31))*(($AB19*IF($AF19="",IF($AD19="",$AL19/2,$AD19),$AF19)+'Setari model'!$B$31*$AL19/2)/($AB19+'Setari model'!$B$31)))+SQRT((($AB19*IF($AE19="",IF($AC19="",$AL19/2,$AC19),$AE19)+'Setari model'!$B$31*$AL19/2)/($AB19+'Setari model'!$B$31))*(($W19*IF($AA19="",IF($Y19="",$AL19/2,$Y19),$AA19)+'Setari model'!$B$31*$AL19/2)/($W19+'Setari model'!$B$31))))</x:f>
      </x:c>
      <x:c r="BN19" s="62" t="str">
        <x:f t="shared" si="0">IF($A19="","",IF($AG19&gt;0,($AG19*IF($AH19="",$AL19,$AH19)+5*$AL19)/($AG19+5),$AL19))</x:f>
      </x:c>
      <x:c r="BO19" s="63" t="str">
        <x:f>IF($A19="","",IF($AR19&gt;1,IF($AS19&gt;1,(1/$AR19)/((1/$AR19+1/$AS19)),MIN(0.995,(1/$AR19)/(1+'Setari model'!$B$32))),1-EXP(-$AL19)))</x:f>
      </x:c>
      <x:c r="BP19" s="62" t="str">
        <x:f t="shared" si="1">IF($A19="","",-LN(1-$BO19))</x:f>
      </x:c>
      <x:c r="BQ19" s="62" t="str">
        <x:f>IF($A19="","",$BJ19*INDEX('Setari model'!$B$5:$B$11,MATCH($E19,'Setari model'!$A$5:$A$11,0))+$BK19*INDEX('Setari model'!$C$5:$C$11,MATCH($E19,'Setari model'!$A$5:$A$11,0))+$BL19*INDEX('Setari model'!$D$5:$D$11,MATCH($E19,'Setari model'!$A$5:$A$11,0))+$BM19*INDEX('Setari model'!$E$5:$E$11,MATCH($E19,'Setari model'!$A$5:$A$11,0))+$BN19*INDEX('Setari model'!$F$5:$F$11,MATCH($E19,'Setari model'!$A$5:$A$11,0))+$BP19*INDEX('Setari model'!$G$5:$G$11,MATCH($E19,'Setari model'!$A$5:$A$11,0)))</x:f>
      </x:c>
      <x:c r="BR19" s="64" t="str">
        <x:f>IF($A19="","",MAX('Setari model'!$B$53,MIN('Setari model'!$B$54,1+($AV19*'Setari model'!$B$15+$AW19*'Setari model'!$B$16+$AX19*'Setari model'!$B$17+$AY19*'Setari model'!$B$18+$AZ19*'Setari model'!$B$19+$BA19*'Setari model'!$B$20+$BB19*'Setari model'!$B$21+$BC19*'Setari model'!$B$22+$BD19*'Setari model'!$B$23+$BE19*'Setari model'!$B$24+$BF19*'Setari model'!$B$25)*INDEX('Setari model'!$H$5:$H$11,MATCH($E19,'Setari model'!$A$5:$A$11,0)))))</x:f>
      </x:c>
      <x:c r="BS19" s="62" t="str">
        <x:f t="shared" si="2">IF($A19="","",$BQ19*$BR19)</x:f>
      </x:c>
      <x:c r="BT19" s="63" t="str">
        <x:f t="shared" si="3">IF($A19="","",EXP(-$BS19))</x:f>
      </x:c>
      <x:c r="BU19" s="65" t="str">
        <x:f>IF($A19="","",IF(OR($AM19="",$AN19=""),1,1+MIN('Setari model'!$B$33,$AN19/100*'Setari model'!$B$33)*($AM19/EXP(-$AL19)-1)))</x:f>
      </x:c>
      <x:c r="BV19" s="63" t="str">
        <x:f>IF($A19="","",MIN(0.45,MAX(0.005,(1-'Setari model'!$B$34*MIN(1,($I19+$P19)/20))*MIN(0.45,$BT19*$BU19)+'Setari model'!$B$34*MIN(1,($I19+$P19)/20)*IF(COUNT($N19,$U19)=2,SQRT(MAX(0,1-$N19)*MAX(0,1-$U19)),IF($AM19="",EXP(-$AL19),$AM19)))))</x:f>
      </x:c>
      <x:c r="BW19" s="63" t="str">
        <x:f t="shared" si="4">IF($A19="","",1-$BV19)</x:f>
      </x:c>
      <x:c r="BX19" s="62" t="str">
        <x:f t="shared" si="5">IF($A19="","",1/$BW19)</x:f>
      </x:c>
      <x:c r="BY19" s="63" t="str">
        <x:f t="shared" si="6">IF($A19="","",$BO19)</x:f>
      </x:c>
      <x:c r="BZ19" s="63" t="str">
        <x:f t="shared" si="7">IF($A19="","",$BW19-$BY19)</x:f>
      </x:c>
      <x:c r="CA19" s="63" t="str">
        <x:f t="shared" si="8">IF($A19="","",IF($AR19&gt;1,$BW19*$AR19-1,""))</x:f>
      </x:c>
      <x:c r="CB19" s="63" t="str">
        <x:f>IF($A19="","",MIN(1,COUNT($I19:$AN19,$AR19:$BG19)/'Setari model'!$B$46))</x:f>
      </x:c>
      <x:c r="CC19" s="63" t="str">
        <x:f t="shared" si="9">IF($A19="","",0.25*MIN(1,$I19/10)+0.25*MIN(1,$P19/10)+0.15*MIN(1,$W19/5)+0.15*MIN(1,$AB19/5)+0.1*MIN(1,$AG19/5)+0.1*MIN(1,$AN19/100))</x:f>
      </x:c>
      <x:c r="CD19" s="63" t="str">
        <x:f>IF($A19="","",MAX(0,1-(MAX($BJ19:$BN19,$BP19)-MIN($BJ19:$BN19,$BP19))/(AVERAGE($BJ19:$BN19,$BP19)*'Setari model'!$B$45)))</x:f>
      </x:c>
      <x:c r="CE19" s="66" t="str">
        <x:f>IF($A19="","",MAX(0,MIN(100,100*INDEX('Setari model'!$I$5:$I$11,MATCH($E19,'Setari model'!$A$5:$A$11,0))*('Setari model'!$B$47*$CB19+'Setari model'!$B$48*$CC19+'Setari model'!$B$49*$CD19+'Setari model'!$B$50*$AT19/5+'Setari model'!$B$51*$AU19)-100*'Setari model'!$B$52*$BG19)))</x:f>
      </x:c>
      <x:c r="CF19" s="65" t="str">
        <x:f t="shared" si="10">IF($A19="","",IF(OR($AT19&lt;3,$BG19&gt;=2,$CB19&lt;0.55,$CC19&lt;0.4),"RIDICAT",IF(OR($AU19=0,$CD19&lt;0.45,$BR19&lt;0.9),"MEDIU","SCĂZUT")))</x:f>
      </x:c>
      <x:c r="CG19" s="65" t="str">
        <x:f>IF($A19="","",IF($AR19&gt;1,IF(AND($BW19&gt;= 'Setari model'!$B$35,$CE19&gt;=100*'Setari model'!$B$36,$BZ19&gt;= 'Setari model'!$B$37,$CA19&gt;= 'Setari model'!$B$38,$CF19&lt;&gt;"RIDICAT"),"PARIU RECOMANDAT",IF(AND($BW19&gt;= 'Setari model'!$B$39,$CE19&gt;=100*'Setari model'!$B$40,$BZ19&gt;= 'Setari model'!$B$41,$CA19&gt;=0,$CF19&lt;&gt;"RIDICAT"),"RECOMANDAT CU PRUDENȚĂ",IF(AND($BW19&gt;= 'Setari model'!$B$42,$CE19&gt;=100*'Setari model'!$B$43),"ANALIZĂ NECONCLUDENTĂ","PARIU EVITAT"))),IF(AND($BW19&gt;= 'Setari model'!$B$35,$CE19&gt;=100*'Setari model'!$B$36,$CF19&lt;&gt;"RIDICAT"),"FAVORABIL STATISTIC – VERIFICĂ COTA",IF(AND($BW19&gt;= 'Setari model'!$B$42,$CE19&gt;=100*'Setari model'!$B$43),"ANALIZĂ NECONCLUDENTĂ","PARIU EVITAT"))))</x:f>
      </x:c>
      <x:c r="CH19" s="67" t="str">
        <x:f t="shared" si="11">IF($A19="","","P(O0,5)="&amp;TEXT($BW19,"0.0%")&amp;"; λ ajustat="&amp;TEXT($BS19,"0.00")&amp;"; Confidence="&amp;TEXT($CE19,"0")&amp;"/100; Edge="&amp;TEXT($BZ19,"0.0%")&amp;"; risc="&amp;$CF19&amp;". "&amp;$BH19)</x:f>
      </x:c>
      <x:c r="CI19" s="68" t="str">
        <x:f t="shared" si="12">IF($A19="","",$BI19)</x:f>
      </x:c>
      <x:c r="CJ19" s="112"/>
      <x:c r="CK19" s="112"/>
      <x:c r="CL19" s="112"/>
      <x:c r="CM19" s="112"/>
      <x:c r="CN19" s="112"/>
      <x:c r="CO19" s="112"/>
      <x:c r="CP19" s="112"/>
      <x:c r="CQ19" s="112"/>
      <x:c r="CR19" s="112"/>
      <x:c r="CS19" s="112"/>
      <x:c r="CT19" s="112"/>
      <x:c r="CU19" s="112"/>
      <x:c r="CV19" s="112"/>
      <x:c r="CW19" s="112"/>
      <x:c r="CX19" s="112"/>
      <x:c r="CY19" s="112"/>
      <x:c r="CZ19" s="112"/>
      <x:c r="DA19" s="112"/>
      <x:c r="DB19" s="112"/>
      <x:c r="DC19" s="114"/>
      <x:c r="DD19" s="114"/>
      <x:c r="DE19" s="112" t="s">
        <x:v>266</x:v>
      </x:c>
      <x:c r="DF19" s="112"/>
      <x:c r="DG19" s="112"/>
      <x:c r="DH19" s="112"/>
      <x:c r="DI19" s="112"/>
      <x:c r="DJ19" s="112"/>
      <x:c r="DK19" s="112"/>
      <x:c r="DL19" s="112"/>
      <x:c r="DM19" s="112"/>
      <x:c r="DN19" s="112"/>
      <x:c r="DO19" s="112"/>
      <x:c r="DP19" s="112"/>
      <x:c r="DQ19" s="114"/>
      <x:c r="DR19" s="112">
        <x:v>1</x:v>
      </x:c>
      <x:c r="DS19" s="116">
        <x:v>0</x:v>
      </x:c>
      <x:c r="DT19" s="120"/>
      <x:c r="DU19" s="116">
        <x:v>0.02</x:v>
      </x:c>
      <x:c r="DV19" s="116">
        <x:v>0.25</x:v>
      </x:c>
      <x:c r="DW19" s="118" t="str">
        <x:f>IF($A19="","",MAX('Setari model'!$B$71,MIN('Setari model'!$B$72,1+0.08*(IFERROR(AVERAGE($CM19:$CN19)/'Setari model'!$B$66,1)-1)+0.08*(IFERROR(AVERAGE($CO19:$CP19)/'Setari model'!$B$67,1)-1)+0.06*(IFERROR(AVERAGE($CQ19:$CR19)/'Setari model'!$B$68,1)-1)+0.04*(IFERROR(AVERAGE($CS19:$CT19)/'Setari model'!$B$69,1)-1)+0.04*(IFERROR(AVERAGE($CU19:$CV19)/'Setari model'!$B$70,1)-1)-'Setari model'!$B$73*IFERROR(AVERAGE($CW19:$CX19),0))))</x:f>
      </x:c>
      <x:c r="DX19" s="118" t="str">
        <x:f>IF($A19="","",1+'Setari model'!$B$62*MAX(IF(OR($CK19=1,$CL19=1),1,0),IF(AND($CJ19&lt;&gt;"",$CJ19&lt;=1),1,0))+'Setari model'!$B$63*IF(AND($CJ19&gt;1,$CJ19&lt;=3),1,0))</x:f>
      </x:c>
      <x:c r="DY19" s="118" t="str">
        <x:f>IF($A19="","",1+'Setari model'!$B$74*(IF($CY19="",0,IF($CY19=0,1,0))+IF($CZ19="",0,IF($CZ19=0,1,0)))+'Setari model'!$B$75*(IF($DA19="",0,IF($DA19=0,1,0))+IF($DB19="",0,IF($DB19=0,1,0))))</x:f>
      </x:c>
      <x:c r="DZ19" s="117" t="str">
        <x:f>IF($A19="","",MIN(0.6,MAX(0.002,(((1-'Setari model'!$B$34*MIN(1,($I19+$P19)/20))*$BT19+'Setari model'!$B$34*MIN(1,($I19+$P19)/20)*IF(COUNT($N19,$U19)=2,SQRT(MAX(0,1-$N19)*MAX(0,1-$U19)),$BT19))*(1-'Setari model'!$B$65*MIN(1,IF($AN19="",0,$AN19/'Setari model'!$B$64)))+'Setari model'!$B$65*MIN(1,IF($AN19="",0,$AN19/'Setari model'!$B$64))*IF($AM19="",$BT19,$AM19))*$DX19*$DY19/$DW19)))</x:f>
      </x:c>
      <x:c r="EA19" s="117" t="str">
        <x:f>IF($A19="","",MIN(1-$DZ19,IF(OR(MIN($I19,$P19)&lt;'Setari model'!$B$58,$CK19=1,$CL19=1,AND($CJ19&lt;&gt;"",$CJ19&lt;=1)),'Setari model'!$B$59,IF(AND($AU19=1,$AR19&gt;1,COUNT($CY19:$DB19)=4),'Setari model'!$B$61,'Setari model'!$B$60))))</x:f>
      </x:c>
      <x:c r="EB19" s="115" t="str">
        <x:f t="shared" si="13">IF($A19="","",1/$EA19)</x:f>
      </x:c>
      <x:c r="EC19" s="117" t="str">
        <x:f t="shared" si="14">IF($A19="","",IF($AR19&gt;1,IF($AS19&gt;1,(1/$AR19)/((1/$AR19)+(1/$AS19)),1/$AR19),""))</x:f>
      </x:c>
      <x:c r="ED19" s="117" t="str">
        <x:f t="shared" si="15">IF($A19="","",IF($EC19="","",$EA19-$EC19))</x:f>
      </x:c>
      <x:c r="EE19" s="117" t="str">
        <x:f t="shared" si="16">""</x:f>
      </x:c>
      <x:c r="EF19" s="119" t="str">
        <x:f>IF($A19="","",MAX(0,MIN(100,$CE19-200*MAX(0,$EG19-'Setari model'!$B$77)-IF($AU19&lt;&gt;1,10,0)-IF(COUNT($CY19:$DB19)&lt;4,4,0))))</x:f>
      </x:c>
      <x:c r="EG19" s="117" t="str">
        <x:f>IF($A19="","",'Setari model'!$B$77+IF(MIN($I19,$P19)&lt;'Setari model'!$B$58,0.03,0)+IF(OR($CK19=1,$CL19=1,AND($CJ19&lt;&gt;"",$CJ19&lt;=1)),0.03,0)+IF($AG19=0,0.02,0)+0.03*(1-MIN(1,COUNT($CM19:$CV19)/10))+0.03*(1-MIN(1,IF($AN19="",0,$AN19/'Setari model'!$B$64)))+IF($AR19&lt;=1,0.02,0))</x:f>
      </x:c>
      <x:c r="EH19" s="113" t="str">
        <x:f>IF($A19="","",IF(OR(MIN($I19,$P19)&lt;'Setari model'!$B$58,$CK19=1,$CL19=1,AND($CJ19&lt;&gt;"",$CJ19&lt;=1)),"92% – early/regim",IF(AND($AU19=1,$AR19&gt;1,COUNT($CY19:$DB19)=4),"94% – confirmat","93% – standard")))</x:f>
      </x:c>
      <x:c r="EI19" s="113" t="str">
        <x:f t="shared" si="17">IF($A19="","",IF(AND($EA19&gt;0.9,$AU19&lt;&gt;1),"WAIT XI – HIGH P",IF(AND($EA19&gt;0.9,COUNT($CY19:$DB19)&lt;4),"WAIT DATE CHEIE – HIGH P",IF($EP19&lt;&gt;"DA","NU – PORTOFOLIU","DA"))))</x:f>
      </x:c>
      <x:c r="EJ19" s="117" t="str">
        <x:f t="shared" si="18">IF($A19="","",IF($DE19&lt;&gt;"Live 20-30","",IF(SUM($DG19:$DH19)&gt;0,1,IF($EU19="","",1-MIN(0.95,MAX(0.001,EXP(-$EU19)*$DX19*$DY19/$DW19))))))</x:f>
      </x:c>
      <x:c r="EK19" s="117" t="str">
        <x:f t="shared" si="19">""</x:f>
      </x:c>
      <x:c r="EL19" s="113" t="str">
        <x:f>IF($A19="","",IF($DE19="Live 20-30",IF(SUM($DG19:$DH19)&gt;0,"EVENIMENT ÎNDEPLINIT",IF(OR($DF19="",COUNT($DI19:$DN19)&lt;4),"LIVE – WATCH",IF($EJ19&gt;=0.75,"LIVE – FEZABIL TEHNIC","LIVE – NO BET"))),IF($EI19&lt;&gt;"DA","WATCH / NO BET",IF(AND($EA19&gt;=INDEX('Setari model'!$B$35:$B$40,1),$EF19&gt;=100*'Setari model'!$B$76),"PARIU RECOMANDAT",IF(AND($EA19&gt;=INDEX('Setari model'!$B$35:$B$40,5),$EF19&gt;=100*'Setari model'!$B$40),"WATCH – APROAPE DE PRAG","PARIU EVITAT")))))</x:f>
      </x:c>
      <x:c r="EM19" s="113" t="str">
        <x:f t="shared" si="20">IF($A19="","",IF($DE19="Live 20-30",IF(SUM($DG19:$DH19)&gt;0,"Gol deja marcat.",IF($DF19="","Minut live lipsă.",IF(COUNT($DI19:$DN19)&lt;4,"Lipsesc xG/SOT/big chances live.",IF($EJ19&lt;0.75,"P live sub prag.","Semnal live tehnic complet; EV ignorat.")))),IF($EI19&lt;&gt;"DA",$EI19,IF($EF19&lt;75,"Confidence sub 75.",IF($EA19&lt;0.92,"P sub 92%.","G0/Zero-Mass + confidence trecute; EV ignorat.")))))</x:f>
      </x:c>
      <x:c r="EN19" s="117" t="str">
        <x:f>IF($A19="","",IF(OR($EL19="PARIU RECOMANDAT",$EL19="LIVE – FEZABIL"),MIN(IF($DU19&gt;0,$DU19,'Setari model'!$B$81)/MAX(1,$DR19),IF($DV19&gt;0,$DV19,'Setari model'!$B$80)*MAX(0,((IF($DE19="Live 20-30",$EJ19,$EA19)*IF($DE19="Live 20-30",$DQ19,$AR19)-1)/(IF($DE19="Live 20-30",$DQ19,$AR19)-1)))),0))</x:f>
      </x:c>
      <x:c r="EO19" s="121" t="str">
        <x:f t="shared" si="21">IF($A19="","",IF(AND($EN19&gt;0,$DT19&gt;0),$EN19*$DT19,""))</x:f>
      </x:c>
      <x:c r="EP19" s="113" t="str">
        <x:f>IF($A19="","",IF(OR($DR19&lt;1,$DR19&gt;'Setari model'!$B$78),"NU – 1–5 selecții",IF($DS19&gt;'Setari model'!$B$79,"NU – corelație", "DA")))</x:f>
      </x:c>
      <x:c r="EQ19" s="117" t="str">
        <x:f t="shared" si="22">IF($A19="","",IF(AND($DC19&gt;1,$DD19&gt;1),$DC19/$DD19-1,""))</x:f>
      </x:c>
      <x:c r="ER19" s="113" t="str">
        <x:f t="shared" si="23">IF($A19="","","P v2="&amp;TEXT($EA19,"0.0%")&amp;" ±"&amp;TEXT($EG19,"0.0%")&amp;"; P0 ZIP="&amp;TEXT($DZ19,"0.0%")&amp;"; Confidence="&amp;TEXT($EF19,"0")&amp;"/100; piață reală="&amp;IF($EC19="","NU","DA")&amp;"; EV="&amp;IF($EE19="","n/a",TEXT($EE19,"0.0%"))&amp;"; gate="&amp;$EI19&amp;"; verdict="&amp;$EL19&amp;". "&amp;$EM19)</x:f>
      </x:c>
      <x:c r="ES19" s="119" t="str">
        <x:f>IF($A19="","",'Setari model'!$B$82)</x:f>
      </x:c>
      <x:c r="ET19" s="118" t="str">
        <x:f>IF($A19="","",'Setari model'!$B$83)</x:f>
      </x:c>
      <x:c r="EU19" s="115" t="str">
        <x:f t="shared" si="24">IF(OR($A19="",$DE19&lt;&gt;"Live 20-30",$DF19="",$DF19&lt;$ES19,$DF19&gt;=90),"",MAX(0.05,MIN($BS19*$ET19,$BS19*(90-$DF19)/90+0.35*($DI19+$DJ19)+0.06*($DK19+$DL19)+0.15*($DM19+$DN19)+0.1*(MAX($DO19,$DP19)-MIN($DO19,$DP19)))))</x:f>
      </x:c>
      <x:c r="EV19" s="132"/>
      <x:c r="EW19" s="132"/>
      <x:c r="EX19" s="132"/>
      <x:c r="EY19" s="132"/>
      <x:c r="EZ19" s="132"/>
      <x:c r="FA19" s="132"/>
      <x:c r="FB19" s="247"/>
      <x:c r="FC19" s="134" t="str">
        <x:f t="shared" si="25">IF($A19="","",IF(OR($J19="",$L19="",$L19&lt;=0),"",MAX(0.5,MIN(1.5,$J19/$L19))))</x:f>
      </x:c>
      <x:c r="FD19" s="134" t="str">
        <x:f t="shared" si="26">IF($A19="","",IF(OR($Q19="",$S19="",$S19&lt;=0),"",MAX(0.5,MIN(1.5,$Q19/$S19))))</x:f>
      </x:c>
      <x:c r="FE19" s="134" t="str">
        <x:f>IF($A19="","",IF(COUNT($EV19:$EW19)&lt;2,"",SQRT($EV19*$EW19)/'Setari model'!$B$87))</x:f>
      </x:c>
      <x:c r="FF19" s="134" t="str">
        <x:f>IF($A19="","",IF(COUNT($O19,$V19,$EX19,$EY19)&lt;4,"",AVERAGE(SQRT($O19*$EY19),SQRT($V19*$EX19))/'Setari model'!$B$88))</x:f>
      </x:c>
      <x:c r="FG19" s="134" t="str">
        <x:f t="shared" si="27">IF($A19="","",IF(COUNT($FC19:$FD19)&lt;2,"",MAX(0,1-AVERAGE($FC19:$FD19))))</x:f>
      </x:c>
      <x:c r="FH19" s="134" t="str">
        <x:f>IF($A19="","",IF(COUNT($EZ19:$FA19)&lt;2,"",'Setari model'!$B$94*AVERAGE($EZ19:$FA19)/'Setari model'!$B$89))</x:f>
      </x:c>
      <x:c r="FI19" s="134" t="str">
        <x:f>IF($A19="","",IF(COUNT($FE19:$FH19)&lt;4,"",MAX('Setari model'!$B$97,MIN('Setari model'!$B$98,1+'Setari model'!$B$90*($FE19-1)+'Setari model'!$B$91*($FF19-1)+'Setari model'!$B$92*$FG19+'Setari model'!$B$93*($FH19-1)))))</x:f>
      </x:c>
      <x:c r="FJ19" s="133" t="str">
        <x:f>IF($A19="","",IF($FI19="","",MIN('Setari model'!$B$101,MAX(0.002,$DZ19*$FI19))))</x:f>
      </x:c>
      <x:c r="FK19" s="131" t="str">
        <x:f t="shared" si="28">IF($A19="","",IF(AND(COUNT($EV19:$FA19)=6,COUNT($O19,$V19,$FC19,$FD19)=4),"DA","NU"))</x:f>
      </x:c>
      <x:c r="FL19" s="131" t="str">
        <x:f>IF($A19="","",IF($FK19&lt;&gt;"DA","NEDETERMINAT",IF($FI19&lt;='Setari model'!$B$99,"SCĂZUT",IF($FI19&lt;='Setari model'!$B$100,"MEDIU","RIDICAT"))))</x:f>
      </x:c>
      <x:c r="FM19" s="131" t="str">
        <x:f>IF($A19="","",IF(AND($AR19&gt;1,$EC19&gt;='Setari model'!$B$106),"DA","NU"))</x:f>
      </x:c>
      <x:c r="FN19" s="131" t="str">
        <x:f t="shared" si="29">IF($A19="","",IF(AND($AU19=1,COUNT($CY19:$DB19)=4),"DA","NU"))</x:f>
      </x:c>
      <x:c r="FO19" s="133" t="str">
        <x:f>IF($A19="","",IF(OR($FK19&lt;&gt;"DA",$FL19="RIDICAT"),'Setari model'!$B$102,IF($FL19="MEDIU",'Setari model'!$B$103,IF(AND($FM19="DA",$FN19="DA"),'Setari model'!$B$105,'Setari model'!$B$104))))</x:f>
      </x:c>
      <x:c r="FP19" s="133" t="str">
        <x:f t="shared" si="30">IF($A19="","",IF($FJ19="","",MIN(1-$FJ19,$FO19)))</x:f>
      </x:c>
      <x:c r="FQ19" s="135" t="str">
        <x:f t="shared" si="31">IF($A19="","",IF($FP19="","",IF($FP19&gt;0,1/$FP19,"")))</x:f>
      </x:c>
      <x:c r="FR19" s="133" t="str">
        <x:f t="shared" si="32">IF($A19="","",IF($EC19="","",$FP19-$EC19))</x:f>
      </x:c>
      <x:c r="FS19" s="133" t="str">
        <x:f t="shared" si="33">IF($A19="","",IF($AR19&gt;1,$FP19*$AR19-1,""))</x:f>
      </x:c>
      <x:c r="FT19" s="136" t="str">
        <x:f>IF($A19="","",MAX(0,MIN(100,$EF19-IF($FK19&lt;&gt;"DA",'Setari model'!$B$107,0)-IF($FL19="MEDIU",'Setari model'!$B$108,0)-IF($FL19="RIDICAT",'Setari model'!$B$109,0))))</x:f>
      </x:c>
      <x:c r="FU19" s="131" t="str">
        <x:f t="shared" si="34">IF($A19="","",IF($AR19&lt;=1,"NU – LIPSEȘTE COTA REALĂ",IF($FK19&lt;&gt;"DA","NU – ZERO-RISK INCOMPLET",IF($FL19&lt;&gt;"SCĂZUT","NU – RISC 0-0 "&amp;$FL19,IF($FN19&lt;&gt;"DA","NU – LINEUP NECONFIRMAT",IF($FM19&lt;&gt;"DA","NU – PIAȚĂ NECONFIRMATĂ",IF($EP19&lt;&gt;"DA","NU – PORTOFOLIU","DA")))))))</x:f>
      </x:c>
      <x:c r="FV19" s="131" t="str">
        <x:f>IF($A19="","",IF($FU19&lt;&gt;"DA","WATCH / NO BET",IF(AND($FP19&gt;='Setari model'!$B$35,$FT19&gt;=100*'Setari model'!$B$76,$FS19&gt;0),"PARIU RECOMANDAT",IF(AND($FP19&gt;='Setari model'!$B$39,$FT19&gt;=100*'Setari model'!$B$40,$FS19&gt;0),"WATCH – APROAPE DE PRAG","PARIU EVITAT"))))</x:f>
      </x:c>
      <x:c r="FW19" s="131" t="str">
        <x:f t="shared" si="35">IF($A19="","",IF($FU19&lt;&gt;"DA",$FU19,IF($FT19&lt;75,"Confidence v3 sub 75.",IF($FP19&lt;0.92,"P v3 sub 92%.",IF($FS19&lt;=0,"EV v3 nepozitiv.","P0 v3, lineup și piață confirmate.")))))</x:f>
      </x:c>
      <x:c r="FX19" s="131" t="str">
        <x:f t="shared" si="36">IF($A19="","","P v3="&amp;TEXT($FP19,"0.0%")&amp;"; P0 v3="&amp;TEXT($FJ19,"0.0%")&amp;"; factor zero="&amp;IF($FI19="","n/a",TEXT($FI19,"0.00x"))&amp;" ("&amp;$FL19&amp;"); cap="&amp;TEXT($FO19,"0.0%")&amp;"; Confidence="&amp;TEXT($FT19,"0")&amp;"/100; lineup="&amp;$FN19&amp;"; piață="&amp;$FM19&amp;"; EV="&amp;IF($FS19="","n/a",TEXT($FS19,"0.0%"))&amp;"; gate="&amp;$FU19&amp;"; verdict="&amp;$FV19&amp;". "&amp;$FW19)</x:f>
      </x:c>
      <x:c r="FY19" s="159"/>
      <x:c r="FZ19" s="159"/>
      <x:c r="GA19" s="157"/>
      <x:c r="GB19" s="157"/>
      <x:c r="GC19" s="161" t="str">
        <x:f t="shared" si="37">IF($A19="","",IF(OR($X19="",$Z19="",$Z19&lt;=0),"",MAX(0.5,MIN(1.5,$X19/$Z19))))</x:f>
      </x:c>
      <x:c r="GD19" s="161" t="str">
        <x:f t="shared" si="38">IF($A19="","",IF(OR($AC19="",$AE19="",$AE19&lt;=0),"",MAX(0.5,MIN(1.5,$AC19/$AE19))))</x:f>
      </x:c>
      <x:c r="GE19" s="162" t="str">
        <x:f t="shared" si="39">IF($A19="","",IF(COUNT($Z19,$AE19)&lt;2,"",AVERAGE($Z19,$AE19)))</x:f>
      </x:c>
      <x:c r="GF19" s="158" t="str">
        <x:f>IF($A19="","",IF(COUNT($FY19:$FZ19)&lt;2,"NEDETERMINAT",IF(AND($FY19&gt;='Setari model'!$B$113,$FZ19&gt;='Setari model'!$B$113),"DA","NU")))</x:f>
      </x:c>
      <x:c r="GG19" s="158" t="str">
        <x:f>IF($A19="","",IF(COUNT($FY19:$FZ19,$EX19:$EY19)&lt;4,"NEDETERMINAT",IF(OR(AND($FY19&gt;='Setari model'!$B$113,$EY19&gt;='Setari model'!$B$114),AND($FZ19&gt;='Setari model'!$B$113,$EX19&gt;='Setari model'!$B$114)),"DA","NU")))</x:f>
      </x:c>
      <x:c r="GH19" s="158" t="str">
        <x:f>IF($A19="","",IF(COUNT($BJ19:$BN19,$GC19:$GE19)&lt;8,"NEDETERMINAT",IF(AND((($BJ19*INDEX('Setari model'!$B$5:$B$11,MATCH($E19,'Setari model'!$A$5:$A$11,0))+$BK19*INDEX('Setari model'!$C$5:$C$11,MATCH($E19,'Setari model'!$A$5:$A$11,0))+$BL19*INDEX('Setari model'!$D$5:$D$11,MATCH($E19,'Setari model'!$A$5:$A$11,0))+$BM19*INDEX('Setari model'!$E$5:$E$11,MATCH($E19,'Setari model'!$A$5:$A$11,0))+$BN19*INDEX('Setari model'!$F$5:$F$11,MATCH($E19,'Setari model'!$A$5:$A$11,0)))/(INDEX('Setari model'!$B$5:$B$11,MATCH($E19,'Setari model'!$A$5:$A$11,0))+INDEX('Setari model'!$C$5:$C$11,MATCH($E19,'Setari model'!$A$5:$A$11,0))+INDEX('Setari model'!$D$5:$D$11,MATCH($E19,'Setari model'!$A$5:$A$11,0))+INDEX('Setari model'!$E$5:$E$11,MATCH($E19,'Setari model'!$A$5:$A$11,0))+INDEX('Setari model'!$F$5:$F$11,MATCH($E19,'Setari model'!$A$5:$A$11,0))))*$BR19&gt;='Setari model'!$B$115,(($BJ19*INDEX('Setari model'!$B$5:$B$11,MATCH($E19,'Setari model'!$A$5:$A$11,0))+$BK19*INDEX('Setari model'!$C$5:$C$11,MATCH($E19,'Setari model'!$A$5:$A$11,0))+$BL19*INDEX('Setari model'!$D$5:$D$11,MATCH($E19,'Setari model'!$A$5:$A$11,0))+$BM19*INDEX('Setari model'!$E$5:$E$11,MATCH($E19,'Setari model'!$A$5:$A$11,0))+$BN19*INDEX('Setari model'!$F$5:$F$11,MATCH($E19,'Setari model'!$A$5:$A$11,0)))/(INDEX('Setari model'!$B$5:$B$11,MATCH($E19,'Setari model'!$A$5:$A$11,0))+INDEX('Setari model'!$C$5:$C$11,MATCH($E19,'Setari model'!$A$5:$A$11,0))+INDEX('Setari model'!$D$5:$D$11,MATCH($E19,'Setari model'!$A$5:$A$11,0))+INDEX('Setari model'!$E$5:$E$11,MATCH($E19,'Setari model'!$A$5:$A$11,0))+INDEX('Setari model'!$F$5:$F$11,MATCH($E19,'Setari model'!$A$5:$A$11,0))))*$BR19&lt;='Setari model'!$B$116,AVERAGE($GC19:$GD19)&lt;='Setari model'!$B$117,$GE19&gt;='Setari model'!$B$118),"DA","NU")))</x:f>
      </x:c>
      <x:c r="GI19" s="158" t="str">
        <x:f>IF($A19="","",IF(COUNT($W19,$AB19,$GA19:$GB19)&lt;4,"NEDETERMINAT",IF(AND($W19&gt;='Setari model'!$B$120,$AB19&gt;='Setari model'!$B$120,OR(IFERROR($GA19/$W19,0)&gt;='Setari model'!$B$119,IFERROR($GB19/$AB19,0)&gt;='Setari model'!$B$119)),"DA","NU")))</x:f>
      </x:c>
      <x:c r="GJ19" s="160" t="str">
        <x:f>IF($A19="","",IF(COUNT($FY19:$GB19)&lt;4,"",IF($GH19&lt;&gt;"DA",0,'Setari model'!$B$121*IF($GF19="DA",1,0)+'Setari model'!$B$122*IF($GG19="DA",1,0)+'Setari model'!$B$123+'Setari model'!$B$124*IF($GI19="DA",1,0))))</x:f>
      </x:c>
      <x:c r="GK19" s="161" t="str">
        <x:f>IF($A19="","",IF(COUNT($GJ19)=0,"",1+'Setari model'!$B$125*$GJ19))</x:f>
      </x:c>
      <x:c r="GL19" s="160" t="str">
        <x:f>IF($A19="","",IF($GM19&lt;&gt;"DA",$FJ19,MIN('Setari model'!$B$101,MAX(0.002,$FJ19*$GK19))))</x:f>
      </x:c>
      <x:c r="GM19" s="158" t="str">
        <x:f>IF($A19="","",IF(AND($FK19="DA",COUNT($FY19:$GB19)=4,COUNT($I19,$P19,$W19,$AB19,$Z19,$AE19,$EX19,$EY19,$GC19,$GD19)=10,COUNT($BJ19:$BN19)=5),"DA","NU"))</x:f>
      </x:c>
      <x:c r="GN19" s="158" t="str">
        <x:f>IF($A19="","",IF($GM19&lt;&gt;"DA","NEDETERMINAT",IF($FI19*$GK19&lt;='Setari model'!$B$99,"SCĂZUT",IF($FI19*$GK19&lt;='Setari model'!$B$100,"MEDIU","RIDICAT"))))</x:f>
      </x:c>
      <x:c r="GO19" s="160" t="str">
        <x:f>IF($A19="","",IF(OR($GM19&lt;&gt;"DA",$GN19="RIDICAT"),'Setari model'!$B$102,IF($GN19="MEDIU",'Setari model'!$B$103,IF(AND($FM19="DA",$FN19="DA"),'Setari model'!$B$105,'Setari model'!$B$104))))</x:f>
      </x:c>
      <x:c r="GP19" s="160" t="str">
        <x:f t="shared" si="40">IF($A19="","",IF($GL19="","",MIN(1-$GL19,$GO19)))</x:f>
      </x:c>
      <x:c r="GQ19" s="162" t="str">
        <x:f t="shared" si="41">IF($A19="","",IF($GP19="","",IF($GP19&gt;0,1/$GP19,"")))</x:f>
      </x:c>
      <x:c r="GR19" s="160" t="str">
        <x:f t="shared" si="42">IF($A19="","",IF($EC19="","",$GP19-$EC19))</x:f>
      </x:c>
      <x:c r="GS19" s="160" t="str">
        <x:f t="shared" si="43">IF($A19="","",IF($AR19&gt;1,$GP19*$AR19-1,""))</x:f>
      </x:c>
      <x:c r="GT19" s="163" t="str">
        <x:f>IF($A19="","",MAX(0,MIN(100,$FT19-IF(AND($GM19&lt;&gt;"DA",$FK19="DA"),'Setari model'!$B$107,0)-'Setari model'!$B$126*IF($GJ19="",0,$GJ19))))</x:f>
      </x:c>
      <x:c r="GU19" s="158" t="str">
        <x:f t="shared" si="44">IF($A19="","",IF($AR19&lt;=1,"NU – LIPSEȘTE COTA REALĂ",IF($GM19&lt;&gt;"DA","NU – DATE LOW-CONVERSION INCOMPLETE",IF($GN19&lt;&gt;"SCĂZUT","NU – RISC 0-0 "&amp;$GN19,IF($FN19&lt;&gt;"DA","NU – LINEUP NECONFIRMAT",IF($FM19&lt;&gt;"DA","NU – PIAȚĂ NECONFIRMATĂ",IF($EP19&lt;&gt;"DA","NU – PORTOFOLIU","DA")))))))</x:f>
      </x:c>
      <x:c r="GV19" s="158" t="str">
        <x:f>IF($A19="","",IF($GU19&lt;&gt;"DA","WATCH / NO BET",IF(AND($GP19&gt;='Setari model'!$B$35,$GT19&gt;=100*'Setari model'!$B$76,$GS19&gt;0),"PARIU RECOMANDAT",IF(AND($GP19&gt;='Setari model'!$B$39,$GT19&gt;=100*'Setari model'!$B$40,$GS19&gt;0),"WATCH – APROAPE DE PRAG","PARIU EVITAT"))))</x:f>
      </x:c>
      <x:c r="GW19" s="158" t="str">
        <x:f t="shared" si="45">IF($A19="","",IF($GU19&lt;&gt;"DA",$GU19,IF($GT19&lt;75,"Confidence v5 sub 75.",IF($GP19&lt;0.92,"P v5 sub 92%.",IF($GS19&lt;=0,"EV v5 nepozitiv.",IF($GJ19&gt;0,"Low-conversion absorbit în P0; toate porțile rămân trecute.","Toate porțile v5 sunt trecute."))))))</x:f>
      </x:c>
      <x:c r="GX19" s="158" t="str">
        <x:f t="shared" si="46">IF($A19="","","P v5="&amp;TEXT($GP19,"0.0%")&amp;"; P0 v5="&amp;TEXT($GL19,"0.0%")&amp;"; low-conv="&amp;IF(COUNT($GJ19)=0,"n/a",TEXT($GJ19,"0%"))&amp;"; mult.P0="&amp;IF(COUNT($GK19)=0,"n/a",TEXT($GK19,"0.00"))&amp;"; clasă="&amp;$GN19&amp;"; cap="&amp;TEXT($GO19,"0.0%")&amp;"; Confidence="&amp;TEXT($GT19,"0")&amp;"/100; lineup="&amp;$FN19&amp;"; piață="&amp;$FM19&amp;"; EV="&amp;IF($GS19="","n/a",TEXT($GS19,"0.0%"))&amp;"; gate="&amp;$GU19&amp;"; verdict="&amp;$GV19&amp;". "&amp;$GW19)</x:f>
      </x:c>
      <x:c r="GY19" s="174" t="str">
        <x:f>IF($A19="","",IF($GM19&lt;&gt;"DA","SOURCING INCOMPLETE – REVIEW REQUIRED",IF(MIN($I19,$P19,$W19,$AB19)&lt;'Setari model'!$B$58,"SMALL SAMPLE + PRIOR / SHRINKAGE","VERIFIED / PRIOR / SHRINKAGE")))</x:f>
      </x:c>
      <x:c r="GZ19" s="175" t="str">
        <x:f t="shared" si="47">IF($A19="","",MAX(0,MIN(100,100*(1-AVERAGE(IF($GM19="DA",1,0),MIN(1,$AT19/5))))))</x:f>
      </x:c>
      <x:c r="HA19" s="175" t="str">
        <x:f>IF($A19="","",IF($GM19&lt;&gt;"DA","",MAX(0,MIN(100,100*(($FI19*$GK19)-'Setari model'!$B$97)/('Setari model'!$B$98-'Setari model'!$B$97)))))</x:f>
      </x:c>
      <x:c r="HB19" s="175" t="str">
        <x:f>IF($A19="","",MAX(0,MIN(100,100*(ABS($BR19-1)/MAX(1-'Setari model'!$B$53,'Setari model'!$B$54-1)+MIN(1,$BG19/2))/2)))</x:f>
      </x:c>
      <x:c r="HC19" s="175" t="str">
        <x:f t="shared" si="48">IF($A19="","",MAX(0,MIN(100,100*(1-AVERAGE($CC19,MAX(0,1-(MAX($BJ19:$BN19)-MIN($BJ19:$BN19))/(AVERAGE($BJ19:$BN19)*'Setari model'!$B$45)))))))</x:f>
      </x:c>
      <x:c r="HD19" s="175" t="str">
        <x:f t="shared" si="49">IF($A19="","",MAX(0,MIN(100,100*MAX(IF($GJ19="",0,$GJ19),MIN(1,$BG19/2)))))</x:f>
      </x:c>
      <x:c r="HE19" s="175" t="str">
        <x:f>IF($A19="","",IF(COUNT($GZ19:$HD19)&lt;5,"",$GZ19*Risk_Classification!$E$28+$HA19*Risk_Classification!$E$29+$HB19*Risk_Classification!$E$30+$HC19*Risk_Classification!$E$31+$HD19*Risk_Classification!$E$32))</x:f>
      </x:c>
      <x:c r="HF19" s="176" t="str">
        <x:f t="shared" si="50">IF($A19="","",IF($HE19="","",IF($HE19&lt;=20,1,IF($HE19&lt;=40,2,IF($HE19&lt;=60,3,IF($HE19&lt;=80,4,5))))))</x:f>
      </x:c>
      <x:c r="HG19" s="176" t="str">
        <x:f t="shared" si="51">IF($A19="","",IF($GM19="DA","PASS","FAIL – DATE CRITICE ZERO-MASS INCOMPLETE"))</x:f>
      </x:c>
      <x:c r="HH19" s="176" t="str">
        <x:f t="shared" si="52">IF($A19="","",IF($HG19&lt;&gt;"PASS",5,$HF19))</x:f>
      </x:c>
      <x:c r="HI19" s="174" t="str">
        <x:f t="shared" si="53">IF($A19="","",IF($HH19="","N/A",IF($HH19=1,"DEFENSIV",IF($HH19=2,"PRUDENT",IF($HH19=3,"MODERAT",IF($HH19=4,"RIDICAT","WATCH / NO BET"))))))</x:f>
      </x:c>
      <x:c r="HJ19" s="177" t="str">
        <x:f t="shared" si="54">IF($A19="","","Data="&amp;$GY19&amp;"; DQ="&amp;TEXT($GZ19,"0.0")&amp;"; ZM="&amp;IF($HA19="","n/a",TEXT($HA19,"0.0"))&amp;"; Context="&amp;TEXT($HB19,"0.0")&amp;"; Uncertainty="&amp;TEXT($HC19,"0.0")&amp;"; Compound="&amp;TEXT($HD19,"0.0")&amp;"; Risk Score="&amp;IF($HE19="","n/a",TEXT($HE19,"0.0"))&amp;"; Base="&amp;IF($HF19="","n/a",$HF19)&amp;"; G0="&amp;$HG19&amp;"; Final="&amp;$HH19&amp;". Cota, EV si lineup sunt informative si nu intra in recomandare.")</x:f>
      </x:c>
      <x:c r="HK19" s="174" t="str">
        <x:f t="shared" si="55">IF($A19="","",$HI19)</x:f>
      </x:c>
    </x:row>
    <x:row r="20" ht="24" customHeight="1">
      <x:c r="A20" s="58"/>
      <x:c r="B20" s="24"/>
      <x:c r="C20" s="59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18"/>
      <x:c r="O20" s="18"/>
      <x:c r="P20" s="24"/>
      <x:c r="Q20" s="24"/>
      <x:c r="R20" s="24"/>
      <x:c r="S20" s="24"/>
      <x:c r="T20" s="24"/>
      <x:c r="U20" s="18"/>
      <x:c r="V20" s="18"/>
      <x:c r="W20" s="24"/>
      <x:c r="X20" s="24"/>
      <x:c r="Y20" s="24"/>
      <x:c r="Z20" s="24"/>
      <x:c r="AA20" s="24"/>
      <x:c r="AB20" s="24"/>
      <x:c r="AC20" s="24"/>
      <x:c r="AD20" s="24"/>
      <x:c r="AE20" s="24"/>
      <x:c r="AF20" s="24"/>
      <x:c r="AG20" s="24"/>
      <x:c r="AH20" s="24"/>
      <x:c r="AI20" s="18"/>
      <x:c r="AJ20" s="24"/>
      <x:c r="AK20" s="24"/>
      <x:c r="AL20" s="24"/>
      <x:c r="AM20" s="18"/>
      <x:c r="AN20" s="24"/>
      <x:c r="AO20" s="60"/>
      <x:c r="AP20" s="60"/>
      <x:c r="AQ20" s="60"/>
      <x:c r="AR20" s="60"/>
      <x:c r="AS20" s="60"/>
      <x:c r="AT20" s="24"/>
      <x:c r="AU20" s="24"/>
      <x:c r="AV20" s="24"/>
      <x:c r="AW20" s="24"/>
      <x:c r="AX20" s="24"/>
      <x:c r="AY20" s="24"/>
      <x:c r="AZ20" s="24"/>
      <x:c r="BA20" s="24"/>
      <x:c r="BB20" s="24"/>
      <x:c r="BC20" s="24"/>
      <x:c r="BD20" s="24"/>
      <x:c r="BE20" s="24"/>
      <x:c r="BF20" s="24"/>
      <x:c r="BG20" s="24"/>
      <x:c r="BH20" s="61"/>
      <x:c r="BI20" s="61"/>
      <x:c r="BJ20" s="62" t="str">
        <x:f>IF($A20="","",SQRT((($I20*IF($J20="",$AJ20,$J20)+'Setari model'!$B$30*$AJ20)/($I20+'Setari model'!$B$30))*(($P20*IF($R20="",$AJ20,$R20)+'Setari model'!$B$30*$AJ20)/($P20+'Setari model'!$B$30)))+SQRT((($P20*IF($Q20="",$AK20,$Q20)+'Setari model'!$B$30*$AK20)/($P20+'Setari model'!$B$30))*(($I20*IF($K20="",$AK20,$K20)+'Setari model'!$B$30*$AK20)/($I20+'Setari model'!$B$30))))</x:f>
      </x:c>
      <x:c r="BK20" s="62" t="str">
        <x:f>IF($A20="","",SQRT((($I20*IF($L20="",IF($J20="",$AJ20,$J20),$L20)+'Setari model'!$B$30*$AJ20)/($I20+'Setari model'!$B$30))*(($P20*IF($T20="",IF($R20="",$AJ20,$R20),$T20)+'Setari model'!$B$30*$AJ20)/($P20+'Setari model'!$B$30)))+SQRT((($P20*IF($S20="",IF($Q20="",$AK20,$Q20),$S20)+'Setari model'!$B$30*$AK20)/($P20+'Setari model'!$B$30))*(($I20*IF($M20="",IF($K20="",$AK20,$K20),$M20)+'Setari model'!$B$30*$AK20)/($I20+'Setari model'!$B$30))))</x:f>
      </x:c>
      <x:c r="BL20" s="62" t="str">
        <x:f>IF($A20="","",SQRT((($W20*IF($X20="",$AL20/2,$X20)+'Setari model'!$B$31*$AL20/2)/($W20+'Setari model'!$B$31))*(($AB20*IF($AD20="",$AL20/2,$AD20)+'Setari model'!$B$31*$AL20/2)/($AB20+'Setari model'!$B$31)))+SQRT((($AB20*IF($AC20="",$AL20/2,$AC20)+'Setari model'!$B$31*$AL20/2)/($AB20+'Setari model'!$B$31))*(($W20*IF($Y20="",$AL20/2,$Y20)+'Setari model'!$B$31*$AL20/2)/($W20+'Setari model'!$B$31))))</x:f>
      </x:c>
      <x:c r="BM20" s="62" t="str">
        <x:f>IF($A20="","",SQRT((($W20*IF($Z20="",IF($X20="",$AL20/2,$X20),$Z20)+'Setari model'!$B$31*$AL20/2)/($W20+'Setari model'!$B$31))*(($AB20*IF($AF20="",IF($AD20="",$AL20/2,$AD20),$AF20)+'Setari model'!$B$31*$AL20/2)/($AB20+'Setari model'!$B$31)))+SQRT((($AB20*IF($AE20="",IF($AC20="",$AL20/2,$AC20),$AE20)+'Setari model'!$B$31*$AL20/2)/($AB20+'Setari model'!$B$31))*(($W20*IF($AA20="",IF($Y20="",$AL20/2,$Y20),$AA20)+'Setari model'!$B$31*$AL20/2)/($W20+'Setari model'!$B$31))))</x:f>
      </x:c>
      <x:c r="BN20" s="62" t="str">
        <x:f t="shared" si="0">IF($A20="","",IF($AG20&gt;0,($AG20*IF($AH20="",$AL20,$AH20)+5*$AL20)/($AG20+5),$AL20))</x:f>
      </x:c>
      <x:c r="BO20" s="63" t="str">
        <x:f>IF($A20="","",IF($AR20&gt;1,IF($AS20&gt;1,(1/$AR20)/((1/$AR20+1/$AS20)),MIN(0.995,(1/$AR20)/(1+'Setari model'!$B$32))),1-EXP(-$AL20)))</x:f>
      </x:c>
      <x:c r="BP20" s="62" t="str">
        <x:f t="shared" si="1">IF($A20="","",-LN(1-$BO20))</x:f>
      </x:c>
      <x:c r="BQ20" s="62" t="str">
        <x:f>IF($A20="","",$BJ20*INDEX('Setari model'!$B$5:$B$11,MATCH($E20,'Setari model'!$A$5:$A$11,0))+$BK20*INDEX('Setari model'!$C$5:$C$11,MATCH($E20,'Setari model'!$A$5:$A$11,0))+$BL20*INDEX('Setari model'!$D$5:$D$11,MATCH($E20,'Setari model'!$A$5:$A$11,0))+$BM20*INDEX('Setari model'!$E$5:$E$11,MATCH($E20,'Setari model'!$A$5:$A$11,0))+$BN20*INDEX('Setari model'!$F$5:$F$11,MATCH($E20,'Setari model'!$A$5:$A$11,0))+$BP20*INDEX('Setari model'!$G$5:$G$11,MATCH($E20,'Setari model'!$A$5:$A$11,0)))</x:f>
      </x:c>
      <x:c r="BR20" s="64" t="str">
        <x:f>IF($A20="","",MAX('Setari model'!$B$53,MIN('Setari model'!$B$54,1+($AV20*'Setari model'!$B$15+$AW20*'Setari model'!$B$16+$AX20*'Setari model'!$B$17+$AY20*'Setari model'!$B$18+$AZ20*'Setari model'!$B$19+$BA20*'Setari model'!$B$20+$BB20*'Setari model'!$B$21+$BC20*'Setari model'!$B$22+$BD20*'Setari model'!$B$23+$BE20*'Setari model'!$B$24+$BF20*'Setari model'!$B$25)*INDEX('Setari model'!$H$5:$H$11,MATCH($E20,'Setari model'!$A$5:$A$11,0)))))</x:f>
      </x:c>
      <x:c r="BS20" s="62" t="str">
        <x:f t="shared" si="2">IF($A20="","",$BQ20*$BR20)</x:f>
      </x:c>
      <x:c r="BT20" s="63" t="str">
        <x:f t="shared" si="3">IF($A20="","",EXP(-$BS20))</x:f>
      </x:c>
      <x:c r="BU20" s="65" t="str">
        <x:f>IF($A20="","",IF(OR($AM20="",$AN20=""),1,1+MIN('Setari model'!$B$33,$AN20/100*'Setari model'!$B$33)*($AM20/EXP(-$AL20)-1)))</x:f>
      </x:c>
      <x:c r="BV20" s="63" t="str">
        <x:f>IF($A20="","",MIN(0.45,MAX(0.005,(1-'Setari model'!$B$34*MIN(1,($I20+$P20)/20))*MIN(0.45,$BT20*$BU20)+'Setari model'!$B$34*MIN(1,($I20+$P20)/20)*IF(COUNT($N20,$U20)=2,SQRT(MAX(0,1-$N20)*MAX(0,1-$U20)),IF($AM20="",EXP(-$AL20),$AM20)))))</x:f>
      </x:c>
      <x:c r="BW20" s="63" t="str">
        <x:f t="shared" si="4">IF($A20="","",1-$BV20)</x:f>
      </x:c>
      <x:c r="BX20" s="62" t="str">
        <x:f t="shared" si="5">IF($A20="","",1/$BW20)</x:f>
      </x:c>
      <x:c r="BY20" s="63" t="str">
        <x:f t="shared" si="6">IF($A20="","",$BO20)</x:f>
      </x:c>
      <x:c r="BZ20" s="63" t="str">
        <x:f t="shared" si="7">IF($A20="","",$BW20-$BY20)</x:f>
      </x:c>
      <x:c r="CA20" s="63" t="str">
        <x:f t="shared" si="8">IF($A20="","",IF($AR20&gt;1,$BW20*$AR20-1,""))</x:f>
      </x:c>
      <x:c r="CB20" s="63" t="str">
        <x:f>IF($A20="","",MIN(1,COUNT($I20:$AN20,$AR20:$BG20)/'Setari model'!$B$46))</x:f>
      </x:c>
      <x:c r="CC20" s="63" t="str">
        <x:f t="shared" si="9">IF($A20="","",0.25*MIN(1,$I20/10)+0.25*MIN(1,$P20/10)+0.15*MIN(1,$W20/5)+0.15*MIN(1,$AB20/5)+0.1*MIN(1,$AG20/5)+0.1*MIN(1,$AN20/100))</x:f>
      </x:c>
      <x:c r="CD20" s="63" t="str">
        <x:f>IF($A20="","",MAX(0,1-(MAX($BJ20:$BN20,$BP20)-MIN($BJ20:$BN20,$BP20))/(AVERAGE($BJ20:$BN20,$BP20)*'Setari model'!$B$45)))</x:f>
      </x:c>
      <x:c r="CE20" s="66" t="str">
        <x:f>IF($A20="","",MAX(0,MIN(100,100*INDEX('Setari model'!$I$5:$I$11,MATCH($E20,'Setari model'!$A$5:$A$11,0))*('Setari model'!$B$47*$CB20+'Setari model'!$B$48*$CC20+'Setari model'!$B$49*$CD20+'Setari model'!$B$50*$AT20/5+'Setari model'!$B$51*$AU20)-100*'Setari model'!$B$52*$BG20)))</x:f>
      </x:c>
      <x:c r="CF20" s="65" t="str">
        <x:f t="shared" si="10">IF($A20="","",IF(OR($AT20&lt;3,$BG20&gt;=2,$CB20&lt;0.55,$CC20&lt;0.4),"RIDICAT",IF(OR($AU20=0,$CD20&lt;0.45,$BR20&lt;0.9),"MEDIU","SCĂZUT")))</x:f>
      </x:c>
      <x:c r="CG20" s="65" t="str">
        <x:f>IF($A20="","",IF($AR20&gt;1,IF(AND($BW20&gt;= 'Setari model'!$B$35,$CE20&gt;=100*'Setari model'!$B$36,$BZ20&gt;= 'Setari model'!$B$37,$CA20&gt;= 'Setari model'!$B$38,$CF20&lt;&gt;"RIDICAT"),"PARIU RECOMANDAT",IF(AND($BW20&gt;= 'Setari model'!$B$39,$CE20&gt;=100*'Setari model'!$B$40,$BZ20&gt;= 'Setari model'!$B$41,$CA20&gt;=0,$CF20&lt;&gt;"RIDICAT"),"RECOMANDAT CU PRUDENȚĂ",IF(AND($BW20&gt;= 'Setari model'!$B$42,$CE20&gt;=100*'Setari model'!$B$43),"ANALIZĂ NECONCLUDENTĂ","PARIU EVITAT"))),IF(AND($BW20&gt;= 'Setari model'!$B$35,$CE20&gt;=100*'Setari model'!$B$36,$CF20&lt;&gt;"RIDICAT"),"FAVORABIL STATISTIC – VERIFICĂ COTA",IF(AND($BW20&gt;= 'Setari model'!$B$42,$CE20&gt;=100*'Setari model'!$B$43),"ANALIZĂ NECONCLUDENTĂ","PARIU EVITAT"))))</x:f>
      </x:c>
      <x:c r="CH20" s="67" t="str">
        <x:f t="shared" si="11">IF($A20="","","P(O0,5)="&amp;TEXT($BW20,"0.0%")&amp;"; λ ajustat="&amp;TEXT($BS20,"0.00")&amp;"; Confidence="&amp;TEXT($CE20,"0")&amp;"/100; Edge="&amp;TEXT($BZ20,"0.0%")&amp;"; risc="&amp;$CF20&amp;". "&amp;$BH20)</x:f>
      </x:c>
      <x:c r="CI20" s="68" t="str">
        <x:f t="shared" si="12">IF($A20="","",$BI20)</x:f>
      </x:c>
      <x:c r="CJ20" s="112"/>
      <x:c r="CK20" s="112"/>
      <x:c r="CL20" s="112"/>
      <x:c r="CM20" s="112"/>
      <x:c r="CN20" s="112"/>
      <x:c r="CO20" s="112"/>
      <x:c r="CP20" s="112"/>
      <x:c r="CQ20" s="112"/>
      <x:c r="CR20" s="112"/>
      <x:c r="CS20" s="112"/>
      <x:c r="CT20" s="112"/>
      <x:c r="CU20" s="112"/>
      <x:c r="CV20" s="112"/>
      <x:c r="CW20" s="112"/>
      <x:c r="CX20" s="112"/>
      <x:c r="CY20" s="112"/>
      <x:c r="CZ20" s="112"/>
      <x:c r="DA20" s="112"/>
      <x:c r="DB20" s="112"/>
      <x:c r="DC20" s="114"/>
      <x:c r="DD20" s="114"/>
      <x:c r="DE20" s="112" t="s">
        <x:v>266</x:v>
      </x:c>
      <x:c r="DF20" s="112"/>
      <x:c r="DG20" s="112"/>
      <x:c r="DH20" s="112"/>
      <x:c r="DI20" s="112"/>
      <x:c r="DJ20" s="112"/>
      <x:c r="DK20" s="112"/>
      <x:c r="DL20" s="112"/>
      <x:c r="DM20" s="112"/>
      <x:c r="DN20" s="112"/>
      <x:c r="DO20" s="112"/>
      <x:c r="DP20" s="112"/>
      <x:c r="DQ20" s="114"/>
      <x:c r="DR20" s="112">
        <x:v>1</x:v>
      </x:c>
      <x:c r="DS20" s="116">
        <x:v>0</x:v>
      </x:c>
      <x:c r="DT20" s="120"/>
      <x:c r="DU20" s="116">
        <x:v>0.02</x:v>
      </x:c>
      <x:c r="DV20" s="116">
        <x:v>0.25</x:v>
      </x:c>
      <x:c r="DW20" s="118" t="str">
        <x:f>IF($A20="","",MAX('Setari model'!$B$71,MIN('Setari model'!$B$72,1+0.08*(IFERROR(AVERAGE($CM20:$CN20)/'Setari model'!$B$66,1)-1)+0.08*(IFERROR(AVERAGE($CO20:$CP20)/'Setari model'!$B$67,1)-1)+0.06*(IFERROR(AVERAGE($CQ20:$CR20)/'Setari model'!$B$68,1)-1)+0.04*(IFERROR(AVERAGE($CS20:$CT20)/'Setari model'!$B$69,1)-1)+0.04*(IFERROR(AVERAGE($CU20:$CV20)/'Setari model'!$B$70,1)-1)-'Setari model'!$B$73*IFERROR(AVERAGE($CW20:$CX20),0))))</x:f>
      </x:c>
      <x:c r="DX20" s="118" t="str">
        <x:f>IF($A20="","",1+'Setari model'!$B$62*MAX(IF(OR($CK20=1,$CL20=1),1,0),IF(AND($CJ20&lt;&gt;"",$CJ20&lt;=1),1,0))+'Setari model'!$B$63*IF(AND($CJ20&gt;1,$CJ20&lt;=3),1,0))</x:f>
      </x:c>
      <x:c r="DY20" s="118" t="str">
        <x:f>IF($A20="","",1+'Setari model'!$B$74*(IF($CY20="",0,IF($CY20=0,1,0))+IF($CZ20="",0,IF($CZ20=0,1,0)))+'Setari model'!$B$75*(IF($DA20="",0,IF($DA20=0,1,0))+IF($DB20="",0,IF($DB20=0,1,0))))</x:f>
      </x:c>
      <x:c r="DZ20" s="117" t="str">
        <x:f>IF($A20="","",MIN(0.6,MAX(0.002,(((1-'Setari model'!$B$34*MIN(1,($I20+$P20)/20))*$BT20+'Setari model'!$B$34*MIN(1,($I20+$P20)/20)*IF(COUNT($N20,$U20)=2,SQRT(MAX(0,1-$N20)*MAX(0,1-$U20)),$BT20))*(1-'Setari model'!$B$65*MIN(1,IF($AN20="",0,$AN20/'Setari model'!$B$64)))+'Setari model'!$B$65*MIN(1,IF($AN20="",0,$AN20/'Setari model'!$B$64))*IF($AM20="",$BT20,$AM20))*$DX20*$DY20/$DW20)))</x:f>
      </x:c>
      <x:c r="EA20" s="117" t="str">
        <x:f>IF($A20="","",MIN(1-$DZ20,IF(OR(MIN($I20,$P20)&lt;'Setari model'!$B$58,$CK20=1,$CL20=1,AND($CJ20&lt;&gt;"",$CJ20&lt;=1)),'Setari model'!$B$59,IF(AND($AU20=1,$AR20&gt;1,COUNT($CY20:$DB20)=4),'Setari model'!$B$61,'Setari model'!$B$60))))</x:f>
      </x:c>
      <x:c r="EB20" s="115" t="str">
        <x:f t="shared" si="13">IF($A20="","",1/$EA20)</x:f>
      </x:c>
      <x:c r="EC20" s="117" t="str">
        <x:f t="shared" si="14">IF($A20="","",IF($AR20&gt;1,IF($AS20&gt;1,(1/$AR20)/((1/$AR20)+(1/$AS20)),1/$AR20),""))</x:f>
      </x:c>
      <x:c r="ED20" s="117" t="str">
        <x:f t="shared" si="15">IF($A20="","",IF($EC20="","",$EA20-$EC20))</x:f>
      </x:c>
      <x:c r="EE20" s="117" t="str">
        <x:f t="shared" si="16">""</x:f>
      </x:c>
      <x:c r="EF20" s="119" t="str">
        <x:f>IF($A20="","",MAX(0,MIN(100,$CE20-200*MAX(0,$EG20-'Setari model'!$B$77)-IF($AU20&lt;&gt;1,10,0)-IF(COUNT($CY20:$DB20)&lt;4,4,0))))</x:f>
      </x:c>
      <x:c r="EG20" s="117" t="str">
        <x:f>IF($A20="","",'Setari model'!$B$77+IF(MIN($I20,$P20)&lt;'Setari model'!$B$58,0.03,0)+IF(OR($CK20=1,$CL20=1,AND($CJ20&lt;&gt;"",$CJ20&lt;=1)),0.03,0)+IF($AG20=0,0.02,0)+0.03*(1-MIN(1,COUNT($CM20:$CV20)/10))+0.03*(1-MIN(1,IF($AN20="",0,$AN20/'Setari model'!$B$64)))+IF($AR20&lt;=1,0.02,0))</x:f>
      </x:c>
      <x:c r="EH20" s="113" t="str">
        <x:f>IF($A20="","",IF(OR(MIN($I20,$P20)&lt;'Setari model'!$B$58,$CK20=1,$CL20=1,AND($CJ20&lt;&gt;"",$CJ20&lt;=1)),"92% – early/regim",IF(AND($AU20=1,$AR20&gt;1,COUNT($CY20:$DB20)=4),"94% – confirmat","93% – standard")))</x:f>
      </x:c>
      <x:c r="EI20" s="113" t="str">
        <x:f t="shared" si="17">IF($A20="","",IF(AND($EA20&gt;0.9,$AU20&lt;&gt;1),"WAIT XI – HIGH P",IF(AND($EA20&gt;0.9,COUNT($CY20:$DB20)&lt;4),"WAIT DATE CHEIE – HIGH P",IF($EP20&lt;&gt;"DA","NU – PORTOFOLIU","DA"))))</x:f>
      </x:c>
      <x:c r="EJ20" s="117" t="str">
        <x:f t="shared" si="18">IF($A20="","",IF($DE20&lt;&gt;"Live 20-30","",IF(SUM($DG20:$DH20)&gt;0,1,IF($EU20="","",1-MIN(0.95,MAX(0.001,EXP(-$EU20)*$DX20*$DY20/$DW20))))))</x:f>
      </x:c>
      <x:c r="EK20" s="117" t="str">
        <x:f t="shared" si="19">""</x:f>
      </x:c>
      <x:c r="EL20" s="113" t="str">
        <x:f>IF($A20="","",IF($DE20="Live 20-30",IF(SUM($DG20:$DH20)&gt;0,"EVENIMENT ÎNDEPLINIT",IF(OR($DF20="",COUNT($DI20:$DN20)&lt;4),"LIVE – WATCH",IF($EJ20&gt;=0.75,"LIVE – FEZABIL TEHNIC","LIVE – NO BET"))),IF($EI20&lt;&gt;"DA","WATCH / NO BET",IF(AND($EA20&gt;=INDEX('Setari model'!$B$35:$B$40,1),$EF20&gt;=100*'Setari model'!$B$76),"PARIU RECOMANDAT",IF(AND($EA20&gt;=INDEX('Setari model'!$B$35:$B$40,5),$EF20&gt;=100*'Setari model'!$B$40),"WATCH – APROAPE DE PRAG","PARIU EVITAT")))))</x:f>
      </x:c>
      <x:c r="EM20" s="113" t="str">
        <x:f t="shared" si="20">IF($A20="","",IF($DE20="Live 20-30",IF(SUM($DG20:$DH20)&gt;0,"Gol deja marcat.",IF($DF20="","Minut live lipsă.",IF(COUNT($DI20:$DN20)&lt;4,"Lipsesc xG/SOT/big chances live.",IF($EJ20&lt;0.75,"P live sub prag.","Semnal live tehnic complet; EV ignorat.")))),IF($EI20&lt;&gt;"DA",$EI20,IF($EF20&lt;75,"Confidence sub 75.",IF($EA20&lt;0.92,"P sub 92%.","G0/Zero-Mass + confidence trecute; EV ignorat.")))))</x:f>
      </x:c>
      <x:c r="EN20" s="117" t="str">
        <x:f>IF($A20="","",IF(OR($EL20="PARIU RECOMANDAT",$EL20="LIVE – FEZABIL"),MIN(IF($DU20&gt;0,$DU20,'Setari model'!$B$81)/MAX(1,$DR20),IF($DV20&gt;0,$DV20,'Setari model'!$B$80)*MAX(0,((IF($DE20="Live 20-30",$EJ20,$EA20)*IF($DE20="Live 20-30",$DQ20,$AR20)-1)/(IF($DE20="Live 20-30",$DQ20,$AR20)-1)))),0))</x:f>
      </x:c>
      <x:c r="EO20" s="121" t="str">
        <x:f t="shared" si="21">IF($A20="","",IF(AND($EN20&gt;0,$DT20&gt;0),$EN20*$DT20,""))</x:f>
      </x:c>
      <x:c r="EP20" s="113" t="str">
        <x:f>IF($A20="","",IF(OR($DR20&lt;1,$DR20&gt;'Setari model'!$B$78),"NU – 1–5 selecții",IF($DS20&gt;'Setari model'!$B$79,"NU – corelație", "DA")))</x:f>
      </x:c>
      <x:c r="EQ20" s="117" t="str">
        <x:f t="shared" si="22">IF($A20="","",IF(AND($DC20&gt;1,$DD20&gt;1),$DC20/$DD20-1,""))</x:f>
      </x:c>
      <x:c r="ER20" s="113" t="str">
        <x:f t="shared" si="23">IF($A20="","","P v2="&amp;TEXT($EA20,"0.0%")&amp;" ±"&amp;TEXT($EG20,"0.0%")&amp;"; P0 ZIP="&amp;TEXT($DZ20,"0.0%")&amp;"; Confidence="&amp;TEXT($EF20,"0")&amp;"/100; piață reală="&amp;IF($EC20="","NU","DA")&amp;"; EV="&amp;IF($EE20="","n/a",TEXT($EE20,"0.0%"))&amp;"; gate="&amp;$EI20&amp;"; verdict="&amp;$EL20&amp;". "&amp;$EM20)</x:f>
      </x:c>
      <x:c r="ES20" s="119" t="str">
        <x:f>IF($A20="","",'Setari model'!$B$82)</x:f>
      </x:c>
      <x:c r="ET20" s="118" t="str">
        <x:f>IF($A20="","",'Setari model'!$B$83)</x:f>
      </x:c>
      <x:c r="EU20" s="115" t="str">
        <x:f t="shared" si="24">IF(OR($A20="",$DE20&lt;&gt;"Live 20-30",$DF20="",$DF20&lt;$ES20,$DF20&gt;=90),"",MAX(0.05,MIN($BS20*$ET20,$BS20*(90-$DF20)/90+0.35*($DI20+$DJ20)+0.06*($DK20+$DL20)+0.15*($DM20+$DN20)+0.1*(MAX($DO20,$DP20)-MIN($DO20,$DP20)))))</x:f>
      </x:c>
      <x:c r="EV20" s="132"/>
      <x:c r="EW20" s="132"/>
      <x:c r="EX20" s="132"/>
      <x:c r="EY20" s="132"/>
      <x:c r="EZ20" s="132"/>
      <x:c r="FA20" s="132"/>
      <x:c r="FB20" s="247"/>
      <x:c r="FC20" s="134" t="str">
        <x:f t="shared" si="25">IF($A20="","",IF(OR($J20="",$L20="",$L20&lt;=0),"",MAX(0.5,MIN(1.5,$J20/$L20))))</x:f>
      </x:c>
      <x:c r="FD20" s="134" t="str">
        <x:f t="shared" si="26">IF($A20="","",IF(OR($Q20="",$S20="",$S20&lt;=0),"",MAX(0.5,MIN(1.5,$Q20/$S20))))</x:f>
      </x:c>
      <x:c r="FE20" s="134" t="str">
        <x:f>IF($A20="","",IF(COUNT($EV20:$EW20)&lt;2,"",SQRT($EV20*$EW20)/'Setari model'!$B$87))</x:f>
      </x:c>
      <x:c r="FF20" s="134" t="str">
        <x:f>IF($A20="","",IF(COUNT($O20,$V20,$EX20,$EY20)&lt;4,"",AVERAGE(SQRT($O20*$EY20),SQRT($V20*$EX20))/'Setari model'!$B$88))</x:f>
      </x:c>
      <x:c r="FG20" s="134" t="str">
        <x:f t="shared" si="27">IF($A20="","",IF(COUNT($FC20:$FD20)&lt;2,"",MAX(0,1-AVERAGE($FC20:$FD20))))</x:f>
      </x:c>
      <x:c r="FH20" s="134" t="str">
        <x:f>IF($A20="","",IF(COUNT($EZ20:$FA20)&lt;2,"",'Setari model'!$B$94*AVERAGE($EZ20:$FA20)/'Setari model'!$B$89))</x:f>
      </x:c>
      <x:c r="FI20" s="134" t="str">
        <x:f>IF($A20="","",IF(COUNT($FE20:$FH20)&lt;4,"",MAX('Setari model'!$B$97,MIN('Setari model'!$B$98,1+'Setari model'!$B$90*($FE20-1)+'Setari model'!$B$91*($FF20-1)+'Setari model'!$B$92*$FG20+'Setari model'!$B$93*($FH20-1)))))</x:f>
      </x:c>
      <x:c r="FJ20" s="133" t="str">
        <x:f>IF($A20="","",IF($FI20="","",MIN('Setari model'!$B$101,MAX(0.002,$DZ20*$FI20))))</x:f>
      </x:c>
      <x:c r="FK20" s="131" t="str">
        <x:f t="shared" si="28">IF($A20="","",IF(AND(COUNT($EV20:$FA20)=6,COUNT($O20,$V20,$FC20,$FD20)=4),"DA","NU"))</x:f>
      </x:c>
      <x:c r="FL20" s="131" t="str">
        <x:f>IF($A20="","",IF($FK20&lt;&gt;"DA","NEDETERMINAT",IF($FI20&lt;='Setari model'!$B$99,"SCĂZUT",IF($FI20&lt;='Setari model'!$B$100,"MEDIU","RIDICAT"))))</x:f>
      </x:c>
      <x:c r="FM20" s="131" t="str">
        <x:f>IF($A20="","",IF(AND($AR20&gt;1,$EC20&gt;='Setari model'!$B$106),"DA","NU"))</x:f>
      </x:c>
      <x:c r="FN20" s="131" t="str">
        <x:f t="shared" si="29">IF($A20="","",IF(AND($AU20=1,COUNT($CY20:$DB20)=4),"DA","NU"))</x:f>
      </x:c>
      <x:c r="FO20" s="133" t="str">
        <x:f>IF($A20="","",IF(OR($FK20&lt;&gt;"DA",$FL20="RIDICAT"),'Setari model'!$B$102,IF($FL20="MEDIU",'Setari model'!$B$103,IF(AND($FM20="DA",$FN20="DA"),'Setari model'!$B$105,'Setari model'!$B$104))))</x:f>
      </x:c>
      <x:c r="FP20" s="133" t="str">
        <x:f t="shared" si="30">IF($A20="","",IF($FJ20="","",MIN(1-$FJ20,$FO20)))</x:f>
      </x:c>
      <x:c r="FQ20" s="135" t="str">
        <x:f t="shared" si="31">IF($A20="","",IF($FP20="","",IF($FP20&gt;0,1/$FP20,"")))</x:f>
      </x:c>
      <x:c r="FR20" s="133" t="str">
        <x:f t="shared" si="32">IF($A20="","",IF($EC20="","",$FP20-$EC20))</x:f>
      </x:c>
      <x:c r="FS20" s="133" t="str">
        <x:f t="shared" si="33">IF($A20="","",IF($AR20&gt;1,$FP20*$AR20-1,""))</x:f>
      </x:c>
      <x:c r="FT20" s="136" t="str">
        <x:f>IF($A20="","",MAX(0,MIN(100,$EF20-IF($FK20&lt;&gt;"DA",'Setari model'!$B$107,0)-IF($FL20="MEDIU",'Setari model'!$B$108,0)-IF($FL20="RIDICAT",'Setari model'!$B$109,0))))</x:f>
      </x:c>
      <x:c r="FU20" s="131" t="str">
        <x:f t="shared" si="34">IF($A20="","",IF($AR20&lt;=1,"NU – LIPSEȘTE COTA REALĂ",IF($FK20&lt;&gt;"DA","NU – ZERO-RISK INCOMPLET",IF($FL20&lt;&gt;"SCĂZUT","NU – RISC 0-0 "&amp;$FL20,IF($FN20&lt;&gt;"DA","NU – LINEUP NECONFIRMAT",IF($FM20&lt;&gt;"DA","NU – PIAȚĂ NECONFIRMATĂ",IF($EP20&lt;&gt;"DA","NU – PORTOFOLIU","DA")))))))</x:f>
      </x:c>
      <x:c r="FV20" s="131" t="str">
        <x:f>IF($A20="","",IF($FU20&lt;&gt;"DA","WATCH / NO BET",IF(AND($FP20&gt;='Setari model'!$B$35,$FT20&gt;=100*'Setari model'!$B$76,$FS20&gt;0),"PARIU RECOMANDAT",IF(AND($FP20&gt;='Setari model'!$B$39,$FT20&gt;=100*'Setari model'!$B$40,$FS20&gt;0),"WATCH – APROAPE DE PRAG","PARIU EVITAT"))))</x:f>
      </x:c>
      <x:c r="FW20" s="131" t="str">
        <x:f t="shared" si="35">IF($A20="","",IF($FU20&lt;&gt;"DA",$FU20,IF($FT20&lt;75,"Confidence v3 sub 75.",IF($FP20&lt;0.92,"P v3 sub 92%.",IF($FS20&lt;=0,"EV v3 nepozitiv.","P0 v3, lineup și piață confirmate.")))))</x:f>
      </x:c>
      <x:c r="FX20" s="131" t="str">
        <x:f t="shared" si="36">IF($A20="","","P v3="&amp;TEXT($FP20,"0.0%")&amp;"; P0 v3="&amp;TEXT($FJ20,"0.0%")&amp;"; factor zero="&amp;IF($FI20="","n/a",TEXT($FI20,"0.00x"))&amp;" ("&amp;$FL20&amp;"); cap="&amp;TEXT($FO20,"0.0%")&amp;"; Confidence="&amp;TEXT($FT20,"0")&amp;"/100; lineup="&amp;$FN20&amp;"; piață="&amp;$FM20&amp;"; EV="&amp;IF($FS20="","n/a",TEXT($FS20,"0.0%"))&amp;"; gate="&amp;$FU20&amp;"; verdict="&amp;$FV20&amp;". "&amp;$FW20)</x:f>
      </x:c>
      <x:c r="FY20" s="159"/>
      <x:c r="FZ20" s="159"/>
      <x:c r="GA20" s="157"/>
      <x:c r="GB20" s="157"/>
      <x:c r="GC20" s="161" t="str">
        <x:f t="shared" si="37">IF($A20="","",IF(OR($X20="",$Z20="",$Z20&lt;=0),"",MAX(0.5,MIN(1.5,$X20/$Z20))))</x:f>
      </x:c>
      <x:c r="GD20" s="161" t="str">
        <x:f t="shared" si="38">IF($A20="","",IF(OR($AC20="",$AE20="",$AE20&lt;=0),"",MAX(0.5,MIN(1.5,$AC20/$AE20))))</x:f>
      </x:c>
      <x:c r="GE20" s="162" t="str">
        <x:f t="shared" si="39">IF($A20="","",IF(COUNT($Z20,$AE20)&lt;2,"",AVERAGE($Z20,$AE20)))</x:f>
      </x:c>
      <x:c r="GF20" s="158" t="str">
        <x:f>IF($A20="","",IF(COUNT($FY20:$FZ20)&lt;2,"NEDETERMINAT",IF(AND($FY20&gt;='Setari model'!$B$113,$FZ20&gt;='Setari model'!$B$113),"DA","NU")))</x:f>
      </x:c>
      <x:c r="GG20" s="158" t="str">
        <x:f>IF($A20="","",IF(COUNT($FY20:$FZ20,$EX20:$EY20)&lt;4,"NEDETERMINAT",IF(OR(AND($FY20&gt;='Setari model'!$B$113,$EY20&gt;='Setari model'!$B$114),AND($FZ20&gt;='Setari model'!$B$113,$EX20&gt;='Setari model'!$B$114)),"DA","NU")))</x:f>
      </x:c>
      <x:c r="GH20" s="158" t="str">
        <x:f>IF($A20="","",IF(COUNT($BJ20:$BN20,$GC20:$GE20)&lt;8,"NEDETERMINAT",IF(AND((($BJ20*INDEX('Setari model'!$B$5:$B$11,MATCH($E20,'Setari model'!$A$5:$A$11,0))+$BK20*INDEX('Setari model'!$C$5:$C$11,MATCH($E20,'Setari model'!$A$5:$A$11,0))+$BL20*INDEX('Setari model'!$D$5:$D$11,MATCH($E20,'Setari model'!$A$5:$A$11,0))+$BM20*INDEX('Setari model'!$E$5:$E$11,MATCH($E20,'Setari model'!$A$5:$A$11,0))+$BN20*INDEX('Setari model'!$F$5:$F$11,MATCH($E20,'Setari model'!$A$5:$A$11,0)))/(INDEX('Setari model'!$B$5:$B$11,MATCH($E20,'Setari model'!$A$5:$A$11,0))+INDEX('Setari model'!$C$5:$C$11,MATCH($E20,'Setari model'!$A$5:$A$11,0))+INDEX('Setari model'!$D$5:$D$11,MATCH($E20,'Setari model'!$A$5:$A$11,0))+INDEX('Setari model'!$E$5:$E$11,MATCH($E20,'Setari model'!$A$5:$A$11,0))+INDEX('Setari model'!$F$5:$F$11,MATCH($E20,'Setari model'!$A$5:$A$11,0))))*$BR20&gt;='Setari model'!$B$115,(($BJ20*INDEX('Setari model'!$B$5:$B$11,MATCH($E20,'Setari model'!$A$5:$A$11,0))+$BK20*INDEX('Setari model'!$C$5:$C$11,MATCH($E20,'Setari model'!$A$5:$A$11,0))+$BL20*INDEX('Setari model'!$D$5:$D$11,MATCH($E20,'Setari model'!$A$5:$A$11,0))+$BM20*INDEX('Setari model'!$E$5:$E$11,MATCH($E20,'Setari model'!$A$5:$A$11,0))+$BN20*INDEX('Setari model'!$F$5:$F$11,MATCH($E20,'Setari model'!$A$5:$A$11,0)))/(INDEX('Setari model'!$B$5:$B$11,MATCH($E20,'Setari model'!$A$5:$A$11,0))+INDEX('Setari model'!$C$5:$C$11,MATCH($E20,'Setari model'!$A$5:$A$11,0))+INDEX('Setari model'!$D$5:$D$11,MATCH($E20,'Setari model'!$A$5:$A$11,0))+INDEX('Setari model'!$E$5:$E$11,MATCH($E20,'Setari model'!$A$5:$A$11,0))+INDEX('Setari model'!$F$5:$F$11,MATCH($E20,'Setari model'!$A$5:$A$11,0))))*$BR20&lt;='Setari model'!$B$116,AVERAGE($GC20:$GD20)&lt;='Setari model'!$B$117,$GE20&gt;='Setari model'!$B$118),"DA","NU")))</x:f>
      </x:c>
      <x:c r="GI20" s="158" t="str">
        <x:f>IF($A20="","",IF(COUNT($W20,$AB20,$GA20:$GB20)&lt;4,"NEDETERMINAT",IF(AND($W20&gt;='Setari model'!$B$120,$AB20&gt;='Setari model'!$B$120,OR(IFERROR($GA20/$W20,0)&gt;='Setari model'!$B$119,IFERROR($GB20/$AB20,0)&gt;='Setari model'!$B$119)),"DA","NU")))</x:f>
      </x:c>
      <x:c r="GJ20" s="160" t="str">
        <x:f>IF($A20="","",IF(COUNT($FY20:$GB20)&lt;4,"",IF($GH20&lt;&gt;"DA",0,'Setari model'!$B$121*IF($GF20="DA",1,0)+'Setari model'!$B$122*IF($GG20="DA",1,0)+'Setari model'!$B$123+'Setari model'!$B$124*IF($GI20="DA",1,0))))</x:f>
      </x:c>
      <x:c r="GK20" s="161" t="str">
        <x:f>IF($A20="","",IF(COUNT($GJ20)=0,"",1+'Setari model'!$B$125*$GJ20))</x:f>
      </x:c>
      <x:c r="GL20" s="160" t="str">
        <x:f>IF($A20="","",IF($GM20&lt;&gt;"DA",$FJ20,MIN('Setari model'!$B$101,MAX(0.002,$FJ20*$GK20))))</x:f>
      </x:c>
      <x:c r="GM20" s="158" t="str">
        <x:f>IF($A20="","",IF(AND($FK20="DA",COUNT($FY20:$GB20)=4,COUNT($I20,$P20,$W20,$AB20,$Z20,$AE20,$EX20,$EY20,$GC20,$GD20)=10,COUNT($BJ20:$BN20)=5),"DA","NU"))</x:f>
      </x:c>
      <x:c r="GN20" s="158" t="str">
        <x:f>IF($A20="","",IF($GM20&lt;&gt;"DA","NEDETERMINAT",IF($FI20*$GK20&lt;='Setari model'!$B$99,"SCĂZUT",IF($FI20*$GK20&lt;='Setari model'!$B$100,"MEDIU","RIDICAT"))))</x:f>
      </x:c>
      <x:c r="GO20" s="160" t="str">
        <x:f>IF($A20="","",IF(OR($GM20&lt;&gt;"DA",$GN20="RIDICAT"),'Setari model'!$B$102,IF($GN20="MEDIU",'Setari model'!$B$103,IF(AND($FM20="DA",$FN20="DA"),'Setari model'!$B$105,'Setari model'!$B$104))))</x:f>
      </x:c>
      <x:c r="GP20" s="160" t="str">
        <x:f t="shared" si="40">IF($A20="","",IF($GL20="","",MIN(1-$GL20,$GO20)))</x:f>
      </x:c>
      <x:c r="GQ20" s="162" t="str">
        <x:f t="shared" si="41">IF($A20="","",IF($GP20="","",IF($GP20&gt;0,1/$GP20,"")))</x:f>
      </x:c>
      <x:c r="GR20" s="160" t="str">
        <x:f t="shared" si="42">IF($A20="","",IF($EC20="","",$GP20-$EC20))</x:f>
      </x:c>
      <x:c r="GS20" s="160" t="str">
        <x:f t="shared" si="43">IF($A20="","",IF($AR20&gt;1,$GP20*$AR20-1,""))</x:f>
      </x:c>
      <x:c r="GT20" s="163" t="str">
        <x:f>IF($A20="","",MAX(0,MIN(100,$FT20-IF(AND($GM20&lt;&gt;"DA",$FK20="DA"),'Setari model'!$B$107,0)-'Setari model'!$B$126*IF($GJ20="",0,$GJ20))))</x:f>
      </x:c>
      <x:c r="GU20" s="158" t="str">
        <x:f t="shared" si="44">IF($A20="","",IF($AR20&lt;=1,"NU – LIPSEȘTE COTA REALĂ",IF($GM20&lt;&gt;"DA","NU – DATE LOW-CONVERSION INCOMPLETE",IF($GN20&lt;&gt;"SCĂZUT","NU – RISC 0-0 "&amp;$GN20,IF($FN20&lt;&gt;"DA","NU – LINEUP NECONFIRMAT",IF($FM20&lt;&gt;"DA","NU – PIAȚĂ NECONFIRMATĂ",IF($EP20&lt;&gt;"DA","NU – PORTOFOLIU","DA")))))))</x:f>
      </x:c>
      <x:c r="GV20" s="158" t="str">
        <x:f>IF($A20="","",IF($GU20&lt;&gt;"DA","WATCH / NO BET",IF(AND($GP20&gt;='Setari model'!$B$35,$GT20&gt;=100*'Setari model'!$B$76,$GS20&gt;0),"PARIU RECOMANDAT",IF(AND($GP20&gt;='Setari model'!$B$39,$GT20&gt;=100*'Setari model'!$B$40,$GS20&gt;0),"WATCH – APROAPE DE PRAG","PARIU EVITAT"))))</x:f>
      </x:c>
      <x:c r="GW20" s="158" t="str">
        <x:f t="shared" si="45">IF($A20="","",IF($GU20&lt;&gt;"DA",$GU20,IF($GT20&lt;75,"Confidence v5 sub 75.",IF($GP20&lt;0.92,"P v5 sub 92%.",IF($GS20&lt;=0,"EV v5 nepozitiv.",IF($GJ20&gt;0,"Low-conversion absorbit în P0; toate porțile rămân trecute.","Toate porțile v5 sunt trecute."))))))</x:f>
      </x:c>
      <x:c r="GX20" s="158" t="str">
        <x:f t="shared" si="46">IF($A20="","","P v5="&amp;TEXT($GP20,"0.0%")&amp;"; P0 v5="&amp;TEXT($GL20,"0.0%")&amp;"; low-conv="&amp;IF(COUNT($GJ20)=0,"n/a",TEXT($GJ20,"0%"))&amp;"; mult.P0="&amp;IF(COUNT($GK20)=0,"n/a",TEXT($GK20,"0.00"))&amp;"; clasă="&amp;$GN20&amp;"; cap="&amp;TEXT($GO20,"0.0%")&amp;"; Confidence="&amp;TEXT($GT20,"0")&amp;"/100; lineup="&amp;$FN20&amp;"; piață="&amp;$FM20&amp;"; EV="&amp;IF($GS20="","n/a",TEXT($GS20,"0.0%"))&amp;"; gate="&amp;$GU20&amp;"; verdict="&amp;$GV20&amp;". "&amp;$GW20)</x:f>
      </x:c>
      <x:c r="GY20" s="174" t="str">
        <x:f>IF($A20="","",IF($GM20&lt;&gt;"DA","SOURCING INCOMPLETE – REVIEW REQUIRED",IF(MIN($I20,$P20,$W20,$AB20)&lt;'Setari model'!$B$58,"SMALL SAMPLE + PRIOR / SHRINKAGE","VERIFIED / PRIOR / SHRINKAGE")))</x:f>
      </x:c>
      <x:c r="GZ20" s="175" t="str">
        <x:f t="shared" si="47">IF($A20="","",MAX(0,MIN(100,100*(1-AVERAGE(IF($GM20="DA",1,0),MIN(1,$AT20/5))))))</x:f>
      </x:c>
      <x:c r="HA20" s="175" t="str">
        <x:f>IF($A20="","",IF($GM20&lt;&gt;"DA","",MAX(0,MIN(100,100*(($FI20*$GK20)-'Setari model'!$B$97)/('Setari model'!$B$98-'Setari model'!$B$97)))))</x:f>
      </x:c>
      <x:c r="HB20" s="175" t="str">
        <x:f>IF($A20="","",MAX(0,MIN(100,100*(ABS($BR20-1)/MAX(1-'Setari model'!$B$53,'Setari model'!$B$54-1)+MIN(1,$BG20/2))/2)))</x:f>
      </x:c>
      <x:c r="HC20" s="175" t="str">
        <x:f t="shared" si="48">IF($A20="","",MAX(0,MIN(100,100*(1-AVERAGE($CC20,MAX(0,1-(MAX($BJ20:$BN20)-MIN($BJ20:$BN20))/(AVERAGE($BJ20:$BN20)*'Setari model'!$B$45)))))))</x:f>
      </x:c>
      <x:c r="HD20" s="175" t="str">
        <x:f t="shared" si="49">IF($A20="","",MAX(0,MIN(100,100*MAX(IF($GJ20="",0,$GJ20),MIN(1,$BG20/2)))))</x:f>
      </x:c>
      <x:c r="HE20" s="175" t="str">
        <x:f>IF($A20="","",IF(COUNT($GZ20:$HD20)&lt;5,"",$GZ20*Risk_Classification!$E$28+$HA20*Risk_Classification!$E$29+$HB20*Risk_Classification!$E$30+$HC20*Risk_Classification!$E$31+$HD20*Risk_Classification!$E$32))</x:f>
      </x:c>
      <x:c r="HF20" s="176" t="str">
        <x:f t="shared" si="50">IF($A20="","",IF($HE20="","",IF($HE20&lt;=20,1,IF($HE20&lt;=40,2,IF($HE20&lt;=60,3,IF($HE20&lt;=80,4,5))))))</x:f>
      </x:c>
      <x:c r="HG20" s="176" t="str">
        <x:f t="shared" si="51">IF($A20="","",IF($GM20="DA","PASS","FAIL – DATE CRITICE ZERO-MASS INCOMPLETE"))</x:f>
      </x:c>
      <x:c r="HH20" s="176" t="str">
        <x:f t="shared" si="52">IF($A20="","",IF($HG20&lt;&gt;"PASS",5,$HF20))</x:f>
      </x:c>
      <x:c r="HI20" s="174" t="str">
        <x:f t="shared" si="53">IF($A20="","",IF($HH20="","N/A",IF($HH20=1,"DEFENSIV",IF($HH20=2,"PRUDENT",IF($HH20=3,"MODERAT",IF($HH20=4,"RIDICAT","WATCH / NO BET"))))))</x:f>
      </x:c>
      <x:c r="HJ20" s="177" t="str">
        <x:f t="shared" si="54">IF($A20="","","Data="&amp;$GY20&amp;"; DQ="&amp;TEXT($GZ20,"0.0")&amp;"; ZM="&amp;IF($HA20="","n/a",TEXT($HA20,"0.0"))&amp;"; Context="&amp;TEXT($HB20,"0.0")&amp;"; Uncertainty="&amp;TEXT($HC20,"0.0")&amp;"; Compound="&amp;TEXT($HD20,"0.0")&amp;"; Risk Score="&amp;IF($HE20="","n/a",TEXT($HE20,"0.0"))&amp;"; Base="&amp;IF($HF20="","n/a",$HF20)&amp;"; G0="&amp;$HG20&amp;"; Final="&amp;$HH20&amp;". Cota, EV si lineup sunt informative si nu intra in recomandare.")</x:f>
      </x:c>
      <x:c r="HK20" s="174" t="str">
        <x:f t="shared" si="55">IF($A20="","",$HI20)</x:f>
      </x:c>
    </x:row>
    <x:row r="21" ht="24" customHeight="1">
      <x:c r="A21" s="58"/>
      <x:c r="B21" s="24"/>
      <x:c r="C21" s="59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18"/>
      <x:c r="O21" s="18"/>
      <x:c r="P21" s="24"/>
      <x:c r="Q21" s="24"/>
      <x:c r="R21" s="24"/>
      <x:c r="S21" s="24"/>
      <x:c r="T21" s="24"/>
      <x:c r="U21" s="18"/>
      <x:c r="V21" s="18"/>
      <x:c r="W21" s="24"/>
      <x:c r="X21" s="24"/>
      <x:c r="Y21" s="24"/>
      <x:c r="Z21" s="24"/>
      <x:c r="AA21" s="24"/>
      <x:c r="AB21" s="24"/>
      <x:c r="AC21" s="24"/>
      <x:c r="AD21" s="24"/>
      <x:c r="AE21" s="24"/>
      <x:c r="AF21" s="24"/>
      <x:c r="AG21" s="24"/>
      <x:c r="AH21" s="24"/>
      <x:c r="AI21" s="18"/>
      <x:c r="AJ21" s="24"/>
      <x:c r="AK21" s="24"/>
      <x:c r="AL21" s="24"/>
      <x:c r="AM21" s="18"/>
      <x:c r="AN21" s="24"/>
      <x:c r="AO21" s="60"/>
      <x:c r="AP21" s="60"/>
      <x:c r="AQ21" s="60"/>
      <x:c r="AR21" s="60"/>
      <x:c r="AS21" s="60"/>
      <x:c r="AT21" s="24"/>
      <x:c r="AU21" s="24"/>
      <x:c r="AV21" s="24"/>
      <x:c r="AW21" s="24"/>
      <x:c r="AX21" s="24"/>
      <x:c r="AY21" s="24"/>
      <x:c r="AZ21" s="24"/>
      <x:c r="BA21" s="24"/>
      <x:c r="BB21" s="24"/>
      <x:c r="BC21" s="24"/>
      <x:c r="BD21" s="24"/>
      <x:c r="BE21" s="24"/>
      <x:c r="BF21" s="24"/>
      <x:c r="BG21" s="24"/>
      <x:c r="BH21" s="61"/>
      <x:c r="BI21" s="61"/>
      <x:c r="BJ21" s="62" t="str">
        <x:f>IF($A21="","",SQRT((($I21*IF($J21="",$AJ21,$J21)+'Setari model'!$B$30*$AJ21)/($I21+'Setari model'!$B$30))*(($P21*IF($R21="",$AJ21,$R21)+'Setari model'!$B$30*$AJ21)/($P21+'Setari model'!$B$30)))+SQRT((($P21*IF($Q21="",$AK21,$Q21)+'Setari model'!$B$30*$AK21)/($P21+'Setari model'!$B$30))*(($I21*IF($K21="",$AK21,$K21)+'Setari model'!$B$30*$AK21)/($I21+'Setari model'!$B$30))))</x:f>
      </x:c>
      <x:c r="BK21" s="62" t="str">
        <x:f>IF($A21="","",SQRT((($I21*IF($L21="",IF($J21="",$AJ21,$J21),$L21)+'Setari model'!$B$30*$AJ21)/($I21+'Setari model'!$B$30))*(($P21*IF($T21="",IF($R21="",$AJ21,$R21),$T21)+'Setari model'!$B$30*$AJ21)/($P21+'Setari model'!$B$30)))+SQRT((($P21*IF($S21="",IF($Q21="",$AK21,$Q21),$S21)+'Setari model'!$B$30*$AK21)/($P21+'Setari model'!$B$30))*(($I21*IF($M21="",IF($K21="",$AK21,$K21),$M21)+'Setari model'!$B$30*$AK21)/($I21+'Setari model'!$B$30))))</x:f>
      </x:c>
      <x:c r="BL21" s="62" t="str">
        <x:f>IF($A21="","",SQRT((($W21*IF($X21="",$AL21/2,$X21)+'Setari model'!$B$31*$AL21/2)/($W21+'Setari model'!$B$31))*(($AB21*IF($AD21="",$AL21/2,$AD21)+'Setari model'!$B$31*$AL21/2)/($AB21+'Setari model'!$B$31)))+SQRT((($AB21*IF($AC21="",$AL21/2,$AC21)+'Setari model'!$B$31*$AL21/2)/($AB21+'Setari model'!$B$31))*(($W21*IF($Y21="",$AL21/2,$Y21)+'Setari model'!$B$31*$AL21/2)/($W21+'Setari model'!$B$31))))</x:f>
      </x:c>
      <x:c r="BM21" s="62" t="str">
        <x:f>IF($A21="","",SQRT((($W21*IF($Z21="",IF($X21="",$AL21/2,$X21),$Z21)+'Setari model'!$B$31*$AL21/2)/($W21+'Setari model'!$B$31))*(($AB21*IF($AF21="",IF($AD21="",$AL21/2,$AD21),$AF21)+'Setari model'!$B$31*$AL21/2)/($AB21+'Setari model'!$B$31)))+SQRT((($AB21*IF($AE21="",IF($AC21="",$AL21/2,$AC21),$AE21)+'Setari model'!$B$31*$AL21/2)/($AB21+'Setari model'!$B$31))*(($W21*IF($AA21="",IF($Y21="",$AL21/2,$Y21),$AA21)+'Setari model'!$B$31*$AL21/2)/($W21+'Setari model'!$B$31))))</x:f>
      </x:c>
      <x:c r="BN21" s="62" t="str">
        <x:f t="shared" si="0">IF($A21="","",IF($AG21&gt;0,($AG21*IF($AH21="",$AL21,$AH21)+5*$AL21)/($AG21+5),$AL21))</x:f>
      </x:c>
      <x:c r="BO21" s="63" t="str">
        <x:f>IF($A21="","",IF($AR21&gt;1,IF($AS21&gt;1,(1/$AR21)/((1/$AR21+1/$AS21)),MIN(0.995,(1/$AR21)/(1+'Setari model'!$B$32))),1-EXP(-$AL21)))</x:f>
      </x:c>
      <x:c r="BP21" s="62" t="str">
        <x:f t="shared" si="1">IF($A21="","",-LN(1-$BO21))</x:f>
      </x:c>
      <x:c r="BQ21" s="62" t="str">
        <x:f>IF($A21="","",$BJ21*INDEX('Setari model'!$B$5:$B$11,MATCH($E21,'Setari model'!$A$5:$A$11,0))+$BK21*INDEX('Setari model'!$C$5:$C$11,MATCH($E21,'Setari model'!$A$5:$A$11,0))+$BL21*INDEX('Setari model'!$D$5:$D$11,MATCH($E21,'Setari model'!$A$5:$A$11,0))+$BM21*INDEX('Setari model'!$E$5:$E$11,MATCH($E21,'Setari model'!$A$5:$A$11,0))+$BN21*INDEX('Setari model'!$F$5:$F$11,MATCH($E21,'Setari model'!$A$5:$A$11,0))+$BP21*INDEX('Setari model'!$G$5:$G$11,MATCH($E21,'Setari model'!$A$5:$A$11,0)))</x:f>
      </x:c>
      <x:c r="BR21" s="64" t="str">
        <x:f>IF($A21="","",MAX('Setari model'!$B$53,MIN('Setari model'!$B$54,1+($AV21*'Setari model'!$B$15+$AW21*'Setari model'!$B$16+$AX21*'Setari model'!$B$17+$AY21*'Setari model'!$B$18+$AZ21*'Setari model'!$B$19+$BA21*'Setari model'!$B$20+$BB21*'Setari model'!$B$21+$BC21*'Setari model'!$B$22+$BD21*'Setari model'!$B$23+$BE21*'Setari model'!$B$24+$BF21*'Setari model'!$B$25)*INDEX('Setari model'!$H$5:$H$11,MATCH($E21,'Setari model'!$A$5:$A$11,0)))))</x:f>
      </x:c>
      <x:c r="BS21" s="62" t="str">
        <x:f t="shared" si="2">IF($A21="","",$BQ21*$BR21)</x:f>
      </x:c>
      <x:c r="BT21" s="63" t="str">
        <x:f t="shared" si="3">IF($A21="","",EXP(-$BS21))</x:f>
      </x:c>
      <x:c r="BU21" s="65" t="str">
        <x:f>IF($A21="","",IF(OR($AM21="",$AN21=""),1,1+MIN('Setari model'!$B$33,$AN21/100*'Setari model'!$B$33)*($AM21/EXP(-$AL21)-1)))</x:f>
      </x:c>
      <x:c r="BV21" s="63" t="str">
        <x:f>IF($A21="","",MIN(0.45,MAX(0.005,(1-'Setari model'!$B$34*MIN(1,($I21+$P21)/20))*MIN(0.45,$BT21*$BU21)+'Setari model'!$B$34*MIN(1,($I21+$P21)/20)*IF(COUNT($N21,$U21)=2,SQRT(MAX(0,1-$N21)*MAX(0,1-$U21)),IF($AM21="",EXP(-$AL21),$AM21)))))</x:f>
      </x:c>
      <x:c r="BW21" s="63" t="str">
        <x:f t="shared" si="4">IF($A21="","",1-$BV21)</x:f>
      </x:c>
      <x:c r="BX21" s="62" t="str">
        <x:f t="shared" si="5">IF($A21="","",1/$BW21)</x:f>
      </x:c>
      <x:c r="BY21" s="63" t="str">
        <x:f t="shared" si="6">IF($A21="","",$BO21)</x:f>
      </x:c>
      <x:c r="BZ21" s="63" t="str">
        <x:f t="shared" si="7">IF($A21="","",$BW21-$BY21)</x:f>
      </x:c>
      <x:c r="CA21" s="63" t="str">
        <x:f t="shared" si="8">IF($A21="","",IF($AR21&gt;1,$BW21*$AR21-1,""))</x:f>
      </x:c>
      <x:c r="CB21" s="63" t="str">
        <x:f>IF($A21="","",MIN(1,COUNT($I21:$AN21,$AR21:$BG21)/'Setari model'!$B$46))</x:f>
      </x:c>
      <x:c r="CC21" s="63" t="str">
        <x:f t="shared" si="9">IF($A21="","",0.25*MIN(1,$I21/10)+0.25*MIN(1,$P21/10)+0.15*MIN(1,$W21/5)+0.15*MIN(1,$AB21/5)+0.1*MIN(1,$AG21/5)+0.1*MIN(1,$AN21/100))</x:f>
      </x:c>
      <x:c r="CD21" s="63" t="str">
        <x:f>IF($A21="","",MAX(0,1-(MAX($BJ21:$BN21,$BP21)-MIN($BJ21:$BN21,$BP21))/(AVERAGE($BJ21:$BN21,$BP21)*'Setari model'!$B$45)))</x:f>
      </x:c>
      <x:c r="CE21" s="66" t="str">
        <x:f>IF($A21="","",MAX(0,MIN(100,100*INDEX('Setari model'!$I$5:$I$11,MATCH($E21,'Setari model'!$A$5:$A$11,0))*('Setari model'!$B$47*$CB21+'Setari model'!$B$48*$CC21+'Setari model'!$B$49*$CD21+'Setari model'!$B$50*$AT21/5+'Setari model'!$B$51*$AU21)-100*'Setari model'!$B$52*$BG21)))</x:f>
      </x:c>
      <x:c r="CF21" s="65" t="str">
        <x:f t="shared" si="10">IF($A21="","",IF(OR($AT21&lt;3,$BG21&gt;=2,$CB21&lt;0.55,$CC21&lt;0.4),"RIDICAT",IF(OR($AU21=0,$CD21&lt;0.45,$BR21&lt;0.9),"MEDIU","SCĂZUT")))</x:f>
      </x:c>
      <x:c r="CG21" s="65" t="str">
        <x:f>IF($A21="","",IF($AR21&gt;1,IF(AND($BW21&gt;= 'Setari model'!$B$35,$CE21&gt;=100*'Setari model'!$B$36,$BZ21&gt;= 'Setari model'!$B$37,$CA21&gt;= 'Setari model'!$B$38,$CF21&lt;&gt;"RIDICAT"),"PARIU RECOMANDAT",IF(AND($BW21&gt;= 'Setari model'!$B$39,$CE21&gt;=100*'Setari model'!$B$40,$BZ21&gt;= 'Setari model'!$B$41,$CA21&gt;=0,$CF21&lt;&gt;"RIDICAT"),"RECOMANDAT CU PRUDENȚĂ",IF(AND($BW21&gt;= 'Setari model'!$B$42,$CE21&gt;=100*'Setari model'!$B$43),"ANALIZĂ NECONCLUDENTĂ","PARIU EVITAT"))),IF(AND($BW21&gt;= 'Setari model'!$B$35,$CE21&gt;=100*'Setari model'!$B$36,$CF21&lt;&gt;"RIDICAT"),"FAVORABIL STATISTIC – VERIFICĂ COTA",IF(AND($BW21&gt;= 'Setari model'!$B$42,$CE21&gt;=100*'Setari model'!$B$43),"ANALIZĂ NECONCLUDENTĂ","PARIU EVITAT"))))</x:f>
      </x:c>
      <x:c r="CH21" s="67" t="str">
        <x:f t="shared" si="11">IF($A21="","","P(O0,5)="&amp;TEXT($BW21,"0.0%")&amp;"; λ ajustat="&amp;TEXT($BS21,"0.00")&amp;"; Confidence="&amp;TEXT($CE21,"0")&amp;"/100; Edge="&amp;TEXT($BZ21,"0.0%")&amp;"; risc="&amp;$CF21&amp;". "&amp;$BH21)</x:f>
      </x:c>
      <x:c r="CI21" s="68" t="str">
        <x:f t="shared" si="12">IF($A21="","",$BI21)</x:f>
      </x:c>
      <x:c r="CJ21" s="112"/>
      <x:c r="CK21" s="112"/>
      <x:c r="CL21" s="112"/>
      <x:c r="CM21" s="112"/>
      <x:c r="CN21" s="112"/>
      <x:c r="CO21" s="112"/>
      <x:c r="CP21" s="112"/>
      <x:c r="CQ21" s="112"/>
      <x:c r="CR21" s="112"/>
      <x:c r="CS21" s="112"/>
      <x:c r="CT21" s="112"/>
      <x:c r="CU21" s="112"/>
      <x:c r="CV21" s="112"/>
      <x:c r="CW21" s="112"/>
      <x:c r="CX21" s="112"/>
      <x:c r="CY21" s="112"/>
      <x:c r="CZ21" s="112"/>
      <x:c r="DA21" s="112"/>
      <x:c r="DB21" s="112"/>
      <x:c r="DC21" s="114"/>
      <x:c r="DD21" s="114"/>
      <x:c r="DE21" s="112" t="s">
        <x:v>266</x:v>
      </x:c>
      <x:c r="DF21" s="112"/>
      <x:c r="DG21" s="112"/>
      <x:c r="DH21" s="112"/>
      <x:c r="DI21" s="112"/>
      <x:c r="DJ21" s="112"/>
      <x:c r="DK21" s="112"/>
      <x:c r="DL21" s="112"/>
      <x:c r="DM21" s="112"/>
      <x:c r="DN21" s="112"/>
      <x:c r="DO21" s="112"/>
      <x:c r="DP21" s="112"/>
      <x:c r="DQ21" s="114"/>
      <x:c r="DR21" s="112">
        <x:v>1</x:v>
      </x:c>
      <x:c r="DS21" s="116">
        <x:v>0</x:v>
      </x:c>
      <x:c r="DT21" s="120"/>
      <x:c r="DU21" s="116">
        <x:v>0.02</x:v>
      </x:c>
      <x:c r="DV21" s="116">
        <x:v>0.25</x:v>
      </x:c>
      <x:c r="DW21" s="118" t="str">
        <x:f>IF($A21="","",MAX('Setari model'!$B$71,MIN('Setari model'!$B$72,1+0.08*(IFERROR(AVERAGE($CM21:$CN21)/'Setari model'!$B$66,1)-1)+0.08*(IFERROR(AVERAGE($CO21:$CP21)/'Setari model'!$B$67,1)-1)+0.06*(IFERROR(AVERAGE($CQ21:$CR21)/'Setari model'!$B$68,1)-1)+0.04*(IFERROR(AVERAGE($CS21:$CT21)/'Setari model'!$B$69,1)-1)+0.04*(IFERROR(AVERAGE($CU21:$CV21)/'Setari model'!$B$70,1)-1)-'Setari model'!$B$73*IFERROR(AVERAGE($CW21:$CX21),0))))</x:f>
      </x:c>
      <x:c r="DX21" s="118" t="str">
        <x:f>IF($A21="","",1+'Setari model'!$B$62*MAX(IF(OR($CK21=1,$CL21=1),1,0),IF(AND($CJ21&lt;&gt;"",$CJ21&lt;=1),1,0))+'Setari model'!$B$63*IF(AND($CJ21&gt;1,$CJ21&lt;=3),1,0))</x:f>
      </x:c>
      <x:c r="DY21" s="118" t="str">
        <x:f>IF($A21="","",1+'Setari model'!$B$74*(IF($CY21="",0,IF($CY21=0,1,0))+IF($CZ21="",0,IF($CZ21=0,1,0)))+'Setari model'!$B$75*(IF($DA21="",0,IF($DA21=0,1,0))+IF($DB21="",0,IF($DB21=0,1,0))))</x:f>
      </x:c>
      <x:c r="DZ21" s="117" t="str">
        <x:f>IF($A21="","",MIN(0.6,MAX(0.002,(((1-'Setari model'!$B$34*MIN(1,($I21+$P21)/20))*$BT21+'Setari model'!$B$34*MIN(1,($I21+$P21)/20)*IF(COUNT($N21,$U21)=2,SQRT(MAX(0,1-$N21)*MAX(0,1-$U21)),$BT21))*(1-'Setari model'!$B$65*MIN(1,IF($AN21="",0,$AN21/'Setari model'!$B$64)))+'Setari model'!$B$65*MIN(1,IF($AN21="",0,$AN21/'Setari model'!$B$64))*IF($AM21="",$BT21,$AM21))*$DX21*$DY21/$DW21)))</x:f>
      </x:c>
      <x:c r="EA21" s="117" t="str">
        <x:f>IF($A21="","",MIN(1-$DZ21,IF(OR(MIN($I21,$P21)&lt;'Setari model'!$B$58,$CK21=1,$CL21=1,AND($CJ21&lt;&gt;"",$CJ21&lt;=1)),'Setari model'!$B$59,IF(AND($AU21=1,$AR21&gt;1,COUNT($CY21:$DB21)=4),'Setari model'!$B$61,'Setari model'!$B$60))))</x:f>
      </x:c>
      <x:c r="EB21" s="115" t="str">
        <x:f t="shared" si="13">IF($A21="","",1/$EA21)</x:f>
      </x:c>
      <x:c r="EC21" s="117" t="str">
        <x:f t="shared" si="14">IF($A21="","",IF($AR21&gt;1,IF($AS21&gt;1,(1/$AR21)/((1/$AR21)+(1/$AS21)),1/$AR21),""))</x:f>
      </x:c>
      <x:c r="ED21" s="117" t="str">
        <x:f t="shared" si="15">IF($A21="","",IF($EC21="","",$EA21-$EC21))</x:f>
      </x:c>
      <x:c r="EE21" s="117" t="str">
        <x:f t="shared" si="16">""</x:f>
      </x:c>
      <x:c r="EF21" s="119" t="str">
        <x:f>IF($A21="","",MAX(0,MIN(100,$CE21-200*MAX(0,$EG21-'Setari model'!$B$77)-IF($AU21&lt;&gt;1,10,0)-IF(COUNT($CY21:$DB21)&lt;4,4,0))))</x:f>
      </x:c>
      <x:c r="EG21" s="117" t="str">
        <x:f>IF($A21="","",'Setari model'!$B$77+IF(MIN($I21,$P21)&lt;'Setari model'!$B$58,0.03,0)+IF(OR($CK21=1,$CL21=1,AND($CJ21&lt;&gt;"",$CJ21&lt;=1)),0.03,0)+IF($AG21=0,0.02,0)+0.03*(1-MIN(1,COUNT($CM21:$CV21)/10))+0.03*(1-MIN(1,IF($AN21="",0,$AN21/'Setari model'!$B$64)))+IF($AR21&lt;=1,0.02,0))</x:f>
      </x:c>
      <x:c r="EH21" s="113" t="str">
        <x:f>IF($A21="","",IF(OR(MIN($I21,$P21)&lt;'Setari model'!$B$58,$CK21=1,$CL21=1,AND($CJ21&lt;&gt;"",$CJ21&lt;=1)),"92% – early/regim",IF(AND($AU21=1,$AR21&gt;1,COUNT($CY21:$DB21)=4),"94% – confirmat","93% – standard")))</x:f>
      </x:c>
      <x:c r="EI21" s="113" t="str">
        <x:f t="shared" si="17">IF($A21="","",IF(AND($EA21&gt;0.9,$AU21&lt;&gt;1),"WAIT XI – HIGH P",IF(AND($EA21&gt;0.9,COUNT($CY21:$DB21)&lt;4),"WAIT DATE CHEIE – HIGH P",IF($EP21&lt;&gt;"DA","NU – PORTOFOLIU","DA"))))</x:f>
      </x:c>
      <x:c r="EJ21" s="117" t="str">
        <x:f t="shared" si="18">IF($A21="","",IF($DE21&lt;&gt;"Live 20-30","",IF(SUM($DG21:$DH21)&gt;0,1,IF($EU21="","",1-MIN(0.95,MAX(0.001,EXP(-$EU21)*$DX21*$DY21/$DW21))))))</x:f>
      </x:c>
      <x:c r="EK21" s="117" t="str">
        <x:f t="shared" si="19">""</x:f>
      </x:c>
      <x:c r="EL21" s="113" t="str">
        <x:f>IF($A21="","",IF($DE21="Live 20-30",IF(SUM($DG21:$DH21)&gt;0,"EVENIMENT ÎNDEPLINIT",IF(OR($DF21="",COUNT($DI21:$DN21)&lt;4),"LIVE – WATCH",IF($EJ21&gt;=0.75,"LIVE – FEZABIL TEHNIC","LIVE – NO BET"))),IF($EI21&lt;&gt;"DA","WATCH / NO BET",IF(AND($EA21&gt;=INDEX('Setari model'!$B$35:$B$40,1),$EF21&gt;=100*'Setari model'!$B$76),"PARIU RECOMANDAT",IF(AND($EA21&gt;=INDEX('Setari model'!$B$35:$B$40,5),$EF21&gt;=100*'Setari model'!$B$40),"WATCH – APROAPE DE PRAG","PARIU EVITAT")))))</x:f>
      </x:c>
      <x:c r="EM21" s="113" t="str">
        <x:f t="shared" si="20">IF($A21="","",IF($DE21="Live 20-30",IF(SUM($DG21:$DH21)&gt;0,"Gol deja marcat.",IF($DF21="","Minut live lipsă.",IF(COUNT($DI21:$DN21)&lt;4,"Lipsesc xG/SOT/big chances live.",IF($EJ21&lt;0.75,"P live sub prag.","Semnal live tehnic complet; EV ignorat.")))),IF($EI21&lt;&gt;"DA",$EI21,IF($EF21&lt;75,"Confidence sub 75.",IF($EA21&lt;0.92,"P sub 92%.","G0/Zero-Mass + confidence trecute; EV ignorat.")))))</x:f>
      </x:c>
      <x:c r="EN21" s="117" t="str">
        <x:f>IF($A21="","",IF(OR($EL21="PARIU RECOMANDAT",$EL21="LIVE – FEZABIL"),MIN(IF($DU21&gt;0,$DU21,'Setari model'!$B$81)/MAX(1,$DR21),IF($DV21&gt;0,$DV21,'Setari model'!$B$80)*MAX(0,((IF($DE21="Live 20-30",$EJ21,$EA21)*IF($DE21="Live 20-30",$DQ21,$AR21)-1)/(IF($DE21="Live 20-30",$DQ21,$AR21)-1)))),0))</x:f>
      </x:c>
      <x:c r="EO21" s="121" t="str">
        <x:f t="shared" si="21">IF($A21="","",IF(AND($EN21&gt;0,$DT21&gt;0),$EN21*$DT21,""))</x:f>
      </x:c>
      <x:c r="EP21" s="113" t="str">
        <x:f>IF($A21="","",IF(OR($DR21&lt;1,$DR21&gt;'Setari model'!$B$78),"NU – 1–5 selecții",IF($DS21&gt;'Setari model'!$B$79,"NU – corelație", "DA")))</x:f>
      </x:c>
      <x:c r="EQ21" s="117" t="str">
        <x:f t="shared" si="22">IF($A21="","",IF(AND($DC21&gt;1,$DD21&gt;1),$DC21/$DD21-1,""))</x:f>
      </x:c>
      <x:c r="ER21" s="113" t="str">
        <x:f t="shared" si="23">IF($A21="","","P v2="&amp;TEXT($EA21,"0.0%")&amp;" ±"&amp;TEXT($EG21,"0.0%")&amp;"; P0 ZIP="&amp;TEXT($DZ21,"0.0%")&amp;"; Confidence="&amp;TEXT($EF21,"0")&amp;"/100; piață reală="&amp;IF($EC21="","NU","DA")&amp;"; EV="&amp;IF($EE21="","n/a",TEXT($EE21,"0.0%"))&amp;"; gate="&amp;$EI21&amp;"; verdict="&amp;$EL21&amp;". "&amp;$EM21)</x:f>
      </x:c>
      <x:c r="ES21" s="119" t="str">
        <x:f>IF($A21="","",'Setari model'!$B$82)</x:f>
      </x:c>
      <x:c r="ET21" s="118" t="str">
        <x:f>IF($A21="","",'Setari model'!$B$83)</x:f>
      </x:c>
      <x:c r="EU21" s="115" t="str">
        <x:f t="shared" si="24">IF(OR($A21="",$DE21&lt;&gt;"Live 20-30",$DF21="",$DF21&lt;$ES21,$DF21&gt;=90),"",MAX(0.05,MIN($BS21*$ET21,$BS21*(90-$DF21)/90+0.35*($DI21+$DJ21)+0.06*($DK21+$DL21)+0.15*($DM21+$DN21)+0.1*(MAX($DO21,$DP21)-MIN($DO21,$DP21)))))</x:f>
      </x:c>
      <x:c r="EV21" s="132"/>
      <x:c r="EW21" s="132"/>
      <x:c r="EX21" s="132"/>
      <x:c r="EY21" s="132"/>
      <x:c r="EZ21" s="132"/>
      <x:c r="FA21" s="132"/>
      <x:c r="FB21" s="247"/>
      <x:c r="FC21" s="134" t="str">
        <x:f t="shared" si="25">IF($A21="","",IF(OR($J21="",$L21="",$L21&lt;=0),"",MAX(0.5,MIN(1.5,$J21/$L21))))</x:f>
      </x:c>
      <x:c r="FD21" s="134" t="str">
        <x:f t="shared" si="26">IF($A21="","",IF(OR($Q21="",$S21="",$S21&lt;=0),"",MAX(0.5,MIN(1.5,$Q21/$S21))))</x:f>
      </x:c>
      <x:c r="FE21" s="134" t="str">
        <x:f>IF($A21="","",IF(COUNT($EV21:$EW21)&lt;2,"",SQRT($EV21*$EW21)/'Setari model'!$B$87))</x:f>
      </x:c>
      <x:c r="FF21" s="134" t="str">
        <x:f>IF($A21="","",IF(COUNT($O21,$V21,$EX21,$EY21)&lt;4,"",AVERAGE(SQRT($O21*$EY21),SQRT($V21*$EX21))/'Setari model'!$B$88))</x:f>
      </x:c>
      <x:c r="FG21" s="134" t="str">
        <x:f t="shared" si="27">IF($A21="","",IF(COUNT($FC21:$FD21)&lt;2,"",MAX(0,1-AVERAGE($FC21:$FD21))))</x:f>
      </x:c>
      <x:c r="FH21" s="134" t="str">
        <x:f>IF($A21="","",IF(COUNT($EZ21:$FA21)&lt;2,"",'Setari model'!$B$94*AVERAGE($EZ21:$FA21)/'Setari model'!$B$89))</x:f>
      </x:c>
      <x:c r="FI21" s="134" t="str">
        <x:f>IF($A21="","",IF(COUNT($FE21:$FH21)&lt;4,"",MAX('Setari model'!$B$97,MIN('Setari model'!$B$98,1+'Setari model'!$B$90*($FE21-1)+'Setari model'!$B$91*($FF21-1)+'Setari model'!$B$92*$FG21+'Setari model'!$B$93*($FH21-1)))))</x:f>
      </x:c>
      <x:c r="FJ21" s="133" t="str">
        <x:f>IF($A21="","",IF($FI21="","",MIN('Setari model'!$B$101,MAX(0.002,$DZ21*$FI21))))</x:f>
      </x:c>
      <x:c r="FK21" s="131" t="str">
        <x:f t="shared" si="28">IF($A21="","",IF(AND(COUNT($EV21:$FA21)=6,COUNT($O21,$V21,$FC21,$FD21)=4),"DA","NU"))</x:f>
      </x:c>
      <x:c r="FL21" s="131" t="str">
        <x:f>IF($A21="","",IF($FK21&lt;&gt;"DA","NEDETERMINAT",IF($FI21&lt;='Setari model'!$B$99,"SCĂZUT",IF($FI21&lt;='Setari model'!$B$100,"MEDIU","RIDICAT"))))</x:f>
      </x:c>
      <x:c r="FM21" s="131" t="str">
        <x:f>IF($A21="","",IF(AND($AR21&gt;1,$EC21&gt;='Setari model'!$B$106),"DA","NU"))</x:f>
      </x:c>
      <x:c r="FN21" s="131" t="str">
        <x:f t="shared" si="29">IF($A21="","",IF(AND($AU21=1,COUNT($CY21:$DB21)=4),"DA","NU"))</x:f>
      </x:c>
      <x:c r="FO21" s="133" t="str">
        <x:f>IF($A21="","",IF(OR($FK21&lt;&gt;"DA",$FL21="RIDICAT"),'Setari model'!$B$102,IF($FL21="MEDIU",'Setari model'!$B$103,IF(AND($FM21="DA",$FN21="DA"),'Setari model'!$B$105,'Setari model'!$B$104))))</x:f>
      </x:c>
      <x:c r="FP21" s="133" t="str">
        <x:f t="shared" si="30">IF($A21="","",IF($FJ21="","",MIN(1-$FJ21,$FO21)))</x:f>
      </x:c>
      <x:c r="FQ21" s="135" t="str">
        <x:f t="shared" si="31">IF($A21="","",IF($FP21="","",IF($FP21&gt;0,1/$FP21,"")))</x:f>
      </x:c>
      <x:c r="FR21" s="133" t="str">
        <x:f t="shared" si="32">IF($A21="","",IF($EC21="","",$FP21-$EC21))</x:f>
      </x:c>
      <x:c r="FS21" s="133" t="str">
        <x:f t="shared" si="33">IF($A21="","",IF($AR21&gt;1,$FP21*$AR21-1,""))</x:f>
      </x:c>
      <x:c r="FT21" s="136" t="str">
        <x:f>IF($A21="","",MAX(0,MIN(100,$EF21-IF($FK21&lt;&gt;"DA",'Setari model'!$B$107,0)-IF($FL21="MEDIU",'Setari model'!$B$108,0)-IF($FL21="RIDICAT",'Setari model'!$B$109,0))))</x:f>
      </x:c>
      <x:c r="FU21" s="131" t="str">
        <x:f t="shared" si="34">IF($A21="","",IF($AR21&lt;=1,"NU – LIPSEȘTE COTA REALĂ",IF($FK21&lt;&gt;"DA","NU – ZERO-RISK INCOMPLET",IF($FL21&lt;&gt;"SCĂZUT","NU – RISC 0-0 "&amp;$FL21,IF($FN21&lt;&gt;"DA","NU – LINEUP NECONFIRMAT",IF($FM21&lt;&gt;"DA","NU – PIAȚĂ NECONFIRMATĂ",IF($EP21&lt;&gt;"DA","NU – PORTOFOLIU","DA")))))))</x:f>
      </x:c>
      <x:c r="FV21" s="131" t="str">
        <x:f>IF($A21="","",IF($FU21&lt;&gt;"DA","WATCH / NO BET",IF(AND($FP21&gt;='Setari model'!$B$35,$FT21&gt;=100*'Setari model'!$B$76,$FS21&gt;0),"PARIU RECOMANDAT",IF(AND($FP21&gt;='Setari model'!$B$39,$FT21&gt;=100*'Setari model'!$B$40,$FS21&gt;0),"WATCH – APROAPE DE PRAG","PARIU EVITAT"))))</x:f>
      </x:c>
      <x:c r="FW21" s="131" t="str">
        <x:f t="shared" si="35">IF($A21="","",IF($FU21&lt;&gt;"DA",$FU21,IF($FT21&lt;75,"Confidence v3 sub 75.",IF($FP21&lt;0.92,"P v3 sub 92%.",IF($FS21&lt;=0,"EV v3 nepozitiv.","P0 v3, lineup și piață confirmate.")))))</x:f>
      </x:c>
      <x:c r="FX21" s="131" t="str">
        <x:f t="shared" si="36">IF($A21="","","P v3="&amp;TEXT($FP21,"0.0%")&amp;"; P0 v3="&amp;TEXT($FJ21,"0.0%")&amp;"; factor zero="&amp;IF($FI21="","n/a",TEXT($FI21,"0.00x"))&amp;" ("&amp;$FL21&amp;"); cap="&amp;TEXT($FO21,"0.0%")&amp;"; Confidence="&amp;TEXT($FT21,"0")&amp;"/100; lineup="&amp;$FN21&amp;"; piață="&amp;$FM21&amp;"; EV="&amp;IF($FS21="","n/a",TEXT($FS21,"0.0%"))&amp;"; gate="&amp;$FU21&amp;"; verdict="&amp;$FV21&amp;". "&amp;$FW21)</x:f>
      </x:c>
      <x:c r="FY21" s="159"/>
      <x:c r="FZ21" s="159"/>
      <x:c r="GA21" s="157"/>
      <x:c r="GB21" s="157"/>
      <x:c r="GC21" s="161" t="str">
        <x:f t="shared" si="37">IF($A21="","",IF(OR($X21="",$Z21="",$Z21&lt;=0),"",MAX(0.5,MIN(1.5,$X21/$Z21))))</x:f>
      </x:c>
      <x:c r="GD21" s="161" t="str">
        <x:f t="shared" si="38">IF($A21="","",IF(OR($AC21="",$AE21="",$AE21&lt;=0),"",MAX(0.5,MIN(1.5,$AC21/$AE21))))</x:f>
      </x:c>
      <x:c r="GE21" s="162" t="str">
        <x:f t="shared" si="39">IF($A21="","",IF(COUNT($Z21,$AE21)&lt;2,"",AVERAGE($Z21,$AE21)))</x:f>
      </x:c>
      <x:c r="GF21" s="158" t="str">
        <x:f>IF($A21="","",IF(COUNT($FY21:$FZ21)&lt;2,"NEDETERMINAT",IF(AND($FY21&gt;='Setari model'!$B$113,$FZ21&gt;='Setari model'!$B$113),"DA","NU")))</x:f>
      </x:c>
      <x:c r="GG21" s="158" t="str">
        <x:f>IF($A21="","",IF(COUNT($FY21:$FZ21,$EX21:$EY21)&lt;4,"NEDETERMINAT",IF(OR(AND($FY21&gt;='Setari model'!$B$113,$EY21&gt;='Setari model'!$B$114),AND($FZ21&gt;='Setari model'!$B$113,$EX21&gt;='Setari model'!$B$114)),"DA","NU")))</x:f>
      </x:c>
      <x:c r="GH21" s="158" t="str">
        <x:f>IF($A21="","",IF(COUNT($BJ21:$BN21,$GC21:$GE21)&lt;8,"NEDETERMINAT",IF(AND((($BJ21*INDEX('Setari model'!$B$5:$B$11,MATCH($E21,'Setari model'!$A$5:$A$11,0))+$BK21*INDEX('Setari model'!$C$5:$C$11,MATCH($E21,'Setari model'!$A$5:$A$11,0))+$BL21*INDEX('Setari model'!$D$5:$D$11,MATCH($E21,'Setari model'!$A$5:$A$11,0))+$BM21*INDEX('Setari model'!$E$5:$E$11,MATCH($E21,'Setari model'!$A$5:$A$11,0))+$BN21*INDEX('Setari model'!$F$5:$F$11,MATCH($E21,'Setari model'!$A$5:$A$11,0)))/(INDEX('Setari model'!$B$5:$B$11,MATCH($E21,'Setari model'!$A$5:$A$11,0))+INDEX('Setari model'!$C$5:$C$11,MATCH($E21,'Setari model'!$A$5:$A$11,0))+INDEX('Setari model'!$D$5:$D$11,MATCH($E21,'Setari model'!$A$5:$A$11,0))+INDEX('Setari model'!$E$5:$E$11,MATCH($E21,'Setari model'!$A$5:$A$11,0))+INDEX('Setari model'!$F$5:$F$11,MATCH($E21,'Setari model'!$A$5:$A$11,0))))*$BR21&gt;='Setari model'!$B$115,(($BJ21*INDEX('Setari model'!$B$5:$B$11,MATCH($E21,'Setari model'!$A$5:$A$11,0))+$BK21*INDEX('Setari model'!$C$5:$C$11,MATCH($E21,'Setari model'!$A$5:$A$11,0))+$BL21*INDEX('Setari model'!$D$5:$D$11,MATCH($E21,'Setari model'!$A$5:$A$11,0))+$BM21*INDEX('Setari model'!$E$5:$E$11,MATCH($E21,'Setari model'!$A$5:$A$11,0))+$BN21*INDEX('Setari model'!$F$5:$F$11,MATCH($E21,'Setari model'!$A$5:$A$11,0)))/(INDEX('Setari model'!$B$5:$B$11,MATCH($E21,'Setari model'!$A$5:$A$11,0))+INDEX('Setari model'!$C$5:$C$11,MATCH($E21,'Setari model'!$A$5:$A$11,0))+INDEX('Setari model'!$D$5:$D$11,MATCH($E21,'Setari model'!$A$5:$A$11,0))+INDEX('Setari model'!$E$5:$E$11,MATCH($E21,'Setari model'!$A$5:$A$11,0))+INDEX('Setari model'!$F$5:$F$11,MATCH($E21,'Setari model'!$A$5:$A$11,0))))*$BR21&lt;='Setari model'!$B$116,AVERAGE($GC21:$GD21)&lt;='Setari model'!$B$117,$GE21&gt;='Setari model'!$B$118),"DA","NU")))</x:f>
      </x:c>
      <x:c r="GI21" s="158" t="str">
        <x:f>IF($A21="","",IF(COUNT($W21,$AB21,$GA21:$GB21)&lt;4,"NEDETERMINAT",IF(AND($W21&gt;='Setari model'!$B$120,$AB21&gt;='Setari model'!$B$120,OR(IFERROR($GA21/$W21,0)&gt;='Setari model'!$B$119,IFERROR($GB21/$AB21,0)&gt;='Setari model'!$B$119)),"DA","NU")))</x:f>
      </x:c>
      <x:c r="GJ21" s="160" t="str">
        <x:f>IF($A21="","",IF(COUNT($FY21:$GB21)&lt;4,"",IF($GH21&lt;&gt;"DA",0,'Setari model'!$B$121*IF($GF21="DA",1,0)+'Setari model'!$B$122*IF($GG21="DA",1,0)+'Setari model'!$B$123+'Setari model'!$B$124*IF($GI21="DA",1,0))))</x:f>
      </x:c>
      <x:c r="GK21" s="161" t="str">
        <x:f>IF($A21="","",IF(COUNT($GJ21)=0,"",1+'Setari model'!$B$125*$GJ21))</x:f>
      </x:c>
      <x:c r="GL21" s="160" t="str">
        <x:f>IF($A21="","",IF($GM21&lt;&gt;"DA",$FJ21,MIN('Setari model'!$B$101,MAX(0.002,$FJ21*$GK21))))</x:f>
      </x:c>
      <x:c r="GM21" s="158" t="str">
        <x:f>IF($A21="","",IF(AND($FK21="DA",COUNT($FY21:$GB21)=4,COUNT($I21,$P21,$W21,$AB21,$Z21,$AE21,$EX21,$EY21,$GC21,$GD21)=10,COUNT($BJ21:$BN21)=5),"DA","NU"))</x:f>
      </x:c>
      <x:c r="GN21" s="158" t="str">
        <x:f>IF($A21="","",IF($GM21&lt;&gt;"DA","NEDETERMINAT",IF($FI21*$GK21&lt;='Setari model'!$B$99,"SCĂZUT",IF($FI21*$GK21&lt;='Setari model'!$B$100,"MEDIU","RIDICAT"))))</x:f>
      </x:c>
      <x:c r="GO21" s="160" t="str">
        <x:f>IF($A21="","",IF(OR($GM21&lt;&gt;"DA",$GN21="RIDICAT"),'Setari model'!$B$102,IF($GN21="MEDIU",'Setari model'!$B$103,IF(AND($FM21="DA",$FN21="DA"),'Setari model'!$B$105,'Setari model'!$B$104))))</x:f>
      </x:c>
      <x:c r="GP21" s="160" t="str">
        <x:f t="shared" si="40">IF($A21="","",IF($GL21="","",MIN(1-$GL21,$GO21)))</x:f>
      </x:c>
      <x:c r="GQ21" s="162" t="str">
        <x:f t="shared" si="41">IF($A21="","",IF($GP21="","",IF($GP21&gt;0,1/$GP21,"")))</x:f>
      </x:c>
      <x:c r="GR21" s="160" t="str">
        <x:f t="shared" si="42">IF($A21="","",IF($EC21="","",$GP21-$EC21))</x:f>
      </x:c>
      <x:c r="GS21" s="160" t="str">
        <x:f t="shared" si="43">IF($A21="","",IF($AR21&gt;1,$GP21*$AR21-1,""))</x:f>
      </x:c>
      <x:c r="GT21" s="163" t="str">
        <x:f>IF($A21="","",MAX(0,MIN(100,$FT21-IF(AND($GM21&lt;&gt;"DA",$FK21="DA"),'Setari model'!$B$107,0)-'Setari model'!$B$126*IF($GJ21="",0,$GJ21))))</x:f>
      </x:c>
      <x:c r="GU21" s="158" t="str">
        <x:f t="shared" si="44">IF($A21="","",IF($AR21&lt;=1,"NU – LIPSEȘTE COTA REALĂ",IF($GM21&lt;&gt;"DA","NU – DATE LOW-CONVERSION INCOMPLETE",IF($GN21&lt;&gt;"SCĂZUT","NU – RISC 0-0 "&amp;$GN21,IF($FN21&lt;&gt;"DA","NU – LINEUP NECONFIRMAT",IF($FM21&lt;&gt;"DA","NU – PIAȚĂ NECONFIRMATĂ",IF($EP21&lt;&gt;"DA","NU – PORTOFOLIU","DA")))))))</x:f>
      </x:c>
      <x:c r="GV21" s="158" t="str">
        <x:f>IF($A21="","",IF($GU21&lt;&gt;"DA","WATCH / NO BET",IF(AND($GP21&gt;='Setari model'!$B$35,$GT21&gt;=100*'Setari model'!$B$76,$GS21&gt;0),"PARIU RECOMANDAT",IF(AND($GP21&gt;='Setari model'!$B$39,$GT21&gt;=100*'Setari model'!$B$40,$GS21&gt;0),"WATCH – APROAPE DE PRAG","PARIU EVITAT"))))</x:f>
      </x:c>
      <x:c r="GW21" s="158" t="str">
        <x:f t="shared" si="45">IF($A21="","",IF($GU21&lt;&gt;"DA",$GU21,IF($GT21&lt;75,"Confidence v5 sub 75.",IF($GP21&lt;0.92,"P v5 sub 92%.",IF($GS21&lt;=0,"EV v5 nepozitiv.",IF($GJ21&gt;0,"Low-conversion absorbit în P0; toate porțile rămân trecute.","Toate porțile v5 sunt trecute."))))))</x:f>
      </x:c>
      <x:c r="GX21" s="158" t="str">
        <x:f t="shared" si="46">IF($A21="","","P v5="&amp;TEXT($GP21,"0.0%")&amp;"; P0 v5="&amp;TEXT($GL21,"0.0%")&amp;"; low-conv="&amp;IF(COUNT($GJ21)=0,"n/a",TEXT($GJ21,"0%"))&amp;"; mult.P0="&amp;IF(COUNT($GK21)=0,"n/a",TEXT($GK21,"0.00"))&amp;"; clasă="&amp;$GN21&amp;"; cap="&amp;TEXT($GO21,"0.0%")&amp;"; Confidence="&amp;TEXT($GT21,"0")&amp;"/100; lineup="&amp;$FN21&amp;"; piață="&amp;$FM21&amp;"; EV="&amp;IF($GS21="","n/a",TEXT($GS21,"0.0%"))&amp;"; gate="&amp;$GU21&amp;"; verdict="&amp;$GV21&amp;". "&amp;$GW21)</x:f>
      </x:c>
      <x:c r="GY21" s="174" t="str">
        <x:f>IF($A21="","",IF($GM21&lt;&gt;"DA","SOURCING INCOMPLETE – REVIEW REQUIRED",IF(MIN($I21,$P21,$W21,$AB21)&lt;'Setari model'!$B$58,"SMALL SAMPLE + PRIOR / SHRINKAGE","VERIFIED / PRIOR / SHRINKAGE")))</x:f>
      </x:c>
      <x:c r="GZ21" s="175" t="str">
        <x:f t="shared" si="47">IF($A21="","",MAX(0,MIN(100,100*(1-AVERAGE(IF($GM21="DA",1,0),MIN(1,$AT21/5))))))</x:f>
      </x:c>
      <x:c r="HA21" s="175" t="str">
        <x:f>IF($A21="","",IF($GM21&lt;&gt;"DA","",MAX(0,MIN(100,100*(($FI21*$GK21)-'Setari model'!$B$97)/('Setari model'!$B$98-'Setari model'!$B$97)))))</x:f>
      </x:c>
      <x:c r="HB21" s="175" t="str">
        <x:f>IF($A21="","",MAX(0,MIN(100,100*(ABS($BR21-1)/MAX(1-'Setari model'!$B$53,'Setari model'!$B$54-1)+MIN(1,$BG21/2))/2)))</x:f>
      </x:c>
      <x:c r="HC21" s="175" t="str">
        <x:f t="shared" si="48">IF($A21="","",MAX(0,MIN(100,100*(1-AVERAGE($CC21,MAX(0,1-(MAX($BJ21:$BN21)-MIN($BJ21:$BN21))/(AVERAGE($BJ21:$BN21)*'Setari model'!$B$45)))))))</x:f>
      </x:c>
      <x:c r="HD21" s="175" t="str">
        <x:f t="shared" si="49">IF($A21="","",MAX(0,MIN(100,100*MAX(IF($GJ21="",0,$GJ21),MIN(1,$BG21/2)))))</x:f>
      </x:c>
      <x:c r="HE21" s="175" t="str">
        <x:f>IF($A21="","",IF(COUNT($GZ21:$HD21)&lt;5,"",$GZ21*Risk_Classification!$E$28+$HA21*Risk_Classification!$E$29+$HB21*Risk_Classification!$E$30+$HC21*Risk_Classification!$E$31+$HD21*Risk_Classification!$E$32))</x:f>
      </x:c>
      <x:c r="HF21" s="176" t="str">
        <x:f t="shared" si="50">IF($A21="","",IF($HE21="","",IF($HE21&lt;=20,1,IF($HE21&lt;=40,2,IF($HE21&lt;=60,3,IF($HE21&lt;=80,4,5))))))</x:f>
      </x:c>
      <x:c r="HG21" s="176" t="str">
        <x:f t="shared" si="51">IF($A21="","",IF($GM21="DA","PASS","FAIL – DATE CRITICE ZERO-MASS INCOMPLETE"))</x:f>
      </x:c>
      <x:c r="HH21" s="176" t="str">
        <x:f t="shared" si="52">IF($A21="","",IF($HG21&lt;&gt;"PASS",5,$HF21))</x:f>
      </x:c>
      <x:c r="HI21" s="174" t="str">
        <x:f t="shared" si="53">IF($A21="","",IF($HH21="","N/A",IF($HH21=1,"DEFENSIV",IF($HH21=2,"PRUDENT",IF($HH21=3,"MODERAT",IF($HH21=4,"RIDICAT","WATCH / NO BET"))))))</x:f>
      </x:c>
      <x:c r="HJ21" s="177" t="str">
        <x:f t="shared" si="54">IF($A21="","","Data="&amp;$GY21&amp;"; DQ="&amp;TEXT($GZ21,"0.0")&amp;"; ZM="&amp;IF($HA21="","n/a",TEXT($HA21,"0.0"))&amp;"; Context="&amp;TEXT($HB21,"0.0")&amp;"; Uncertainty="&amp;TEXT($HC21,"0.0")&amp;"; Compound="&amp;TEXT($HD21,"0.0")&amp;"; Risk Score="&amp;IF($HE21="","n/a",TEXT($HE21,"0.0"))&amp;"; Base="&amp;IF($HF21="","n/a",$HF21)&amp;"; G0="&amp;$HG21&amp;"; Final="&amp;$HH21&amp;". Cota, EV si lineup sunt informative si nu intra in recomandare.")</x:f>
      </x:c>
      <x:c r="HK21" s="174" t="str">
        <x:f t="shared" si="55">IF($A21="","",$HI21)</x:f>
      </x:c>
    </x:row>
    <x:row r="22" ht="24" customHeight="1">
      <x:c r="A22" s="58"/>
      <x:c r="B22" s="24"/>
      <x:c r="C22" s="59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18"/>
      <x:c r="O22" s="18"/>
      <x:c r="P22" s="24"/>
      <x:c r="Q22" s="24"/>
      <x:c r="R22" s="24"/>
      <x:c r="S22" s="24"/>
      <x:c r="T22" s="24"/>
      <x:c r="U22" s="18"/>
      <x:c r="V22" s="18"/>
      <x:c r="W22" s="24"/>
      <x:c r="X22" s="24"/>
      <x:c r="Y22" s="24"/>
      <x:c r="Z22" s="24"/>
      <x:c r="AA22" s="24"/>
      <x:c r="AB22" s="24"/>
      <x:c r="AC22" s="24"/>
      <x:c r="AD22" s="24"/>
      <x:c r="AE22" s="24"/>
      <x:c r="AF22" s="24"/>
      <x:c r="AG22" s="24"/>
      <x:c r="AH22" s="24"/>
      <x:c r="AI22" s="18"/>
      <x:c r="AJ22" s="24"/>
      <x:c r="AK22" s="24"/>
      <x:c r="AL22" s="24"/>
      <x:c r="AM22" s="18"/>
      <x:c r="AN22" s="24"/>
      <x:c r="AO22" s="60"/>
      <x:c r="AP22" s="60"/>
      <x:c r="AQ22" s="60"/>
      <x:c r="AR22" s="60"/>
      <x:c r="AS22" s="60"/>
      <x:c r="AT22" s="24"/>
      <x:c r="AU22" s="24"/>
      <x:c r="AV22" s="24"/>
      <x:c r="AW22" s="24"/>
      <x:c r="AX22" s="24"/>
      <x:c r="AY22" s="24"/>
      <x:c r="AZ22" s="24"/>
      <x:c r="BA22" s="24"/>
      <x:c r="BB22" s="24"/>
      <x:c r="BC22" s="24"/>
      <x:c r="BD22" s="24"/>
      <x:c r="BE22" s="24"/>
      <x:c r="BF22" s="24"/>
      <x:c r="BG22" s="24"/>
      <x:c r="BH22" s="61"/>
      <x:c r="BI22" s="61"/>
      <x:c r="BJ22" s="62" t="str">
        <x:f>IF($A22="","",SQRT((($I22*IF($J22="",$AJ22,$J22)+'Setari model'!$B$30*$AJ22)/($I22+'Setari model'!$B$30))*(($P22*IF($R22="",$AJ22,$R22)+'Setari model'!$B$30*$AJ22)/($P22+'Setari model'!$B$30)))+SQRT((($P22*IF($Q22="",$AK22,$Q22)+'Setari model'!$B$30*$AK22)/($P22+'Setari model'!$B$30))*(($I22*IF($K22="",$AK22,$K22)+'Setari model'!$B$30*$AK22)/($I22+'Setari model'!$B$30))))</x:f>
      </x:c>
      <x:c r="BK22" s="62" t="str">
        <x:f>IF($A22="","",SQRT((($I22*IF($L22="",IF($J22="",$AJ22,$J22),$L22)+'Setari model'!$B$30*$AJ22)/($I22+'Setari model'!$B$30))*(($P22*IF($T22="",IF($R22="",$AJ22,$R22),$T22)+'Setari model'!$B$30*$AJ22)/($P22+'Setari model'!$B$30)))+SQRT((($P22*IF($S22="",IF($Q22="",$AK22,$Q22),$S22)+'Setari model'!$B$30*$AK22)/($P22+'Setari model'!$B$30))*(($I22*IF($M22="",IF($K22="",$AK22,$K22),$M22)+'Setari model'!$B$30*$AK22)/($I22+'Setari model'!$B$30))))</x:f>
      </x:c>
      <x:c r="BL22" s="62" t="str">
        <x:f>IF($A22="","",SQRT((($W22*IF($X22="",$AL22/2,$X22)+'Setari model'!$B$31*$AL22/2)/($W22+'Setari model'!$B$31))*(($AB22*IF($AD22="",$AL22/2,$AD22)+'Setari model'!$B$31*$AL22/2)/($AB22+'Setari model'!$B$31)))+SQRT((($AB22*IF($AC22="",$AL22/2,$AC22)+'Setari model'!$B$31*$AL22/2)/($AB22+'Setari model'!$B$31))*(($W22*IF($Y22="",$AL22/2,$Y22)+'Setari model'!$B$31*$AL22/2)/($W22+'Setari model'!$B$31))))</x:f>
      </x:c>
      <x:c r="BM22" s="62" t="str">
        <x:f>IF($A22="","",SQRT((($W22*IF($Z22="",IF($X22="",$AL22/2,$X22),$Z22)+'Setari model'!$B$31*$AL22/2)/($W22+'Setari model'!$B$31))*(($AB22*IF($AF22="",IF($AD22="",$AL22/2,$AD22),$AF22)+'Setari model'!$B$31*$AL22/2)/($AB22+'Setari model'!$B$31)))+SQRT((($AB22*IF($AE22="",IF($AC22="",$AL22/2,$AC22),$AE22)+'Setari model'!$B$31*$AL22/2)/($AB22+'Setari model'!$B$31))*(($W22*IF($AA22="",IF($Y22="",$AL22/2,$Y22),$AA22)+'Setari model'!$B$31*$AL22/2)/($W22+'Setari model'!$B$31))))</x:f>
      </x:c>
      <x:c r="BN22" s="62" t="str">
        <x:f t="shared" si="0">IF($A22="","",IF($AG22&gt;0,($AG22*IF($AH22="",$AL22,$AH22)+5*$AL22)/($AG22+5),$AL22))</x:f>
      </x:c>
      <x:c r="BO22" s="63" t="str">
        <x:f>IF($A22="","",IF($AR22&gt;1,IF($AS22&gt;1,(1/$AR22)/((1/$AR22+1/$AS22)),MIN(0.995,(1/$AR22)/(1+'Setari model'!$B$32))),1-EXP(-$AL22)))</x:f>
      </x:c>
      <x:c r="BP22" s="62" t="str">
        <x:f t="shared" si="1">IF($A22="","",-LN(1-$BO22))</x:f>
      </x:c>
      <x:c r="BQ22" s="62" t="str">
        <x:f>IF($A22="","",$BJ22*INDEX('Setari model'!$B$5:$B$11,MATCH($E22,'Setari model'!$A$5:$A$11,0))+$BK22*INDEX('Setari model'!$C$5:$C$11,MATCH($E22,'Setari model'!$A$5:$A$11,0))+$BL22*INDEX('Setari model'!$D$5:$D$11,MATCH($E22,'Setari model'!$A$5:$A$11,0))+$BM22*INDEX('Setari model'!$E$5:$E$11,MATCH($E22,'Setari model'!$A$5:$A$11,0))+$BN22*INDEX('Setari model'!$F$5:$F$11,MATCH($E22,'Setari model'!$A$5:$A$11,0))+$BP22*INDEX('Setari model'!$G$5:$G$11,MATCH($E22,'Setari model'!$A$5:$A$11,0)))</x:f>
      </x:c>
      <x:c r="BR22" s="64" t="str">
        <x:f>IF($A22="","",MAX('Setari model'!$B$53,MIN('Setari model'!$B$54,1+($AV22*'Setari model'!$B$15+$AW22*'Setari model'!$B$16+$AX22*'Setari model'!$B$17+$AY22*'Setari model'!$B$18+$AZ22*'Setari model'!$B$19+$BA22*'Setari model'!$B$20+$BB22*'Setari model'!$B$21+$BC22*'Setari model'!$B$22+$BD22*'Setari model'!$B$23+$BE22*'Setari model'!$B$24+$BF22*'Setari model'!$B$25)*INDEX('Setari model'!$H$5:$H$11,MATCH($E22,'Setari model'!$A$5:$A$11,0)))))</x:f>
      </x:c>
      <x:c r="BS22" s="62" t="str">
        <x:f t="shared" si="2">IF($A22="","",$BQ22*$BR22)</x:f>
      </x:c>
      <x:c r="BT22" s="63" t="str">
        <x:f t="shared" si="3">IF($A22="","",EXP(-$BS22))</x:f>
      </x:c>
      <x:c r="BU22" s="65" t="str">
        <x:f>IF($A22="","",IF(OR($AM22="",$AN22=""),1,1+MIN('Setari model'!$B$33,$AN22/100*'Setari model'!$B$33)*($AM22/EXP(-$AL22)-1)))</x:f>
      </x:c>
      <x:c r="BV22" s="63" t="str">
        <x:f>IF($A22="","",MIN(0.45,MAX(0.005,(1-'Setari model'!$B$34*MIN(1,($I22+$P22)/20))*MIN(0.45,$BT22*$BU22)+'Setari model'!$B$34*MIN(1,($I22+$P22)/20)*IF(COUNT($N22,$U22)=2,SQRT(MAX(0,1-$N22)*MAX(0,1-$U22)),IF($AM22="",EXP(-$AL22),$AM22)))))</x:f>
      </x:c>
      <x:c r="BW22" s="63" t="str">
        <x:f t="shared" si="4">IF($A22="","",1-$BV22)</x:f>
      </x:c>
      <x:c r="BX22" s="62" t="str">
        <x:f t="shared" si="5">IF($A22="","",1/$BW22)</x:f>
      </x:c>
      <x:c r="BY22" s="63" t="str">
        <x:f t="shared" si="6">IF($A22="","",$BO22)</x:f>
      </x:c>
      <x:c r="BZ22" s="63" t="str">
        <x:f t="shared" si="7">IF($A22="","",$BW22-$BY22)</x:f>
      </x:c>
      <x:c r="CA22" s="63" t="str">
        <x:f t="shared" si="8">IF($A22="","",IF($AR22&gt;1,$BW22*$AR22-1,""))</x:f>
      </x:c>
      <x:c r="CB22" s="63" t="str">
        <x:f>IF($A22="","",MIN(1,COUNT($I22:$AN22,$AR22:$BG22)/'Setari model'!$B$46))</x:f>
      </x:c>
      <x:c r="CC22" s="63" t="str">
        <x:f t="shared" si="9">IF($A22="","",0.25*MIN(1,$I22/10)+0.25*MIN(1,$P22/10)+0.15*MIN(1,$W22/5)+0.15*MIN(1,$AB22/5)+0.1*MIN(1,$AG22/5)+0.1*MIN(1,$AN22/100))</x:f>
      </x:c>
      <x:c r="CD22" s="63" t="str">
        <x:f>IF($A22="","",MAX(0,1-(MAX($BJ22:$BN22,$BP22)-MIN($BJ22:$BN22,$BP22))/(AVERAGE($BJ22:$BN22,$BP22)*'Setari model'!$B$45)))</x:f>
      </x:c>
      <x:c r="CE22" s="66" t="str">
        <x:f>IF($A22="","",MAX(0,MIN(100,100*INDEX('Setari model'!$I$5:$I$11,MATCH($E22,'Setari model'!$A$5:$A$11,0))*('Setari model'!$B$47*$CB22+'Setari model'!$B$48*$CC22+'Setari model'!$B$49*$CD22+'Setari model'!$B$50*$AT22/5+'Setari model'!$B$51*$AU22)-100*'Setari model'!$B$52*$BG22)))</x:f>
      </x:c>
      <x:c r="CF22" s="65" t="str">
        <x:f t="shared" si="10">IF($A22="","",IF(OR($AT22&lt;3,$BG22&gt;=2,$CB22&lt;0.55,$CC22&lt;0.4),"RIDICAT",IF(OR($AU22=0,$CD22&lt;0.45,$BR22&lt;0.9),"MEDIU","SCĂZUT")))</x:f>
      </x:c>
      <x:c r="CG22" s="65" t="str">
        <x:f>IF($A22="","",IF($AR22&gt;1,IF(AND($BW22&gt;= 'Setari model'!$B$35,$CE22&gt;=100*'Setari model'!$B$36,$BZ22&gt;= 'Setari model'!$B$37,$CA22&gt;= 'Setari model'!$B$38,$CF22&lt;&gt;"RIDICAT"),"PARIU RECOMANDAT",IF(AND($BW22&gt;= 'Setari model'!$B$39,$CE22&gt;=100*'Setari model'!$B$40,$BZ22&gt;= 'Setari model'!$B$41,$CA22&gt;=0,$CF22&lt;&gt;"RIDICAT"),"RECOMANDAT CU PRUDENȚĂ",IF(AND($BW22&gt;= 'Setari model'!$B$42,$CE22&gt;=100*'Setari model'!$B$43),"ANALIZĂ NECONCLUDENTĂ","PARIU EVITAT"))),IF(AND($BW22&gt;= 'Setari model'!$B$35,$CE22&gt;=100*'Setari model'!$B$36,$CF22&lt;&gt;"RIDICAT"),"FAVORABIL STATISTIC – VERIFICĂ COTA",IF(AND($BW22&gt;= 'Setari model'!$B$42,$CE22&gt;=100*'Setari model'!$B$43),"ANALIZĂ NECONCLUDENTĂ","PARIU EVITAT"))))</x:f>
      </x:c>
      <x:c r="CH22" s="67" t="str">
        <x:f t="shared" si="11">IF($A22="","","P(O0,5)="&amp;TEXT($BW22,"0.0%")&amp;"; λ ajustat="&amp;TEXT($BS22,"0.00")&amp;"; Confidence="&amp;TEXT($CE22,"0")&amp;"/100; Edge="&amp;TEXT($BZ22,"0.0%")&amp;"; risc="&amp;$CF22&amp;". "&amp;$BH22)</x:f>
      </x:c>
      <x:c r="CI22" s="68" t="str">
        <x:f t="shared" si="12">IF($A22="","",$BI22)</x:f>
      </x:c>
      <x:c r="CJ22" s="112"/>
      <x:c r="CK22" s="112"/>
      <x:c r="CL22" s="112"/>
      <x:c r="CM22" s="112"/>
      <x:c r="CN22" s="112"/>
      <x:c r="CO22" s="112"/>
      <x:c r="CP22" s="112"/>
      <x:c r="CQ22" s="112"/>
      <x:c r="CR22" s="112"/>
      <x:c r="CS22" s="112"/>
      <x:c r="CT22" s="112"/>
      <x:c r="CU22" s="112"/>
      <x:c r="CV22" s="112"/>
      <x:c r="CW22" s="112"/>
      <x:c r="CX22" s="112"/>
      <x:c r="CY22" s="112"/>
      <x:c r="CZ22" s="112"/>
      <x:c r="DA22" s="112"/>
      <x:c r="DB22" s="112"/>
      <x:c r="DC22" s="114"/>
      <x:c r="DD22" s="114"/>
      <x:c r="DE22" s="112" t="s">
        <x:v>266</x:v>
      </x:c>
      <x:c r="DF22" s="112"/>
      <x:c r="DG22" s="112"/>
      <x:c r="DH22" s="112"/>
      <x:c r="DI22" s="112"/>
      <x:c r="DJ22" s="112"/>
      <x:c r="DK22" s="112"/>
      <x:c r="DL22" s="112"/>
      <x:c r="DM22" s="112"/>
      <x:c r="DN22" s="112"/>
      <x:c r="DO22" s="112"/>
      <x:c r="DP22" s="112"/>
      <x:c r="DQ22" s="114"/>
      <x:c r="DR22" s="112">
        <x:v>1</x:v>
      </x:c>
      <x:c r="DS22" s="116">
        <x:v>0</x:v>
      </x:c>
      <x:c r="DT22" s="120"/>
      <x:c r="DU22" s="116">
        <x:v>0.02</x:v>
      </x:c>
      <x:c r="DV22" s="116">
        <x:v>0.25</x:v>
      </x:c>
      <x:c r="DW22" s="118" t="str">
        <x:f>IF($A22="","",MAX('Setari model'!$B$71,MIN('Setari model'!$B$72,1+0.08*(IFERROR(AVERAGE($CM22:$CN22)/'Setari model'!$B$66,1)-1)+0.08*(IFERROR(AVERAGE($CO22:$CP22)/'Setari model'!$B$67,1)-1)+0.06*(IFERROR(AVERAGE($CQ22:$CR22)/'Setari model'!$B$68,1)-1)+0.04*(IFERROR(AVERAGE($CS22:$CT22)/'Setari model'!$B$69,1)-1)+0.04*(IFERROR(AVERAGE($CU22:$CV22)/'Setari model'!$B$70,1)-1)-'Setari model'!$B$73*IFERROR(AVERAGE($CW22:$CX22),0))))</x:f>
      </x:c>
      <x:c r="DX22" s="118" t="str">
        <x:f>IF($A22="","",1+'Setari model'!$B$62*MAX(IF(OR($CK22=1,$CL22=1),1,0),IF(AND($CJ22&lt;&gt;"",$CJ22&lt;=1),1,0))+'Setari model'!$B$63*IF(AND($CJ22&gt;1,$CJ22&lt;=3),1,0))</x:f>
      </x:c>
      <x:c r="DY22" s="118" t="str">
        <x:f>IF($A22="","",1+'Setari model'!$B$74*(IF($CY22="",0,IF($CY22=0,1,0))+IF($CZ22="",0,IF($CZ22=0,1,0)))+'Setari model'!$B$75*(IF($DA22="",0,IF($DA22=0,1,0))+IF($DB22="",0,IF($DB22=0,1,0))))</x:f>
      </x:c>
      <x:c r="DZ22" s="117" t="str">
        <x:f>IF($A22="","",MIN(0.6,MAX(0.002,(((1-'Setari model'!$B$34*MIN(1,($I22+$P22)/20))*$BT22+'Setari model'!$B$34*MIN(1,($I22+$P22)/20)*IF(COUNT($N22,$U22)=2,SQRT(MAX(0,1-$N22)*MAX(0,1-$U22)),$BT22))*(1-'Setari model'!$B$65*MIN(1,IF($AN22="",0,$AN22/'Setari model'!$B$64)))+'Setari model'!$B$65*MIN(1,IF($AN22="",0,$AN22/'Setari model'!$B$64))*IF($AM22="",$BT22,$AM22))*$DX22*$DY22/$DW22)))</x:f>
      </x:c>
      <x:c r="EA22" s="117" t="str">
        <x:f>IF($A22="","",MIN(1-$DZ22,IF(OR(MIN($I22,$P22)&lt;'Setari model'!$B$58,$CK22=1,$CL22=1,AND($CJ22&lt;&gt;"",$CJ22&lt;=1)),'Setari model'!$B$59,IF(AND($AU22=1,$AR22&gt;1,COUNT($CY22:$DB22)=4),'Setari model'!$B$61,'Setari model'!$B$60))))</x:f>
      </x:c>
      <x:c r="EB22" s="115" t="str">
        <x:f t="shared" si="13">IF($A22="","",1/$EA22)</x:f>
      </x:c>
      <x:c r="EC22" s="117" t="str">
        <x:f t="shared" si="14">IF($A22="","",IF($AR22&gt;1,IF($AS22&gt;1,(1/$AR22)/((1/$AR22)+(1/$AS22)),1/$AR22),""))</x:f>
      </x:c>
      <x:c r="ED22" s="117" t="str">
        <x:f t="shared" si="15">IF($A22="","",IF($EC22="","",$EA22-$EC22))</x:f>
      </x:c>
      <x:c r="EE22" s="117" t="str">
        <x:f t="shared" si="16">""</x:f>
      </x:c>
      <x:c r="EF22" s="119" t="str">
        <x:f>IF($A22="","",MAX(0,MIN(100,$CE22-200*MAX(0,$EG22-'Setari model'!$B$77)-IF($AU22&lt;&gt;1,10,0)-IF(COUNT($CY22:$DB22)&lt;4,4,0))))</x:f>
      </x:c>
      <x:c r="EG22" s="117" t="str">
        <x:f>IF($A22="","",'Setari model'!$B$77+IF(MIN($I22,$P22)&lt;'Setari model'!$B$58,0.03,0)+IF(OR($CK22=1,$CL22=1,AND($CJ22&lt;&gt;"",$CJ22&lt;=1)),0.03,0)+IF($AG22=0,0.02,0)+0.03*(1-MIN(1,COUNT($CM22:$CV22)/10))+0.03*(1-MIN(1,IF($AN22="",0,$AN22/'Setari model'!$B$64)))+IF($AR22&lt;=1,0.02,0))</x:f>
      </x:c>
      <x:c r="EH22" s="113" t="str">
        <x:f>IF($A22="","",IF(OR(MIN($I22,$P22)&lt;'Setari model'!$B$58,$CK22=1,$CL22=1,AND($CJ22&lt;&gt;"",$CJ22&lt;=1)),"92% – early/regim",IF(AND($AU22=1,$AR22&gt;1,COUNT($CY22:$DB22)=4),"94% – confirmat","93% – standard")))</x:f>
      </x:c>
      <x:c r="EI22" s="113" t="str">
        <x:f t="shared" si="17">IF($A22="","",IF(AND($EA22&gt;0.9,$AU22&lt;&gt;1),"WAIT XI – HIGH P",IF(AND($EA22&gt;0.9,COUNT($CY22:$DB22)&lt;4),"WAIT DATE CHEIE – HIGH P",IF($EP22&lt;&gt;"DA","NU – PORTOFOLIU","DA"))))</x:f>
      </x:c>
      <x:c r="EJ22" s="117" t="str">
        <x:f t="shared" si="18">IF($A22="","",IF($DE22&lt;&gt;"Live 20-30","",IF(SUM($DG22:$DH22)&gt;0,1,IF($EU22="","",1-MIN(0.95,MAX(0.001,EXP(-$EU22)*$DX22*$DY22/$DW22))))))</x:f>
      </x:c>
      <x:c r="EK22" s="117" t="str">
        <x:f t="shared" si="19">""</x:f>
      </x:c>
      <x:c r="EL22" s="113" t="str">
        <x:f>IF($A22="","",IF($DE22="Live 20-30",IF(SUM($DG22:$DH22)&gt;0,"EVENIMENT ÎNDEPLINIT",IF(OR($DF22="",COUNT($DI22:$DN22)&lt;4),"LIVE – WATCH",IF($EJ22&gt;=0.75,"LIVE – FEZABIL TEHNIC","LIVE – NO BET"))),IF($EI22&lt;&gt;"DA","WATCH / NO BET",IF(AND($EA22&gt;=INDEX('Setari model'!$B$35:$B$40,1),$EF22&gt;=100*'Setari model'!$B$76),"PARIU RECOMANDAT",IF(AND($EA22&gt;=INDEX('Setari model'!$B$35:$B$40,5),$EF22&gt;=100*'Setari model'!$B$40),"WATCH – APROAPE DE PRAG","PARIU EVITAT")))))</x:f>
      </x:c>
      <x:c r="EM22" s="113" t="str">
        <x:f t="shared" si="20">IF($A22="","",IF($DE22="Live 20-30",IF(SUM($DG22:$DH22)&gt;0,"Gol deja marcat.",IF($DF22="","Minut live lipsă.",IF(COUNT($DI22:$DN22)&lt;4,"Lipsesc xG/SOT/big chances live.",IF($EJ22&lt;0.75,"P live sub prag.","Semnal live tehnic complet; EV ignorat.")))),IF($EI22&lt;&gt;"DA",$EI22,IF($EF22&lt;75,"Confidence sub 75.",IF($EA22&lt;0.92,"P sub 92%.","G0/Zero-Mass + confidence trecute; EV ignorat.")))))</x:f>
      </x:c>
      <x:c r="EN22" s="117" t="str">
        <x:f>IF($A22="","",IF(OR($EL22="PARIU RECOMANDAT",$EL22="LIVE – FEZABIL"),MIN(IF($DU22&gt;0,$DU22,'Setari model'!$B$81)/MAX(1,$DR22),IF($DV22&gt;0,$DV22,'Setari model'!$B$80)*MAX(0,((IF($DE22="Live 20-30",$EJ22,$EA22)*IF($DE22="Live 20-30",$DQ22,$AR22)-1)/(IF($DE22="Live 20-30",$DQ22,$AR22)-1)))),0))</x:f>
      </x:c>
      <x:c r="EO22" s="121" t="str">
        <x:f t="shared" si="21">IF($A22="","",IF(AND($EN22&gt;0,$DT22&gt;0),$EN22*$DT22,""))</x:f>
      </x:c>
      <x:c r="EP22" s="113" t="str">
        <x:f>IF($A22="","",IF(OR($DR22&lt;1,$DR22&gt;'Setari model'!$B$78),"NU – 1–5 selecții",IF($DS22&gt;'Setari model'!$B$79,"NU – corelație", "DA")))</x:f>
      </x:c>
      <x:c r="EQ22" s="117" t="str">
        <x:f t="shared" si="22">IF($A22="","",IF(AND($DC22&gt;1,$DD22&gt;1),$DC22/$DD22-1,""))</x:f>
      </x:c>
      <x:c r="ER22" s="113" t="str">
        <x:f t="shared" si="23">IF($A22="","","P v2="&amp;TEXT($EA22,"0.0%")&amp;" ±"&amp;TEXT($EG22,"0.0%")&amp;"; P0 ZIP="&amp;TEXT($DZ22,"0.0%")&amp;"; Confidence="&amp;TEXT($EF22,"0")&amp;"/100; piață reală="&amp;IF($EC22="","NU","DA")&amp;"; EV="&amp;IF($EE22="","n/a",TEXT($EE22,"0.0%"))&amp;"; gate="&amp;$EI22&amp;"; verdict="&amp;$EL22&amp;". "&amp;$EM22)</x:f>
      </x:c>
      <x:c r="ES22" s="119" t="str">
        <x:f>IF($A22="","",'Setari model'!$B$82)</x:f>
      </x:c>
      <x:c r="ET22" s="118" t="str">
        <x:f>IF($A22="","",'Setari model'!$B$83)</x:f>
      </x:c>
      <x:c r="EU22" s="115" t="str">
        <x:f t="shared" si="24">IF(OR($A22="",$DE22&lt;&gt;"Live 20-30",$DF22="",$DF22&lt;$ES22,$DF22&gt;=90),"",MAX(0.05,MIN($BS22*$ET22,$BS22*(90-$DF22)/90+0.35*($DI22+$DJ22)+0.06*($DK22+$DL22)+0.15*($DM22+$DN22)+0.1*(MAX($DO22,$DP22)-MIN($DO22,$DP22)))))</x:f>
      </x:c>
      <x:c r="EV22" s="132"/>
      <x:c r="EW22" s="132"/>
      <x:c r="EX22" s="132"/>
      <x:c r="EY22" s="132"/>
      <x:c r="EZ22" s="132"/>
      <x:c r="FA22" s="132"/>
      <x:c r="FB22" s="247"/>
      <x:c r="FC22" s="134" t="str">
        <x:f t="shared" si="25">IF($A22="","",IF(OR($J22="",$L22="",$L22&lt;=0),"",MAX(0.5,MIN(1.5,$J22/$L22))))</x:f>
      </x:c>
      <x:c r="FD22" s="134" t="str">
        <x:f t="shared" si="26">IF($A22="","",IF(OR($Q22="",$S22="",$S22&lt;=0),"",MAX(0.5,MIN(1.5,$Q22/$S22))))</x:f>
      </x:c>
      <x:c r="FE22" s="134" t="str">
        <x:f>IF($A22="","",IF(COUNT($EV22:$EW22)&lt;2,"",SQRT($EV22*$EW22)/'Setari model'!$B$87))</x:f>
      </x:c>
      <x:c r="FF22" s="134" t="str">
        <x:f>IF($A22="","",IF(COUNT($O22,$V22,$EX22,$EY22)&lt;4,"",AVERAGE(SQRT($O22*$EY22),SQRT($V22*$EX22))/'Setari model'!$B$88))</x:f>
      </x:c>
      <x:c r="FG22" s="134" t="str">
        <x:f t="shared" si="27">IF($A22="","",IF(COUNT($FC22:$FD22)&lt;2,"",MAX(0,1-AVERAGE($FC22:$FD22))))</x:f>
      </x:c>
      <x:c r="FH22" s="134" t="str">
        <x:f>IF($A22="","",IF(COUNT($EZ22:$FA22)&lt;2,"",'Setari model'!$B$94*AVERAGE($EZ22:$FA22)/'Setari model'!$B$89))</x:f>
      </x:c>
      <x:c r="FI22" s="134" t="str">
        <x:f>IF($A22="","",IF(COUNT($FE22:$FH22)&lt;4,"",MAX('Setari model'!$B$97,MIN('Setari model'!$B$98,1+'Setari model'!$B$90*($FE22-1)+'Setari model'!$B$91*($FF22-1)+'Setari model'!$B$92*$FG22+'Setari model'!$B$93*($FH22-1)))))</x:f>
      </x:c>
      <x:c r="FJ22" s="133" t="str">
        <x:f>IF($A22="","",IF($FI22="","",MIN('Setari model'!$B$101,MAX(0.002,$DZ22*$FI22))))</x:f>
      </x:c>
      <x:c r="FK22" s="131" t="str">
        <x:f t="shared" si="28">IF($A22="","",IF(AND(COUNT($EV22:$FA22)=6,COUNT($O22,$V22,$FC22,$FD22)=4),"DA","NU"))</x:f>
      </x:c>
      <x:c r="FL22" s="131" t="str">
        <x:f>IF($A22="","",IF($FK22&lt;&gt;"DA","NEDETERMINAT",IF($FI22&lt;='Setari model'!$B$99,"SCĂZUT",IF($FI22&lt;='Setari model'!$B$100,"MEDIU","RIDICAT"))))</x:f>
      </x:c>
      <x:c r="FM22" s="131" t="str">
        <x:f>IF($A22="","",IF(AND($AR22&gt;1,$EC22&gt;='Setari model'!$B$106),"DA","NU"))</x:f>
      </x:c>
      <x:c r="FN22" s="131" t="str">
        <x:f t="shared" si="29">IF($A22="","",IF(AND($AU22=1,COUNT($CY22:$DB22)=4),"DA","NU"))</x:f>
      </x:c>
      <x:c r="FO22" s="133" t="str">
        <x:f>IF($A22="","",IF(OR($FK22&lt;&gt;"DA",$FL22="RIDICAT"),'Setari model'!$B$102,IF($FL22="MEDIU",'Setari model'!$B$103,IF(AND($FM22="DA",$FN22="DA"),'Setari model'!$B$105,'Setari model'!$B$104))))</x:f>
      </x:c>
      <x:c r="FP22" s="133" t="str">
        <x:f t="shared" si="30">IF($A22="","",IF($FJ22="","",MIN(1-$FJ22,$FO22)))</x:f>
      </x:c>
      <x:c r="FQ22" s="135" t="str">
        <x:f t="shared" si="31">IF($A22="","",IF($FP22="","",IF($FP22&gt;0,1/$FP22,"")))</x:f>
      </x:c>
      <x:c r="FR22" s="133" t="str">
        <x:f t="shared" si="32">IF($A22="","",IF($EC22="","",$FP22-$EC22))</x:f>
      </x:c>
      <x:c r="FS22" s="133" t="str">
        <x:f t="shared" si="33">IF($A22="","",IF($AR22&gt;1,$FP22*$AR22-1,""))</x:f>
      </x:c>
      <x:c r="FT22" s="136" t="str">
        <x:f>IF($A22="","",MAX(0,MIN(100,$EF22-IF($FK22&lt;&gt;"DA",'Setari model'!$B$107,0)-IF($FL22="MEDIU",'Setari model'!$B$108,0)-IF($FL22="RIDICAT",'Setari model'!$B$109,0))))</x:f>
      </x:c>
      <x:c r="FU22" s="131" t="str">
        <x:f t="shared" si="34">IF($A22="","",IF($AR22&lt;=1,"NU – LIPSEȘTE COTA REALĂ",IF($FK22&lt;&gt;"DA","NU – ZERO-RISK INCOMPLET",IF($FL22&lt;&gt;"SCĂZUT","NU – RISC 0-0 "&amp;$FL22,IF($FN22&lt;&gt;"DA","NU – LINEUP NECONFIRMAT",IF($FM22&lt;&gt;"DA","NU – PIAȚĂ NECONFIRMATĂ",IF($EP22&lt;&gt;"DA","NU – PORTOFOLIU","DA")))))))</x:f>
      </x:c>
      <x:c r="FV22" s="131" t="str">
        <x:f>IF($A22="","",IF($FU22&lt;&gt;"DA","WATCH / NO BET",IF(AND($FP22&gt;='Setari model'!$B$35,$FT22&gt;=100*'Setari model'!$B$76,$FS22&gt;0),"PARIU RECOMANDAT",IF(AND($FP22&gt;='Setari model'!$B$39,$FT22&gt;=100*'Setari model'!$B$40,$FS22&gt;0),"WATCH – APROAPE DE PRAG","PARIU EVITAT"))))</x:f>
      </x:c>
      <x:c r="FW22" s="131" t="str">
        <x:f t="shared" si="35">IF($A22="","",IF($FU22&lt;&gt;"DA",$FU22,IF($FT22&lt;75,"Confidence v3 sub 75.",IF($FP22&lt;0.92,"P v3 sub 92%.",IF($FS22&lt;=0,"EV v3 nepozitiv.","P0 v3, lineup și piață confirmate.")))))</x:f>
      </x:c>
      <x:c r="FX22" s="131" t="str">
        <x:f t="shared" si="36">IF($A22="","","P v3="&amp;TEXT($FP22,"0.0%")&amp;"; P0 v3="&amp;TEXT($FJ22,"0.0%")&amp;"; factor zero="&amp;IF($FI22="","n/a",TEXT($FI22,"0.00x"))&amp;" ("&amp;$FL22&amp;"); cap="&amp;TEXT($FO22,"0.0%")&amp;"; Confidence="&amp;TEXT($FT22,"0")&amp;"/100; lineup="&amp;$FN22&amp;"; piață="&amp;$FM22&amp;"; EV="&amp;IF($FS22="","n/a",TEXT($FS22,"0.0%"))&amp;"; gate="&amp;$FU22&amp;"; verdict="&amp;$FV22&amp;". "&amp;$FW22)</x:f>
      </x:c>
      <x:c r="FY22" s="159"/>
      <x:c r="FZ22" s="159"/>
      <x:c r="GA22" s="157"/>
      <x:c r="GB22" s="157"/>
      <x:c r="GC22" s="161" t="str">
        <x:f t="shared" si="37">IF($A22="","",IF(OR($X22="",$Z22="",$Z22&lt;=0),"",MAX(0.5,MIN(1.5,$X22/$Z22))))</x:f>
      </x:c>
      <x:c r="GD22" s="161" t="str">
        <x:f t="shared" si="38">IF($A22="","",IF(OR($AC22="",$AE22="",$AE22&lt;=0),"",MAX(0.5,MIN(1.5,$AC22/$AE22))))</x:f>
      </x:c>
      <x:c r="GE22" s="162" t="str">
        <x:f t="shared" si="39">IF($A22="","",IF(COUNT($Z22,$AE22)&lt;2,"",AVERAGE($Z22,$AE22)))</x:f>
      </x:c>
      <x:c r="GF22" s="158" t="str">
        <x:f>IF($A22="","",IF(COUNT($FY22:$FZ22)&lt;2,"NEDETERMINAT",IF(AND($FY22&gt;='Setari model'!$B$113,$FZ22&gt;='Setari model'!$B$113),"DA","NU")))</x:f>
      </x:c>
      <x:c r="GG22" s="158" t="str">
        <x:f>IF($A22="","",IF(COUNT($FY22:$FZ22,$EX22:$EY22)&lt;4,"NEDETERMINAT",IF(OR(AND($FY22&gt;='Setari model'!$B$113,$EY22&gt;='Setari model'!$B$114),AND($FZ22&gt;='Setari model'!$B$113,$EX22&gt;='Setari model'!$B$114)),"DA","NU")))</x:f>
      </x:c>
      <x:c r="GH22" s="158" t="str">
        <x:f>IF($A22="","",IF(COUNT($BJ22:$BN22,$GC22:$GE22)&lt;8,"NEDETERMINAT",IF(AND((($BJ22*INDEX('Setari model'!$B$5:$B$11,MATCH($E22,'Setari model'!$A$5:$A$11,0))+$BK22*INDEX('Setari model'!$C$5:$C$11,MATCH($E22,'Setari model'!$A$5:$A$11,0))+$BL22*INDEX('Setari model'!$D$5:$D$11,MATCH($E22,'Setari model'!$A$5:$A$11,0))+$BM22*INDEX('Setari model'!$E$5:$E$11,MATCH($E22,'Setari model'!$A$5:$A$11,0))+$BN22*INDEX('Setari model'!$F$5:$F$11,MATCH($E22,'Setari model'!$A$5:$A$11,0)))/(INDEX('Setari model'!$B$5:$B$11,MATCH($E22,'Setari model'!$A$5:$A$11,0))+INDEX('Setari model'!$C$5:$C$11,MATCH($E22,'Setari model'!$A$5:$A$11,0))+INDEX('Setari model'!$D$5:$D$11,MATCH($E22,'Setari model'!$A$5:$A$11,0))+INDEX('Setari model'!$E$5:$E$11,MATCH($E22,'Setari model'!$A$5:$A$11,0))+INDEX('Setari model'!$F$5:$F$11,MATCH($E22,'Setari model'!$A$5:$A$11,0))))*$BR22&gt;='Setari model'!$B$115,(($BJ22*INDEX('Setari model'!$B$5:$B$11,MATCH($E22,'Setari model'!$A$5:$A$11,0))+$BK22*INDEX('Setari model'!$C$5:$C$11,MATCH($E22,'Setari model'!$A$5:$A$11,0))+$BL22*INDEX('Setari model'!$D$5:$D$11,MATCH($E22,'Setari model'!$A$5:$A$11,0))+$BM22*INDEX('Setari model'!$E$5:$E$11,MATCH($E22,'Setari model'!$A$5:$A$11,0))+$BN22*INDEX('Setari model'!$F$5:$F$11,MATCH($E22,'Setari model'!$A$5:$A$11,0)))/(INDEX('Setari model'!$B$5:$B$11,MATCH($E22,'Setari model'!$A$5:$A$11,0))+INDEX('Setari model'!$C$5:$C$11,MATCH($E22,'Setari model'!$A$5:$A$11,0))+INDEX('Setari model'!$D$5:$D$11,MATCH($E22,'Setari model'!$A$5:$A$11,0))+INDEX('Setari model'!$E$5:$E$11,MATCH($E22,'Setari model'!$A$5:$A$11,0))+INDEX('Setari model'!$F$5:$F$11,MATCH($E22,'Setari model'!$A$5:$A$11,0))))*$BR22&lt;='Setari model'!$B$116,AVERAGE($GC22:$GD22)&lt;='Setari model'!$B$117,$GE22&gt;='Setari model'!$B$118),"DA","NU")))</x:f>
      </x:c>
      <x:c r="GI22" s="158" t="str">
        <x:f>IF($A22="","",IF(COUNT($W22,$AB22,$GA22:$GB22)&lt;4,"NEDETERMINAT",IF(AND($W22&gt;='Setari model'!$B$120,$AB22&gt;='Setari model'!$B$120,OR(IFERROR($GA22/$W22,0)&gt;='Setari model'!$B$119,IFERROR($GB22/$AB22,0)&gt;='Setari model'!$B$119)),"DA","NU")))</x:f>
      </x:c>
      <x:c r="GJ22" s="160" t="str">
        <x:f>IF($A22="","",IF(COUNT($FY22:$GB22)&lt;4,"",IF($GH22&lt;&gt;"DA",0,'Setari model'!$B$121*IF($GF22="DA",1,0)+'Setari model'!$B$122*IF($GG22="DA",1,0)+'Setari model'!$B$123+'Setari model'!$B$124*IF($GI22="DA",1,0))))</x:f>
      </x:c>
      <x:c r="GK22" s="161" t="str">
        <x:f>IF($A22="","",IF(COUNT($GJ22)=0,"",1+'Setari model'!$B$125*$GJ22))</x:f>
      </x:c>
      <x:c r="GL22" s="160" t="str">
        <x:f>IF($A22="","",IF($GM22&lt;&gt;"DA",$FJ22,MIN('Setari model'!$B$101,MAX(0.002,$FJ22*$GK22))))</x:f>
      </x:c>
      <x:c r="GM22" s="158" t="str">
        <x:f>IF($A22="","",IF(AND($FK22="DA",COUNT($FY22:$GB22)=4,COUNT($I22,$P22,$W22,$AB22,$Z22,$AE22,$EX22,$EY22,$GC22,$GD22)=10,COUNT($BJ22:$BN22)=5),"DA","NU"))</x:f>
      </x:c>
      <x:c r="GN22" s="158" t="str">
        <x:f>IF($A22="","",IF($GM22&lt;&gt;"DA","NEDETERMINAT",IF($FI22*$GK22&lt;='Setari model'!$B$99,"SCĂZUT",IF($FI22*$GK22&lt;='Setari model'!$B$100,"MEDIU","RIDICAT"))))</x:f>
      </x:c>
      <x:c r="GO22" s="160" t="str">
        <x:f>IF($A22="","",IF(OR($GM22&lt;&gt;"DA",$GN22="RIDICAT"),'Setari model'!$B$102,IF($GN22="MEDIU",'Setari model'!$B$103,IF(AND($FM22="DA",$FN22="DA"),'Setari model'!$B$105,'Setari model'!$B$104))))</x:f>
      </x:c>
      <x:c r="GP22" s="160" t="str">
        <x:f t="shared" si="40">IF($A22="","",IF($GL22="","",MIN(1-$GL22,$GO22)))</x:f>
      </x:c>
      <x:c r="GQ22" s="162" t="str">
        <x:f t="shared" si="41">IF($A22="","",IF($GP22="","",IF($GP22&gt;0,1/$GP22,"")))</x:f>
      </x:c>
      <x:c r="GR22" s="160" t="str">
        <x:f t="shared" si="42">IF($A22="","",IF($EC22="","",$GP22-$EC22))</x:f>
      </x:c>
      <x:c r="GS22" s="160" t="str">
        <x:f t="shared" si="43">IF($A22="","",IF($AR22&gt;1,$GP22*$AR22-1,""))</x:f>
      </x:c>
      <x:c r="GT22" s="163" t="str">
        <x:f>IF($A22="","",MAX(0,MIN(100,$FT22-IF(AND($GM22&lt;&gt;"DA",$FK22="DA"),'Setari model'!$B$107,0)-'Setari model'!$B$126*IF($GJ22="",0,$GJ22))))</x:f>
      </x:c>
      <x:c r="GU22" s="158" t="str">
        <x:f t="shared" si="44">IF($A22="","",IF($AR22&lt;=1,"NU – LIPSEȘTE COTA REALĂ",IF($GM22&lt;&gt;"DA","NU – DATE LOW-CONVERSION INCOMPLETE",IF($GN22&lt;&gt;"SCĂZUT","NU – RISC 0-0 "&amp;$GN22,IF($FN22&lt;&gt;"DA","NU – LINEUP NECONFIRMAT",IF($FM22&lt;&gt;"DA","NU – PIAȚĂ NECONFIRMATĂ",IF($EP22&lt;&gt;"DA","NU – PORTOFOLIU","DA")))))))</x:f>
      </x:c>
      <x:c r="GV22" s="158" t="str">
        <x:f>IF($A22="","",IF($GU22&lt;&gt;"DA","WATCH / NO BET",IF(AND($GP22&gt;='Setari model'!$B$35,$GT22&gt;=100*'Setari model'!$B$76,$GS22&gt;0),"PARIU RECOMANDAT",IF(AND($GP22&gt;='Setari model'!$B$39,$GT22&gt;=100*'Setari model'!$B$40,$GS22&gt;0),"WATCH – APROAPE DE PRAG","PARIU EVITAT"))))</x:f>
      </x:c>
      <x:c r="GW22" s="158" t="str">
        <x:f t="shared" si="45">IF($A22="","",IF($GU22&lt;&gt;"DA",$GU22,IF($GT22&lt;75,"Confidence v5 sub 75.",IF($GP22&lt;0.92,"P v5 sub 92%.",IF($GS22&lt;=0,"EV v5 nepozitiv.",IF($GJ22&gt;0,"Low-conversion absorbit în P0; toate porțile rămân trecute.","Toate porțile v5 sunt trecute."))))))</x:f>
      </x:c>
      <x:c r="GX22" s="158" t="str">
        <x:f t="shared" si="46">IF($A22="","","P v5="&amp;TEXT($GP22,"0.0%")&amp;"; P0 v5="&amp;TEXT($GL22,"0.0%")&amp;"; low-conv="&amp;IF(COUNT($GJ22)=0,"n/a",TEXT($GJ22,"0%"))&amp;"; mult.P0="&amp;IF(COUNT($GK22)=0,"n/a",TEXT($GK22,"0.00"))&amp;"; clasă="&amp;$GN22&amp;"; cap="&amp;TEXT($GO22,"0.0%")&amp;"; Confidence="&amp;TEXT($GT22,"0")&amp;"/100; lineup="&amp;$FN22&amp;"; piață="&amp;$FM22&amp;"; EV="&amp;IF($GS22="","n/a",TEXT($GS22,"0.0%"))&amp;"; gate="&amp;$GU22&amp;"; verdict="&amp;$GV22&amp;". "&amp;$GW22)</x:f>
      </x:c>
      <x:c r="GY22" s="174" t="str">
        <x:f>IF($A22="","",IF($GM22&lt;&gt;"DA","SOURCING INCOMPLETE – REVIEW REQUIRED",IF(MIN($I22,$P22,$W22,$AB22)&lt;'Setari model'!$B$58,"SMALL SAMPLE + PRIOR / SHRINKAGE","VERIFIED / PRIOR / SHRINKAGE")))</x:f>
      </x:c>
      <x:c r="GZ22" s="175" t="str">
        <x:f t="shared" si="47">IF($A22="","",MAX(0,MIN(100,100*(1-AVERAGE(IF($GM22="DA",1,0),MIN(1,$AT22/5))))))</x:f>
      </x:c>
      <x:c r="HA22" s="175" t="str">
        <x:f>IF($A22="","",IF($GM22&lt;&gt;"DA","",MAX(0,MIN(100,100*(($FI22*$GK22)-'Setari model'!$B$97)/('Setari model'!$B$98-'Setari model'!$B$97)))))</x:f>
      </x:c>
      <x:c r="HB22" s="175" t="str">
        <x:f>IF($A22="","",MAX(0,MIN(100,100*(ABS($BR22-1)/MAX(1-'Setari model'!$B$53,'Setari model'!$B$54-1)+MIN(1,$BG22/2))/2)))</x:f>
      </x:c>
      <x:c r="HC22" s="175" t="str">
        <x:f t="shared" si="48">IF($A22="","",MAX(0,MIN(100,100*(1-AVERAGE($CC22,MAX(0,1-(MAX($BJ22:$BN22)-MIN($BJ22:$BN22))/(AVERAGE($BJ22:$BN22)*'Setari model'!$B$45)))))))</x:f>
      </x:c>
      <x:c r="HD22" s="175" t="str">
        <x:f t="shared" si="49">IF($A22="","",MAX(0,MIN(100,100*MAX(IF($GJ22="",0,$GJ22),MIN(1,$BG22/2)))))</x:f>
      </x:c>
      <x:c r="HE22" s="175" t="str">
        <x:f>IF($A22="","",IF(COUNT($GZ22:$HD22)&lt;5,"",$GZ22*Risk_Classification!$E$28+$HA22*Risk_Classification!$E$29+$HB22*Risk_Classification!$E$30+$HC22*Risk_Classification!$E$31+$HD22*Risk_Classification!$E$32))</x:f>
      </x:c>
      <x:c r="HF22" s="176" t="str">
        <x:f t="shared" si="50">IF($A22="","",IF($HE22="","",IF($HE22&lt;=20,1,IF($HE22&lt;=40,2,IF($HE22&lt;=60,3,IF($HE22&lt;=80,4,5))))))</x:f>
      </x:c>
      <x:c r="HG22" s="176" t="str">
        <x:f t="shared" si="51">IF($A22="","",IF($GM22="DA","PASS","FAIL – DATE CRITICE ZERO-MASS INCOMPLETE"))</x:f>
      </x:c>
      <x:c r="HH22" s="176" t="str">
        <x:f t="shared" si="52">IF($A22="","",IF($HG22&lt;&gt;"PASS",5,$HF22))</x:f>
      </x:c>
      <x:c r="HI22" s="174" t="str">
        <x:f t="shared" si="53">IF($A22="","",IF($HH22="","N/A",IF($HH22=1,"DEFENSIV",IF($HH22=2,"PRUDENT",IF($HH22=3,"MODERAT",IF($HH22=4,"RIDICAT","WATCH / NO BET"))))))</x:f>
      </x:c>
      <x:c r="HJ22" s="177" t="str">
        <x:f t="shared" si="54">IF($A22="","","Data="&amp;$GY22&amp;"; DQ="&amp;TEXT($GZ22,"0.0")&amp;"; ZM="&amp;IF($HA22="","n/a",TEXT($HA22,"0.0"))&amp;"; Context="&amp;TEXT($HB22,"0.0")&amp;"; Uncertainty="&amp;TEXT($HC22,"0.0")&amp;"; Compound="&amp;TEXT($HD22,"0.0")&amp;"; Risk Score="&amp;IF($HE22="","n/a",TEXT($HE22,"0.0"))&amp;"; Base="&amp;IF($HF22="","n/a",$HF22)&amp;"; G0="&amp;$HG22&amp;"; Final="&amp;$HH22&amp;". Cota, EV si lineup sunt informative si nu intra in recomandare.")</x:f>
      </x:c>
      <x:c r="HK22" s="174" t="str">
        <x:f t="shared" si="55">IF($A22="","",$HI22)</x:f>
      </x:c>
    </x:row>
    <x:row r="23" ht="24" customHeight="1">
      <x:c r="A23" s="58"/>
      <x:c r="B23" s="24"/>
      <x:c r="C23" s="59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18"/>
      <x:c r="O23" s="18"/>
      <x:c r="P23" s="24"/>
      <x:c r="Q23" s="24"/>
      <x:c r="R23" s="24"/>
      <x:c r="S23" s="24"/>
      <x:c r="T23" s="24"/>
      <x:c r="U23" s="18"/>
      <x:c r="V23" s="18"/>
      <x:c r="W23" s="24"/>
      <x:c r="X23" s="24"/>
      <x:c r="Y23" s="24"/>
      <x:c r="Z23" s="24"/>
      <x:c r="AA23" s="24"/>
      <x:c r="AB23" s="24"/>
      <x:c r="AC23" s="24"/>
      <x:c r="AD23" s="24"/>
      <x:c r="AE23" s="24"/>
      <x:c r="AF23" s="24"/>
      <x:c r="AG23" s="24"/>
      <x:c r="AH23" s="24"/>
      <x:c r="AI23" s="18"/>
      <x:c r="AJ23" s="24"/>
      <x:c r="AK23" s="24"/>
      <x:c r="AL23" s="24"/>
      <x:c r="AM23" s="18"/>
      <x:c r="AN23" s="24"/>
      <x:c r="AO23" s="60"/>
      <x:c r="AP23" s="60"/>
      <x:c r="AQ23" s="60"/>
      <x:c r="AR23" s="60"/>
      <x:c r="AS23" s="60"/>
      <x:c r="AT23" s="24"/>
      <x:c r="AU23" s="24"/>
      <x:c r="AV23" s="24"/>
      <x:c r="AW23" s="24"/>
      <x:c r="AX23" s="24"/>
      <x:c r="AY23" s="24"/>
      <x:c r="AZ23" s="24"/>
      <x:c r="BA23" s="24"/>
      <x:c r="BB23" s="24"/>
      <x:c r="BC23" s="24"/>
      <x:c r="BD23" s="24"/>
      <x:c r="BE23" s="24"/>
      <x:c r="BF23" s="24"/>
      <x:c r="BG23" s="24"/>
      <x:c r="BH23" s="61"/>
      <x:c r="BI23" s="61"/>
      <x:c r="BJ23" s="62" t="str">
        <x:f>IF($A23="","",SQRT((($I23*IF($J23="",$AJ23,$J23)+'Setari model'!$B$30*$AJ23)/($I23+'Setari model'!$B$30))*(($P23*IF($R23="",$AJ23,$R23)+'Setari model'!$B$30*$AJ23)/($P23+'Setari model'!$B$30)))+SQRT((($P23*IF($Q23="",$AK23,$Q23)+'Setari model'!$B$30*$AK23)/($P23+'Setari model'!$B$30))*(($I23*IF($K23="",$AK23,$K23)+'Setari model'!$B$30*$AK23)/($I23+'Setari model'!$B$30))))</x:f>
      </x:c>
      <x:c r="BK23" s="62" t="str">
        <x:f>IF($A23="","",SQRT((($I23*IF($L23="",IF($J23="",$AJ23,$J23),$L23)+'Setari model'!$B$30*$AJ23)/($I23+'Setari model'!$B$30))*(($P23*IF($T23="",IF($R23="",$AJ23,$R23),$T23)+'Setari model'!$B$30*$AJ23)/($P23+'Setari model'!$B$30)))+SQRT((($P23*IF($S23="",IF($Q23="",$AK23,$Q23),$S23)+'Setari model'!$B$30*$AK23)/($P23+'Setari model'!$B$30))*(($I23*IF($M23="",IF($K23="",$AK23,$K23),$M23)+'Setari model'!$B$30*$AK23)/($I23+'Setari model'!$B$30))))</x:f>
      </x:c>
      <x:c r="BL23" s="62" t="str">
        <x:f>IF($A23="","",SQRT((($W23*IF($X23="",$AL23/2,$X23)+'Setari model'!$B$31*$AL23/2)/($W23+'Setari model'!$B$31))*(($AB23*IF($AD23="",$AL23/2,$AD23)+'Setari model'!$B$31*$AL23/2)/($AB23+'Setari model'!$B$31)))+SQRT((($AB23*IF($AC23="",$AL23/2,$AC23)+'Setari model'!$B$31*$AL23/2)/($AB23+'Setari model'!$B$31))*(($W23*IF($Y23="",$AL23/2,$Y23)+'Setari model'!$B$31*$AL23/2)/($W23+'Setari model'!$B$31))))</x:f>
      </x:c>
      <x:c r="BM23" s="62" t="str">
        <x:f>IF($A23="","",SQRT((($W23*IF($Z23="",IF($X23="",$AL23/2,$X23),$Z23)+'Setari model'!$B$31*$AL23/2)/($W23+'Setari model'!$B$31))*(($AB23*IF($AF23="",IF($AD23="",$AL23/2,$AD23),$AF23)+'Setari model'!$B$31*$AL23/2)/($AB23+'Setari model'!$B$31)))+SQRT((($AB23*IF($AE23="",IF($AC23="",$AL23/2,$AC23),$AE23)+'Setari model'!$B$31*$AL23/2)/($AB23+'Setari model'!$B$31))*(($W23*IF($AA23="",IF($Y23="",$AL23/2,$Y23),$AA23)+'Setari model'!$B$31*$AL23/2)/($W23+'Setari model'!$B$31))))</x:f>
      </x:c>
      <x:c r="BN23" s="62" t="str">
        <x:f t="shared" si="0">IF($A23="","",IF($AG23&gt;0,($AG23*IF($AH23="",$AL23,$AH23)+5*$AL23)/($AG23+5),$AL23))</x:f>
      </x:c>
      <x:c r="BO23" s="63" t="str">
        <x:f>IF($A23="","",IF($AR23&gt;1,IF($AS23&gt;1,(1/$AR23)/((1/$AR23+1/$AS23)),MIN(0.995,(1/$AR23)/(1+'Setari model'!$B$32))),1-EXP(-$AL23)))</x:f>
      </x:c>
      <x:c r="BP23" s="62" t="str">
        <x:f t="shared" si="1">IF($A23="","",-LN(1-$BO23))</x:f>
      </x:c>
      <x:c r="BQ23" s="62" t="str">
        <x:f>IF($A23="","",$BJ23*INDEX('Setari model'!$B$5:$B$11,MATCH($E23,'Setari model'!$A$5:$A$11,0))+$BK23*INDEX('Setari model'!$C$5:$C$11,MATCH($E23,'Setari model'!$A$5:$A$11,0))+$BL23*INDEX('Setari model'!$D$5:$D$11,MATCH($E23,'Setari model'!$A$5:$A$11,0))+$BM23*INDEX('Setari model'!$E$5:$E$11,MATCH($E23,'Setari model'!$A$5:$A$11,0))+$BN23*INDEX('Setari model'!$F$5:$F$11,MATCH($E23,'Setari model'!$A$5:$A$11,0))+$BP23*INDEX('Setari model'!$G$5:$G$11,MATCH($E23,'Setari model'!$A$5:$A$11,0)))</x:f>
      </x:c>
      <x:c r="BR23" s="64" t="str">
        <x:f>IF($A23="","",MAX('Setari model'!$B$53,MIN('Setari model'!$B$54,1+($AV23*'Setari model'!$B$15+$AW23*'Setari model'!$B$16+$AX23*'Setari model'!$B$17+$AY23*'Setari model'!$B$18+$AZ23*'Setari model'!$B$19+$BA23*'Setari model'!$B$20+$BB23*'Setari model'!$B$21+$BC23*'Setari model'!$B$22+$BD23*'Setari model'!$B$23+$BE23*'Setari model'!$B$24+$BF23*'Setari model'!$B$25)*INDEX('Setari model'!$H$5:$H$11,MATCH($E23,'Setari model'!$A$5:$A$11,0)))))</x:f>
      </x:c>
      <x:c r="BS23" s="62" t="str">
        <x:f t="shared" si="2">IF($A23="","",$BQ23*$BR23)</x:f>
      </x:c>
      <x:c r="BT23" s="63" t="str">
        <x:f t="shared" si="3">IF($A23="","",EXP(-$BS23))</x:f>
      </x:c>
      <x:c r="BU23" s="65" t="str">
        <x:f>IF($A23="","",IF(OR($AM23="",$AN23=""),1,1+MIN('Setari model'!$B$33,$AN23/100*'Setari model'!$B$33)*($AM23/EXP(-$AL23)-1)))</x:f>
      </x:c>
      <x:c r="BV23" s="63" t="str">
        <x:f>IF($A23="","",MIN(0.45,MAX(0.005,(1-'Setari model'!$B$34*MIN(1,($I23+$P23)/20))*MIN(0.45,$BT23*$BU23)+'Setari model'!$B$34*MIN(1,($I23+$P23)/20)*IF(COUNT($N23,$U23)=2,SQRT(MAX(0,1-$N23)*MAX(0,1-$U23)),IF($AM23="",EXP(-$AL23),$AM23)))))</x:f>
      </x:c>
      <x:c r="BW23" s="63" t="str">
        <x:f t="shared" si="4">IF($A23="","",1-$BV23)</x:f>
      </x:c>
      <x:c r="BX23" s="62" t="str">
        <x:f t="shared" si="5">IF($A23="","",1/$BW23)</x:f>
      </x:c>
      <x:c r="BY23" s="63" t="str">
        <x:f t="shared" si="6">IF($A23="","",$BO23)</x:f>
      </x:c>
      <x:c r="BZ23" s="63" t="str">
        <x:f t="shared" si="7">IF($A23="","",$BW23-$BY23)</x:f>
      </x:c>
      <x:c r="CA23" s="63" t="str">
        <x:f t="shared" si="8">IF($A23="","",IF($AR23&gt;1,$BW23*$AR23-1,""))</x:f>
      </x:c>
      <x:c r="CB23" s="63" t="str">
        <x:f>IF($A23="","",MIN(1,COUNT($I23:$AN23,$AR23:$BG23)/'Setari model'!$B$46))</x:f>
      </x:c>
      <x:c r="CC23" s="63" t="str">
        <x:f t="shared" si="9">IF($A23="","",0.25*MIN(1,$I23/10)+0.25*MIN(1,$P23/10)+0.15*MIN(1,$W23/5)+0.15*MIN(1,$AB23/5)+0.1*MIN(1,$AG23/5)+0.1*MIN(1,$AN23/100))</x:f>
      </x:c>
      <x:c r="CD23" s="63" t="str">
        <x:f>IF($A23="","",MAX(0,1-(MAX($BJ23:$BN23,$BP23)-MIN($BJ23:$BN23,$BP23))/(AVERAGE($BJ23:$BN23,$BP23)*'Setari model'!$B$45)))</x:f>
      </x:c>
      <x:c r="CE23" s="66" t="str">
        <x:f>IF($A23="","",MAX(0,MIN(100,100*INDEX('Setari model'!$I$5:$I$11,MATCH($E23,'Setari model'!$A$5:$A$11,0))*('Setari model'!$B$47*$CB23+'Setari model'!$B$48*$CC23+'Setari model'!$B$49*$CD23+'Setari model'!$B$50*$AT23/5+'Setari model'!$B$51*$AU23)-100*'Setari model'!$B$52*$BG23)))</x:f>
      </x:c>
      <x:c r="CF23" s="65" t="str">
        <x:f t="shared" si="10">IF($A23="","",IF(OR($AT23&lt;3,$BG23&gt;=2,$CB23&lt;0.55,$CC23&lt;0.4),"RIDICAT",IF(OR($AU23=0,$CD23&lt;0.45,$BR23&lt;0.9),"MEDIU","SCĂZUT")))</x:f>
      </x:c>
      <x:c r="CG23" s="65" t="str">
        <x:f>IF($A23="","",IF($AR23&gt;1,IF(AND($BW23&gt;= 'Setari model'!$B$35,$CE23&gt;=100*'Setari model'!$B$36,$BZ23&gt;= 'Setari model'!$B$37,$CA23&gt;= 'Setari model'!$B$38,$CF23&lt;&gt;"RIDICAT"),"PARIU RECOMANDAT",IF(AND($BW23&gt;= 'Setari model'!$B$39,$CE23&gt;=100*'Setari model'!$B$40,$BZ23&gt;= 'Setari model'!$B$41,$CA23&gt;=0,$CF23&lt;&gt;"RIDICAT"),"RECOMANDAT CU PRUDENȚĂ",IF(AND($BW23&gt;= 'Setari model'!$B$42,$CE23&gt;=100*'Setari model'!$B$43),"ANALIZĂ NECONCLUDENTĂ","PARIU EVITAT"))),IF(AND($BW23&gt;= 'Setari model'!$B$35,$CE23&gt;=100*'Setari model'!$B$36,$CF23&lt;&gt;"RIDICAT"),"FAVORABIL STATISTIC – VERIFICĂ COTA",IF(AND($BW23&gt;= 'Setari model'!$B$42,$CE23&gt;=100*'Setari model'!$B$43),"ANALIZĂ NECONCLUDENTĂ","PARIU EVITAT"))))</x:f>
      </x:c>
      <x:c r="CH23" s="67" t="str">
        <x:f t="shared" si="11">IF($A23="","","P(O0,5)="&amp;TEXT($BW23,"0.0%")&amp;"; λ ajustat="&amp;TEXT($BS23,"0.00")&amp;"; Confidence="&amp;TEXT($CE23,"0")&amp;"/100; Edge="&amp;TEXT($BZ23,"0.0%")&amp;"; risc="&amp;$CF23&amp;". "&amp;$BH23)</x:f>
      </x:c>
      <x:c r="CI23" s="68" t="str">
        <x:f t="shared" si="12">IF($A23="","",$BI23)</x:f>
      </x:c>
      <x:c r="CJ23" s="112"/>
      <x:c r="CK23" s="112"/>
      <x:c r="CL23" s="112"/>
      <x:c r="CM23" s="112"/>
      <x:c r="CN23" s="112"/>
      <x:c r="CO23" s="112"/>
      <x:c r="CP23" s="112"/>
      <x:c r="CQ23" s="112"/>
      <x:c r="CR23" s="112"/>
      <x:c r="CS23" s="112"/>
      <x:c r="CT23" s="112"/>
      <x:c r="CU23" s="112"/>
      <x:c r="CV23" s="112"/>
      <x:c r="CW23" s="112"/>
      <x:c r="CX23" s="112"/>
      <x:c r="CY23" s="112"/>
      <x:c r="CZ23" s="112"/>
      <x:c r="DA23" s="112"/>
      <x:c r="DB23" s="112"/>
      <x:c r="DC23" s="114"/>
      <x:c r="DD23" s="114"/>
      <x:c r="DE23" s="112" t="s">
        <x:v>266</x:v>
      </x:c>
      <x:c r="DF23" s="112"/>
      <x:c r="DG23" s="112"/>
      <x:c r="DH23" s="112"/>
      <x:c r="DI23" s="112"/>
      <x:c r="DJ23" s="112"/>
      <x:c r="DK23" s="112"/>
      <x:c r="DL23" s="112"/>
      <x:c r="DM23" s="112"/>
      <x:c r="DN23" s="112"/>
      <x:c r="DO23" s="112"/>
      <x:c r="DP23" s="112"/>
      <x:c r="DQ23" s="114"/>
      <x:c r="DR23" s="112">
        <x:v>1</x:v>
      </x:c>
      <x:c r="DS23" s="116">
        <x:v>0</x:v>
      </x:c>
      <x:c r="DT23" s="120"/>
      <x:c r="DU23" s="116">
        <x:v>0.02</x:v>
      </x:c>
      <x:c r="DV23" s="116">
        <x:v>0.25</x:v>
      </x:c>
      <x:c r="DW23" s="118" t="str">
        <x:f>IF($A23="","",MAX('Setari model'!$B$71,MIN('Setari model'!$B$72,1+0.08*(IFERROR(AVERAGE($CM23:$CN23)/'Setari model'!$B$66,1)-1)+0.08*(IFERROR(AVERAGE($CO23:$CP23)/'Setari model'!$B$67,1)-1)+0.06*(IFERROR(AVERAGE($CQ23:$CR23)/'Setari model'!$B$68,1)-1)+0.04*(IFERROR(AVERAGE($CS23:$CT23)/'Setari model'!$B$69,1)-1)+0.04*(IFERROR(AVERAGE($CU23:$CV23)/'Setari model'!$B$70,1)-1)-'Setari model'!$B$73*IFERROR(AVERAGE($CW23:$CX23),0))))</x:f>
      </x:c>
      <x:c r="DX23" s="118" t="str">
        <x:f>IF($A23="","",1+'Setari model'!$B$62*MAX(IF(OR($CK23=1,$CL23=1),1,0),IF(AND($CJ23&lt;&gt;"",$CJ23&lt;=1),1,0))+'Setari model'!$B$63*IF(AND($CJ23&gt;1,$CJ23&lt;=3),1,0))</x:f>
      </x:c>
      <x:c r="DY23" s="118" t="str">
        <x:f>IF($A23="","",1+'Setari model'!$B$74*(IF($CY23="",0,IF($CY23=0,1,0))+IF($CZ23="",0,IF($CZ23=0,1,0)))+'Setari model'!$B$75*(IF($DA23="",0,IF($DA23=0,1,0))+IF($DB23="",0,IF($DB23=0,1,0))))</x:f>
      </x:c>
      <x:c r="DZ23" s="117" t="str">
        <x:f>IF($A23="","",MIN(0.6,MAX(0.002,(((1-'Setari model'!$B$34*MIN(1,($I23+$P23)/20))*$BT23+'Setari model'!$B$34*MIN(1,($I23+$P23)/20)*IF(COUNT($N23,$U23)=2,SQRT(MAX(0,1-$N23)*MAX(0,1-$U23)),$BT23))*(1-'Setari model'!$B$65*MIN(1,IF($AN23="",0,$AN23/'Setari model'!$B$64)))+'Setari model'!$B$65*MIN(1,IF($AN23="",0,$AN23/'Setari model'!$B$64))*IF($AM23="",$BT23,$AM23))*$DX23*$DY23/$DW23)))</x:f>
      </x:c>
      <x:c r="EA23" s="117" t="str">
        <x:f>IF($A23="","",MIN(1-$DZ23,IF(OR(MIN($I23,$P23)&lt;'Setari model'!$B$58,$CK23=1,$CL23=1,AND($CJ23&lt;&gt;"",$CJ23&lt;=1)),'Setari model'!$B$59,IF(AND($AU23=1,$AR23&gt;1,COUNT($CY23:$DB23)=4),'Setari model'!$B$61,'Setari model'!$B$60))))</x:f>
      </x:c>
      <x:c r="EB23" s="115" t="str">
        <x:f t="shared" si="13">IF($A23="","",1/$EA23)</x:f>
      </x:c>
      <x:c r="EC23" s="117" t="str">
        <x:f t="shared" si="14">IF($A23="","",IF($AR23&gt;1,IF($AS23&gt;1,(1/$AR23)/((1/$AR23)+(1/$AS23)),1/$AR23),""))</x:f>
      </x:c>
      <x:c r="ED23" s="117" t="str">
        <x:f t="shared" si="15">IF($A23="","",IF($EC23="","",$EA23-$EC23))</x:f>
      </x:c>
      <x:c r="EE23" s="117" t="str">
        <x:f t="shared" si="16">""</x:f>
      </x:c>
      <x:c r="EF23" s="119" t="str">
        <x:f>IF($A23="","",MAX(0,MIN(100,$CE23-200*MAX(0,$EG23-'Setari model'!$B$77)-IF($AU23&lt;&gt;1,10,0)-IF(COUNT($CY23:$DB23)&lt;4,4,0))))</x:f>
      </x:c>
      <x:c r="EG23" s="117" t="str">
        <x:f>IF($A23="","",'Setari model'!$B$77+IF(MIN($I23,$P23)&lt;'Setari model'!$B$58,0.03,0)+IF(OR($CK23=1,$CL23=1,AND($CJ23&lt;&gt;"",$CJ23&lt;=1)),0.03,0)+IF($AG23=0,0.02,0)+0.03*(1-MIN(1,COUNT($CM23:$CV23)/10))+0.03*(1-MIN(1,IF($AN23="",0,$AN23/'Setari model'!$B$64)))+IF($AR23&lt;=1,0.02,0))</x:f>
      </x:c>
      <x:c r="EH23" s="113" t="str">
        <x:f>IF($A23="","",IF(OR(MIN($I23,$P23)&lt;'Setari model'!$B$58,$CK23=1,$CL23=1,AND($CJ23&lt;&gt;"",$CJ23&lt;=1)),"92% – early/regim",IF(AND($AU23=1,$AR23&gt;1,COUNT($CY23:$DB23)=4),"94% – confirmat","93% – standard")))</x:f>
      </x:c>
      <x:c r="EI23" s="113" t="str">
        <x:f t="shared" si="17">IF($A23="","",IF(AND($EA23&gt;0.9,$AU23&lt;&gt;1),"WAIT XI – HIGH P",IF(AND($EA23&gt;0.9,COUNT($CY23:$DB23)&lt;4),"WAIT DATE CHEIE – HIGH P",IF($EP23&lt;&gt;"DA","NU – PORTOFOLIU","DA"))))</x:f>
      </x:c>
      <x:c r="EJ23" s="117" t="str">
        <x:f t="shared" si="18">IF($A23="","",IF($DE23&lt;&gt;"Live 20-30","",IF(SUM($DG23:$DH23)&gt;0,1,IF($EU23="","",1-MIN(0.95,MAX(0.001,EXP(-$EU23)*$DX23*$DY23/$DW23))))))</x:f>
      </x:c>
      <x:c r="EK23" s="117" t="str">
        <x:f t="shared" si="19">""</x:f>
      </x:c>
      <x:c r="EL23" s="113" t="str">
        <x:f>IF($A23="","",IF($DE23="Live 20-30",IF(SUM($DG23:$DH23)&gt;0,"EVENIMENT ÎNDEPLINIT",IF(OR($DF23="",COUNT($DI23:$DN23)&lt;4),"LIVE – WATCH",IF($EJ23&gt;=0.75,"LIVE – FEZABIL TEHNIC","LIVE – NO BET"))),IF($EI23&lt;&gt;"DA","WATCH / NO BET",IF(AND($EA23&gt;=INDEX('Setari model'!$B$35:$B$40,1),$EF23&gt;=100*'Setari model'!$B$76),"PARIU RECOMANDAT",IF(AND($EA23&gt;=INDEX('Setari model'!$B$35:$B$40,5),$EF23&gt;=100*'Setari model'!$B$40),"WATCH – APROAPE DE PRAG","PARIU EVITAT")))))</x:f>
      </x:c>
      <x:c r="EM23" s="113" t="str">
        <x:f t="shared" si="20">IF($A23="","",IF($DE23="Live 20-30",IF(SUM($DG23:$DH23)&gt;0,"Gol deja marcat.",IF($DF23="","Minut live lipsă.",IF(COUNT($DI23:$DN23)&lt;4,"Lipsesc xG/SOT/big chances live.",IF($EJ23&lt;0.75,"P live sub prag.","Semnal live tehnic complet; EV ignorat.")))),IF($EI23&lt;&gt;"DA",$EI23,IF($EF23&lt;75,"Confidence sub 75.",IF($EA23&lt;0.92,"P sub 92%.","G0/Zero-Mass + confidence trecute; EV ignorat.")))))</x:f>
      </x:c>
      <x:c r="EN23" s="117" t="str">
        <x:f>IF($A23="","",IF(OR($EL23="PARIU RECOMANDAT",$EL23="LIVE – FEZABIL"),MIN(IF($DU23&gt;0,$DU23,'Setari model'!$B$81)/MAX(1,$DR23),IF($DV23&gt;0,$DV23,'Setari model'!$B$80)*MAX(0,((IF($DE23="Live 20-30",$EJ23,$EA23)*IF($DE23="Live 20-30",$DQ23,$AR23)-1)/(IF($DE23="Live 20-30",$DQ23,$AR23)-1)))),0))</x:f>
      </x:c>
      <x:c r="EO23" s="121" t="str">
        <x:f t="shared" si="21">IF($A23="","",IF(AND($EN23&gt;0,$DT23&gt;0),$EN23*$DT23,""))</x:f>
      </x:c>
      <x:c r="EP23" s="113" t="str">
        <x:f>IF($A23="","",IF(OR($DR23&lt;1,$DR23&gt;'Setari model'!$B$78),"NU – 1–5 selecții",IF($DS23&gt;'Setari model'!$B$79,"NU – corelație", "DA")))</x:f>
      </x:c>
      <x:c r="EQ23" s="117" t="str">
        <x:f t="shared" si="22">IF($A23="","",IF(AND($DC23&gt;1,$DD23&gt;1),$DC23/$DD23-1,""))</x:f>
      </x:c>
      <x:c r="ER23" s="113" t="str">
        <x:f t="shared" si="23">IF($A23="","","P v2="&amp;TEXT($EA23,"0.0%")&amp;" ±"&amp;TEXT($EG23,"0.0%")&amp;"; P0 ZIP="&amp;TEXT($DZ23,"0.0%")&amp;"; Confidence="&amp;TEXT($EF23,"0")&amp;"/100; piață reală="&amp;IF($EC23="","NU","DA")&amp;"; EV="&amp;IF($EE23="","n/a",TEXT($EE23,"0.0%"))&amp;"; gate="&amp;$EI23&amp;"; verdict="&amp;$EL23&amp;". "&amp;$EM23)</x:f>
      </x:c>
      <x:c r="ES23" s="119" t="str">
        <x:f>IF($A23="","",'Setari model'!$B$82)</x:f>
      </x:c>
      <x:c r="ET23" s="118" t="str">
        <x:f>IF($A23="","",'Setari model'!$B$83)</x:f>
      </x:c>
      <x:c r="EU23" s="115" t="str">
        <x:f t="shared" si="24">IF(OR($A23="",$DE23&lt;&gt;"Live 20-30",$DF23="",$DF23&lt;$ES23,$DF23&gt;=90),"",MAX(0.05,MIN($BS23*$ET23,$BS23*(90-$DF23)/90+0.35*($DI23+$DJ23)+0.06*($DK23+$DL23)+0.15*($DM23+$DN23)+0.1*(MAX($DO23,$DP23)-MIN($DO23,$DP23)))))</x:f>
      </x:c>
      <x:c r="EV23" s="132"/>
      <x:c r="EW23" s="132"/>
      <x:c r="EX23" s="132"/>
      <x:c r="EY23" s="132"/>
      <x:c r="EZ23" s="132"/>
      <x:c r="FA23" s="132"/>
      <x:c r="FB23" s="247"/>
      <x:c r="FC23" s="134" t="str">
        <x:f t="shared" si="25">IF($A23="","",IF(OR($J23="",$L23="",$L23&lt;=0),"",MAX(0.5,MIN(1.5,$J23/$L23))))</x:f>
      </x:c>
      <x:c r="FD23" s="134" t="str">
        <x:f t="shared" si="26">IF($A23="","",IF(OR($Q23="",$S23="",$S23&lt;=0),"",MAX(0.5,MIN(1.5,$Q23/$S23))))</x:f>
      </x:c>
      <x:c r="FE23" s="134" t="str">
        <x:f>IF($A23="","",IF(COUNT($EV23:$EW23)&lt;2,"",SQRT($EV23*$EW23)/'Setari model'!$B$87))</x:f>
      </x:c>
      <x:c r="FF23" s="134" t="str">
        <x:f>IF($A23="","",IF(COUNT($O23,$V23,$EX23,$EY23)&lt;4,"",AVERAGE(SQRT($O23*$EY23),SQRT($V23*$EX23))/'Setari model'!$B$88))</x:f>
      </x:c>
      <x:c r="FG23" s="134" t="str">
        <x:f t="shared" si="27">IF($A23="","",IF(COUNT($FC23:$FD23)&lt;2,"",MAX(0,1-AVERAGE($FC23:$FD23))))</x:f>
      </x:c>
      <x:c r="FH23" s="134" t="str">
        <x:f>IF($A23="","",IF(COUNT($EZ23:$FA23)&lt;2,"",'Setari model'!$B$94*AVERAGE($EZ23:$FA23)/'Setari model'!$B$89))</x:f>
      </x:c>
      <x:c r="FI23" s="134" t="str">
        <x:f>IF($A23="","",IF(COUNT($FE23:$FH23)&lt;4,"",MAX('Setari model'!$B$97,MIN('Setari model'!$B$98,1+'Setari model'!$B$90*($FE23-1)+'Setari model'!$B$91*($FF23-1)+'Setari model'!$B$92*$FG23+'Setari model'!$B$93*($FH23-1)))))</x:f>
      </x:c>
      <x:c r="FJ23" s="133" t="str">
        <x:f>IF($A23="","",IF($FI23="","",MIN('Setari model'!$B$101,MAX(0.002,$DZ23*$FI23))))</x:f>
      </x:c>
      <x:c r="FK23" s="131" t="str">
        <x:f t="shared" si="28">IF($A23="","",IF(AND(COUNT($EV23:$FA23)=6,COUNT($O23,$V23,$FC23,$FD23)=4),"DA","NU"))</x:f>
      </x:c>
      <x:c r="FL23" s="131" t="str">
        <x:f>IF($A23="","",IF($FK23&lt;&gt;"DA","NEDETERMINAT",IF($FI23&lt;='Setari model'!$B$99,"SCĂZUT",IF($FI23&lt;='Setari model'!$B$100,"MEDIU","RIDICAT"))))</x:f>
      </x:c>
      <x:c r="FM23" s="131" t="str">
        <x:f>IF($A23="","",IF(AND($AR23&gt;1,$EC23&gt;='Setari model'!$B$106),"DA","NU"))</x:f>
      </x:c>
      <x:c r="FN23" s="131" t="str">
        <x:f t="shared" si="29">IF($A23="","",IF(AND($AU23=1,COUNT($CY23:$DB23)=4),"DA","NU"))</x:f>
      </x:c>
      <x:c r="FO23" s="133" t="str">
        <x:f>IF($A23="","",IF(OR($FK23&lt;&gt;"DA",$FL23="RIDICAT"),'Setari model'!$B$102,IF($FL23="MEDIU",'Setari model'!$B$103,IF(AND($FM23="DA",$FN23="DA"),'Setari model'!$B$105,'Setari model'!$B$104))))</x:f>
      </x:c>
      <x:c r="FP23" s="133" t="str">
        <x:f t="shared" si="30">IF($A23="","",IF($FJ23="","",MIN(1-$FJ23,$FO23)))</x:f>
      </x:c>
      <x:c r="FQ23" s="135" t="str">
        <x:f t="shared" si="31">IF($A23="","",IF($FP23="","",IF($FP23&gt;0,1/$FP23,"")))</x:f>
      </x:c>
      <x:c r="FR23" s="133" t="str">
        <x:f t="shared" si="32">IF($A23="","",IF($EC23="","",$FP23-$EC23))</x:f>
      </x:c>
      <x:c r="FS23" s="133" t="str">
        <x:f t="shared" si="33">IF($A23="","",IF($AR23&gt;1,$FP23*$AR23-1,""))</x:f>
      </x:c>
      <x:c r="FT23" s="136" t="str">
        <x:f>IF($A23="","",MAX(0,MIN(100,$EF23-IF($FK23&lt;&gt;"DA",'Setari model'!$B$107,0)-IF($FL23="MEDIU",'Setari model'!$B$108,0)-IF($FL23="RIDICAT",'Setari model'!$B$109,0))))</x:f>
      </x:c>
      <x:c r="FU23" s="131" t="str">
        <x:f t="shared" si="34">IF($A23="","",IF($AR23&lt;=1,"NU – LIPSEȘTE COTA REALĂ",IF($FK23&lt;&gt;"DA","NU – ZERO-RISK INCOMPLET",IF($FL23&lt;&gt;"SCĂZUT","NU – RISC 0-0 "&amp;$FL23,IF($FN23&lt;&gt;"DA","NU – LINEUP NECONFIRMAT",IF($FM23&lt;&gt;"DA","NU – PIAȚĂ NECONFIRMATĂ",IF($EP23&lt;&gt;"DA","NU – PORTOFOLIU","DA")))))))</x:f>
      </x:c>
      <x:c r="FV23" s="131" t="str">
        <x:f>IF($A23="","",IF($FU23&lt;&gt;"DA","WATCH / NO BET",IF(AND($FP23&gt;='Setari model'!$B$35,$FT23&gt;=100*'Setari model'!$B$76,$FS23&gt;0),"PARIU RECOMANDAT",IF(AND($FP23&gt;='Setari model'!$B$39,$FT23&gt;=100*'Setari model'!$B$40,$FS23&gt;0),"WATCH – APROAPE DE PRAG","PARIU EVITAT"))))</x:f>
      </x:c>
      <x:c r="FW23" s="131" t="str">
        <x:f t="shared" si="35">IF($A23="","",IF($FU23&lt;&gt;"DA",$FU23,IF($FT23&lt;75,"Confidence v3 sub 75.",IF($FP23&lt;0.92,"P v3 sub 92%.",IF($FS23&lt;=0,"EV v3 nepozitiv.","P0 v3, lineup și piață confirmate.")))))</x:f>
      </x:c>
      <x:c r="FX23" s="131" t="str">
        <x:f t="shared" si="36">IF($A23="","","P v3="&amp;TEXT($FP23,"0.0%")&amp;"; P0 v3="&amp;TEXT($FJ23,"0.0%")&amp;"; factor zero="&amp;IF($FI23="","n/a",TEXT($FI23,"0.00x"))&amp;" ("&amp;$FL23&amp;"); cap="&amp;TEXT($FO23,"0.0%")&amp;"; Confidence="&amp;TEXT($FT23,"0")&amp;"/100; lineup="&amp;$FN23&amp;"; piață="&amp;$FM23&amp;"; EV="&amp;IF($FS23="","n/a",TEXT($FS23,"0.0%"))&amp;"; gate="&amp;$FU23&amp;"; verdict="&amp;$FV23&amp;". "&amp;$FW23)</x:f>
      </x:c>
      <x:c r="FY23" s="159"/>
      <x:c r="FZ23" s="159"/>
      <x:c r="GA23" s="157"/>
      <x:c r="GB23" s="157"/>
      <x:c r="GC23" s="161" t="str">
        <x:f t="shared" si="37">IF($A23="","",IF(OR($X23="",$Z23="",$Z23&lt;=0),"",MAX(0.5,MIN(1.5,$X23/$Z23))))</x:f>
      </x:c>
      <x:c r="GD23" s="161" t="str">
        <x:f t="shared" si="38">IF($A23="","",IF(OR($AC23="",$AE23="",$AE23&lt;=0),"",MAX(0.5,MIN(1.5,$AC23/$AE23))))</x:f>
      </x:c>
      <x:c r="GE23" s="162" t="str">
        <x:f t="shared" si="39">IF($A23="","",IF(COUNT($Z23,$AE23)&lt;2,"",AVERAGE($Z23,$AE23)))</x:f>
      </x:c>
      <x:c r="GF23" s="158" t="str">
        <x:f>IF($A23="","",IF(COUNT($FY23:$FZ23)&lt;2,"NEDETERMINAT",IF(AND($FY23&gt;='Setari model'!$B$113,$FZ23&gt;='Setari model'!$B$113),"DA","NU")))</x:f>
      </x:c>
      <x:c r="GG23" s="158" t="str">
        <x:f>IF($A23="","",IF(COUNT($FY23:$FZ23,$EX23:$EY23)&lt;4,"NEDETERMINAT",IF(OR(AND($FY23&gt;='Setari model'!$B$113,$EY23&gt;='Setari model'!$B$114),AND($FZ23&gt;='Setari model'!$B$113,$EX23&gt;='Setari model'!$B$114)),"DA","NU")))</x:f>
      </x:c>
      <x:c r="GH23" s="158" t="str">
        <x:f>IF($A23="","",IF(COUNT($BJ23:$BN23,$GC23:$GE23)&lt;8,"NEDETERMINAT",IF(AND((($BJ23*INDEX('Setari model'!$B$5:$B$11,MATCH($E23,'Setari model'!$A$5:$A$11,0))+$BK23*INDEX('Setari model'!$C$5:$C$11,MATCH($E23,'Setari model'!$A$5:$A$11,0))+$BL23*INDEX('Setari model'!$D$5:$D$11,MATCH($E23,'Setari model'!$A$5:$A$11,0))+$BM23*INDEX('Setari model'!$E$5:$E$11,MATCH($E23,'Setari model'!$A$5:$A$11,0))+$BN23*INDEX('Setari model'!$F$5:$F$11,MATCH($E23,'Setari model'!$A$5:$A$11,0)))/(INDEX('Setari model'!$B$5:$B$11,MATCH($E23,'Setari model'!$A$5:$A$11,0))+INDEX('Setari model'!$C$5:$C$11,MATCH($E23,'Setari model'!$A$5:$A$11,0))+INDEX('Setari model'!$D$5:$D$11,MATCH($E23,'Setari model'!$A$5:$A$11,0))+INDEX('Setari model'!$E$5:$E$11,MATCH($E23,'Setari model'!$A$5:$A$11,0))+INDEX('Setari model'!$F$5:$F$11,MATCH($E23,'Setari model'!$A$5:$A$11,0))))*$BR23&gt;='Setari model'!$B$115,(($BJ23*INDEX('Setari model'!$B$5:$B$11,MATCH($E23,'Setari model'!$A$5:$A$11,0))+$BK23*INDEX('Setari model'!$C$5:$C$11,MATCH($E23,'Setari model'!$A$5:$A$11,0))+$BL23*INDEX('Setari model'!$D$5:$D$11,MATCH($E23,'Setari model'!$A$5:$A$11,0))+$BM23*INDEX('Setari model'!$E$5:$E$11,MATCH($E23,'Setari model'!$A$5:$A$11,0))+$BN23*INDEX('Setari model'!$F$5:$F$11,MATCH($E23,'Setari model'!$A$5:$A$11,0)))/(INDEX('Setari model'!$B$5:$B$11,MATCH($E23,'Setari model'!$A$5:$A$11,0))+INDEX('Setari model'!$C$5:$C$11,MATCH($E23,'Setari model'!$A$5:$A$11,0))+INDEX('Setari model'!$D$5:$D$11,MATCH($E23,'Setari model'!$A$5:$A$11,0))+INDEX('Setari model'!$E$5:$E$11,MATCH($E23,'Setari model'!$A$5:$A$11,0))+INDEX('Setari model'!$F$5:$F$11,MATCH($E23,'Setari model'!$A$5:$A$11,0))))*$BR23&lt;='Setari model'!$B$116,AVERAGE($GC23:$GD23)&lt;='Setari model'!$B$117,$GE23&gt;='Setari model'!$B$118),"DA","NU")))</x:f>
      </x:c>
      <x:c r="GI23" s="158" t="str">
        <x:f>IF($A23="","",IF(COUNT($W23,$AB23,$GA23:$GB23)&lt;4,"NEDETERMINAT",IF(AND($W23&gt;='Setari model'!$B$120,$AB23&gt;='Setari model'!$B$120,OR(IFERROR($GA23/$W23,0)&gt;='Setari model'!$B$119,IFERROR($GB23/$AB23,0)&gt;='Setari model'!$B$119)),"DA","NU")))</x:f>
      </x:c>
      <x:c r="GJ23" s="160" t="str">
        <x:f>IF($A23="","",IF(COUNT($FY23:$GB23)&lt;4,"",IF($GH23&lt;&gt;"DA",0,'Setari model'!$B$121*IF($GF23="DA",1,0)+'Setari model'!$B$122*IF($GG23="DA",1,0)+'Setari model'!$B$123+'Setari model'!$B$124*IF($GI23="DA",1,0))))</x:f>
      </x:c>
      <x:c r="GK23" s="161" t="str">
        <x:f>IF($A23="","",IF(COUNT($GJ23)=0,"",1+'Setari model'!$B$125*$GJ23))</x:f>
      </x:c>
      <x:c r="GL23" s="160" t="str">
        <x:f>IF($A23="","",IF($GM23&lt;&gt;"DA",$FJ23,MIN('Setari model'!$B$101,MAX(0.002,$FJ23*$GK23))))</x:f>
      </x:c>
      <x:c r="GM23" s="158" t="str">
        <x:f>IF($A23="","",IF(AND($FK23="DA",COUNT($FY23:$GB23)=4,COUNT($I23,$P23,$W23,$AB23,$Z23,$AE23,$EX23,$EY23,$GC23,$GD23)=10,COUNT($BJ23:$BN23)=5),"DA","NU"))</x:f>
      </x:c>
      <x:c r="GN23" s="158" t="str">
        <x:f>IF($A23="","",IF($GM23&lt;&gt;"DA","NEDETERMINAT",IF($FI23*$GK23&lt;='Setari model'!$B$99,"SCĂZUT",IF($FI23*$GK23&lt;='Setari model'!$B$100,"MEDIU","RIDICAT"))))</x:f>
      </x:c>
      <x:c r="GO23" s="160" t="str">
        <x:f>IF($A23="","",IF(OR($GM23&lt;&gt;"DA",$GN23="RIDICAT"),'Setari model'!$B$102,IF($GN23="MEDIU",'Setari model'!$B$103,IF(AND($FM23="DA",$FN23="DA"),'Setari model'!$B$105,'Setari model'!$B$104))))</x:f>
      </x:c>
      <x:c r="GP23" s="160" t="str">
        <x:f t="shared" si="40">IF($A23="","",IF($GL23="","",MIN(1-$GL23,$GO23)))</x:f>
      </x:c>
      <x:c r="GQ23" s="162" t="str">
        <x:f t="shared" si="41">IF($A23="","",IF($GP23="","",IF($GP23&gt;0,1/$GP23,"")))</x:f>
      </x:c>
      <x:c r="GR23" s="160" t="str">
        <x:f t="shared" si="42">IF($A23="","",IF($EC23="","",$GP23-$EC23))</x:f>
      </x:c>
      <x:c r="GS23" s="160" t="str">
        <x:f t="shared" si="43">IF($A23="","",IF($AR23&gt;1,$GP23*$AR23-1,""))</x:f>
      </x:c>
      <x:c r="GT23" s="163" t="str">
        <x:f>IF($A23="","",MAX(0,MIN(100,$FT23-IF(AND($GM23&lt;&gt;"DA",$FK23="DA"),'Setari model'!$B$107,0)-'Setari model'!$B$126*IF($GJ23="",0,$GJ23))))</x:f>
      </x:c>
      <x:c r="GU23" s="158" t="str">
        <x:f t="shared" si="44">IF($A23="","",IF($AR23&lt;=1,"NU – LIPSEȘTE COTA REALĂ",IF($GM23&lt;&gt;"DA","NU – DATE LOW-CONVERSION INCOMPLETE",IF($GN23&lt;&gt;"SCĂZUT","NU – RISC 0-0 "&amp;$GN23,IF($FN23&lt;&gt;"DA","NU – LINEUP NECONFIRMAT",IF($FM23&lt;&gt;"DA","NU – PIAȚĂ NECONFIRMATĂ",IF($EP23&lt;&gt;"DA","NU – PORTOFOLIU","DA")))))))</x:f>
      </x:c>
      <x:c r="GV23" s="158" t="str">
        <x:f>IF($A23="","",IF($GU23&lt;&gt;"DA","WATCH / NO BET",IF(AND($GP23&gt;='Setari model'!$B$35,$GT23&gt;=100*'Setari model'!$B$76,$GS23&gt;0),"PARIU RECOMANDAT",IF(AND($GP23&gt;='Setari model'!$B$39,$GT23&gt;=100*'Setari model'!$B$40,$GS23&gt;0),"WATCH – APROAPE DE PRAG","PARIU EVITAT"))))</x:f>
      </x:c>
      <x:c r="GW23" s="158" t="str">
        <x:f t="shared" si="45">IF($A23="","",IF($GU23&lt;&gt;"DA",$GU23,IF($GT23&lt;75,"Confidence v5 sub 75.",IF($GP23&lt;0.92,"P v5 sub 92%.",IF($GS23&lt;=0,"EV v5 nepozitiv.",IF($GJ23&gt;0,"Low-conversion absorbit în P0; toate porțile rămân trecute.","Toate porțile v5 sunt trecute."))))))</x:f>
      </x:c>
      <x:c r="GX23" s="158" t="str">
        <x:f t="shared" si="46">IF($A23="","","P v5="&amp;TEXT($GP23,"0.0%")&amp;"; P0 v5="&amp;TEXT($GL23,"0.0%")&amp;"; low-conv="&amp;IF(COUNT($GJ23)=0,"n/a",TEXT($GJ23,"0%"))&amp;"; mult.P0="&amp;IF(COUNT($GK23)=0,"n/a",TEXT($GK23,"0.00"))&amp;"; clasă="&amp;$GN23&amp;"; cap="&amp;TEXT($GO23,"0.0%")&amp;"; Confidence="&amp;TEXT($GT23,"0")&amp;"/100; lineup="&amp;$FN23&amp;"; piață="&amp;$FM23&amp;"; EV="&amp;IF($GS23="","n/a",TEXT($GS23,"0.0%"))&amp;"; gate="&amp;$GU23&amp;"; verdict="&amp;$GV23&amp;". "&amp;$GW23)</x:f>
      </x:c>
      <x:c r="GY23" s="174" t="str">
        <x:f>IF($A23="","",IF($GM23&lt;&gt;"DA","SOURCING INCOMPLETE – REVIEW REQUIRED",IF(MIN($I23,$P23,$W23,$AB23)&lt;'Setari model'!$B$58,"SMALL SAMPLE + PRIOR / SHRINKAGE","VERIFIED / PRIOR / SHRINKAGE")))</x:f>
      </x:c>
      <x:c r="GZ23" s="175" t="str">
        <x:f t="shared" si="47">IF($A23="","",MAX(0,MIN(100,100*(1-AVERAGE(IF($GM23="DA",1,0),MIN(1,$AT23/5))))))</x:f>
      </x:c>
      <x:c r="HA23" s="175" t="str">
        <x:f>IF($A23="","",IF($GM23&lt;&gt;"DA","",MAX(0,MIN(100,100*(($FI23*$GK23)-'Setari model'!$B$97)/('Setari model'!$B$98-'Setari model'!$B$97)))))</x:f>
      </x:c>
      <x:c r="HB23" s="175" t="str">
        <x:f>IF($A23="","",MAX(0,MIN(100,100*(ABS($BR23-1)/MAX(1-'Setari model'!$B$53,'Setari model'!$B$54-1)+MIN(1,$BG23/2))/2)))</x:f>
      </x:c>
      <x:c r="HC23" s="175" t="str">
        <x:f t="shared" si="48">IF($A23="","",MAX(0,MIN(100,100*(1-AVERAGE($CC23,MAX(0,1-(MAX($BJ23:$BN23)-MIN($BJ23:$BN23))/(AVERAGE($BJ23:$BN23)*'Setari model'!$B$45)))))))</x:f>
      </x:c>
      <x:c r="HD23" s="175" t="str">
        <x:f t="shared" si="49">IF($A23="","",MAX(0,MIN(100,100*MAX(IF($GJ23="",0,$GJ23),MIN(1,$BG23/2)))))</x:f>
      </x:c>
      <x:c r="HE23" s="175" t="str">
        <x:f>IF($A23="","",IF(COUNT($GZ23:$HD23)&lt;5,"",$GZ23*Risk_Classification!$E$28+$HA23*Risk_Classification!$E$29+$HB23*Risk_Classification!$E$30+$HC23*Risk_Classification!$E$31+$HD23*Risk_Classification!$E$32))</x:f>
      </x:c>
      <x:c r="HF23" s="176" t="str">
        <x:f t="shared" si="50">IF($A23="","",IF($HE23="","",IF($HE23&lt;=20,1,IF($HE23&lt;=40,2,IF($HE23&lt;=60,3,IF($HE23&lt;=80,4,5))))))</x:f>
      </x:c>
      <x:c r="HG23" s="176" t="str">
        <x:f t="shared" si="51">IF($A23="","",IF($GM23="DA","PASS","FAIL – DATE CRITICE ZERO-MASS INCOMPLETE"))</x:f>
      </x:c>
      <x:c r="HH23" s="176" t="str">
        <x:f t="shared" si="52">IF($A23="","",IF($HG23&lt;&gt;"PASS",5,$HF23))</x:f>
      </x:c>
      <x:c r="HI23" s="174" t="str">
        <x:f t="shared" si="53">IF($A23="","",IF($HH23="","N/A",IF($HH23=1,"DEFENSIV",IF($HH23=2,"PRUDENT",IF($HH23=3,"MODERAT",IF($HH23=4,"RIDICAT","WATCH / NO BET"))))))</x:f>
      </x:c>
      <x:c r="HJ23" s="177" t="str">
        <x:f t="shared" si="54">IF($A23="","","Data="&amp;$GY23&amp;"; DQ="&amp;TEXT($GZ23,"0.0")&amp;"; ZM="&amp;IF($HA23="","n/a",TEXT($HA23,"0.0"))&amp;"; Context="&amp;TEXT($HB23,"0.0")&amp;"; Uncertainty="&amp;TEXT($HC23,"0.0")&amp;"; Compound="&amp;TEXT($HD23,"0.0")&amp;"; Risk Score="&amp;IF($HE23="","n/a",TEXT($HE23,"0.0"))&amp;"; Base="&amp;IF($HF23="","n/a",$HF23)&amp;"; G0="&amp;$HG23&amp;"; Final="&amp;$HH23&amp;". Cota, EV si lineup sunt informative si nu intra in recomandare.")</x:f>
      </x:c>
      <x:c r="HK23" s="174" t="str">
        <x:f t="shared" si="55">IF($A23="","",$HI23)</x:f>
      </x:c>
    </x:row>
    <x:row r="24" ht="24" customHeight="1">
      <x:c r="A24" s="58"/>
      <x:c r="B24" s="24"/>
      <x:c r="C24" s="59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18"/>
      <x:c r="O24" s="18"/>
      <x:c r="P24" s="24"/>
      <x:c r="Q24" s="24"/>
      <x:c r="R24" s="24"/>
      <x:c r="S24" s="24"/>
      <x:c r="T24" s="24"/>
      <x:c r="U24" s="18"/>
      <x:c r="V24" s="18"/>
      <x:c r="W24" s="24"/>
      <x:c r="X24" s="24"/>
      <x:c r="Y24" s="24"/>
      <x:c r="Z24" s="24"/>
      <x:c r="AA24" s="24"/>
      <x:c r="AB24" s="24"/>
      <x:c r="AC24" s="24"/>
      <x:c r="AD24" s="24"/>
      <x:c r="AE24" s="24"/>
      <x:c r="AF24" s="24"/>
      <x:c r="AG24" s="24"/>
      <x:c r="AH24" s="24"/>
      <x:c r="AI24" s="18"/>
      <x:c r="AJ24" s="24"/>
      <x:c r="AK24" s="24"/>
      <x:c r="AL24" s="24"/>
      <x:c r="AM24" s="18"/>
      <x:c r="AN24" s="24"/>
      <x:c r="AO24" s="60"/>
      <x:c r="AP24" s="60"/>
      <x:c r="AQ24" s="60"/>
      <x:c r="AR24" s="60"/>
      <x:c r="AS24" s="60"/>
      <x:c r="AT24" s="24"/>
      <x:c r="AU24" s="24"/>
      <x:c r="AV24" s="24"/>
      <x:c r="AW24" s="24"/>
      <x:c r="AX24" s="24"/>
      <x:c r="AY24" s="24"/>
      <x:c r="AZ24" s="24"/>
      <x:c r="BA24" s="24"/>
      <x:c r="BB24" s="24"/>
      <x:c r="BC24" s="24"/>
      <x:c r="BD24" s="24"/>
      <x:c r="BE24" s="24"/>
      <x:c r="BF24" s="24"/>
      <x:c r="BG24" s="24"/>
      <x:c r="BH24" s="61"/>
      <x:c r="BI24" s="61"/>
      <x:c r="BJ24" s="62" t="str">
        <x:f>IF($A24="","",SQRT((($I24*IF($J24="",$AJ24,$J24)+'Setari model'!$B$30*$AJ24)/($I24+'Setari model'!$B$30))*(($P24*IF($R24="",$AJ24,$R24)+'Setari model'!$B$30*$AJ24)/($P24+'Setari model'!$B$30)))+SQRT((($P24*IF($Q24="",$AK24,$Q24)+'Setari model'!$B$30*$AK24)/($P24+'Setari model'!$B$30))*(($I24*IF($K24="",$AK24,$K24)+'Setari model'!$B$30*$AK24)/($I24+'Setari model'!$B$30))))</x:f>
      </x:c>
      <x:c r="BK24" s="62" t="str">
        <x:f>IF($A24="","",SQRT((($I24*IF($L24="",IF($J24="",$AJ24,$J24),$L24)+'Setari model'!$B$30*$AJ24)/($I24+'Setari model'!$B$30))*(($P24*IF($T24="",IF($R24="",$AJ24,$R24),$T24)+'Setari model'!$B$30*$AJ24)/($P24+'Setari model'!$B$30)))+SQRT((($P24*IF($S24="",IF($Q24="",$AK24,$Q24),$S24)+'Setari model'!$B$30*$AK24)/($P24+'Setari model'!$B$30))*(($I24*IF($M24="",IF($K24="",$AK24,$K24),$M24)+'Setari model'!$B$30*$AK24)/($I24+'Setari model'!$B$30))))</x:f>
      </x:c>
      <x:c r="BL24" s="62" t="str">
        <x:f>IF($A24="","",SQRT((($W24*IF($X24="",$AL24/2,$X24)+'Setari model'!$B$31*$AL24/2)/($W24+'Setari model'!$B$31))*(($AB24*IF($AD24="",$AL24/2,$AD24)+'Setari model'!$B$31*$AL24/2)/($AB24+'Setari model'!$B$31)))+SQRT((($AB24*IF($AC24="",$AL24/2,$AC24)+'Setari model'!$B$31*$AL24/2)/($AB24+'Setari model'!$B$31))*(($W24*IF($Y24="",$AL24/2,$Y24)+'Setari model'!$B$31*$AL24/2)/($W24+'Setari model'!$B$31))))</x:f>
      </x:c>
      <x:c r="BM24" s="62" t="str">
        <x:f>IF($A24="","",SQRT((($W24*IF($Z24="",IF($X24="",$AL24/2,$X24),$Z24)+'Setari model'!$B$31*$AL24/2)/($W24+'Setari model'!$B$31))*(($AB24*IF($AF24="",IF($AD24="",$AL24/2,$AD24),$AF24)+'Setari model'!$B$31*$AL24/2)/($AB24+'Setari model'!$B$31)))+SQRT((($AB24*IF($AE24="",IF($AC24="",$AL24/2,$AC24),$AE24)+'Setari model'!$B$31*$AL24/2)/($AB24+'Setari model'!$B$31))*(($W24*IF($AA24="",IF($Y24="",$AL24/2,$Y24),$AA24)+'Setari model'!$B$31*$AL24/2)/($W24+'Setari model'!$B$31))))</x:f>
      </x:c>
      <x:c r="BN24" s="62" t="str">
        <x:f t="shared" si="0">IF($A24="","",IF($AG24&gt;0,($AG24*IF($AH24="",$AL24,$AH24)+5*$AL24)/($AG24+5),$AL24))</x:f>
      </x:c>
      <x:c r="BO24" s="63" t="str">
        <x:f>IF($A24="","",IF($AR24&gt;1,IF($AS24&gt;1,(1/$AR24)/((1/$AR24+1/$AS24)),MIN(0.995,(1/$AR24)/(1+'Setari model'!$B$32))),1-EXP(-$AL24)))</x:f>
      </x:c>
      <x:c r="BP24" s="62" t="str">
        <x:f t="shared" si="1">IF($A24="","",-LN(1-$BO24))</x:f>
      </x:c>
      <x:c r="BQ24" s="62" t="str">
        <x:f>IF($A24="","",$BJ24*INDEX('Setari model'!$B$5:$B$11,MATCH($E24,'Setari model'!$A$5:$A$11,0))+$BK24*INDEX('Setari model'!$C$5:$C$11,MATCH($E24,'Setari model'!$A$5:$A$11,0))+$BL24*INDEX('Setari model'!$D$5:$D$11,MATCH($E24,'Setari model'!$A$5:$A$11,0))+$BM24*INDEX('Setari model'!$E$5:$E$11,MATCH($E24,'Setari model'!$A$5:$A$11,0))+$BN24*INDEX('Setari model'!$F$5:$F$11,MATCH($E24,'Setari model'!$A$5:$A$11,0))+$BP24*INDEX('Setari model'!$G$5:$G$11,MATCH($E24,'Setari model'!$A$5:$A$11,0)))</x:f>
      </x:c>
      <x:c r="BR24" s="64" t="str">
        <x:f>IF($A24="","",MAX('Setari model'!$B$53,MIN('Setari model'!$B$54,1+($AV24*'Setari model'!$B$15+$AW24*'Setari model'!$B$16+$AX24*'Setari model'!$B$17+$AY24*'Setari model'!$B$18+$AZ24*'Setari model'!$B$19+$BA24*'Setari model'!$B$20+$BB24*'Setari model'!$B$21+$BC24*'Setari model'!$B$22+$BD24*'Setari model'!$B$23+$BE24*'Setari model'!$B$24+$BF24*'Setari model'!$B$25)*INDEX('Setari model'!$H$5:$H$11,MATCH($E24,'Setari model'!$A$5:$A$11,0)))))</x:f>
      </x:c>
      <x:c r="BS24" s="62" t="str">
        <x:f t="shared" si="2">IF($A24="","",$BQ24*$BR24)</x:f>
      </x:c>
      <x:c r="BT24" s="63" t="str">
        <x:f t="shared" si="3">IF($A24="","",EXP(-$BS24))</x:f>
      </x:c>
      <x:c r="BU24" s="65" t="str">
        <x:f>IF($A24="","",IF(OR($AM24="",$AN24=""),1,1+MIN('Setari model'!$B$33,$AN24/100*'Setari model'!$B$33)*($AM24/EXP(-$AL24)-1)))</x:f>
      </x:c>
      <x:c r="BV24" s="63" t="str">
        <x:f>IF($A24="","",MIN(0.45,MAX(0.005,(1-'Setari model'!$B$34*MIN(1,($I24+$P24)/20))*MIN(0.45,$BT24*$BU24)+'Setari model'!$B$34*MIN(1,($I24+$P24)/20)*IF(COUNT($N24,$U24)=2,SQRT(MAX(0,1-$N24)*MAX(0,1-$U24)),IF($AM24="",EXP(-$AL24),$AM24)))))</x:f>
      </x:c>
      <x:c r="BW24" s="63" t="str">
        <x:f t="shared" si="4">IF($A24="","",1-$BV24)</x:f>
      </x:c>
      <x:c r="BX24" s="62" t="str">
        <x:f t="shared" si="5">IF($A24="","",1/$BW24)</x:f>
      </x:c>
      <x:c r="BY24" s="63" t="str">
        <x:f t="shared" si="6">IF($A24="","",$BO24)</x:f>
      </x:c>
      <x:c r="BZ24" s="63" t="str">
        <x:f t="shared" si="7">IF($A24="","",$BW24-$BY24)</x:f>
      </x:c>
      <x:c r="CA24" s="63" t="str">
        <x:f t="shared" si="8">IF($A24="","",IF($AR24&gt;1,$BW24*$AR24-1,""))</x:f>
      </x:c>
      <x:c r="CB24" s="63" t="str">
        <x:f>IF($A24="","",MIN(1,COUNT($I24:$AN24,$AR24:$BG24)/'Setari model'!$B$46))</x:f>
      </x:c>
      <x:c r="CC24" s="63" t="str">
        <x:f t="shared" si="9">IF($A24="","",0.25*MIN(1,$I24/10)+0.25*MIN(1,$P24/10)+0.15*MIN(1,$W24/5)+0.15*MIN(1,$AB24/5)+0.1*MIN(1,$AG24/5)+0.1*MIN(1,$AN24/100))</x:f>
      </x:c>
      <x:c r="CD24" s="63" t="str">
        <x:f>IF($A24="","",MAX(0,1-(MAX($BJ24:$BN24,$BP24)-MIN($BJ24:$BN24,$BP24))/(AVERAGE($BJ24:$BN24,$BP24)*'Setari model'!$B$45)))</x:f>
      </x:c>
      <x:c r="CE24" s="66" t="str">
        <x:f>IF($A24="","",MAX(0,MIN(100,100*INDEX('Setari model'!$I$5:$I$11,MATCH($E24,'Setari model'!$A$5:$A$11,0))*('Setari model'!$B$47*$CB24+'Setari model'!$B$48*$CC24+'Setari model'!$B$49*$CD24+'Setari model'!$B$50*$AT24/5+'Setari model'!$B$51*$AU24)-100*'Setari model'!$B$52*$BG24)))</x:f>
      </x:c>
      <x:c r="CF24" s="65" t="str">
        <x:f t="shared" si="10">IF($A24="","",IF(OR($AT24&lt;3,$BG24&gt;=2,$CB24&lt;0.55,$CC24&lt;0.4),"RIDICAT",IF(OR($AU24=0,$CD24&lt;0.45,$BR24&lt;0.9),"MEDIU","SCĂZUT")))</x:f>
      </x:c>
      <x:c r="CG24" s="65" t="str">
        <x:f>IF($A24="","",IF($AR24&gt;1,IF(AND($BW24&gt;= 'Setari model'!$B$35,$CE24&gt;=100*'Setari model'!$B$36,$BZ24&gt;= 'Setari model'!$B$37,$CA24&gt;= 'Setari model'!$B$38,$CF24&lt;&gt;"RIDICAT"),"PARIU RECOMANDAT",IF(AND($BW24&gt;= 'Setari model'!$B$39,$CE24&gt;=100*'Setari model'!$B$40,$BZ24&gt;= 'Setari model'!$B$41,$CA24&gt;=0,$CF24&lt;&gt;"RIDICAT"),"RECOMANDAT CU PRUDENȚĂ",IF(AND($BW24&gt;= 'Setari model'!$B$42,$CE24&gt;=100*'Setari model'!$B$43),"ANALIZĂ NECONCLUDENTĂ","PARIU EVITAT"))),IF(AND($BW24&gt;= 'Setari model'!$B$35,$CE24&gt;=100*'Setari model'!$B$36,$CF24&lt;&gt;"RIDICAT"),"FAVORABIL STATISTIC – VERIFICĂ COTA",IF(AND($BW24&gt;= 'Setari model'!$B$42,$CE24&gt;=100*'Setari model'!$B$43),"ANALIZĂ NECONCLUDENTĂ","PARIU EVITAT"))))</x:f>
      </x:c>
      <x:c r="CH24" s="67" t="str">
        <x:f t="shared" si="11">IF($A24="","","P(O0,5)="&amp;TEXT($BW24,"0.0%")&amp;"; λ ajustat="&amp;TEXT($BS24,"0.00")&amp;"; Confidence="&amp;TEXT($CE24,"0")&amp;"/100; Edge="&amp;TEXT($BZ24,"0.0%")&amp;"; risc="&amp;$CF24&amp;". "&amp;$BH24)</x:f>
      </x:c>
      <x:c r="CI24" s="68" t="str">
        <x:f t="shared" si="12">IF($A24="","",$BI24)</x:f>
      </x:c>
      <x:c r="CJ24" s="112"/>
      <x:c r="CK24" s="112"/>
      <x:c r="CL24" s="112"/>
      <x:c r="CM24" s="112"/>
      <x:c r="CN24" s="112"/>
      <x:c r="CO24" s="112"/>
      <x:c r="CP24" s="112"/>
      <x:c r="CQ24" s="112"/>
      <x:c r="CR24" s="112"/>
      <x:c r="CS24" s="112"/>
      <x:c r="CT24" s="112"/>
      <x:c r="CU24" s="112"/>
      <x:c r="CV24" s="112"/>
      <x:c r="CW24" s="112"/>
      <x:c r="CX24" s="112"/>
      <x:c r="CY24" s="112"/>
      <x:c r="CZ24" s="112"/>
      <x:c r="DA24" s="112"/>
      <x:c r="DB24" s="112"/>
      <x:c r="DC24" s="114"/>
      <x:c r="DD24" s="114"/>
      <x:c r="DE24" s="112" t="s">
        <x:v>266</x:v>
      </x:c>
      <x:c r="DF24" s="112"/>
      <x:c r="DG24" s="112"/>
      <x:c r="DH24" s="112"/>
      <x:c r="DI24" s="112"/>
      <x:c r="DJ24" s="112"/>
      <x:c r="DK24" s="112"/>
      <x:c r="DL24" s="112"/>
      <x:c r="DM24" s="112"/>
      <x:c r="DN24" s="112"/>
      <x:c r="DO24" s="112"/>
      <x:c r="DP24" s="112"/>
      <x:c r="DQ24" s="114"/>
      <x:c r="DR24" s="112">
        <x:v>1</x:v>
      </x:c>
      <x:c r="DS24" s="116">
        <x:v>0</x:v>
      </x:c>
      <x:c r="DT24" s="120"/>
      <x:c r="DU24" s="116">
        <x:v>0.02</x:v>
      </x:c>
      <x:c r="DV24" s="116">
        <x:v>0.25</x:v>
      </x:c>
      <x:c r="DW24" s="118" t="str">
        <x:f>IF($A24="","",MAX('Setari model'!$B$71,MIN('Setari model'!$B$72,1+0.08*(IFERROR(AVERAGE($CM24:$CN24)/'Setari model'!$B$66,1)-1)+0.08*(IFERROR(AVERAGE($CO24:$CP24)/'Setari model'!$B$67,1)-1)+0.06*(IFERROR(AVERAGE($CQ24:$CR24)/'Setari model'!$B$68,1)-1)+0.04*(IFERROR(AVERAGE($CS24:$CT24)/'Setari model'!$B$69,1)-1)+0.04*(IFERROR(AVERAGE($CU24:$CV24)/'Setari model'!$B$70,1)-1)-'Setari model'!$B$73*IFERROR(AVERAGE($CW24:$CX24),0))))</x:f>
      </x:c>
      <x:c r="DX24" s="118" t="str">
        <x:f>IF($A24="","",1+'Setari model'!$B$62*MAX(IF(OR($CK24=1,$CL24=1),1,0),IF(AND($CJ24&lt;&gt;"",$CJ24&lt;=1),1,0))+'Setari model'!$B$63*IF(AND($CJ24&gt;1,$CJ24&lt;=3),1,0))</x:f>
      </x:c>
      <x:c r="DY24" s="118" t="str">
        <x:f>IF($A24="","",1+'Setari model'!$B$74*(IF($CY24="",0,IF($CY24=0,1,0))+IF($CZ24="",0,IF($CZ24=0,1,0)))+'Setari model'!$B$75*(IF($DA24="",0,IF($DA24=0,1,0))+IF($DB24="",0,IF($DB24=0,1,0))))</x:f>
      </x:c>
      <x:c r="DZ24" s="117" t="str">
        <x:f>IF($A24="","",MIN(0.6,MAX(0.002,(((1-'Setari model'!$B$34*MIN(1,($I24+$P24)/20))*$BT24+'Setari model'!$B$34*MIN(1,($I24+$P24)/20)*IF(COUNT($N24,$U24)=2,SQRT(MAX(0,1-$N24)*MAX(0,1-$U24)),$BT24))*(1-'Setari model'!$B$65*MIN(1,IF($AN24="",0,$AN24/'Setari model'!$B$64)))+'Setari model'!$B$65*MIN(1,IF($AN24="",0,$AN24/'Setari model'!$B$64))*IF($AM24="",$BT24,$AM24))*$DX24*$DY24/$DW24)))</x:f>
      </x:c>
      <x:c r="EA24" s="117" t="str">
        <x:f>IF($A24="","",MIN(1-$DZ24,IF(OR(MIN($I24,$P24)&lt;'Setari model'!$B$58,$CK24=1,$CL24=1,AND($CJ24&lt;&gt;"",$CJ24&lt;=1)),'Setari model'!$B$59,IF(AND($AU24=1,$AR24&gt;1,COUNT($CY24:$DB24)=4),'Setari model'!$B$61,'Setari model'!$B$60))))</x:f>
      </x:c>
      <x:c r="EB24" s="115" t="str">
        <x:f t="shared" si="13">IF($A24="","",1/$EA24)</x:f>
      </x:c>
      <x:c r="EC24" s="117" t="str">
        <x:f t="shared" si="14">IF($A24="","",IF($AR24&gt;1,IF($AS24&gt;1,(1/$AR24)/((1/$AR24)+(1/$AS24)),1/$AR24),""))</x:f>
      </x:c>
      <x:c r="ED24" s="117" t="str">
        <x:f t="shared" si="15">IF($A24="","",IF($EC24="","",$EA24-$EC24))</x:f>
      </x:c>
      <x:c r="EE24" s="117" t="str">
        <x:f t="shared" si="16">""</x:f>
      </x:c>
      <x:c r="EF24" s="119" t="str">
        <x:f>IF($A24="","",MAX(0,MIN(100,$CE24-200*MAX(0,$EG24-'Setari model'!$B$77)-IF($AU24&lt;&gt;1,10,0)-IF(COUNT($CY24:$DB24)&lt;4,4,0))))</x:f>
      </x:c>
      <x:c r="EG24" s="117" t="str">
        <x:f>IF($A24="","",'Setari model'!$B$77+IF(MIN($I24,$P24)&lt;'Setari model'!$B$58,0.03,0)+IF(OR($CK24=1,$CL24=1,AND($CJ24&lt;&gt;"",$CJ24&lt;=1)),0.03,0)+IF($AG24=0,0.02,0)+0.03*(1-MIN(1,COUNT($CM24:$CV24)/10))+0.03*(1-MIN(1,IF($AN24="",0,$AN24/'Setari model'!$B$64)))+IF($AR24&lt;=1,0.02,0))</x:f>
      </x:c>
      <x:c r="EH24" s="113" t="str">
        <x:f>IF($A24="","",IF(OR(MIN($I24,$P24)&lt;'Setari model'!$B$58,$CK24=1,$CL24=1,AND($CJ24&lt;&gt;"",$CJ24&lt;=1)),"92% – early/regim",IF(AND($AU24=1,$AR24&gt;1,COUNT($CY24:$DB24)=4),"94% – confirmat","93% – standard")))</x:f>
      </x:c>
      <x:c r="EI24" s="113" t="str">
        <x:f t="shared" si="17">IF($A24="","",IF(AND($EA24&gt;0.9,$AU24&lt;&gt;1),"WAIT XI – HIGH P",IF(AND($EA24&gt;0.9,COUNT($CY24:$DB24)&lt;4),"WAIT DATE CHEIE – HIGH P",IF($EP24&lt;&gt;"DA","NU – PORTOFOLIU","DA"))))</x:f>
      </x:c>
      <x:c r="EJ24" s="117" t="str">
        <x:f t="shared" si="18">IF($A24="","",IF($DE24&lt;&gt;"Live 20-30","",IF(SUM($DG24:$DH24)&gt;0,1,IF($EU24="","",1-MIN(0.95,MAX(0.001,EXP(-$EU24)*$DX24*$DY24/$DW24))))))</x:f>
      </x:c>
      <x:c r="EK24" s="117" t="str">
        <x:f t="shared" si="19">""</x:f>
      </x:c>
      <x:c r="EL24" s="113" t="str">
        <x:f>IF($A24="","",IF($DE24="Live 20-30",IF(SUM($DG24:$DH24)&gt;0,"EVENIMENT ÎNDEPLINIT",IF(OR($DF24="",COUNT($DI24:$DN24)&lt;4),"LIVE – WATCH",IF($EJ24&gt;=0.75,"LIVE – FEZABIL TEHNIC","LIVE – NO BET"))),IF($EI24&lt;&gt;"DA","WATCH / NO BET",IF(AND($EA24&gt;=INDEX('Setari model'!$B$35:$B$40,1),$EF24&gt;=100*'Setari model'!$B$76),"PARIU RECOMANDAT",IF(AND($EA24&gt;=INDEX('Setari model'!$B$35:$B$40,5),$EF24&gt;=100*'Setari model'!$B$40),"WATCH – APROAPE DE PRAG","PARIU EVITAT")))))</x:f>
      </x:c>
      <x:c r="EM24" s="113" t="str">
        <x:f t="shared" si="20">IF($A24="","",IF($DE24="Live 20-30",IF(SUM($DG24:$DH24)&gt;0,"Gol deja marcat.",IF($DF24="","Minut live lipsă.",IF(COUNT($DI24:$DN24)&lt;4,"Lipsesc xG/SOT/big chances live.",IF($EJ24&lt;0.75,"P live sub prag.","Semnal live tehnic complet; EV ignorat.")))),IF($EI24&lt;&gt;"DA",$EI24,IF($EF24&lt;75,"Confidence sub 75.",IF($EA24&lt;0.92,"P sub 92%.","G0/Zero-Mass + confidence trecute; EV ignorat.")))))</x:f>
      </x:c>
      <x:c r="EN24" s="117" t="str">
        <x:f>IF($A24="","",IF(OR($EL24="PARIU RECOMANDAT",$EL24="LIVE – FEZABIL"),MIN(IF($DU24&gt;0,$DU24,'Setari model'!$B$81)/MAX(1,$DR24),IF($DV24&gt;0,$DV24,'Setari model'!$B$80)*MAX(0,((IF($DE24="Live 20-30",$EJ24,$EA24)*IF($DE24="Live 20-30",$DQ24,$AR24)-1)/(IF($DE24="Live 20-30",$DQ24,$AR24)-1)))),0))</x:f>
      </x:c>
      <x:c r="EO24" s="121" t="str">
        <x:f t="shared" si="21">IF($A24="","",IF(AND($EN24&gt;0,$DT24&gt;0),$EN24*$DT24,""))</x:f>
      </x:c>
      <x:c r="EP24" s="113" t="str">
        <x:f>IF($A24="","",IF(OR($DR24&lt;1,$DR24&gt;'Setari model'!$B$78),"NU – 1–5 selecții",IF($DS24&gt;'Setari model'!$B$79,"NU – corelație", "DA")))</x:f>
      </x:c>
      <x:c r="EQ24" s="117" t="str">
        <x:f t="shared" si="22">IF($A24="","",IF(AND($DC24&gt;1,$DD24&gt;1),$DC24/$DD24-1,""))</x:f>
      </x:c>
      <x:c r="ER24" s="113" t="str">
        <x:f t="shared" si="23">IF($A24="","","P v2="&amp;TEXT($EA24,"0.0%")&amp;" ±"&amp;TEXT($EG24,"0.0%")&amp;"; P0 ZIP="&amp;TEXT($DZ24,"0.0%")&amp;"; Confidence="&amp;TEXT($EF24,"0")&amp;"/100; piață reală="&amp;IF($EC24="","NU","DA")&amp;"; EV="&amp;IF($EE24="","n/a",TEXT($EE24,"0.0%"))&amp;"; gate="&amp;$EI24&amp;"; verdict="&amp;$EL24&amp;". "&amp;$EM24)</x:f>
      </x:c>
      <x:c r="ES24" s="119" t="str">
        <x:f>IF($A24="","",'Setari model'!$B$82)</x:f>
      </x:c>
      <x:c r="ET24" s="118" t="str">
        <x:f>IF($A24="","",'Setari model'!$B$83)</x:f>
      </x:c>
      <x:c r="EU24" s="115" t="str">
        <x:f t="shared" si="24">IF(OR($A24="",$DE24&lt;&gt;"Live 20-30",$DF24="",$DF24&lt;$ES24,$DF24&gt;=90),"",MAX(0.05,MIN($BS24*$ET24,$BS24*(90-$DF24)/90+0.35*($DI24+$DJ24)+0.06*($DK24+$DL24)+0.15*($DM24+$DN24)+0.1*(MAX($DO24,$DP24)-MIN($DO24,$DP24)))))</x:f>
      </x:c>
      <x:c r="EV24" s="132"/>
      <x:c r="EW24" s="132"/>
      <x:c r="EX24" s="132"/>
      <x:c r="EY24" s="132"/>
      <x:c r="EZ24" s="132"/>
      <x:c r="FA24" s="132"/>
      <x:c r="FB24" s="247"/>
      <x:c r="FC24" s="134" t="str">
        <x:f t="shared" si="25">IF($A24="","",IF(OR($J24="",$L24="",$L24&lt;=0),"",MAX(0.5,MIN(1.5,$J24/$L24))))</x:f>
      </x:c>
      <x:c r="FD24" s="134" t="str">
        <x:f t="shared" si="26">IF($A24="","",IF(OR($Q24="",$S24="",$S24&lt;=0),"",MAX(0.5,MIN(1.5,$Q24/$S24))))</x:f>
      </x:c>
      <x:c r="FE24" s="134" t="str">
        <x:f>IF($A24="","",IF(COUNT($EV24:$EW24)&lt;2,"",SQRT($EV24*$EW24)/'Setari model'!$B$87))</x:f>
      </x:c>
      <x:c r="FF24" s="134" t="str">
        <x:f>IF($A24="","",IF(COUNT($O24,$V24,$EX24,$EY24)&lt;4,"",AVERAGE(SQRT($O24*$EY24),SQRT($V24*$EX24))/'Setari model'!$B$88))</x:f>
      </x:c>
      <x:c r="FG24" s="134" t="str">
        <x:f t="shared" si="27">IF($A24="","",IF(COUNT($FC24:$FD24)&lt;2,"",MAX(0,1-AVERAGE($FC24:$FD24))))</x:f>
      </x:c>
      <x:c r="FH24" s="134" t="str">
        <x:f>IF($A24="","",IF(COUNT($EZ24:$FA24)&lt;2,"",'Setari model'!$B$94*AVERAGE($EZ24:$FA24)/'Setari model'!$B$89))</x:f>
      </x:c>
      <x:c r="FI24" s="134" t="str">
        <x:f>IF($A24="","",IF(COUNT($FE24:$FH24)&lt;4,"",MAX('Setari model'!$B$97,MIN('Setari model'!$B$98,1+'Setari model'!$B$90*($FE24-1)+'Setari model'!$B$91*($FF24-1)+'Setari model'!$B$92*$FG24+'Setari model'!$B$93*($FH24-1)))))</x:f>
      </x:c>
      <x:c r="FJ24" s="133" t="str">
        <x:f>IF($A24="","",IF($FI24="","",MIN('Setari model'!$B$101,MAX(0.002,$DZ24*$FI24))))</x:f>
      </x:c>
      <x:c r="FK24" s="131" t="str">
        <x:f t="shared" si="28">IF($A24="","",IF(AND(COUNT($EV24:$FA24)=6,COUNT($O24,$V24,$FC24,$FD24)=4),"DA","NU"))</x:f>
      </x:c>
      <x:c r="FL24" s="131" t="str">
        <x:f>IF($A24="","",IF($FK24&lt;&gt;"DA","NEDETERMINAT",IF($FI24&lt;='Setari model'!$B$99,"SCĂZUT",IF($FI24&lt;='Setari model'!$B$100,"MEDIU","RIDICAT"))))</x:f>
      </x:c>
      <x:c r="FM24" s="131" t="str">
        <x:f>IF($A24="","",IF(AND($AR24&gt;1,$EC24&gt;='Setari model'!$B$106),"DA","NU"))</x:f>
      </x:c>
      <x:c r="FN24" s="131" t="str">
        <x:f t="shared" si="29">IF($A24="","",IF(AND($AU24=1,COUNT($CY24:$DB24)=4),"DA","NU"))</x:f>
      </x:c>
      <x:c r="FO24" s="133" t="str">
        <x:f>IF($A24="","",IF(OR($FK24&lt;&gt;"DA",$FL24="RIDICAT"),'Setari model'!$B$102,IF($FL24="MEDIU",'Setari model'!$B$103,IF(AND($FM24="DA",$FN24="DA"),'Setari model'!$B$105,'Setari model'!$B$104))))</x:f>
      </x:c>
      <x:c r="FP24" s="133" t="str">
        <x:f t="shared" si="30">IF($A24="","",IF($FJ24="","",MIN(1-$FJ24,$FO24)))</x:f>
      </x:c>
      <x:c r="FQ24" s="135" t="str">
        <x:f t="shared" si="31">IF($A24="","",IF($FP24="","",IF($FP24&gt;0,1/$FP24,"")))</x:f>
      </x:c>
      <x:c r="FR24" s="133" t="str">
        <x:f t="shared" si="32">IF($A24="","",IF($EC24="","",$FP24-$EC24))</x:f>
      </x:c>
      <x:c r="FS24" s="133" t="str">
        <x:f t="shared" si="33">IF($A24="","",IF($AR24&gt;1,$FP24*$AR24-1,""))</x:f>
      </x:c>
      <x:c r="FT24" s="136" t="str">
        <x:f>IF($A24="","",MAX(0,MIN(100,$EF24-IF($FK24&lt;&gt;"DA",'Setari model'!$B$107,0)-IF($FL24="MEDIU",'Setari model'!$B$108,0)-IF($FL24="RIDICAT",'Setari model'!$B$109,0))))</x:f>
      </x:c>
      <x:c r="FU24" s="131" t="str">
        <x:f t="shared" si="34">IF($A24="","",IF($AR24&lt;=1,"NU – LIPSEȘTE COTA REALĂ",IF($FK24&lt;&gt;"DA","NU – ZERO-RISK INCOMPLET",IF($FL24&lt;&gt;"SCĂZUT","NU – RISC 0-0 "&amp;$FL24,IF($FN24&lt;&gt;"DA","NU – LINEUP NECONFIRMAT",IF($FM24&lt;&gt;"DA","NU – PIAȚĂ NECONFIRMATĂ",IF($EP24&lt;&gt;"DA","NU – PORTOFOLIU","DA")))))))</x:f>
      </x:c>
      <x:c r="FV24" s="131" t="str">
        <x:f>IF($A24="","",IF($FU24&lt;&gt;"DA","WATCH / NO BET",IF(AND($FP24&gt;='Setari model'!$B$35,$FT24&gt;=100*'Setari model'!$B$76,$FS24&gt;0),"PARIU RECOMANDAT",IF(AND($FP24&gt;='Setari model'!$B$39,$FT24&gt;=100*'Setari model'!$B$40,$FS24&gt;0),"WATCH – APROAPE DE PRAG","PARIU EVITAT"))))</x:f>
      </x:c>
      <x:c r="FW24" s="131" t="str">
        <x:f t="shared" si="35">IF($A24="","",IF($FU24&lt;&gt;"DA",$FU24,IF($FT24&lt;75,"Confidence v3 sub 75.",IF($FP24&lt;0.92,"P v3 sub 92%.",IF($FS24&lt;=0,"EV v3 nepozitiv.","P0 v3, lineup și piață confirmate.")))))</x:f>
      </x:c>
      <x:c r="FX24" s="131" t="str">
        <x:f t="shared" si="36">IF($A24="","","P v3="&amp;TEXT($FP24,"0.0%")&amp;"; P0 v3="&amp;TEXT($FJ24,"0.0%")&amp;"; factor zero="&amp;IF($FI24="","n/a",TEXT($FI24,"0.00x"))&amp;" ("&amp;$FL24&amp;"); cap="&amp;TEXT($FO24,"0.0%")&amp;"; Confidence="&amp;TEXT($FT24,"0")&amp;"/100; lineup="&amp;$FN24&amp;"; piață="&amp;$FM24&amp;"; EV="&amp;IF($FS24="","n/a",TEXT($FS24,"0.0%"))&amp;"; gate="&amp;$FU24&amp;"; verdict="&amp;$FV24&amp;". "&amp;$FW24)</x:f>
      </x:c>
      <x:c r="FY24" s="159"/>
      <x:c r="FZ24" s="159"/>
      <x:c r="GA24" s="157"/>
      <x:c r="GB24" s="157"/>
      <x:c r="GC24" s="161" t="str">
        <x:f t="shared" si="37">IF($A24="","",IF(OR($X24="",$Z24="",$Z24&lt;=0),"",MAX(0.5,MIN(1.5,$X24/$Z24))))</x:f>
      </x:c>
      <x:c r="GD24" s="161" t="str">
        <x:f t="shared" si="38">IF($A24="","",IF(OR($AC24="",$AE24="",$AE24&lt;=0),"",MAX(0.5,MIN(1.5,$AC24/$AE24))))</x:f>
      </x:c>
      <x:c r="GE24" s="162" t="str">
        <x:f t="shared" si="39">IF($A24="","",IF(COUNT($Z24,$AE24)&lt;2,"",AVERAGE($Z24,$AE24)))</x:f>
      </x:c>
      <x:c r="GF24" s="158" t="str">
        <x:f>IF($A24="","",IF(COUNT($FY24:$FZ24)&lt;2,"NEDETERMINAT",IF(AND($FY24&gt;='Setari model'!$B$113,$FZ24&gt;='Setari model'!$B$113),"DA","NU")))</x:f>
      </x:c>
      <x:c r="GG24" s="158" t="str">
        <x:f>IF($A24="","",IF(COUNT($FY24:$FZ24,$EX24:$EY24)&lt;4,"NEDETERMINAT",IF(OR(AND($FY24&gt;='Setari model'!$B$113,$EY24&gt;='Setari model'!$B$114),AND($FZ24&gt;='Setari model'!$B$113,$EX24&gt;='Setari model'!$B$114)),"DA","NU")))</x:f>
      </x:c>
      <x:c r="GH24" s="158" t="str">
        <x:f>IF($A24="","",IF(COUNT($BJ24:$BN24,$GC24:$GE24)&lt;8,"NEDETERMINAT",IF(AND((($BJ24*INDEX('Setari model'!$B$5:$B$11,MATCH($E24,'Setari model'!$A$5:$A$11,0))+$BK24*INDEX('Setari model'!$C$5:$C$11,MATCH($E24,'Setari model'!$A$5:$A$11,0))+$BL24*INDEX('Setari model'!$D$5:$D$11,MATCH($E24,'Setari model'!$A$5:$A$11,0))+$BM24*INDEX('Setari model'!$E$5:$E$11,MATCH($E24,'Setari model'!$A$5:$A$11,0))+$BN24*INDEX('Setari model'!$F$5:$F$11,MATCH($E24,'Setari model'!$A$5:$A$11,0)))/(INDEX('Setari model'!$B$5:$B$11,MATCH($E24,'Setari model'!$A$5:$A$11,0))+INDEX('Setari model'!$C$5:$C$11,MATCH($E24,'Setari model'!$A$5:$A$11,0))+INDEX('Setari model'!$D$5:$D$11,MATCH($E24,'Setari model'!$A$5:$A$11,0))+INDEX('Setari model'!$E$5:$E$11,MATCH($E24,'Setari model'!$A$5:$A$11,0))+INDEX('Setari model'!$F$5:$F$11,MATCH($E24,'Setari model'!$A$5:$A$11,0))))*$BR24&gt;='Setari model'!$B$115,(($BJ24*INDEX('Setari model'!$B$5:$B$11,MATCH($E24,'Setari model'!$A$5:$A$11,0))+$BK24*INDEX('Setari model'!$C$5:$C$11,MATCH($E24,'Setari model'!$A$5:$A$11,0))+$BL24*INDEX('Setari model'!$D$5:$D$11,MATCH($E24,'Setari model'!$A$5:$A$11,0))+$BM24*INDEX('Setari model'!$E$5:$E$11,MATCH($E24,'Setari model'!$A$5:$A$11,0))+$BN24*INDEX('Setari model'!$F$5:$F$11,MATCH($E24,'Setari model'!$A$5:$A$11,0)))/(INDEX('Setari model'!$B$5:$B$11,MATCH($E24,'Setari model'!$A$5:$A$11,0))+INDEX('Setari model'!$C$5:$C$11,MATCH($E24,'Setari model'!$A$5:$A$11,0))+INDEX('Setari model'!$D$5:$D$11,MATCH($E24,'Setari model'!$A$5:$A$11,0))+INDEX('Setari model'!$E$5:$E$11,MATCH($E24,'Setari model'!$A$5:$A$11,0))+INDEX('Setari model'!$F$5:$F$11,MATCH($E24,'Setari model'!$A$5:$A$11,0))))*$BR24&lt;='Setari model'!$B$116,AVERAGE($GC24:$GD24)&lt;='Setari model'!$B$117,$GE24&gt;='Setari model'!$B$118),"DA","NU")))</x:f>
      </x:c>
      <x:c r="GI24" s="158" t="str">
        <x:f>IF($A24="","",IF(COUNT($W24,$AB24,$GA24:$GB24)&lt;4,"NEDETERMINAT",IF(AND($W24&gt;='Setari model'!$B$120,$AB24&gt;='Setari model'!$B$120,OR(IFERROR($GA24/$W24,0)&gt;='Setari model'!$B$119,IFERROR($GB24/$AB24,0)&gt;='Setari model'!$B$119)),"DA","NU")))</x:f>
      </x:c>
      <x:c r="GJ24" s="160" t="str">
        <x:f>IF($A24="","",IF(COUNT($FY24:$GB24)&lt;4,"",IF($GH24&lt;&gt;"DA",0,'Setari model'!$B$121*IF($GF24="DA",1,0)+'Setari model'!$B$122*IF($GG24="DA",1,0)+'Setari model'!$B$123+'Setari model'!$B$124*IF($GI24="DA",1,0))))</x:f>
      </x:c>
      <x:c r="GK24" s="161" t="str">
        <x:f>IF($A24="","",IF(COUNT($GJ24)=0,"",1+'Setari model'!$B$125*$GJ24))</x:f>
      </x:c>
      <x:c r="GL24" s="160" t="str">
        <x:f>IF($A24="","",IF($GM24&lt;&gt;"DA",$FJ24,MIN('Setari model'!$B$101,MAX(0.002,$FJ24*$GK24))))</x:f>
      </x:c>
      <x:c r="GM24" s="158" t="str">
        <x:f>IF($A24="","",IF(AND($FK24="DA",COUNT($FY24:$GB24)=4,COUNT($I24,$P24,$W24,$AB24,$Z24,$AE24,$EX24,$EY24,$GC24,$GD24)=10,COUNT($BJ24:$BN24)=5),"DA","NU"))</x:f>
      </x:c>
      <x:c r="GN24" s="158" t="str">
        <x:f>IF($A24="","",IF($GM24&lt;&gt;"DA","NEDETERMINAT",IF($FI24*$GK24&lt;='Setari model'!$B$99,"SCĂZUT",IF($FI24*$GK24&lt;='Setari model'!$B$100,"MEDIU","RIDICAT"))))</x:f>
      </x:c>
      <x:c r="GO24" s="160" t="str">
        <x:f>IF($A24="","",IF(OR($GM24&lt;&gt;"DA",$GN24="RIDICAT"),'Setari model'!$B$102,IF($GN24="MEDIU",'Setari model'!$B$103,IF(AND($FM24="DA",$FN24="DA"),'Setari model'!$B$105,'Setari model'!$B$104))))</x:f>
      </x:c>
      <x:c r="GP24" s="160" t="str">
        <x:f t="shared" si="40">IF($A24="","",IF($GL24="","",MIN(1-$GL24,$GO24)))</x:f>
      </x:c>
      <x:c r="GQ24" s="162" t="str">
        <x:f t="shared" si="41">IF($A24="","",IF($GP24="","",IF($GP24&gt;0,1/$GP24,"")))</x:f>
      </x:c>
      <x:c r="GR24" s="160" t="str">
        <x:f t="shared" si="42">IF($A24="","",IF($EC24="","",$GP24-$EC24))</x:f>
      </x:c>
      <x:c r="GS24" s="160" t="str">
        <x:f t="shared" si="43">IF($A24="","",IF($AR24&gt;1,$GP24*$AR24-1,""))</x:f>
      </x:c>
      <x:c r="GT24" s="163" t="str">
        <x:f>IF($A24="","",MAX(0,MIN(100,$FT24-IF(AND($GM24&lt;&gt;"DA",$FK24="DA"),'Setari model'!$B$107,0)-'Setari model'!$B$126*IF($GJ24="",0,$GJ24))))</x:f>
      </x:c>
      <x:c r="GU24" s="158" t="str">
        <x:f t="shared" si="44">IF($A24="","",IF($AR24&lt;=1,"NU – LIPSEȘTE COTA REALĂ",IF($GM24&lt;&gt;"DA","NU – DATE LOW-CONVERSION INCOMPLETE",IF($GN24&lt;&gt;"SCĂZUT","NU – RISC 0-0 "&amp;$GN24,IF($FN24&lt;&gt;"DA","NU – LINEUP NECONFIRMAT",IF($FM24&lt;&gt;"DA","NU – PIAȚĂ NECONFIRMATĂ",IF($EP24&lt;&gt;"DA","NU – PORTOFOLIU","DA")))))))</x:f>
      </x:c>
      <x:c r="GV24" s="158" t="str">
        <x:f>IF($A24="","",IF($GU24&lt;&gt;"DA","WATCH / NO BET",IF(AND($GP24&gt;='Setari model'!$B$35,$GT24&gt;=100*'Setari model'!$B$76,$GS24&gt;0),"PARIU RECOMANDAT",IF(AND($GP24&gt;='Setari model'!$B$39,$GT24&gt;=100*'Setari model'!$B$40,$GS24&gt;0),"WATCH – APROAPE DE PRAG","PARIU EVITAT"))))</x:f>
      </x:c>
      <x:c r="GW24" s="158" t="str">
        <x:f t="shared" si="45">IF($A24="","",IF($GU24&lt;&gt;"DA",$GU24,IF($GT24&lt;75,"Confidence v5 sub 75.",IF($GP24&lt;0.92,"P v5 sub 92%.",IF($GS24&lt;=0,"EV v5 nepozitiv.",IF($GJ24&gt;0,"Low-conversion absorbit în P0; toate porțile rămân trecute.","Toate porțile v5 sunt trecute."))))))</x:f>
      </x:c>
      <x:c r="GX24" s="158" t="str">
        <x:f t="shared" si="46">IF($A24="","","P v5="&amp;TEXT($GP24,"0.0%")&amp;"; P0 v5="&amp;TEXT($GL24,"0.0%")&amp;"; low-conv="&amp;IF(COUNT($GJ24)=0,"n/a",TEXT($GJ24,"0%"))&amp;"; mult.P0="&amp;IF(COUNT($GK24)=0,"n/a",TEXT($GK24,"0.00"))&amp;"; clasă="&amp;$GN24&amp;"; cap="&amp;TEXT($GO24,"0.0%")&amp;"; Confidence="&amp;TEXT($GT24,"0")&amp;"/100; lineup="&amp;$FN24&amp;"; piață="&amp;$FM24&amp;"; EV="&amp;IF($GS24="","n/a",TEXT($GS24,"0.0%"))&amp;"; gate="&amp;$GU24&amp;"; verdict="&amp;$GV24&amp;". "&amp;$GW24)</x:f>
      </x:c>
      <x:c r="GY24" s="174" t="str">
        <x:f>IF($A24="","",IF($GM24&lt;&gt;"DA","SOURCING INCOMPLETE – REVIEW REQUIRED",IF(MIN($I24,$P24,$W24,$AB24)&lt;'Setari model'!$B$58,"SMALL SAMPLE + PRIOR / SHRINKAGE","VERIFIED / PRIOR / SHRINKAGE")))</x:f>
      </x:c>
      <x:c r="GZ24" s="175" t="str">
        <x:f t="shared" si="47">IF($A24="","",MAX(0,MIN(100,100*(1-AVERAGE(IF($GM24="DA",1,0),MIN(1,$AT24/5))))))</x:f>
      </x:c>
      <x:c r="HA24" s="175" t="str">
        <x:f>IF($A24="","",IF($GM24&lt;&gt;"DA","",MAX(0,MIN(100,100*(($FI24*$GK24)-'Setari model'!$B$97)/('Setari model'!$B$98-'Setari model'!$B$97)))))</x:f>
      </x:c>
      <x:c r="HB24" s="175" t="str">
        <x:f>IF($A24="","",MAX(0,MIN(100,100*(ABS($BR24-1)/MAX(1-'Setari model'!$B$53,'Setari model'!$B$54-1)+MIN(1,$BG24/2))/2)))</x:f>
      </x:c>
      <x:c r="HC24" s="175" t="str">
        <x:f t="shared" si="48">IF($A24="","",MAX(0,MIN(100,100*(1-AVERAGE($CC24,MAX(0,1-(MAX($BJ24:$BN24)-MIN($BJ24:$BN24))/(AVERAGE($BJ24:$BN24)*'Setari model'!$B$45)))))))</x:f>
      </x:c>
      <x:c r="HD24" s="175" t="str">
        <x:f t="shared" si="49">IF($A24="","",MAX(0,MIN(100,100*MAX(IF($GJ24="",0,$GJ24),MIN(1,$BG24/2)))))</x:f>
      </x:c>
      <x:c r="HE24" s="175" t="str">
        <x:f>IF($A24="","",IF(COUNT($GZ24:$HD24)&lt;5,"",$GZ24*Risk_Classification!$E$28+$HA24*Risk_Classification!$E$29+$HB24*Risk_Classification!$E$30+$HC24*Risk_Classification!$E$31+$HD24*Risk_Classification!$E$32))</x:f>
      </x:c>
      <x:c r="HF24" s="176" t="str">
        <x:f t="shared" si="50">IF($A24="","",IF($HE24="","",IF($HE24&lt;=20,1,IF($HE24&lt;=40,2,IF($HE24&lt;=60,3,IF($HE24&lt;=80,4,5))))))</x:f>
      </x:c>
      <x:c r="HG24" s="176" t="str">
        <x:f t="shared" si="51">IF($A24="","",IF($GM24="DA","PASS","FAIL – DATE CRITICE ZERO-MASS INCOMPLETE"))</x:f>
      </x:c>
      <x:c r="HH24" s="176" t="str">
        <x:f t="shared" si="52">IF($A24="","",IF($HG24&lt;&gt;"PASS",5,$HF24))</x:f>
      </x:c>
      <x:c r="HI24" s="174" t="str">
        <x:f t="shared" si="53">IF($A24="","",IF($HH24="","N/A",IF($HH24=1,"DEFENSIV",IF($HH24=2,"PRUDENT",IF($HH24=3,"MODERAT",IF($HH24=4,"RIDICAT","WATCH / NO BET"))))))</x:f>
      </x:c>
      <x:c r="HJ24" s="177" t="str">
        <x:f t="shared" si="54">IF($A24="","","Data="&amp;$GY24&amp;"; DQ="&amp;TEXT($GZ24,"0.0")&amp;"; ZM="&amp;IF($HA24="","n/a",TEXT($HA24,"0.0"))&amp;"; Context="&amp;TEXT($HB24,"0.0")&amp;"; Uncertainty="&amp;TEXT($HC24,"0.0")&amp;"; Compound="&amp;TEXT($HD24,"0.0")&amp;"; Risk Score="&amp;IF($HE24="","n/a",TEXT($HE24,"0.0"))&amp;"; Base="&amp;IF($HF24="","n/a",$HF24)&amp;"; G0="&amp;$HG24&amp;"; Final="&amp;$HH24&amp;". Cota, EV si lineup sunt informative si nu intra in recomandare.")</x:f>
      </x:c>
      <x:c r="HK24" s="174" t="str">
        <x:f t="shared" si="55">IF($A24="","",$HI24)</x:f>
      </x:c>
    </x:row>
    <x:row r="25" ht="24" customHeight="1">
      <x:c r="A25" s="58"/>
      <x:c r="B25" s="24"/>
      <x:c r="C25" s="59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18"/>
      <x:c r="O25" s="18"/>
      <x:c r="P25" s="24"/>
      <x:c r="Q25" s="24"/>
      <x:c r="R25" s="24"/>
      <x:c r="S25" s="24"/>
      <x:c r="T25" s="24"/>
      <x:c r="U25" s="18"/>
      <x:c r="V25" s="18"/>
      <x:c r="W25" s="24"/>
      <x:c r="X25" s="24"/>
      <x:c r="Y25" s="24"/>
      <x:c r="Z25" s="24"/>
      <x:c r="AA25" s="24"/>
      <x:c r="AB25" s="24"/>
      <x:c r="AC25" s="24"/>
      <x:c r="AD25" s="24"/>
      <x:c r="AE25" s="24"/>
      <x:c r="AF25" s="24"/>
      <x:c r="AG25" s="24"/>
      <x:c r="AH25" s="24"/>
      <x:c r="AI25" s="18"/>
      <x:c r="AJ25" s="24"/>
      <x:c r="AK25" s="24"/>
      <x:c r="AL25" s="24"/>
      <x:c r="AM25" s="18"/>
      <x:c r="AN25" s="24"/>
      <x:c r="AO25" s="60"/>
      <x:c r="AP25" s="60"/>
      <x:c r="AQ25" s="60"/>
      <x:c r="AR25" s="60"/>
      <x:c r="AS25" s="60"/>
      <x:c r="AT25" s="24"/>
      <x:c r="AU25" s="24"/>
      <x:c r="AV25" s="24"/>
      <x:c r="AW25" s="24"/>
      <x:c r="AX25" s="24"/>
      <x:c r="AY25" s="24"/>
      <x:c r="AZ25" s="24"/>
      <x:c r="BA25" s="24"/>
      <x:c r="BB25" s="24"/>
      <x:c r="BC25" s="24"/>
      <x:c r="BD25" s="24"/>
      <x:c r="BE25" s="24"/>
      <x:c r="BF25" s="24"/>
      <x:c r="BG25" s="24"/>
      <x:c r="BH25" s="61"/>
      <x:c r="BI25" s="61"/>
      <x:c r="BJ25" s="62" t="str">
        <x:f>IF($A25="","",SQRT((($I25*IF($J25="",$AJ25,$J25)+'Setari model'!$B$30*$AJ25)/($I25+'Setari model'!$B$30))*(($P25*IF($R25="",$AJ25,$R25)+'Setari model'!$B$30*$AJ25)/($P25+'Setari model'!$B$30)))+SQRT((($P25*IF($Q25="",$AK25,$Q25)+'Setari model'!$B$30*$AK25)/($P25+'Setari model'!$B$30))*(($I25*IF($K25="",$AK25,$K25)+'Setari model'!$B$30*$AK25)/($I25+'Setari model'!$B$30))))</x:f>
      </x:c>
      <x:c r="BK25" s="62" t="str">
        <x:f>IF($A25="","",SQRT((($I25*IF($L25="",IF($J25="",$AJ25,$J25),$L25)+'Setari model'!$B$30*$AJ25)/($I25+'Setari model'!$B$30))*(($P25*IF($T25="",IF($R25="",$AJ25,$R25),$T25)+'Setari model'!$B$30*$AJ25)/($P25+'Setari model'!$B$30)))+SQRT((($P25*IF($S25="",IF($Q25="",$AK25,$Q25),$S25)+'Setari model'!$B$30*$AK25)/($P25+'Setari model'!$B$30))*(($I25*IF($M25="",IF($K25="",$AK25,$K25),$M25)+'Setari model'!$B$30*$AK25)/($I25+'Setari model'!$B$30))))</x:f>
      </x:c>
      <x:c r="BL25" s="62" t="str">
        <x:f>IF($A25="","",SQRT((($W25*IF($X25="",$AL25/2,$X25)+'Setari model'!$B$31*$AL25/2)/($W25+'Setari model'!$B$31))*(($AB25*IF($AD25="",$AL25/2,$AD25)+'Setari model'!$B$31*$AL25/2)/($AB25+'Setari model'!$B$31)))+SQRT((($AB25*IF($AC25="",$AL25/2,$AC25)+'Setari model'!$B$31*$AL25/2)/($AB25+'Setari model'!$B$31))*(($W25*IF($Y25="",$AL25/2,$Y25)+'Setari model'!$B$31*$AL25/2)/($W25+'Setari model'!$B$31))))</x:f>
      </x:c>
      <x:c r="BM25" s="62" t="str">
        <x:f>IF($A25="","",SQRT((($W25*IF($Z25="",IF($X25="",$AL25/2,$X25),$Z25)+'Setari model'!$B$31*$AL25/2)/($W25+'Setari model'!$B$31))*(($AB25*IF($AF25="",IF($AD25="",$AL25/2,$AD25),$AF25)+'Setari model'!$B$31*$AL25/2)/($AB25+'Setari model'!$B$31)))+SQRT((($AB25*IF($AE25="",IF($AC25="",$AL25/2,$AC25),$AE25)+'Setari model'!$B$31*$AL25/2)/($AB25+'Setari model'!$B$31))*(($W25*IF($AA25="",IF($Y25="",$AL25/2,$Y25),$AA25)+'Setari model'!$B$31*$AL25/2)/($W25+'Setari model'!$B$31))))</x:f>
      </x:c>
      <x:c r="BN25" s="62" t="str">
        <x:f t="shared" si="0">IF($A25="","",IF($AG25&gt;0,($AG25*IF($AH25="",$AL25,$AH25)+5*$AL25)/($AG25+5),$AL25))</x:f>
      </x:c>
      <x:c r="BO25" s="63" t="str">
        <x:f>IF($A25="","",IF($AR25&gt;1,IF($AS25&gt;1,(1/$AR25)/((1/$AR25+1/$AS25)),MIN(0.995,(1/$AR25)/(1+'Setari model'!$B$32))),1-EXP(-$AL25)))</x:f>
      </x:c>
      <x:c r="BP25" s="62" t="str">
        <x:f t="shared" si="1">IF($A25="","",-LN(1-$BO25))</x:f>
      </x:c>
      <x:c r="BQ25" s="62" t="str">
        <x:f>IF($A25="","",$BJ25*INDEX('Setari model'!$B$5:$B$11,MATCH($E25,'Setari model'!$A$5:$A$11,0))+$BK25*INDEX('Setari model'!$C$5:$C$11,MATCH($E25,'Setari model'!$A$5:$A$11,0))+$BL25*INDEX('Setari model'!$D$5:$D$11,MATCH($E25,'Setari model'!$A$5:$A$11,0))+$BM25*INDEX('Setari model'!$E$5:$E$11,MATCH($E25,'Setari model'!$A$5:$A$11,0))+$BN25*INDEX('Setari model'!$F$5:$F$11,MATCH($E25,'Setari model'!$A$5:$A$11,0))+$BP25*INDEX('Setari model'!$G$5:$G$11,MATCH($E25,'Setari model'!$A$5:$A$11,0)))</x:f>
      </x:c>
      <x:c r="BR25" s="64" t="str">
        <x:f>IF($A25="","",MAX('Setari model'!$B$53,MIN('Setari model'!$B$54,1+($AV25*'Setari model'!$B$15+$AW25*'Setari model'!$B$16+$AX25*'Setari model'!$B$17+$AY25*'Setari model'!$B$18+$AZ25*'Setari model'!$B$19+$BA25*'Setari model'!$B$20+$BB25*'Setari model'!$B$21+$BC25*'Setari model'!$B$22+$BD25*'Setari model'!$B$23+$BE25*'Setari model'!$B$24+$BF25*'Setari model'!$B$25)*INDEX('Setari model'!$H$5:$H$11,MATCH($E25,'Setari model'!$A$5:$A$11,0)))))</x:f>
      </x:c>
      <x:c r="BS25" s="62" t="str">
        <x:f t="shared" si="2">IF($A25="","",$BQ25*$BR25)</x:f>
      </x:c>
      <x:c r="BT25" s="63" t="str">
        <x:f t="shared" si="3">IF($A25="","",EXP(-$BS25))</x:f>
      </x:c>
      <x:c r="BU25" s="65" t="str">
        <x:f>IF($A25="","",IF(OR($AM25="",$AN25=""),1,1+MIN('Setari model'!$B$33,$AN25/100*'Setari model'!$B$33)*($AM25/EXP(-$AL25)-1)))</x:f>
      </x:c>
      <x:c r="BV25" s="63" t="str">
        <x:f>IF($A25="","",MIN(0.45,MAX(0.005,(1-'Setari model'!$B$34*MIN(1,($I25+$P25)/20))*MIN(0.45,$BT25*$BU25)+'Setari model'!$B$34*MIN(1,($I25+$P25)/20)*IF(COUNT($N25,$U25)=2,SQRT(MAX(0,1-$N25)*MAX(0,1-$U25)),IF($AM25="",EXP(-$AL25),$AM25)))))</x:f>
      </x:c>
      <x:c r="BW25" s="63" t="str">
        <x:f t="shared" si="4">IF($A25="","",1-$BV25)</x:f>
      </x:c>
      <x:c r="BX25" s="62" t="str">
        <x:f t="shared" si="5">IF($A25="","",1/$BW25)</x:f>
      </x:c>
      <x:c r="BY25" s="63" t="str">
        <x:f t="shared" si="6">IF($A25="","",$BO25)</x:f>
      </x:c>
      <x:c r="BZ25" s="63" t="str">
        <x:f t="shared" si="7">IF($A25="","",$BW25-$BY25)</x:f>
      </x:c>
      <x:c r="CA25" s="63" t="str">
        <x:f t="shared" si="8">IF($A25="","",IF($AR25&gt;1,$BW25*$AR25-1,""))</x:f>
      </x:c>
      <x:c r="CB25" s="63" t="str">
        <x:f>IF($A25="","",MIN(1,COUNT($I25:$AN25,$AR25:$BG25)/'Setari model'!$B$46))</x:f>
      </x:c>
      <x:c r="CC25" s="63" t="str">
        <x:f t="shared" si="9">IF($A25="","",0.25*MIN(1,$I25/10)+0.25*MIN(1,$P25/10)+0.15*MIN(1,$W25/5)+0.15*MIN(1,$AB25/5)+0.1*MIN(1,$AG25/5)+0.1*MIN(1,$AN25/100))</x:f>
      </x:c>
      <x:c r="CD25" s="63" t="str">
        <x:f>IF($A25="","",MAX(0,1-(MAX($BJ25:$BN25,$BP25)-MIN($BJ25:$BN25,$BP25))/(AVERAGE($BJ25:$BN25,$BP25)*'Setari model'!$B$45)))</x:f>
      </x:c>
      <x:c r="CE25" s="66" t="str">
        <x:f>IF($A25="","",MAX(0,MIN(100,100*INDEX('Setari model'!$I$5:$I$11,MATCH($E25,'Setari model'!$A$5:$A$11,0))*('Setari model'!$B$47*$CB25+'Setari model'!$B$48*$CC25+'Setari model'!$B$49*$CD25+'Setari model'!$B$50*$AT25/5+'Setari model'!$B$51*$AU25)-100*'Setari model'!$B$52*$BG25)))</x:f>
      </x:c>
      <x:c r="CF25" s="65" t="str">
        <x:f t="shared" si="10">IF($A25="","",IF(OR($AT25&lt;3,$BG25&gt;=2,$CB25&lt;0.55,$CC25&lt;0.4),"RIDICAT",IF(OR($AU25=0,$CD25&lt;0.45,$BR25&lt;0.9),"MEDIU","SCĂZUT")))</x:f>
      </x:c>
      <x:c r="CG25" s="65" t="str">
        <x:f>IF($A25="","",IF($AR25&gt;1,IF(AND($BW25&gt;= 'Setari model'!$B$35,$CE25&gt;=100*'Setari model'!$B$36,$BZ25&gt;= 'Setari model'!$B$37,$CA25&gt;= 'Setari model'!$B$38,$CF25&lt;&gt;"RIDICAT"),"PARIU RECOMANDAT",IF(AND($BW25&gt;= 'Setari model'!$B$39,$CE25&gt;=100*'Setari model'!$B$40,$BZ25&gt;= 'Setari model'!$B$41,$CA25&gt;=0,$CF25&lt;&gt;"RIDICAT"),"RECOMANDAT CU PRUDENȚĂ",IF(AND($BW25&gt;= 'Setari model'!$B$42,$CE25&gt;=100*'Setari model'!$B$43),"ANALIZĂ NECONCLUDENTĂ","PARIU EVITAT"))),IF(AND($BW25&gt;= 'Setari model'!$B$35,$CE25&gt;=100*'Setari model'!$B$36,$CF25&lt;&gt;"RIDICAT"),"FAVORABIL STATISTIC – VERIFICĂ COTA",IF(AND($BW25&gt;= 'Setari model'!$B$42,$CE25&gt;=100*'Setari model'!$B$43),"ANALIZĂ NECONCLUDENTĂ","PARIU EVITAT"))))</x:f>
      </x:c>
      <x:c r="CH25" s="67" t="str">
        <x:f t="shared" si="11">IF($A25="","","P(O0,5)="&amp;TEXT($BW25,"0.0%")&amp;"; λ ajustat="&amp;TEXT($BS25,"0.00")&amp;"; Confidence="&amp;TEXT($CE25,"0")&amp;"/100; Edge="&amp;TEXT($BZ25,"0.0%")&amp;"; risc="&amp;$CF25&amp;". "&amp;$BH25)</x:f>
      </x:c>
      <x:c r="CI25" s="68" t="str">
        <x:f t="shared" si="12">IF($A25="","",$BI25)</x:f>
      </x:c>
      <x:c r="CJ25" s="112"/>
      <x:c r="CK25" s="112"/>
      <x:c r="CL25" s="112"/>
      <x:c r="CM25" s="112"/>
      <x:c r="CN25" s="112"/>
      <x:c r="CO25" s="112"/>
      <x:c r="CP25" s="112"/>
      <x:c r="CQ25" s="112"/>
      <x:c r="CR25" s="112"/>
      <x:c r="CS25" s="112"/>
      <x:c r="CT25" s="112"/>
      <x:c r="CU25" s="112"/>
      <x:c r="CV25" s="112"/>
      <x:c r="CW25" s="112"/>
      <x:c r="CX25" s="112"/>
      <x:c r="CY25" s="112"/>
      <x:c r="CZ25" s="112"/>
      <x:c r="DA25" s="112"/>
      <x:c r="DB25" s="112"/>
      <x:c r="DC25" s="114"/>
      <x:c r="DD25" s="114"/>
      <x:c r="DE25" s="112" t="s">
        <x:v>266</x:v>
      </x:c>
      <x:c r="DF25" s="112"/>
      <x:c r="DG25" s="112"/>
      <x:c r="DH25" s="112"/>
      <x:c r="DI25" s="112"/>
      <x:c r="DJ25" s="112"/>
      <x:c r="DK25" s="112"/>
      <x:c r="DL25" s="112"/>
      <x:c r="DM25" s="112"/>
      <x:c r="DN25" s="112"/>
      <x:c r="DO25" s="112"/>
      <x:c r="DP25" s="112"/>
      <x:c r="DQ25" s="114"/>
      <x:c r="DR25" s="112">
        <x:v>1</x:v>
      </x:c>
      <x:c r="DS25" s="116">
        <x:v>0</x:v>
      </x:c>
      <x:c r="DT25" s="120"/>
      <x:c r="DU25" s="116">
        <x:v>0.02</x:v>
      </x:c>
      <x:c r="DV25" s="116">
        <x:v>0.25</x:v>
      </x:c>
      <x:c r="DW25" s="118" t="str">
        <x:f>IF($A25="","",MAX('Setari model'!$B$71,MIN('Setari model'!$B$72,1+0.08*(IFERROR(AVERAGE($CM25:$CN25)/'Setari model'!$B$66,1)-1)+0.08*(IFERROR(AVERAGE($CO25:$CP25)/'Setari model'!$B$67,1)-1)+0.06*(IFERROR(AVERAGE($CQ25:$CR25)/'Setari model'!$B$68,1)-1)+0.04*(IFERROR(AVERAGE($CS25:$CT25)/'Setari model'!$B$69,1)-1)+0.04*(IFERROR(AVERAGE($CU25:$CV25)/'Setari model'!$B$70,1)-1)-'Setari model'!$B$73*IFERROR(AVERAGE($CW25:$CX25),0))))</x:f>
      </x:c>
      <x:c r="DX25" s="118" t="str">
        <x:f>IF($A25="","",1+'Setari model'!$B$62*MAX(IF(OR($CK25=1,$CL25=1),1,0),IF(AND($CJ25&lt;&gt;"",$CJ25&lt;=1),1,0))+'Setari model'!$B$63*IF(AND($CJ25&gt;1,$CJ25&lt;=3),1,0))</x:f>
      </x:c>
      <x:c r="DY25" s="118" t="str">
        <x:f>IF($A25="","",1+'Setari model'!$B$74*(IF($CY25="",0,IF($CY25=0,1,0))+IF($CZ25="",0,IF($CZ25=0,1,0)))+'Setari model'!$B$75*(IF($DA25="",0,IF($DA25=0,1,0))+IF($DB25="",0,IF($DB25=0,1,0))))</x:f>
      </x:c>
      <x:c r="DZ25" s="117" t="str">
        <x:f>IF($A25="","",MIN(0.6,MAX(0.002,(((1-'Setari model'!$B$34*MIN(1,($I25+$P25)/20))*$BT25+'Setari model'!$B$34*MIN(1,($I25+$P25)/20)*IF(COUNT($N25,$U25)=2,SQRT(MAX(0,1-$N25)*MAX(0,1-$U25)),$BT25))*(1-'Setari model'!$B$65*MIN(1,IF($AN25="",0,$AN25/'Setari model'!$B$64)))+'Setari model'!$B$65*MIN(1,IF($AN25="",0,$AN25/'Setari model'!$B$64))*IF($AM25="",$BT25,$AM25))*$DX25*$DY25/$DW25)))</x:f>
      </x:c>
      <x:c r="EA25" s="117" t="str">
        <x:f>IF($A25="","",MIN(1-$DZ25,IF(OR(MIN($I25,$P25)&lt;'Setari model'!$B$58,$CK25=1,$CL25=1,AND($CJ25&lt;&gt;"",$CJ25&lt;=1)),'Setari model'!$B$59,IF(AND($AU25=1,$AR25&gt;1,COUNT($CY25:$DB25)=4),'Setari model'!$B$61,'Setari model'!$B$60))))</x:f>
      </x:c>
      <x:c r="EB25" s="115" t="str">
        <x:f t="shared" si="13">IF($A25="","",1/$EA25)</x:f>
      </x:c>
      <x:c r="EC25" s="117" t="str">
        <x:f t="shared" si="14">IF($A25="","",IF($AR25&gt;1,IF($AS25&gt;1,(1/$AR25)/((1/$AR25)+(1/$AS25)),1/$AR25),""))</x:f>
      </x:c>
      <x:c r="ED25" s="117" t="str">
        <x:f t="shared" si="15">IF($A25="","",IF($EC25="","",$EA25-$EC25))</x:f>
      </x:c>
      <x:c r="EE25" s="117" t="str">
        <x:f t="shared" si="16">""</x:f>
      </x:c>
      <x:c r="EF25" s="119" t="str">
        <x:f>IF($A25="","",MAX(0,MIN(100,$CE25-200*MAX(0,$EG25-'Setari model'!$B$77)-IF($AU25&lt;&gt;1,10,0)-IF(COUNT($CY25:$DB25)&lt;4,4,0))))</x:f>
      </x:c>
      <x:c r="EG25" s="117" t="str">
        <x:f>IF($A25="","",'Setari model'!$B$77+IF(MIN($I25,$P25)&lt;'Setari model'!$B$58,0.03,0)+IF(OR($CK25=1,$CL25=1,AND($CJ25&lt;&gt;"",$CJ25&lt;=1)),0.03,0)+IF($AG25=0,0.02,0)+0.03*(1-MIN(1,COUNT($CM25:$CV25)/10))+0.03*(1-MIN(1,IF($AN25="",0,$AN25/'Setari model'!$B$64)))+IF($AR25&lt;=1,0.02,0))</x:f>
      </x:c>
      <x:c r="EH25" s="113" t="str">
        <x:f>IF($A25="","",IF(OR(MIN($I25,$P25)&lt;'Setari model'!$B$58,$CK25=1,$CL25=1,AND($CJ25&lt;&gt;"",$CJ25&lt;=1)),"92% – early/regim",IF(AND($AU25=1,$AR25&gt;1,COUNT($CY25:$DB25)=4),"94% – confirmat","93% – standard")))</x:f>
      </x:c>
      <x:c r="EI25" s="113" t="str">
        <x:f t="shared" si="17">IF($A25="","",IF(AND($EA25&gt;0.9,$AU25&lt;&gt;1),"WAIT XI – HIGH P",IF(AND($EA25&gt;0.9,COUNT($CY25:$DB25)&lt;4),"WAIT DATE CHEIE – HIGH P",IF($EP25&lt;&gt;"DA","NU – PORTOFOLIU","DA"))))</x:f>
      </x:c>
      <x:c r="EJ25" s="117" t="str">
        <x:f t="shared" si="18">IF($A25="","",IF($DE25&lt;&gt;"Live 20-30","",IF(SUM($DG25:$DH25)&gt;0,1,IF($EU25="","",1-MIN(0.95,MAX(0.001,EXP(-$EU25)*$DX25*$DY25/$DW25))))))</x:f>
      </x:c>
      <x:c r="EK25" s="117" t="str">
        <x:f t="shared" si="19">""</x:f>
      </x:c>
      <x:c r="EL25" s="113" t="str">
        <x:f>IF($A25="","",IF($DE25="Live 20-30",IF(SUM($DG25:$DH25)&gt;0,"EVENIMENT ÎNDEPLINIT",IF(OR($DF25="",COUNT($DI25:$DN25)&lt;4),"LIVE – WATCH",IF($EJ25&gt;=0.75,"LIVE – FEZABIL TEHNIC","LIVE – NO BET"))),IF($EI25&lt;&gt;"DA","WATCH / NO BET",IF(AND($EA25&gt;=INDEX('Setari model'!$B$35:$B$40,1),$EF25&gt;=100*'Setari model'!$B$76),"PARIU RECOMANDAT",IF(AND($EA25&gt;=INDEX('Setari model'!$B$35:$B$40,5),$EF25&gt;=100*'Setari model'!$B$40),"WATCH – APROAPE DE PRAG","PARIU EVITAT")))))</x:f>
      </x:c>
      <x:c r="EM25" s="113" t="str">
        <x:f t="shared" si="20">IF($A25="","",IF($DE25="Live 20-30",IF(SUM($DG25:$DH25)&gt;0,"Gol deja marcat.",IF($DF25="","Minut live lipsă.",IF(COUNT($DI25:$DN25)&lt;4,"Lipsesc xG/SOT/big chances live.",IF($EJ25&lt;0.75,"P live sub prag.","Semnal live tehnic complet; EV ignorat.")))),IF($EI25&lt;&gt;"DA",$EI25,IF($EF25&lt;75,"Confidence sub 75.",IF($EA25&lt;0.92,"P sub 92%.","G0/Zero-Mass + confidence trecute; EV ignorat.")))))</x:f>
      </x:c>
      <x:c r="EN25" s="117" t="str">
        <x:f>IF($A25="","",IF(OR($EL25="PARIU RECOMANDAT",$EL25="LIVE – FEZABIL"),MIN(IF($DU25&gt;0,$DU25,'Setari model'!$B$81)/MAX(1,$DR25),IF($DV25&gt;0,$DV25,'Setari model'!$B$80)*MAX(0,((IF($DE25="Live 20-30",$EJ25,$EA25)*IF($DE25="Live 20-30",$DQ25,$AR25)-1)/(IF($DE25="Live 20-30",$DQ25,$AR25)-1)))),0))</x:f>
      </x:c>
      <x:c r="EO25" s="121" t="str">
        <x:f t="shared" si="21">IF($A25="","",IF(AND($EN25&gt;0,$DT25&gt;0),$EN25*$DT25,""))</x:f>
      </x:c>
      <x:c r="EP25" s="113" t="str">
        <x:f>IF($A25="","",IF(OR($DR25&lt;1,$DR25&gt;'Setari model'!$B$78),"NU – 1–5 selecții",IF($DS25&gt;'Setari model'!$B$79,"NU – corelație", "DA")))</x:f>
      </x:c>
      <x:c r="EQ25" s="117" t="str">
        <x:f t="shared" si="22">IF($A25="","",IF(AND($DC25&gt;1,$DD25&gt;1),$DC25/$DD25-1,""))</x:f>
      </x:c>
      <x:c r="ER25" s="113" t="str">
        <x:f t="shared" si="23">IF($A25="","","P v2="&amp;TEXT($EA25,"0.0%")&amp;" ±"&amp;TEXT($EG25,"0.0%")&amp;"; P0 ZIP="&amp;TEXT($DZ25,"0.0%")&amp;"; Confidence="&amp;TEXT($EF25,"0")&amp;"/100; piață reală="&amp;IF($EC25="","NU","DA")&amp;"; EV="&amp;IF($EE25="","n/a",TEXT($EE25,"0.0%"))&amp;"; gate="&amp;$EI25&amp;"; verdict="&amp;$EL25&amp;". "&amp;$EM25)</x:f>
      </x:c>
      <x:c r="ES25" s="119" t="str">
        <x:f>IF($A25="","",'Setari model'!$B$82)</x:f>
      </x:c>
      <x:c r="ET25" s="118" t="str">
        <x:f>IF($A25="","",'Setari model'!$B$83)</x:f>
      </x:c>
      <x:c r="EU25" s="115" t="str">
        <x:f t="shared" si="24">IF(OR($A25="",$DE25&lt;&gt;"Live 20-30",$DF25="",$DF25&lt;$ES25,$DF25&gt;=90),"",MAX(0.05,MIN($BS25*$ET25,$BS25*(90-$DF25)/90+0.35*($DI25+$DJ25)+0.06*($DK25+$DL25)+0.15*($DM25+$DN25)+0.1*(MAX($DO25,$DP25)-MIN($DO25,$DP25)))))</x:f>
      </x:c>
      <x:c r="EV25" s="132"/>
      <x:c r="EW25" s="132"/>
      <x:c r="EX25" s="132"/>
      <x:c r="EY25" s="132"/>
      <x:c r="EZ25" s="132"/>
      <x:c r="FA25" s="132"/>
      <x:c r="FB25" s="247"/>
      <x:c r="FC25" s="134" t="str">
        <x:f t="shared" si="25">IF($A25="","",IF(OR($J25="",$L25="",$L25&lt;=0),"",MAX(0.5,MIN(1.5,$J25/$L25))))</x:f>
      </x:c>
      <x:c r="FD25" s="134" t="str">
        <x:f t="shared" si="26">IF($A25="","",IF(OR($Q25="",$S25="",$S25&lt;=0),"",MAX(0.5,MIN(1.5,$Q25/$S25))))</x:f>
      </x:c>
      <x:c r="FE25" s="134" t="str">
        <x:f>IF($A25="","",IF(COUNT($EV25:$EW25)&lt;2,"",SQRT($EV25*$EW25)/'Setari model'!$B$87))</x:f>
      </x:c>
      <x:c r="FF25" s="134" t="str">
        <x:f>IF($A25="","",IF(COUNT($O25,$V25,$EX25,$EY25)&lt;4,"",AVERAGE(SQRT($O25*$EY25),SQRT($V25*$EX25))/'Setari model'!$B$88))</x:f>
      </x:c>
      <x:c r="FG25" s="134" t="str">
        <x:f t="shared" si="27">IF($A25="","",IF(COUNT($FC25:$FD25)&lt;2,"",MAX(0,1-AVERAGE($FC25:$FD25))))</x:f>
      </x:c>
      <x:c r="FH25" s="134" t="str">
        <x:f>IF($A25="","",IF(COUNT($EZ25:$FA25)&lt;2,"",'Setari model'!$B$94*AVERAGE($EZ25:$FA25)/'Setari model'!$B$89))</x:f>
      </x:c>
      <x:c r="FI25" s="134" t="str">
        <x:f>IF($A25="","",IF(COUNT($FE25:$FH25)&lt;4,"",MAX('Setari model'!$B$97,MIN('Setari model'!$B$98,1+'Setari model'!$B$90*($FE25-1)+'Setari model'!$B$91*($FF25-1)+'Setari model'!$B$92*$FG25+'Setari model'!$B$93*($FH25-1)))))</x:f>
      </x:c>
      <x:c r="FJ25" s="133" t="str">
        <x:f>IF($A25="","",IF($FI25="","",MIN('Setari model'!$B$101,MAX(0.002,$DZ25*$FI25))))</x:f>
      </x:c>
      <x:c r="FK25" s="131" t="str">
        <x:f t="shared" si="28">IF($A25="","",IF(AND(COUNT($EV25:$FA25)=6,COUNT($O25,$V25,$FC25,$FD25)=4),"DA","NU"))</x:f>
      </x:c>
      <x:c r="FL25" s="131" t="str">
        <x:f>IF($A25="","",IF($FK25&lt;&gt;"DA","NEDETERMINAT",IF($FI25&lt;='Setari model'!$B$99,"SCĂZUT",IF($FI25&lt;='Setari model'!$B$100,"MEDIU","RIDICAT"))))</x:f>
      </x:c>
      <x:c r="FM25" s="131" t="str">
        <x:f>IF($A25="","",IF(AND($AR25&gt;1,$EC25&gt;='Setari model'!$B$106),"DA","NU"))</x:f>
      </x:c>
      <x:c r="FN25" s="131" t="str">
        <x:f t="shared" si="29">IF($A25="","",IF(AND($AU25=1,COUNT($CY25:$DB25)=4),"DA","NU"))</x:f>
      </x:c>
      <x:c r="FO25" s="133" t="str">
        <x:f>IF($A25="","",IF(OR($FK25&lt;&gt;"DA",$FL25="RIDICAT"),'Setari model'!$B$102,IF($FL25="MEDIU",'Setari model'!$B$103,IF(AND($FM25="DA",$FN25="DA"),'Setari model'!$B$105,'Setari model'!$B$104))))</x:f>
      </x:c>
      <x:c r="FP25" s="133" t="str">
        <x:f t="shared" si="30">IF($A25="","",IF($FJ25="","",MIN(1-$FJ25,$FO25)))</x:f>
      </x:c>
      <x:c r="FQ25" s="135" t="str">
        <x:f t="shared" si="31">IF($A25="","",IF($FP25="","",IF($FP25&gt;0,1/$FP25,"")))</x:f>
      </x:c>
      <x:c r="FR25" s="133" t="str">
        <x:f t="shared" si="32">IF($A25="","",IF($EC25="","",$FP25-$EC25))</x:f>
      </x:c>
      <x:c r="FS25" s="133" t="str">
        <x:f t="shared" si="33">IF($A25="","",IF($AR25&gt;1,$FP25*$AR25-1,""))</x:f>
      </x:c>
      <x:c r="FT25" s="136" t="str">
        <x:f>IF($A25="","",MAX(0,MIN(100,$EF25-IF($FK25&lt;&gt;"DA",'Setari model'!$B$107,0)-IF($FL25="MEDIU",'Setari model'!$B$108,0)-IF($FL25="RIDICAT",'Setari model'!$B$109,0))))</x:f>
      </x:c>
      <x:c r="FU25" s="131" t="str">
        <x:f t="shared" si="34">IF($A25="","",IF($AR25&lt;=1,"NU – LIPSEȘTE COTA REALĂ",IF($FK25&lt;&gt;"DA","NU – ZERO-RISK INCOMPLET",IF($FL25&lt;&gt;"SCĂZUT","NU – RISC 0-0 "&amp;$FL25,IF($FN25&lt;&gt;"DA","NU – LINEUP NECONFIRMAT",IF($FM25&lt;&gt;"DA","NU – PIAȚĂ NECONFIRMATĂ",IF($EP25&lt;&gt;"DA","NU – PORTOFOLIU","DA")))))))</x:f>
      </x:c>
      <x:c r="FV25" s="131" t="str">
        <x:f>IF($A25="","",IF($FU25&lt;&gt;"DA","WATCH / NO BET",IF(AND($FP25&gt;='Setari model'!$B$35,$FT25&gt;=100*'Setari model'!$B$76,$FS25&gt;0),"PARIU RECOMANDAT",IF(AND($FP25&gt;='Setari model'!$B$39,$FT25&gt;=100*'Setari model'!$B$40,$FS25&gt;0),"WATCH – APROAPE DE PRAG","PARIU EVITAT"))))</x:f>
      </x:c>
      <x:c r="FW25" s="131" t="str">
        <x:f t="shared" si="35">IF($A25="","",IF($FU25&lt;&gt;"DA",$FU25,IF($FT25&lt;75,"Confidence v3 sub 75.",IF($FP25&lt;0.92,"P v3 sub 92%.",IF($FS25&lt;=0,"EV v3 nepozitiv.","P0 v3, lineup și piață confirmate.")))))</x:f>
      </x:c>
      <x:c r="FX25" s="131" t="str">
        <x:f t="shared" si="36">IF($A25="","","P v3="&amp;TEXT($FP25,"0.0%")&amp;"; P0 v3="&amp;TEXT($FJ25,"0.0%")&amp;"; factor zero="&amp;IF($FI25="","n/a",TEXT($FI25,"0.00x"))&amp;" ("&amp;$FL25&amp;"); cap="&amp;TEXT($FO25,"0.0%")&amp;"; Confidence="&amp;TEXT($FT25,"0")&amp;"/100; lineup="&amp;$FN25&amp;"; piață="&amp;$FM25&amp;"; EV="&amp;IF($FS25="","n/a",TEXT($FS25,"0.0%"))&amp;"; gate="&amp;$FU25&amp;"; verdict="&amp;$FV25&amp;". "&amp;$FW25)</x:f>
      </x:c>
      <x:c r="FY25" s="159"/>
      <x:c r="FZ25" s="159"/>
      <x:c r="GA25" s="157"/>
      <x:c r="GB25" s="157"/>
      <x:c r="GC25" s="161" t="str">
        <x:f t="shared" si="37">IF($A25="","",IF(OR($X25="",$Z25="",$Z25&lt;=0),"",MAX(0.5,MIN(1.5,$X25/$Z25))))</x:f>
      </x:c>
      <x:c r="GD25" s="161" t="str">
        <x:f t="shared" si="38">IF($A25="","",IF(OR($AC25="",$AE25="",$AE25&lt;=0),"",MAX(0.5,MIN(1.5,$AC25/$AE25))))</x:f>
      </x:c>
      <x:c r="GE25" s="162" t="str">
        <x:f t="shared" si="39">IF($A25="","",IF(COUNT($Z25,$AE25)&lt;2,"",AVERAGE($Z25,$AE25)))</x:f>
      </x:c>
      <x:c r="GF25" s="158" t="str">
        <x:f>IF($A25="","",IF(COUNT($FY25:$FZ25)&lt;2,"NEDETERMINAT",IF(AND($FY25&gt;='Setari model'!$B$113,$FZ25&gt;='Setari model'!$B$113),"DA","NU")))</x:f>
      </x:c>
      <x:c r="GG25" s="158" t="str">
        <x:f>IF($A25="","",IF(COUNT($FY25:$FZ25,$EX25:$EY25)&lt;4,"NEDETERMINAT",IF(OR(AND($FY25&gt;='Setari model'!$B$113,$EY25&gt;='Setari model'!$B$114),AND($FZ25&gt;='Setari model'!$B$113,$EX25&gt;='Setari model'!$B$114)),"DA","NU")))</x:f>
      </x:c>
      <x:c r="GH25" s="158" t="str">
        <x:f>IF($A25="","",IF(COUNT($BJ25:$BN25,$GC25:$GE25)&lt;8,"NEDETERMINAT",IF(AND((($BJ25*INDEX('Setari model'!$B$5:$B$11,MATCH($E25,'Setari model'!$A$5:$A$11,0))+$BK25*INDEX('Setari model'!$C$5:$C$11,MATCH($E25,'Setari model'!$A$5:$A$11,0))+$BL25*INDEX('Setari model'!$D$5:$D$11,MATCH($E25,'Setari model'!$A$5:$A$11,0))+$BM25*INDEX('Setari model'!$E$5:$E$11,MATCH($E25,'Setari model'!$A$5:$A$11,0))+$BN25*INDEX('Setari model'!$F$5:$F$11,MATCH($E25,'Setari model'!$A$5:$A$11,0)))/(INDEX('Setari model'!$B$5:$B$11,MATCH($E25,'Setari model'!$A$5:$A$11,0))+INDEX('Setari model'!$C$5:$C$11,MATCH($E25,'Setari model'!$A$5:$A$11,0))+INDEX('Setari model'!$D$5:$D$11,MATCH($E25,'Setari model'!$A$5:$A$11,0))+INDEX('Setari model'!$E$5:$E$11,MATCH($E25,'Setari model'!$A$5:$A$11,0))+INDEX('Setari model'!$F$5:$F$11,MATCH($E25,'Setari model'!$A$5:$A$11,0))))*$BR25&gt;='Setari model'!$B$115,(($BJ25*INDEX('Setari model'!$B$5:$B$11,MATCH($E25,'Setari model'!$A$5:$A$11,0))+$BK25*INDEX('Setari model'!$C$5:$C$11,MATCH($E25,'Setari model'!$A$5:$A$11,0))+$BL25*INDEX('Setari model'!$D$5:$D$11,MATCH($E25,'Setari model'!$A$5:$A$11,0))+$BM25*INDEX('Setari model'!$E$5:$E$11,MATCH($E25,'Setari model'!$A$5:$A$11,0))+$BN25*INDEX('Setari model'!$F$5:$F$11,MATCH($E25,'Setari model'!$A$5:$A$11,0)))/(INDEX('Setari model'!$B$5:$B$11,MATCH($E25,'Setari model'!$A$5:$A$11,0))+INDEX('Setari model'!$C$5:$C$11,MATCH($E25,'Setari model'!$A$5:$A$11,0))+INDEX('Setari model'!$D$5:$D$11,MATCH($E25,'Setari model'!$A$5:$A$11,0))+INDEX('Setari model'!$E$5:$E$11,MATCH($E25,'Setari model'!$A$5:$A$11,0))+INDEX('Setari model'!$F$5:$F$11,MATCH($E25,'Setari model'!$A$5:$A$11,0))))*$BR25&lt;='Setari model'!$B$116,AVERAGE($GC25:$GD25)&lt;='Setari model'!$B$117,$GE25&gt;='Setari model'!$B$118),"DA","NU")))</x:f>
      </x:c>
      <x:c r="GI25" s="158" t="str">
        <x:f>IF($A25="","",IF(COUNT($W25,$AB25,$GA25:$GB25)&lt;4,"NEDETERMINAT",IF(AND($W25&gt;='Setari model'!$B$120,$AB25&gt;='Setari model'!$B$120,OR(IFERROR($GA25/$W25,0)&gt;='Setari model'!$B$119,IFERROR($GB25/$AB25,0)&gt;='Setari model'!$B$119)),"DA","NU")))</x:f>
      </x:c>
      <x:c r="GJ25" s="160" t="str">
        <x:f>IF($A25="","",IF(COUNT($FY25:$GB25)&lt;4,"",IF($GH25&lt;&gt;"DA",0,'Setari model'!$B$121*IF($GF25="DA",1,0)+'Setari model'!$B$122*IF($GG25="DA",1,0)+'Setari model'!$B$123+'Setari model'!$B$124*IF($GI25="DA",1,0))))</x:f>
      </x:c>
      <x:c r="GK25" s="161" t="str">
        <x:f>IF($A25="","",IF(COUNT($GJ25)=0,"",1+'Setari model'!$B$125*$GJ25))</x:f>
      </x:c>
      <x:c r="GL25" s="160" t="str">
        <x:f>IF($A25="","",IF($GM25&lt;&gt;"DA",$FJ25,MIN('Setari model'!$B$101,MAX(0.002,$FJ25*$GK25))))</x:f>
      </x:c>
      <x:c r="GM25" s="158" t="str">
        <x:f>IF($A25="","",IF(AND($FK25="DA",COUNT($FY25:$GB25)=4,COUNT($I25,$P25,$W25,$AB25,$Z25,$AE25,$EX25,$EY25,$GC25,$GD25)=10,COUNT($BJ25:$BN25)=5),"DA","NU"))</x:f>
      </x:c>
      <x:c r="GN25" s="158" t="str">
        <x:f>IF($A25="","",IF($GM25&lt;&gt;"DA","NEDETERMINAT",IF($FI25*$GK25&lt;='Setari model'!$B$99,"SCĂZUT",IF($FI25*$GK25&lt;='Setari model'!$B$100,"MEDIU","RIDICAT"))))</x:f>
      </x:c>
      <x:c r="GO25" s="160" t="str">
        <x:f>IF($A25="","",IF(OR($GM25&lt;&gt;"DA",$GN25="RIDICAT"),'Setari model'!$B$102,IF($GN25="MEDIU",'Setari model'!$B$103,IF(AND($FM25="DA",$FN25="DA"),'Setari model'!$B$105,'Setari model'!$B$104))))</x:f>
      </x:c>
      <x:c r="GP25" s="160" t="str">
        <x:f t="shared" si="40">IF($A25="","",IF($GL25="","",MIN(1-$GL25,$GO25)))</x:f>
      </x:c>
      <x:c r="GQ25" s="162" t="str">
        <x:f t="shared" si="41">IF($A25="","",IF($GP25="","",IF($GP25&gt;0,1/$GP25,"")))</x:f>
      </x:c>
      <x:c r="GR25" s="160" t="str">
        <x:f t="shared" si="42">IF($A25="","",IF($EC25="","",$GP25-$EC25))</x:f>
      </x:c>
      <x:c r="GS25" s="160" t="str">
        <x:f t="shared" si="43">IF($A25="","",IF($AR25&gt;1,$GP25*$AR25-1,""))</x:f>
      </x:c>
      <x:c r="GT25" s="163" t="str">
        <x:f>IF($A25="","",MAX(0,MIN(100,$FT25-IF(AND($GM25&lt;&gt;"DA",$FK25="DA"),'Setari model'!$B$107,0)-'Setari model'!$B$126*IF($GJ25="",0,$GJ25))))</x:f>
      </x:c>
      <x:c r="GU25" s="158" t="str">
        <x:f t="shared" si="44">IF($A25="","",IF($AR25&lt;=1,"NU – LIPSEȘTE COTA REALĂ",IF($GM25&lt;&gt;"DA","NU – DATE LOW-CONVERSION INCOMPLETE",IF($GN25&lt;&gt;"SCĂZUT","NU – RISC 0-0 "&amp;$GN25,IF($FN25&lt;&gt;"DA","NU – LINEUP NECONFIRMAT",IF($FM25&lt;&gt;"DA","NU – PIAȚĂ NECONFIRMATĂ",IF($EP25&lt;&gt;"DA","NU – PORTOFOLIU","DA")))))))</x:f>
      </x:c>
      <x:c r="GV25" s="158" t="str">
        <x:f>IF($A25="","",IF($GU25&lt;&gt;"DA","WATCH / NO BET",IF(AND($GP25&gt;='Setari model'!$B$35,$GT25&gt;=100*'Setari model'!$B$76,$GS25&gt;0),"PARIU RECOMANDAT",IF(AND($GP25&gt;='Setari model'!$B$39,$GT25&gt;=100*'Setari model'!$B$40,$GS25&gt;0),"WATCH – APROAPE DE PRAG","PARIU EVITAT"))))</x:f>
      </x:c>
      <x:c r="GW25" s="158" t="str">
        <x:f t="shared" si="45">IF($A25="","",IF($GU25&lt;&gt;"DA",$GU25,IF($GT25&lt;75,"Confidence v5 sub 75.",IF($GP25&lt;0.92,"P v5 sub 92%.",IF($GS25&lt;=0,"EV v5 nepozitiv.",IF($GJ25&gt;0,"Low-conversion absorbit în P0; toate porțile rămân trecute.","Toate porțile v5 sunt trecute."))))))</x:f>
      </x:c>
      <x:c r="GX25" s="158" t="str">
        <x:f t="shared" si="46">IF($A25="","","P v5="&amp;TEXT($GP25,"0.0%")&amp;"; P0 v5="&amp;TEXT($GL25,"0.0%")&amp;"; low-conv="&amp;IF(COUNT($GJ25)=0,"n/a",TEXT($GJ25,"0%"))&amp;"; mult.P0="&amp;IF(COUNT($GK25)=0,"n/a",TEXT($GK25,"0.00"))&amp;"; clasă="&amp;$GN25&amp;"; cap="&amp;TEXT($GO25,"0.0%")&amp;"; Confidence="&amp;TEXT($GT25,"0")&amp;"/100; lineup="&amp;$FN25&amp;"; piață="&amp;$FM25&amp;"; EV="&amp;IF($GS25="","n/a",TEXT($GS25,"0.0%"))&amp;"; gate="&amp;$GU25&amp;"; verdict="&amp;$GV25&amp;". "&amp;$GW25)</x:f>
      </x:c>
      <x:c r="GY25" s="174" t="str">
        <x:f>IF($A25="","",IF($GM25&lt;&gt;"DA","SOURCING INCOMPLETE – REVIEW REQUIRED",IF(MIN($I25,$P25,$W25,$AB25)&lt;'Setari model'!$B$58,"SMALL SAMPLE + PRIOR / SHRINKAGE","VERIFIED / PRIOR / SHRINKAGE")))</x:f>
      </x:c>
      <x:c r="GZ25" s="175" t="str">
        <x:f t="shared" si="47">IF($A25="","",MAX(0,MIN(100,100*(1-AVERAGE(IF($GM25="DA",1,0),MIN(1,$AT25/5))))))</x:f>
      </x:c>
      <x:c r="HA25" s="175" t="str">
        <x:f>IF($A25="","",IF($GM25&lt;&gt;"DA","",MAX(0,MIN(100,100*(($FI25*$GK25)-'Setari model'!$B$97)/('Setari model'!$B$98-'Setari model'!$B$97)))))</x:f>
      </x:c>
      <x:c r="HB25" s="175" t="str">
        <x:f>IF($A25="","",MAX(0,MIN(100,100*(ABS($BR25-1)/MAX(1-'Setari model'!$B$53,'Setari model'!$B$54-1)+MIN(1,$BG25/2))/2)))</x:f>
      </x:c>
      <x:c r="HC25" s="175" t="str">
        <x:f t="shared" si="48">IF($A25="","",MAX(0,MIN(100,100*(1-AVERAGE($CC25,MAX(0,1-(MAX($BJ25:$BN25)-MIN($BJ25:$BN25))/(AVERAGE($BJ25:$BN25)*'Setari model'!$B$45)))))))</x:f>
      </x:c>
      <x:c r="HD25" s="175" t="str">
        <x:f t="shared" si="49">IF($A25="","",MAX(0,MIN(100,100*MAX(IF($GJ25="",0,$GJ25),MIN(1,$BG25/2)))))</x:f>
      </x:c>
      <x:c r="HE25" s="175" t="str">
        <x:f>IF($A25="","",IF(COUNT($GZ25:$HD25)&lt;5,"",$GZ25*Risk_Classification!$E$28+$HA25*Risk_Classification!$E$29+$HB25*Risk_Classification!$E$30+$HC25*Risk_Classification!$E$31+$HD25*Risk_Classification!$E$32))</x:f>
      </x:c>
      <x:c r="HF25" s="176" t="str">
        <x:f t="shared" si="50">IF($A25="","",IF($HE25="","",IF($HE25&lt;=20,1,IF($HE25&lt;=40,2,IF($HE25&lt;=60,3,IF($HE25&lt;=80,4,5))))))</x:f>
      </x:c>
      <x:c r="HG25" s="176" t="str">
        <x:f t="shared" si="51">IF($A25="","",IF($GM25="DA","PASS","FAIL – DATE CRITICE ZERO-MASS INCOMPLETE"))</x:f>
      </x:c>
      <x:c r="HH25" s="176" t="str">
        <x:f t="shared" si="52">IF($A25="","",IF($HG25&lt;&gt;"PASS",5,$HF25))</x:f>
      </x:c>
      <x:c r="HI25" s="174" t="str">
        <x:f t="shared" si="53">IF($A25="","",IF($HH25="","N/A",IF($HH25=1,"DEFENSIV",IF($HH25=2,"PRUDENT",IF($HH25=3,"MODERAT",IF($HH25=4,"RIDICAT","WATCH / NO BET"))))))</x:f>
      </x:c>
      <x:c r="HJ25" s="177" t="str">
        <x:f t="shared" si="54">IF($A25="","","Data="&amp;$GY25&amp;"; DQ="&amp;TEXT($GZ25,"0.0")&amp;"; ZM="&amp;IF($HA25="","n/a",TEXT($HA25,"0.0"))&amp;"; Context="&amp;TEXT($HB25,"0.0")&amp;"; Uncertainty="&amp;TEXT($HC25,"0.0")&amp;"; Compound="&amp;TEXT($HD25,"0.0")&amp;"; Risk Score="&amp;IF($HE25="","n/a",TEXT($HE25,"0.0"))&amp;"; Base="&amp;IF($HF25="","n/a",$HF25)&amp;"; G0="&amp;$HG25&amp;"; Final="&amp;$HH25&amp;". Cota, EV si lineup sunt informative si nu intra in recomandare.")</x:f>
      </x:c>
      <x:c r="HK25" s="174" t="str">
        <x:f t="shared" si="55">IF($A25="","",$HI25)</x:f>
      </x:c>
    </x:row>
    <x:row r="26" ht="24" customHeight="1">
      <x:c r="A26" s="58"/>
      <x:c r="B26" s="24"/>
      <x:c r="C26" s="59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18"/>
      <x:c r="O26" s="18"/>
      <x:c r="P26" s="24"/>
      <x:c r="Q26" s="24"/>
      <x:c r="R26" s="24"/>
      <x:c r="S26" s="24"/>
      <x:c r="T26" s="24"/>
      <x:c r="U26" s="18"/>
      <x:c r="V26" s="18"/>
      <x:c r="W26" s="24"/>
      <x:c r="X26" s="24"/>
      <x:c r="Y26" s="24"/>
      <x:c r="Z26" s="24"/>
      <x:c r="AA26" s="24"/>
      <x:c r="AB26" s="24"/>
      <x:c r="AC26" s="24"/>
      <x:c r="AD26" s="24"/>
      <x:c r="AE26" s="24"/>
      <x:c r="AF26" s="24"/>
      <x:c r="AG26" s="24"/>
      <x:c r="AH26" s="24"/>
      <x:c r="AI26" s="18"/>
      <x:c r="AJ26" s="24"/>
      <x:c r="AK26" s="24"/>
      <x:c r="AL26" s="24"/>
      <x:c r="AM26" s="18"/>
      <x:c r="AN26" s="24"/>
      <x:c r="AO26" s="60"/>
      <x:c r="AP26" s="60"/>
      <x:c r="AQ26" s="60"/>
      <x:c r="AR26" s="60"/>
      <x:c r="AS26" s="60"/>
      <x:c r="AT26" s="24"/>
      <x:c r="AU26" s="24"/>
      <x:c r="AV26" s="24"/>
      <x:c r="AW26" s="24"/>
      <x:c r="AX26" s="24"/>
      <x:c r="AY26" s="24"/>
      <x:c r="AZ26" s="24"/>
      <x:c r="BA26" s="24"/>
      <x:c r="BB26" s="24"/>
      <x:c r="BC26" s="24"/>
      <x:c r="BD26" s="24"/>
      <x:c r="BE26" s="24"/>
      <x:c r="BF26" s="24"/>
      <x:c r="BG26" s="24"/>
      <x:c r="BH26" s="61"/>
      <x:c r="BI26" s="61"/>
      <x:c r="BJ26" s="62" t="str">
        <x:f>IF($A26="","",SQRT((($I26*IF($J26="",$AJ26,$J26)+'Setari model'!$B$30*$AJ26)/($I26+'Setari model'!$B$30))*(($P26*IF($R26="",$AJ26,$R26)+'Setari model'!$B$30*$AJ26)/($P26+'Setari model'!$B$30)))+SQRT((($P26*IF($Q26="",$AK26,$Q26)+'Setari model'!$B$30*$AK26)/($P26+'Setari model'!$B$30))*(($I26*IF($K26="",$AK26,$K26)+'Setari model'!$B$30*$AK26)/($I26+'Setari model'!$B$30))))</x:f>
      </x:c>
      <x:c r="BK26" s="62" t="str">
        <x:f>IF($A26="","",SQRT((($I26*IF($L26="",IF($J26="",$AJ26,$J26),$L26)+'Setari model'!$B$30*$AJ26)/($I26+'Setari model'!$B$30))*(($P26*IF($T26="",IF($R26="",$AJ26,$R26),$T26)+'Setari model'!$B$30*$AJ26)/($P26+'Setari model'!$B$30)))+SQRT((($P26*IF($S26="",IF($Q26="",$AK26,$Q26),$S26)+'Setari model'!$B$30*$AK26)/($P26+'Setari model'!$B$30))*(($I26*IF($M26="",IF($K26="",$AK26,$K26),$M26)+'Setari model'!$B$30*$AK26)/($I26+'Setari model'!$B$30))))</x:f>
      </x:c>
      <x:c r="BL26" s="62" t="str">
        <x:f>IF($A26="","",SQRT((($W26*IF($X26="",$AL26/2,$X26)+'Setari model'!$B$31*$AL26/2)/($W26+'Setari model'!$B$31))*(($AB26*IF($AD26="",$AL26/2,$AD26)+'Setari model'!$B$31*$AL26/2)/($AB26+'Setari model'!$B$31)))+SQRT((($AB26*IF($AC26="",$AL26/2,$AC26)+'Setari model'!$B$31*$AL26/2)/($AB26+'Setari model'!$B$31))*(($W26*IF($Y26="",$AL26/2,$Y26)+'Setari model'!$B$31*$AL26/2)/($W26+'Setari model'!$B$31))))</x:f>
      </x:c>
      <x:c r="BM26" s="62" t="str">
        <x:f>IF($A26="","",SQRT((($W26*IF($Z26="",IF($X26="",$AL26/2,$X26),$Z26)+'Setari model'!$B$31*$AL26/2)/($W26+'Setari model'!$B$31))*(($AB26*IF($AF26="",IF($AD26="",$AL26/2,$AD26),$AF26)+'Setari model'!$B$31*$AL26/2)/($AB26+'Setari model'!$B$31)))+SQRT((($AB26*IF($AE26="",IF($AC26="",$AL26/2,$AC26),$AE26)+'Setari model'!$B$31*$AL26/2)/($AB26+'Setari model'!$B$31))*(($W26*IF($AA26="",IF($Y26="",$AL26/2,$Y26),$AA26)+'Setari model'!$B$31*$AL26/2)/($W26+'Setari model'!$B$31))))</x:f>
      </x:c>
      <x:c r="BN26" s="62" t="str">
        <x:f t="shared" si="0">IF($A26="","",IF($AG26&gt;0,($AG26*IF($AH26="",$AL26,$AH26)+5*$AL26)/($AG26+5),$AL26))</x:f>
      </x:c>
      <x:c r="BO26" s="63" t="str">
        <x:f>IF($A26="","",IF($AR26&gt;1,IF($AS26&gt;1,(1/$AR26)/((1/$AR26+1/$AS26)),MIN(0.995,(1/$AR26)/(1+'Setari model'!$B$32))),1-EXP(-$AL26)))</x:f>
      </x:c>
      <x:c r="BP26" s="62" t="str">
        <x:f t="shared" si="1">IF($A26="","",-LN(1-$BO26))</x:f>
      </x:c>
      <x:c r="BQ26" s="62" t="str">
        <x:f>IF($A26="","",$BJ26*INDEX('Setari model'!$B$5:$B$11,MATCH($E26,'Setari model'!$A$5:$A$11,0))+$BK26*INDEX('Setari model'!$C$5:$C$11,MATCH($E26,'Setari model'!$A$5:$A$11,0))+$BL26*INDEX('Setari model'!$D$5:$D$11,MATCH($E26,'Setari model'!$A$5:$A$11,0))+$BM26*INDEX('Setari model'!$E$5:$E$11,MATCH($E26,'Setari model'!$A$5:$A$11,0))+$BN26*INDEX('Setari model'!$F$5:$F$11,MATCH($E26,'Setari model'!$A$5:$A$11,0))+$BP26*INDEX('Setari model'!$G$5:$G$11,MATCH($E26,'Setari model'!$A$5:$A$11,0)))</x:f>
      </x:c>
      <x:c r="BR26" s="64" t="str">
        <x:f>IF($A26="","",MAX('Setari model'!$B$53,MIN('Setari model'!$B$54,1+($AV26*'Setari model'!$B$15+$AW26*'Setari model'!$B$16+$AX26*'Setari model'!$B$17+$AY26*'Setari model'!$B$18+$AZ26*'Setari model'!$B$19+$BA26*'Setari model'!$B$20+$BB26*'Setari model'!$B$21+$BC26*'Setari model'!$B$22+$BD26*'Setari model'!$B$23+$BE26*'Setari model'!$B$24+$BF26*'Setari model'!$B$25)*INDEX('Setari model'!$H$5:$H$11,MATCH($E26,'Setari model'!$A$5:$A$11,0)))))</x:f>
      </x:c>
      <x:c r="BS26" s="62" t="str">
        <x:f t="shared" si="2">IF($A26="","",$BQ26*$BR26)</x:f>
      </x:c>
      <x:c r="BT26" s="63" t="str">
        <x:f t="shared" si="3">IF($A26="","",EXP(-$BS26))</x:f>
      </x:c>
      <x:c r="BU26" s="65" t="str">
        <x:f>IF($A26="","",IF(OR($AM26="",$AN26=""),1,1+MIN('Setari model'!$B$33,$AN26/100*'Setari model'!$B$33)*($AM26/EXP(-$AL26)-1)))</x:f>
      </x:c>
      <x:c r="BV26" s="63" t="str">
        <x:f>IF($A26="","",MIN(0.45,MAX(0.005,(1-'Setari model'!$B$34*MIN(1,($I26+$P26)/20))*MIN(0.45,$BT26*$BU26)+'Setari model'!$B$34*MIN(1,($I26+$P26)/20)*IF(COUNT($N26,$U26)=2,SQRT(MAX(0,1-$N26)*MAX(0,1-$U26)),IF($AM26="",EXP(-$AL26),$AM26)))))</x:f>
      </x:c>
      <x:c r="BW26" s="63" t="str">
        <x:f t="shared" si="4">IF($A26="","",1-$BV26)</x:f>
      </x:c>
      <x:c r="BX26" s="62" t="str">
        <x:f t="shared" si="5">IF($A26="","",1/$BW26)</x:f>
      </x:c>
      <x:c r="BY26" s="63" t="str">
        <x:f t="shared" si="6">IF($A26="","",$BO26)</x:f>
      </x:c>
      <x:c r="BZ26" s="63" t="str">
        <x:f t="shared" si="7">IF($A26="","",$BW26-$BY26)</x:f>
      </x:c>
      <x:c r="CA26" s="63" t="str">
        <x:f t="shared" si="8">IF($A26="","",IF($AR26&gt;1,$BW26*$AR26-1,""))</x:f>
      </x:c>
      <x:c r="CB26" s="63" t="str">
        <x:f>IF($A26="","",MIN(1,COUNT($I26:$AN26,$AR26:$BG26)/'Setari model'!$B$46))</x:f>
      </x:c>
      <x:c r="CC26" s="63" t="str">
        <x:f t="shared" si="9">IF($A26="","",0.25*MIN(1,$I26/10)+0.25*MIN(1,$P26/10)+0.15*MIN(1,$W26/5)+0.15*MIN(1,$AB26/5)+0.1*MIN(1,$AG26/5)+0.1*MIN(1,$AN26/100))</x:f>
      </x:c>
      <x:c r="CD26" s="63" t="str">
        <x:f>IF($A26="","",MAX(0,1-(MAX($BJ26:$BN26,$BP26)-MIN($BJ26:$BN26,$BP26))/(AVERAGE($BJ26:$BN26,$BP26)*'Setari model'!$B$45)))</x:f>
      </x:c>
      <x:c r="CE26" s="66" t="str">
        <x:f>IF($A26="","",MAX(0,MIN(100,100*INDEX('Setari model'!$I$5:$I$11,MATCH($E26,'Setari model'!$A$5:$A$11,0))*('Setari model'!$B$47*$CB26+'Setari model'!$B$48*$CC26+'Setari model'!$B$49*$CD26+'Setari model'!$B$50*$AT26/5+'Setari model'!$B$51*$AU26)-100*'Setari model'!$B$52*$BG26)))</x:f>
      </x:c>
      <x:c r="CF26" s="65" t="str">
        <x:f t="shared" si="10">IF($A26="","",IF(OR($AT26&lt;3,$BG26&gt;=2,$CB26&lt;0.55,$CC26&lt;0.4),"RIDICAT",IF(OR($AU26=0,$CD26&lt;0.45,$BR26&lt;0.9),"MEDIU","SCĂZUT")))</x:f>
      </x:c>
      <x:c r="CG26" s="65" t="str">
        <x:f>IF($A26="","",IF($AR26&gt;1,IF(AND($BW26&gt;= 'Setari model'!$B$35,$CE26&gt;=100*'Setari model'!$B$36,$BZ26&gt;= 'Setari model'!$B$37,$CA26&gt;= 'Setari model'!$B$38,$CF26&lt;&gt;"RIDICAT"),"PARIU RECOMANDAT",IF(AND($BW26&gt;= 'Setari model'!$B$39,$CE26&gt;=100*'Setari model'!$B$40,$BZ26&gt;= 'Setari model'!$B$41,$CA26&gt;=0,$CF26&lt;&gt;"RIDICAT"),"RECOMANDAT CU PRUDENȚĂ",IF(AND($BW26&gt;= 'Setari model'!$B$42,$CE26&gt;=100*'Setari model'!$B$43),"ANALIZĂ NECONCLUDENTĂ","PARIU EVITAT"))),IF(AND($BW26&gt;= 'Setari model'!$B$35,$CE26&gt;=100*'Setari model'!$B$36,$CF26&lt;&gt;"RIDICAT"),"FAVORABIL STATISTIC – VERIFICĂ COTA",IF(AND($BW26&gt;= 'Setari model'!$B$42,$CE26&gt;=100*'Setari model'!$B$43),"ANALIZĂ NECONCLUDENTĂ","PARIU EVITAT"))))</x:f>
      </x:c>
      <x:c r="CH26" s="67" t="str">
        <x:f t="shared" si="11">IF($A26="","","P(O0,5)="&amp;TEXT($BW26,"0.0%")&amp;"; λ ajustat="&amp;TEXT($BS26,"0.00")&amp;"; Confidence="&amp;TEXT($CE26,"0")&amp;"/100; Edge="&amp;TEXT($BZ26,"0.0%")&amp;"; risc="&amp;$CF26&amp;". "&amp;$BH26)</x:f>
      </x:c>
      <x:c r="CI26" s="68" t="str">
        <x:f t="shared" si="12">IF($A26="","",$BI26)</x:f>
      </x:c>
      <x:c r="CJ26" s="112"/>
      <x:c r="CK26" s="112"/>
      <x:c r="CL26" s="112"/>
      <x:c r="CM26" s="112"/>
      <x:c r="CN26" s="112"/>
      <x:c r="CO26" s="112"/>
      <x:c r="CP26" s="112"/>
      <x:c r="CQ26" s="112"/>
      <x:c r="CR26" s="112"/>
      <x:c r="CS26" s="112"/>
      <x:c r="CT26" s="112"/>
      <x:c r="CU26" s="112"/>
      <x:c r="CV26" s="112"/>
      <x:c r="CW26" s="112"/>
      <x:c r="CX26" s="112"/>
      <x:c r="CY26" s="112"/>
      <x:c r="CZ26" s="112"/>
      <x:c r="DA26" s="112"/>
      <x:c r="DB26" s="112"/>
      <x:c r="DC26" s="114"/>
      <x:c r="DD26" s="114"/>
      <x:c r="DE26" s="112" t="s">
        <x:v>266</x:v>
      </x:c>
      <x:c r="DF26" s="112"/>
      <x:c r="DG26" s="112"/>
      <x:c r="DH26" s="112"/>
      <x:c r="DI26" s="112"/>
      <x:c r="DJ26" s="112"/>
      <x:c r="DK26" s="112"/>
      <x:c r="DL26" s="112"/>
      <x:c r="DM26" s="112"/>
      <x:c r="DN26" s="112"/>
      <x:c r="DO26" s="112"/>
      <x:c r="DP26" s="112"/>
      <x:c r="DQ26" s="114"/>
      <x:c r="DR26" s="112">
        <x:v>1</x:v>
      </x:c>
      <x:c r="DS26" s="116">
        <x:v>0</x:v>
      </x:c>
      <x:c r="DT26" s="120"/>
      <x:c r="DU26" s="116">
        <x:v>0.02</x:v>
      </x:c>
      <x:c r="DV26" s="116">
        <x:v>0.25</x:v>
      </x:c>
      <x:c r="DW26" s="118" t="str">
        <x:f>IF($A26="","",MAX('Setari model'!$B$71,MIN('Setari model'!$B$72,1+0.08*(IFERROR(AVERAGE($CM26:$CN26)/'Setari model'!$B$66,1)-1)+0.08*(IFERROR(AVERAGE($CO26:$CP26)/'Setari model'!$B$67,1)-1)+0.06*(IFERROR(AVERAGE($CQ26:$CR26)/'Setari model'!$B$68,1)-1)+0.04*(IFERROR(AVERAGE($CS26:$CT26)/'Setari model'!$B$69,1)-1)+0.04*(IFERROR(AVERAGE($CU26:$CV26)/'Setari model'!$B$70,1)-1)-'Setari model'!$B$73*IFERROR(AVERAGE($CW26:$CX26),0))))</x:f>
      </x:c>
      <x:c r="DX26" s="118" t="str">
        <x:f>IF($A26="","",1+'Setari model'!$B$62*MAX(IF(OR($CK26=1,$CL26=1),1,0),IF(AND($CJ26&lt;&gt;"",$CJ26&lt;=1),1,0))+'Setari model'!$B$63*IF(AND($CJ26&gt;1,$CJ26&lt;=3),1,0))</x:f>
      </x:c>
      <x:c r="DY26" s="118" t="str">
        <x:f>IF($A26="","",1+'Setari model'!$B$74*(IF($CY26="",0,IF($CY26=0,1,0))+IF($CZ26="",0,IF($CZ26=0,1,0)))+'Setari model'!$B$75*(IF($DA26="",0,IF($DA26=0,1,0))+IF($DB26="",0,IF($DB26=0,1,0))))</x:f>
      </x:c>
      <x:c r="DZ26" s="117" t="str">
        <x:f>IF($A26="","",MIN(0.6,MAX(0.002,(((1-'Setari model'!$B$34*MIN(1,($I26+$P26)/20))*$BT26+'Setari model'!$B$34*MIN(1,($I26+$P26)/20)*IF(COUNT($N26,$U26)=2,SQRT(MAX(0,1-$N26)*MAX(0,1-$U26)),$BT26))*(1-'Setari model'!$B$65*MIN(1,IF($AN26="",0,$AN26/'Setari model'!$B$64)))+'Setari model'!$B$65*MIN(1,IF($AN26="",0,$AN26/'Setari model'!$B$64))*IF($AM26="",$BT26,$AM26))*$DX26*$DY26/$DW26)))</x:f>
      </x:c>
      <x:c r="EA26" s="117" t="str">
        <x:f>IF($A26="","",MIN(1-$DZ26,IF(OR(MIN($I26,$P26)&lt;'Setari model'!$B$58,$CK26=1,$CL26=1,AND($CJ26&lt;&gt;"",$CJ26&lt;=1)),'Setari model'!$B$59,IF(AND($AU26=1,$AR26&gt;1,COUNT($CY26:$DB26)=4),'Setari model'!$B$61,'Setari model'!$B$60))))</x:f>
      </x:c>
      <x:c r="EB26" s="115" t="str">
        <x:f t="shared" si="13">IF($A26="","",1/$EA26)</x:f>
      </x:c>
      <x:c r="EC26" s="117" t="str">
        <x:f t="shared" si="14">IF($A26="","",IF($AR26&gt;1,IF($AS26&gt;1,(1/$AR26)/((1/$AR26)+(1/$AS26)),1/$AR26),""))</x:f>
      </x:c>
      <x:c r="ED26" s="117" t="str">
        <x:f t="shared" si="15">IF($A26="","",IF($EC26="","",$EA26-$EC26))</x:f>
      </x:c>
      <x:c r="EE26" s="117" t="str">
        <x:f t="shared" si="16">""</x:f>
      </x:c>
      <x:c r="EF26" s="119" t="str">
        <x:f>IF($A26="","",MAX(0,MIN(100,$CE26-200*MAX(0,$EG26-'Setari model'!$B$77)-IF($AU26&lt;&gt;1,10,0)-IF(COUNT($CY26:$DB26)&lt;4,4,0))))</x:f>
      </x:c>
      <x:c r="EG26" s="117" t="str">
        <x:f>IF($A26="","",'Setari model'!$B$77+IF(MIN($I26,$P26)&lt;'Setari model'!$B$58,0.03,0)+IF(OR($CK26=1,$CL26=1,AND($CJ26&lt;&gt;"",$CJ26&lt;=1)),0.03,0)+IF($AG26=0,0.02,0)+0.03*(1-MIN(1,COUNT($CM26:$CV26)/10))+0.03*(1-MIN(1,IF($AN26="",0,$AN26/'Setari model'!$B$64)))+IF($AR26&lt;=1,0.02,0))</x:f>
      </x:c>
      <x:c r="EH26" s="113" t="str">
        <x:f>IF($A26="","",IF(OR(MIN($I26,$P26)&lt;'Setari model'!$B$58,$CK26=1,$CL26=1,AND($CJ26&lt;&gt;"",$CJ26&lt;=1)),"92% – early/regim",IF(AND($AU26=1,$AR26&gt;1,COUNT($CY26:$DB26)=4),"94% – confirmat","93% – standard")))</x:f>
      </x:c>
      <x:c r="EI26" s="113" t="str">
        <x:f t="shared" si="17">IF($A26="","",IF(AND($EA26&gt;0.9,$AU26&lt;&gt;1),"WAIT XI – HIGH P",IF(AND($EA26&gt;0.9,COUNT($CY26:$DB26)&lt;4),"WAIT DATE CHEIE – HIGH P",IF($EP26&lt;&gt;"DA","NU – PORTOFOLIU","DA"))))</x:f>
      </x:c>
      <x:c r="EJ26" s="117" t="str">
        <x:f t="shared" si="18">IF($A26="","",IF($DE26&lt;&gt;"Live 20-30","",IF(SUM($DG26:$DH26)&gt;0,1,IF($EU26="","",1-MIN(0.95,MAX(0.001,EXP(-$EU26)*$DX26*$DY26/$DW26))))))</x:f>
      </x:c>
      <x:c r="EK26" s="117" t="str">
        <x:f t="shared" si="19">""</x:f>
      </x:c>
      <x:c r="EL26" s="113" t="str">
        <x:f>IF($A26="","",IF($DE26="Live 20-30",IF(SUM($DG26:$DH26)&gt;0,"EVENIMENT ÎNDEPLINIT",IF(OR($DF26="",COUNT($DI26:$DN26)&lt;4),"LIVE – WATCH",IF($EJ26&gt;=0.75,"LIVE – FEZABIL TEHNIC","LIVE – NO BET"))),IF($EI26&lt;&gt;"DA","WATCH / NO BET",IF(AND($EA26&gt;=INDEX('Setari model'!$B$35:$B$40,1),$EF26&gt;=100*'Setari model'!$B$76),"PARIU RECOMANDAT",IF(AND($EA26&gt;=INDEX('Setari model'!$B$35:$B$40,5),$EF26&gt;=100*'Setari model'!$B$40),"WATCH – APROAPE DE PRAG","PARIU EVITAT")))))</x:f>
      </x:c>
      <x:c r="EM26" s="113" t="str">
        <x:f t="shared" si="20">IF($A26="","",IF($DE26="Live 20-30",IF(SUM($DG26:$DH26)&gt;0,"Gol deja marcat.",IF($DF26="","Minut live lipsă.",IF(COUNT($DI26:$DN26)&lt;4,"Lipsesc xG/SOT/big chances live.",IF($EJ26&lt;0.75,"P live sub prag.","Semnal live tehnic complet; EV ignorat.")))),IF($EI26&lt;&gt;"DA",$EI26,IF($EF26&lt;75,"Confidence sub 75.",IF($EA26&lt;0.92,"P sub 92%.","G0/Zero-Mass + confidence trecute; EV ignorat.")))))</x:f>
      </x:c>
      <x:c r="EN26" s="117" t="str">
        <x:f>IF($A26="","",IF(OR($EL26="PARIU RECOMANDAT",$EL26="LIVE – FEZABIL"),MIN(IF($DU26&gt;0,$DU26,'Setari model'!$B$81)/MAX(1,$DR26),IF($DV26&gt;0,$DV26,'Setari model'!$B$80)*MAX(0,((IF($DE26="Live 20-30",$EJ26,$EA26)*IF($DE26="Live 20-30",$DQ26,$AR26)-1)/(IF($DE26="Live 20-30",$DQ26,$AR26)-1)))),0))</x:f>
      </x:c>
      <x:c r="EO26" s="121" t="str">
        <x:f t="shared" si="21">IF($A26="","",IF(AND($EN26&gt;0,$DT26&gt;0),$EN26*$DT26,""))</x:f>
      </x:c>
      <x:c r="EP26" s="113" t="str">
        <x:f>IF($A26="","",IF(OR($DR26&lt;1,$DR26&gt;'Setari model'!$B$78),"NU – 1–5 selecții",IF($DS26&gt;'Setari model'!$B$79,"NU – corelație", "DA")))</x:f>
      </x:c>
      <x:c r="EQ26" s="117" t="str">
        <x:f t="shared" si="22">IF($A26="","",IF(AND($DC26&gt;1,$DD26&gt;1),$DC26/$DD26-1,""))</x:f>
      </x:c>
      <x:c r="ER26" s="113" t="str">
        <x:f t="shared" si="23">IF($A26="","","P v2="&amp;TEXT($EA26,"0.0%")&amp;" ±"&amp;TEXT($EG26,"0.0%")&amp;"; P0 ZIP="&amp;TEXT($DZ26,"0.0%")&amp;"; Confidence="&amp;TEXT($EF26,"0")&amp;"/100; piață reală="&amp;IF($EC26="","NU","DA")&amp;"; EV="&amp;IF($EE26="","n/a",TEXT($EE26,"0.0%"))&amp;"; gate="&amp;$EI26&amp;"; verdict="&amp;$EL26&amp;". "&amp;$EM26)</x:f>
      </x:c>
      <x:c r="ES26" s="119" t="str">
        <x:f>IF($A26="","",'Setari model'!$B$82)</x:f>
      </x:c>
      <x:c r="ET26" s="118" t="str">
        <x:f>IF($A26="","",'Setari model'!$B$83)</x:f>
      </x:c>
      <x:c r="EU26" s="115" t="str">
        <x:f t="shared" si="24">IF(OR($A26="",$DE26&lt;&gt;"Live 20-30",$DF26="",$DF26&lt;$ES26,$DF26&gt;=90),"",MAX(0.05,MIN($BS26*$ET26,$BS26*(90-$DF26)/90+0.35*($DI26+$DJ26)+0.06*($DK26+$DL26)+0.15*($DM26+$DN26)+0.1*(MAX($DO26,$DP26)-MIN($DO26,$DP26)))))</x:f>
      </x:c>
      <x:c r="EV26" s="132"/>
      <x:c r="EW26" s="132"/>
      <x:c r="EX26" s="132"/>
      <x:c r="EY26" s="132"/>
      <x:c r="EZ26" s="132"/>
      <x:c r="FA26" s="132"/>
      <x:c r="FB26" s="247"/>
      <x:c r="FC26" s="134" t="str">
        <x:f t="shared" si="25">IF($A26="","",IF(OR($J26="",$L26="",$L26&lt;=0),"",MAX(0.5,MIN(1.5,$J26/$L26))))</x:f>
      </x:c>
      <x:c r="FD26" s="134" t="str">
        <x:f t="shared" si="26">IF($A26="","",IF(OR($Q26="",$S26="",$S26&lt;=0),"",MAX(0.5,MIN(1.5,$Q26/$S26))))</x:f>
      </x:c>
      <x:c r="FE26" s="134" t="str">
        <x:f>IF($A26="","",IF(COUNT($EV26:$EW26)&lt;2,"",SQRT($EV26*$EW26)/'Setari model'!$B$87))</x:f>
      </x:c>
      <x:c r="FF26" s="134" t="str">
        <x:f>IF($A26="","",IF(COUNT($O26,$V26,$EX26,$EY26)&lt;4,"",AVERAGE(SQRT($O26*$EY26),SQRT($V26*$EX26))/'Setari model'!$B$88))</x:f>
      </x:c>
      <x:c r="FG26" s="134" t="str">
        <x:f t="shared" si="27">IF($A26="","",IF(COUNT($FC26:$FD26)&lt;2,"",MAX(0,1-AVERAGE($FC26:$FD26))))</x:f>
      </x:c>
      <x:c r="FH26" s="134" t="str">
        <x:f>IF($A26="","",IF(COUNT($EZ26:$FA26)&lt;2,"",'Setari model'!$B$94*AVERAGE($EZ26:$FA26)/'Setari model'!$B$89))</x:f>
      </x:c>
      <x:c r="FI26" s="134" t="str">
        <x:f>IF($A26="","",IF(COUNT($FE26:$FH26)&lt;4,"",MAX('Setari model'!$B$97,MIN('Setari model'!$B$98,1+'Setari model'!$B$90*($FE26-1)+'Setari model'!$B$91*($FF26-1)+'Setari model'!$B$92*$FG26+'Setari model'!$B$93*($FH26-1)))))</x:f>
      </x:c>
      <x:c r="FJ26" s="133" t="str">
        <x:f>IF($A26="","",IF($FI26="","",MIN('Setari model'!$B$101,MAX(0.002,$DZ26*$FI26))))</x:f>
      </x:c>
      <x:c r="FK26" s="131" t="str">
        <x:f t="shared" si="28">IF($A26="","",IF(AND(COUNT($EV26:$FA26)=6,COUNT($O26,$V26,$FC26,$FD26)=4),"DA","NU"))</x:f>
      </x:c>
      <x:c r="FL26" s="131" t="str">
        <x:f>IF($A26="","",IF($FK26&lt;&gt;"DA","NEDETERMINAT",IF($FI26&lt;='Setari model'!$B$99,"SCĂZUT",IF($FI26&lt;='Setari model'!$B$100,"MEDIU","RIDICAT"))))</x:f>
      </x:c>
      <x:c r="FM26" s="131" t="str">
        <x:f>IF($A26="","",IF(AND($AR26&gt;1,$EC26&gt;='Setari model'!$B$106),"DA","NU"))</x:f>
      </x:c>
      <x:c r="FN26" s="131" t="str">
        <x:f t="shared" si="29">IF($A26="","",IF(AND($AU26=1,COUNT($CY26:$DB26)=4),"DA","NU"))</x:f>
      </x:c>
      <x:c r="FO26" s="133" t="str">
        <x:f>IF($A26="","",IF(OR($FK26&lt;&gt;"DA",$FL26="RIDICAT"),'Setari model'!$B$102,IF($FL26="MEDIU",'Setari model'!$B$103,IF(AND($FM26="DA",$FN26="DA"),'Setari model'!$B$105,'Setari model'!$B$104))))</x:f>
      </x:c>
      <x:c r="FP26" s="133" t="str">
        <x:f t="shared" si="30">IF($A26="","",IF($FJ26="","",MIN(1-$FJ26,$FO26)))</x:f>
      </x:c>
      <x:c r="FQ26" s="135" t="str">
        <x:f t="shared" si="31">IF($A26="","",IF($FP26="","",IF($FP26&gt;0,1/$FP26,"")))</x:f>
      </x:c>
      <x:c r="FR26" s="133" t="str">
        <x:f t="shared" si="32">IF($A26="","",IF($EC26="","",$FP26-$EC26))</x:f>
      </x:c>
      <x:c r="FS26" s="133" t="str">
        <x:f t="shared" si="33">IF($A26="","",IF($AR26&gt;1,$FP26*$AR26-1,""))</x:f>
      </x:c>
      <x:c r="FT26" s="136" t="str">
        <x:f>IF($A26="","",MAX(0,MIN(100,$EF26-IF($FK26&lt;&gt;"DA",'Setari model'!$B$107,0)-IF($FL26="MEDIU",'Setari model'!$B$108,0)-IF($FL26="RIDICAT",'Setari model'!$B$109,0))))</x:f>
      </x:c>
      <x:c r="FU26" s="131" t="str">
        <x:f t="shared" si="34">IF($A26="","",IF($AR26&lt;=1,"NU – LIPSEȘTE COTA REALĂ",IF($FK26&lt;&gt;"DA","NU – ZERO-RISK INCOMPLET",IF($FL26&lt;&gt;"SCĂZUT","NU – RISC 0-0 "&amp;$FL26,IF($FN26&lt;&gt;"DA","NU – LINEUP NECONFIRMAT",IF($FM26&lt;&gt;"DA","NU – PIAȚĂ NECONFIRMATĂ",IF($EP26&lt;&gt;"DA","NU – PORTOFOLIU","DA")))))))</x:f>
      </x:c>
      <x:c r="FV26" s="131" t="str">
        <x:f>IF($A26="","",IF($FU26&lt;&gt;"DA","WATCH / NO BET",IF(AND($FP26&gt;='Setari model'!$B$35,$FT26&gt;=100*'Setari model'!$B$76,$FS26&gt;0),"PARIU RECOMANDAT",IF(AND($FP26&gt;='Setari model'!$B$39,$FT26&gt;=100*'Setari model'!$B$40,$FS26&gt;0),"WATCH – APROAPE DE PRAG","PARIU EVITAT"))))</x:f>
      </x:c>
      <x:c r="FW26" s="131" t="str">
        <x:f t="shared" si="35">IF($A26="","",IF($FU26&lt;&gt;"DA",$FU26,IF($FT26&lt;75,"Confidence v3 sub 75.",IF($FP26&lt;0.92,"P v3 sub 92%.",IF($FS26&lt;=0,"EV v3 nepozitiv.","P0 v3, lineup și piață confirmate.")))))</x:f>
      </x:c>
      <x:c r="FX26" s="131" t="str">
        <x:f t="shared" si="36">IF($A26="","","P v3="&amp;TEXT($FP26,"0.0%")&amp;"; P0 v3="&amp;TEXT($FJ26,"0.0%")&amp;"; factor zero="&amp;IF($FI26="","n/a",TEXT($FI26,"0.00x"))&amp;" ("&amp;$FL26&amp;"); cap="&amp;TEXT($FO26,"0.0%")&amp;"; Confidence="&amp;TEXT($FT26,"0")&amp;"/100; lineup="&amp;$FN26&amp;"; piață="&amp;$FM26&amp;"; EV="&amp;IF($FS26="","n/a",TEXT($FS26,"0.0%"))&amp;"; gate="&amp;$FU26&amp;"; verdict="&amp;$FV26&amp;". "&amp;$FW26)</x:f>
      </x:c>
      <x:c r="FY26" s="159"/>
      <x:c r="FZ26" s="159"/>
      <x:c r="GA26" s="157"/>
      <x:c r="GB26" s="157"/>
      <x:c r="GC26" s="161" t="str">
        <x:f t="shared" si="37">IF($A26="","",IF(OR($X26="",$Z26="",$Z26&lt;=0),"",MAX(0.5,MIN(1.5,$X26/$Z26))))</x:f>
      </x:c>
      <x:c r="GD26" s="161" t="str">
        <x:f t="shared" si="38">IF($A26="","",IF(OR($AC26="",$AE26="",$AE26&lt;=0),"",MAX(0.5,MIN(1.5,$AC26/$AE26))))</x:f>
      </x:c>
      <x:c r="GE26" s="162" t="str">
        <x:f t="shared" si="39">IF($A26="","",IF(COUNT($Z26,$AE26)&lt;2,"",AVERAGE($Z26,$AE26)))</x:f>
      </x:c>
      <x:c r="GF26" s="158" t="str">
        <x:f>IF($A26="","",IF(COUNT($FY26:$FZ26)&lt;2,"NEDETERMINAT",IF(AND($FY26&gt;='Setari model'!$B$113,$FZ26&gt;='Setari model'!$B$113),"DA","NU")))</x:f>
      </x:c>
      <x:c r="GG26" s="158" t="str">
        <x:f>IF($A26="","",IF(COUNT($FY26:$FZ26,$EX26:$EY26)&lt;4,"NEDETERMINAT",IF(OR(AND($FY26&gt;='Setari model'!$B$113,$EY26&gt;='Setari model'!$B$114),AND($FZ26&gt;='Setari model'!$B$113,$EX26&gt;='Setari model'!$B$114)),"DA","NU")))</x:f>
      </x:c>
      <x:c r="GH26" s="158" t="str">
        <x:f>IF($A26="","",IF(COUNT($BJ26:$BN26,$GC26:$GE26)&lt;8,"NEDETERMINAT",IF(AND((($BJ26*INDEX('Setari model'!$B$5:$B$11,MATCH($E26,'Setari model'!$A$5:$A$11,0))+$BK26*INDEX('Setari model'!$C$5:$C$11,MATCH($E26,'Setari model'!$A$5:$A$11,0))+$BL26*INDEX('Setari model'!$D$5:$D$11,MATCH($E26,'Setari model'!$A$5:$A$11,0))+$BM26*INDEX('Setari model'!$E$5:$E$11,MATCH($E26,'Setari model'!$A$5:$A$11,0))+$BN26*INDEX('Setari model'!$F$5:$F$11,MATCH($E26,'Setari model'!$A$5:$A$11,0)))/(INDEX('Setari model'!$B$5:$B$11,MATCH($E26,'Setari model'!$A$5:$A$11,0))+INDEX('Setari model'!$C$5:$C$11,MATCH($E26,'Setari model'!$A$5:$A$11,0))+INDEX('Setari model'!$D$5:$D$11,MATCH($E26,'Setari model'!$A$5:$A$11,0))+INDEX('Setari model'!$E$5:$E$11,MATCH($E26,'Setari model'!$A$5:$A$11,0))+INDEX('Setari model'!$F$5:$F$11,MATCH($E26,'Setari model'!$A$5:$A$11,0))))*$BR26&gt;='Setari model'!$B$115,(($BJ26*INDEX('Setari model'!$B$5:$B$11,MATCH($E26,'Setari model'!$A$5:$A$11,0))+$BK26*INDEX('Setari model'!$C$5:$C$11,MATCH($E26,'Setari model'!$A$5:$A$11,0))+$BL26*INDEX('Setari model'!$D$5:$D$11,MATCH($E26,'Setari model'!$A$5:$A$11,0))+$BM26*INDEX('Setari model'!$E$5:$E$11,MATCH($E26,'Setari model'!$A$5:$A$11,0))+$BN26*INDEX('Setari model'!$F$5:$F$11,MATCH($E26,'Setari model'!$A$5:$A$11,0)))/(INDEX('Setari model'!$B$5:$B$11,MATCH($E26,'Setari model'!$A$5:$A$11,0))+INDEX('Setari model'!$C$5:$C$11,MATCH($E26,'Setari model'!$A$5:$A$11,0))+INDEX('Setari model'!$D$5:$D$11,MATCH($E26,'Setari model'!$A$5:$A$11,0))+INDEX('Setari model'!$E$5:$E$11,MATCH($E26,'Setari model'!$A$5:$A$11,0))+INDEX('Setari model'!$F$5:$F$11,MATCH($E26,'Setari model'!$A$5:$A$11,0))))*$BR26&lt;='Setari model'!$B$116,AVERAGE($GC26:$GD26)&lt;='Setari model'!$B$117,$GE26&gt;='Setari model'!$B$118),"DA","NU")))</x:f>
      </x:c>
      <x:c r="GI26" s="158" t="str">
        <x:f>IF($A26="","",IF(COUNT($W26,$AB26,$GA26:$GB26)&lt;4,"NEDETERMINAT",IF(AND($W26&gt;='Setari model'!$B$120,$AB26&gt;='Setari model'!$B$120,OR(IFERROR($GA26/$W26,0)&gt;='Setari model'!$B$119,IFERROR($GB26/$AB26,0)&gt;='Setari model'!$B$119)),"DA","NU")))</x:f>
      </x:c>
      <x:c r="GJ26" s="160" t="str">
        <x:f>IF($A26="","",IF(COUNT($FY26:$GB26)&lt;4,"",IF($GH26&lt;&gt;"DA",0,'Setari model'!$B$121*IF($GF26="DA",1,0)+'Setari model'!$B$122*IF($GG26="DA",1,0)+'Setari model'!$B$123+'Setari model'!$B$124*IF($GI26="DA",1,0))))</x:f>
      </x:c>
      <x:c r="GK26" s="161" t="str">
        <x:f>IF($A26="","",IF(COUNT($GJ26)=0,"",1+'Setari model'!$B$125*$GJ26))</x:f>
      </x:c>
      <x:c r="GL26" s="160" t="str">
        <x:f>IF($A26="","",IF($GM26&lt;&gt;"DA",$FJ26,MIN('Setari model'!$B$101,MAX(0.002,$FJ26*$GK26))))</x:f>
      </x:c>
      <x:c r="GM26" s="158" t="str">
        <x:f>IF($A26="","",IF(AND($FK26="DA",COUNT($FY26:$GB26)=4,COUNT($I26,$P26,$W26,$AB26,$Z26,$AE26,$EX26,$EY26,$GC26,$GD26)=10,COUNT($BJ26:$BN26)=5),"DA","NU"))</x:f>
      </x:c>
      <x:c r="GN26" s="158" t="str">
        <x:f>IF($A26="","",IF($GM26&lt;&gt;"DA","NEDETERMINAT",IF($FI26*$GK26&lt;='Setari model'!$B$99,"SCĂZUT",IF($FI26*$GK26&lt;='Setari model'!$B$100,"MEDIU","RIDICAT"))))</x:f>
      </x:c>
      <x:c r="GO26" s="160" t="str">
        <x:f>IF($A26="","",IF(OR($GM26&lt;&gt;"DA",$GN26="RIDICAT"),'Setari model'!$B$102,IF($GN26="MEDIU",'Setari model'!$B$103,IF(AND($FM26="DA",$FN26="DA"),'Setari model'!$B$105,'Setari model'!$B$104))))</x:f>
      </x:c>
      <x:c r="GP26" s="160" t="str">
        <x:f t="shared" si="40">IF($A26="","",IF($GL26="","",MIN(1-$GL26,$GO26)))</x:f>
      </x:c>
      <x:c r="GQ26" s="162" t="str">
        <x:f t="shared" si="41">IF($A26="","",IF($GP26="","",IF($GP26&gt;0,1/$GP26,"")))</x:f>
      </x:c>
      <x:c r="GR26" s="160" t="str">
        <x:f t="shared" si="42">IF($A26="","",IF($EC26="","",$GP26-$EC26))</x:f>
      </x:c>
      <x:c r="GS26" s="160" t="str">
        <x:f t="shared" si="43">IF($A26="","",IF($AR26&gt;1,$GP26*$AR26-1,""))</x:f>
      </x:c>
      <x:c r="GT26" s="163" t="str">
        <x:f>IF($A26="","",MAX(0,MIN(100,$FT26-IF(AND($GM26&lt;&gt;"DA",$FK26="DA"),'Setari model'!$B$107,0)-'Setari model'!$B$126*IF($GJ26="",0,$GJ26))))</x:f>
      </x:c>
      <x:c r="GU26" s="158" t="str">
        <x:f t="shared" si="44">IF($A26="","",IF($AR26&lt;=1,"NU – LIPSEȘTE COTA REALĂ",IF($GM26&lt;&gt;"DA","NU – DATE LOW-CONVERSION INCOMPLETE",IF($GN26&lt;&gt;"SCĂZUT","NU – RISC 0-0 "&amp;$GN26,IF($FN26&lt;&gt;"DA","NU – LINEUP NECONFIRMAT",IF($FM26&lt;&gt;"DA","NU – PIAȚĂ NECONFIRMATĂ",IF($EP26&lt;&gt;"DA","NU – PORTOFOLIU","DA")))))))</x:f>
      </x:c>
      <x:c r="GV26" s="158" t="str">
        <x:f>IF($A26="","",IF($GU26&lt;&gt;"DA","WATCH / NO BET",IF(AND($GP26&gt;='Setari model'!$B$35,$GT26&gt;=100*'Setari model'!$B$76,$GS26&gt;0),"PARIU RECOMANDAT",IF(AND($GP26&gt;='Setari model'!$B$39,$GT26&gt;=100*'Setari model'!$B$40,$GS26&gt;0),"WATCH – APROAPE DE PRAG","PARIU EVITAT"))))</x:f>
      </x:c>
      <x:c r="GW26" s="158" t="str">
        <x:f t="shared" si="45">IF($A26="","",IF($GU26&lt;&gt;"DA",$GU26,IF($GT26&lt;75,"Confidence v5 sub 75.",IF($GP26&lt;0.92,"P v5 sub 92%.",IF($GS26&lt;=0,"EV v5 nepozitiv.",IF($GJ26&gt;0,"Low-conversion absorbit în P0; toate porțile rămân trecute.","Toate porțile v5 sunt trecute."))))))</x:f>
      </x:c>
      <x:c r="GX26" s="158" t="str">
        <x:f t="shared" si="46">IF($A26="","","P v5="&amp;TEXT($GP26,"0.0%")&amp;"; P0 v5="&amp;TEXT($GL26,"0.0%")&amp;"; low-conv="&amp;IF(COUNT($GJ26)=0,"n/a",TEXT($GJ26,"0%"))&amp;"; mult.P0="&amp;IF(COUNT($GK26)=0,"n/a",TEXT($GK26,"0.00"))&amp;"; clasă="&amp;$GN26&amp;"; cap="&amp;TEXT($GO26,"0.0%")&amp;"; Confidence="&amp;TEXT($GT26,"0")&amp;"/100; lineup="&amp;$FN26&amp;"; piață="&amp;$FM26&amp;"; EV="&amp;IF($GS26="","n/a",TEXT($GS26,"0.0%"))&amp;"; gate="&amp;$GU26&amp;"; verdict="&amp;$GV26&amp;". "&amp;$GW26)</x:f>
      </x:c>
      <x:c r="GY26" s="174" t="str">
        <x:f>IF($A26="","",IF($GM26&lt;&gt;"DA","SOURCING INCOMPLETE – REVIEW REQUIRED",IF(MIN($I26,$P26,$W26,$AB26)&lt;'Setari model'!$B$58,"SMALL SAMPLE + PRIOR / SHRINKAGE","VERIFIED / PRIOR / SHRINKAGE")))</x:f>
      </x:c>
      <x:c r="GZ26" s="175" t="str">
        <x:f t="shared" si="47">IF($A26="","",MAX(0,MIN(100,100*(1-AVERAGE(IF($GM26="DA",1,0),MIN(1,$AT26/5))))))</x:f>
      </x:c>
      <x:c r="HA26" s="175" t="str">
        <x:f>IF($A26="","",IF($GM26&lt;&gt;"DA","",MAX(0,MIN(100,100*(($FI26*$GK26)-'Setari model'!$B$97)/('Setari model'!$B$98-'Setari model'!$B$97)))))</x:f>
      </x:c>
      <x:c r="HB26" s="175" t="str">
        <x:f>IF($A26="","",MAX(0,MIN(100,100*(ABS($BR26-1)/MAX(1-'Setari model'!$B$53,'Setari model'!$B$54-1)+MIN(1,$BG26/2))/2)))</x:f>
      </x:c>
      <x:c r="HC26" s="175" t="str">
        <x:f t="shared" si="48">IF($A26="","",MAX(0,MIN(100,100*(1-AVERAGE($CC26,MAX(0,1-(MAX($BJ26:$BN26)-MIN($BJ26:$BN26))/(AVERAGE($BJ26:$BN26)*'Setari model'!$B$45)))))))</x:f>
      </x:c>
      <x:c r="HD26" s="175" t="str">
        <x:f t="shared" si="49">IF($A26="","",MAX(0,MIN(100,100*MAX(IF($GJ26="",0,$GJ26),MIN(1,$BG26/2)))))</x:f>
      </x:c>
      <x:c r="HE26" s="175" t="str">
        <x:f>IF($A26="","",IF(COUNT($GZ26:$HD26)&lt;5,"",$GZ26*Risk_Classification!$E$28+$HA26*Risk_Classification!$E$29+$HB26*Risk_Classification!$E$30+$HC26*Risk_Classification!$E$31+$HD26*Risk_Classification!$E$32))</x:f>
      </x:c>
      <x:c r="HF26" s="176" t="str">
        <x:f t="shared" si="50">IF($A26="","",IF($HE26="","",IF($HE26&lt;=20,1,IF($HE26&lt;=40,2,IF($HE26&lt;=60,3,IF($HE26&lt;=80,4,5))))))</x:f>
      </x:c>
      <x:c r="HG26" s="176" t="str">
        <x:f t="shared" si="51">IF($A26="","",IF($GM26="DA","PASS","FAIL – DATE CRITICE ZERO-MASS INCOMPLETE"))</x:f>
      </x:c>
      <x:c r="HH26" s="176" t="str">
        <x:f t="shared" si="52">IF($A26="","",IF($HG26&lt;&gt;"PASS",5,$HF26))</x:f>
      </x:c>
      <x:c r="HI26" s="174" t="str">
        <x:f t="shared" si="53">IF($A26="","",IF($HH26="","N/A",IF($HH26=1,"DEFENSIV",IF($HH26=2,"PRUDENT",IF($HH26=3,"MODERAT",IF($HH26=4,"RIDICAT","WATCH / NO BET"))))))</x:f>
      </x:c>
      <x:c r="HJ26" s="177" t="str">
        <x:f t="shared" si="54">IF($A26="","","Data="&amp;$GY26&amp;"; DQ="&amp;TEXT($GZ26,"0.0")&amp;"; ZM="&amp;IF($HA26="","n/a",TEXT($HA26,"0.0"))&amp;"; Context="&amp;TEXT($HB26,"0.0")&amp;"; Uncertainty="&amp;TEXT($HC26,"0.0")&amp;"; Compound="&amp;TEXT($HD26,"0.0")&amp;"; Risk Score="&amp;IF($HE26="","n/a",TEXT($HE26,"0.0"))&amp;"; Base="&amp;IF($HF26="","n/a",$HF26)&amp;"; G0="&amp;$HG26&amp;"; Final="&amp;$HH26&amp;". Cota, EV si lineup sunt informative si nu intra in recomandare.")</x:f>
      </x:c>
      <x:c r="HK26" s="174" t="str">
        <x:f t="shared" si="55">IF($A26="","",$HI26)</x:f>
      </x:c>
    </x:row>
    <x:row r="27" ht="24" customHeight="1">
      <x:c r="A27" s="58"/>
      <x:c r="B27" s="24"/>
      <x:c r="C27" s="59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18"/>
      <x:c r="O27" s="18"/>
      <x:c r="P27" s="24"/>
      <x:c r="Q27" s="24"/>
      <x:c r="R27" s="24"/>
      <x:c r="S27" s="24"/>
      <x:c r="T27" s="24"/>
      <x:c r="U27" s="18"/>
      <x:c r="V27" s="18"/>
      <x:c r="W27" s="24"/>
      <x:c r="X27" s="24"/>
      <x:c r="Y27" s="24"/>
      <x:c r="Z27" s="24"/>
      <x:c r="AA27" s="24"/>
      <x:c r="AB27" s="24"/>
      <x:c r="AC27" s="24"/>
      <x:c r="AD27" s="24"/>
      <x:c r="AE27" s="24"/>
      <x:c r="AF27" s="24"/>
      <x:c r="AG27" s="24"/>
      <x:c r="AH27" s="24"/>
      <x:c r="AI27" s="18"/>
      <x:c r="AJ27" s="24"/>
      <x:c r="AK27" s="24"/>
      <x:c r="AL27" s="24"/>
      <x:c r="AM27" s="18"/>
      <x:c r="AN27" s="24"/>
      <x:c r="AO27" s="60"/>
      <x:c r="AP27" s="60"/>
      <x:c r="AQ27" s="60"/>
      <x:c r="AR27" s="60"/>
      <x:c r="AS27" s="60"/>
      <x:c r="AT27" s="24"/>
      <x:c r="AU27" s="24"/>
      <x:c r="AV27" s="24"/>
      <x:c r="AW27" s="24"/>
      <x:c r="AX27" s="24"/>
      <x:c r="AY27" s="24"/>
      <x:c r="AZ27" s="24"/>
      <x:c r="BA27" s="24"/>
      <x:c r="BB27" s="24"/>
      <x:c r="BC27" s="24"/>
      <x:c r="BD27" s="24"/>
      <x:c r="BE27" s="24"/>
      <x:c r="BF27" s="24"/>
      <x:c r="BG27" s="24"/>
      <x:c r="BH27" s="61"/>
      <x:c r="BI27" s="61"/>
      <x:c r="BJ27" s="62" t="str">
        <x:f>IF($A27="","",SQRT((($I27*IF($J27="",$AJ27,$J27)+'Setari model'!$B$30*$AJ27)/($I27+'Setari model'!$B$30))*(($P27*IF($R27="",$AJ27,$R27)+'Setari model'!$B$30*$AJ27)/($P27+'Setari model'!$B$30)))+SQRT((($P27*IF($Q27="",$AK27,$Q27)+'Setari model'!$B$30*$AK27)/($P27+'Setari model'!$B$30))*(($I27*IF($K27="",$AK27,$K27)+'Setari model'!$B$30*$AK27)/($I27+'Setari model'!$B$30))))</x:f>
      </x:c>
      <x:c r="BK27" s="62" t="str">
        <x:f>IF($A27="","",SQRT((($I27*IF($L27="",IF($J27="",$AJ27,$J27),$L27)+'Setari model'!$B$30*$AJ27)/($I27+'Setari model'!$B$30))*(($P27*IF($T27="",IF($R27="",$AJ27,$R27),$T27)+'Setari model'!$B$30*$AJ27)/($P27+'Setari model'!$B$30)))+SQRT((($P27*IF($S27="",IF($Q27="",$AK27,$Q27),$S27)+'Setari model'!$B$30*$AK27)/($P27+'Setari model'!$B$30))*(($I27*IF($M27="",IF($K27="",$AK27,$K27),$M27)+'Setari model'!$B$30*$AK27)/($I27+'Setari model'!$B$30))))</x:f>
      </x:c>
      <x:c r="BL27" s="62" t="str">
        <x:f>IF($A27="","",SQRT((($W27*IF($X27="",$AL27/2,$X27)+'Setari model'!$B$31*$AL27/2)/($W27+'Setari model'!$B$31))*(($AB27*IF($AD27="",$AL27/2,$AD27)+'Setari model'!$B$31*$AL27/2)/($AB27+'Setari model'!$B$31)))+SQRT((($AB27*IF($AC27="",$AL27/2,$AC27)+'Setari model'!$B$31*$AL27/2)/($AB27+'Setari model'!$B$31))*(($W27*IF($Y27="",$AL27/2,$Y27)+'Setari model'!$B$31*$AL27/2)/($W27+'Setari model'!$B$31))))</x:f>
      </x:c>
      <x:c r="BM27" s="62" t="str">
        <x:f>IF($A27="","",SQRT((($W27*IF($Z27="",IF($X27="",$AL27/2,$X27),$Z27)+'Setari model'!$B$31*$AL27/2)/($W27+'Setari model'!$B$31))*(($AB27*IF($AF27="",IF($AD27="",$AL27/2,$AD27),$AF27)+'Setari model'!$B$31*$AL27/2)/($AB27+'Setari model'!$B$31)))+SQRT((($AB27*IF($AE27="",IF($AC27="",$AL27/2,$AC27),$AE27)+'Setari model'!$B$31*$AL27/2)/($AB27+'Setari model'!$B$31))*(($W27*IF($AA27="",IF($Y27="",$AL27/2,$Y27),$AA27)+'Setari model'!$B$31*$AL27/2)/($W27+'Setari model'!$B$31))))</x:f>
      </x:c>
      <x:c r="BN27" s="62" t="str">
        <x:f t="shared" si="0">IF($A27="","",IF($AG27&gt;0,($AG27*IF($AH27="",$AL27,$AH27)+5*$AL27)/($AG27+5),$AL27))</x:f>
      </x:c>
      <x:c r="BO27" s="63" t="str">
        <x:f>IF($A27="","",IF($AR27&gt;1,IF($AS27&gt;1,(1/$AR27)/((1/$AR27+1/$AS27)),MIN(0.995,(1/$AR27)/(1+'Setari model'!$B$32))),1-EXP(-$AL27)))</x:f>
      </x:c>
      <x:c r="BP27" s="62" t="str">
        <x:f t="shared" si="1">IF($A27="","",-LN(1-$BO27))</x:f>
      </x:c>
      <x:c r="BQ27" s="62" t="str">
        <x:f>IF($A27="","",$BJ27*INDEX('Setari model'!$B$5:$B$11,MATCH($E27,'Setari model'!$A$5:$A$11,0))+$BK27*INDEX('Setari model'!$C$5:$C$11,MATCH($E27,'Setari model'!$A$5:$A$11,0))+$BL27*INDEX('Setari model'!$D$5:$D$11,MATCH($E27,'Setari model'!$A$5:$A$11,0))+$BM27*INDEX('Setari model'!$E$5:$E$11,MATCH($E27,'Setari model'!$A$5:$A$11,0))+$BN27*INDEX('Setari model'!$F$5:$F$11,MATCH($E27,'Setari model'!$A$5:$A$11,0))+$BP27*INDEX('Setari model'!$G$5:$G$11,MATCH($E27,'Setari model'!$A$5:$A$11,0)))</x:f>
      </x:c>
      <x:c r="BR27" s="64" t="str">
        <x:f>IF($A27="","",MAX('Setari model'!$B$53,MIN('Setari model'!$B$54,1+($AV27*'Setari model'!$B$15+$AW27*'Setari model'!$B$16+$AX27*'Setari model'!$B$17+$AY27*'Setari model'!$B$18+$AZ27*'Setari model'!$B$19+$BA27*'Setari model'!$B$20+$BB27*'Setari model'!$B$21+$BC27*'Setari model'!$B$22+$BD27*'Setari model'!$B$23+$BE27*'Setari model'!$B$24+$BF27*'Setari model'!$B$25)*INDEX('Setari model'!$H$5:$H$11,MATCH($E27,'Setari model'!$A$5:$A$11,0)))))</x:f>
      </x:c>
      <x:c r="BS27" s="62" t="str">
        <x:f t="shared" si="2">IF($A27="","",$BQ27*$BR27)</x:f>
      </x:c>
      <x:c r="BT27" s="63" t="str">
        <x:f t="shared" si="3">IF($A27="","",EXP(-$BS27))</x:f>
      </x:c>
      <x:c r="BU27" s="65" t="str">
        <x:f>IF($A27="","",IF(OR($AM27="",$AN27=""),1,1+MIN('Setari model'!$B$33,$AN27/100*'Setari model'!$B$33)*($AM27/EXP(-$AL27)-1)))</x:f>
      </x:c>
      <x:c r="BV27" s="63" t="str">
        <x:f>IF($A27="","",MIN(0.45,MAX(0.005,(1-'Setari model'!$B$34*MIN(1,($I27+$P27)/20))*MIN(0.45,$BT27*$BU27)+'Setari model'!$B$34*MIN(1,($I27+$P27)/20)*IF(COUNT($N27,$U27)=2,SQRT(MAX(0,1-$N27)*MAX(0,1-$U27)),IF($AM27="",EXP(-$AL27),$AM27)))))</x:f>
      </x:c>
      <x:c r="BW27" s="63" t="str">
        <x:f t="shared" si="4">IF($A27="","",1-$BV27)</x:f>
      </x:c>
      <x:c r="BX27" s="62" t="str">
        <x:f t="shared" si="5">IF($A27="","",1/$BW27)</x:f>
      </x:c>
      <x:c r="BY27" s="63" t="str">
        <x:f t="shared" si="6">IF($A27="","",$BO27)</x:f>
      </x:c>
      <x:c r="BZ27" s="63" t="str">
        <x:f t="shared" si="7">IF($A27="","",$BW27-$BY27)</x:f>
      </x:c>
      <x:c r="CA27" s="63" t="str">
        <x:f t="shared" si="8">IF($A27="","",IF($AR27&gt;1,$BW27*$AR27-1,""))</x:f>
      </x:c>
      <x:c r="CB27" s="63" t="str">
        <x:f>IF($A27="","",MIN(1,COUNT($I27:$AN27,$AR27:$BG27)/'Setari model'!$B$46))</x:f>
      </x:c>
      <x:c r="CC27" s="63" t="str">
        <x:f t="shared" si="9">IF($A27="","",0.25*MIN(1,$I27/10)+0.25*MIN(1,$P27/10)+0.15*MIN(1,$W27/5)+0.15*MIN(1,$AB27/5)+0.1*MIN(1,$AG27/5)+0.1*MIN(1,$AN27/100))</x:f>
      </x:c>
      <x:c r="CD27" s="63" t="str">
        <x:f>IF($A27="","",MAX(0,1-(MAX($BJ27:$BN27,$BP27)-MIN($BJ27:$BN27,$BP27))/(AVERAGE($BJ27:$BN27,$BP27)*'Setari model'!$B$45)))</x:f>
      </x:c>
      <x:c r="CE27" s="66" t="str">
        <x:f>IF($A27="","",MAX(0,MIN(100,100*INDEX('Setari model'!$I$5:$I$11,MATCH($E27,'Setari model'!$A$5:$A$11,0))*('Setari model'!$B$47*$CB27+'Setari model'!$B$48*$CC27+'Setari model'!$B$49*$CD27+'Setari model'!$B$50*$AT27/5+'Setari model'!$B$51*$AU27)-100*'Setari model'!$B$52*$BG27)))</x:f>
      </x:c>
      <x:c r="CF27" s="65" t="str">
        <x:f t="shared" si="10">IF($A27="","",IF(OR($AT27&lt;3,$BG27&gt;=2,$CB27&lt;0.55,$CC27&lt;0.4),"RIDICAT",IF(OR($AU27=0,$CD27&lt;0.45,$BR27&lt;0.9),"MEDIU","SCĂZUT")))</x:f>
      </x:c>
      <x:c r="CG27" s="65" t="str">
        <x:f>IF($A27="","",IF($AR27&gt;1,IF(AND($BW27&gt;= 'Setari model'!$B$35,$CE27&gt;=100*'Setari model'!$B$36,$BZ27&gt;= 'Setari model'!$B$37,$CA27&gt;= 'Setari model'!$B$38,$CF27&lt;&gt;"RIDICAT"),"PARIU RECOMANDAT",IF(AND($BW27&gt;= 'Setari model'!$B$39,$CE27&gt;=100*'Setari model'!$B$40,$BZ27&gt;= 'Setari model'!$B$41,$CA27&gt;=0,$CF27&lt;&gt;"RIDICAT"),"RECOMANDAT CU PRUDENȚĂ",IF(AND($BW27&gt;= 'Setari model'!$B$42,$CE27&gt;=100*'Setari model'!$B$43),"ANALIZĂ NECONCLUDENTĂ","PARIU EVITAT"))),IF(AND($BW27&gt;= 'Setari model'!$B$35,$CE27&gt;=100*'Setari model'!$B$36,$CF27&lt;&gt;"RIDICAT"),"FAVORABIL STATISTIC – VERIFICĂ COTA",IF(AND($BW27&gt;= 'Setari model'!$B$42,$CE27&gt;=100*'Setari model'!$B$43),"ANALIZĂ NECONCLUDENTĂ","PARIU EVITAT"))))</x:f>
      </x:c>
      <x:c r="CH27" s="67" t="str">
        <x:f t="shared" si="11">IF($A27="","","P(O0,5)="&amp;TEXT($BW27,"0.0%")&amp;"; λ ajustat="&amp;TEXT($BS27,"0.00")&amp;"; Confidence="&amp;TEXT($CE27,"0")&amp;"/100; Edge="&amp;TEXT($BZ27,"0.0%")&amp;"; risc="&amp;$CF27&amp;". "&amp;$BH27)</x:f>
      </x:c>
      <x:c r="CI27" s="68" t="str">
        <x:f t="shared" si="12">IF($A27="","",$BI27)</x:f>
      </x:c>
      <x:c r="CJ27" s="112"/>
      <x:c r="CK27" s="112"/>
      <x:c r="CL27" s="112"/>
      <x:c r="CM27" s="112"/>
      <x:c r="CN27" s="112"/>
      <x:c r="CO27" s="112"/>
      <x:c r="CP27" s="112"/>
      <x:c r="CQ27" s="112"/>
      <x:c r="CR27" s="112"/>
      <x:c r="CS27" s="112"/>
      <x:c r="CT27" s="112"/>
      <x:c r="CU27" s="112"/>
      <x:c r="CV27" s="112"/>
      <x:c r="CW27" s="112"/>
      <x:c r="CX27" s="112"/>
      <x:c r="CY27" s="112"/>
      <x:c r="CZ27" s="112"/>
      <x:c r="DA27" s="112"/>
      <x:c r="DB27" s="112"/>
      <x:c r="DC27" s="114"/>
      <x:c r="DD27" s="114"/>
      <x:c r="DE27" s="112" t="s">
        <x:v>266</x:v>
      </x:c>
      <x:c r="DF27" s="112"/>
      <x:c r="DG27" s="112"/>
      <x:c r="DH27" s="112"/>
      <x:c r="DI27" s="112"/>
      <x:c r="DJ27" s="112"/>
      <x:c r="DK27" s="112"/>
      <x:c r="DL27" s="112"/>
      <x:c r="DM27" s="112"/>
      <x:c r="DN27" s="112"/>
      <x:c r="DO27" s="112"/>
      <x:c r="DP27" s="112"/>
      <x:c r="DQ27" s="114"/>
      <x:c r="DR27" s="112">
        <x:v>1</x:v>
      </x:c>
      <x:c r="DS27" s="116">
        <x:v>0</x:v>
      </x:c>
      <x:c r="DT27" s="120"/>
      <x:c r="DU27" s="116">
        <x:v>0.02</x:v>
      </x:c>
      <x:c r="DV27" s="116">
        <x:v>0.25</x:v>
      </x:c>
      <x:c r="DW27" s="118" t="str">
        <x:f>IF($A27="","",MAX('Setari model'!$B$71,MIN('Setari model'!$B$72,1+0.08*(IFERROR(AVERAGE($CM27:$CN27)/'Setari model'!$B$66,1)-1)+0.08*(IFERROR(AVERAGE($CO27:$CP27)/'Setari model'!$B$67,1)-1)+0.06*(IFERROR(AVERAGE($CQ27:$CR27)/'Setari model'!$B$68,1)-1)+0.04*(IFERROR(AVERAGE($CS27:$CT27)/'Setari model'!$B$69,1)-1)+0.04*(IFERROR(AVERAGE($CU27:$CV27)/'Setari model'!$B$70,1)-1)-'Setari model'!$B$73*IFERROR(AVERAGE($CW27:$CX27),0))))</x:f>
      </x:c>
      <x:c r="DX27" s="118" t="str">
        <x:f>IF($A27="","",1+'Setari model'!$B$62*MAX(IF(OR($CK27=1,$CL27=1),1,0),IF(AND($CJ27&lt;&gt;"",$CJ27&lt;=1),1,0))+'Setari model'!$B$63*IF(AND($CJ27&gt;1,$CJ27&lt;=3),1,0))</x:f>
      </x:c>
      <x:c r="DY27" s="118" t="str">
        <x:f>IF($A27="","",1+'Setari model'!$B$74*(IF($CY27="",0,IF($CY27=0,1,0))+IF($CZ27="",0,IF($CZ27=0,1,0)))+'Setari model'!$B$75*(IF($DA27="",0,IF($DA27=0,1,0))+IF($DB27="",0,IF($DB27=0,1,0))))</x:f>
      </x:c>
      <x:c r="DZ27" s="117" t="str">
        <x:f>IF($A27="","",MIN(0.6,MAX(0.002,(((1-'Setari model'!$B$34*MIN(1,($I27+$P27)/20))*$BT27+'Setari model'!$B$34*MIN(1,($I27+$P27)/20)*IF(COUNT($N27,$U27)=2,SQRT(MAX(0,1-$N27)*MAX(0,1-$U27)),$BT27))*(1-'Setari model'!$B$65*MIN(1,IF($AN27="",0,$AN27/'Setari model'!$B$64)))+'Setari model'!$B$65*MIN(1,IF($AN27="",0,$AN27/'Setari model'!$B$64))*IF($AM27="",$BT27,$AM27))*$DX27*$DY27/$DW27)))</x:f>
      </x:c>
      <x:c r="EA27" s="117" t="str">
        <x:f>IF($A27="","",MIN(1-$DZ27,IF(OR(MIN($I27,$P27)&lt;'Setari model'!$B$58,$CK27=1,$CL27=1,AND($CJ27&lt;&gt;"",$CJ27&lt;=1)),'Setari model'!$B$59,IF(AND($AU27=1,$AR27&gt;1,COUNT($CY27:$DB27)=4),'Setari model'!$B$61,'Setari model'!$B$60))))</x:f>
      </x:c>
      <x:c r="EB27" s="115" t="str">
        <x:f t="shared" si="13">IF($A27="","",1/$EA27)</x:f>
      </x:c>
      <x:c r="EC27" s="117" t="str">
        <x:f t="shared" si="14">IF($A27="","",IF($AR27&gt;1,IF($AS27&gt;1,(1/$AR27)/((1/$AR27)+(1/$AS27)),1/$AR27),""))</x:f>
      </x:c>
      <x:c r="ED27" s="117" t="str">
        <x:f t="shared" si="15">IF($A27="","",IF($EC27="","",$EA27-$EC27))</x:f>
      </x:c>
      <x:c r="EE27" s="117" t="str">
        <x:f t="shared" si="16">""</x:f>
      </x:c>
      <x:c r="EF27" s="119" t="str">
        <x:f>IF($A27="","",MAX(0,MIN(100,$CE27-200*MAX(0,$EG27-'Setari model'!$B$77)-IF($AU27&lt;&gt;1,10,0)-IF(COUNT($CY27:$DB27)&lt;4,4,0))))</x:f>
      </x:c>
      <x:c r="EG27" s="117" t="str">
        <x:f>IF($A27="","",'Setari model'!$B$77+IF(MIN($I27,$P27)&lt;'Setari model'!$B$58,0.03,0)+IF(OR($CK27=1,$CL27=1,AND($CJ27&lt;&gt;"",$CJ27&lt;=1)),0.03,0)+IF($AG27=0,0.02,0)+0.03*(1-MIN(1,COUNT($CM27:$CV27)/10))+0.03*(1-MIN(1,IF($AN27="",0,$AN27/'Setari model'!$B$64)))+IF($AR27&lt;=1,0.02,0))</x:f>
      </x:c>
      <x:c r="EH27" s="113" t="str">
        <x:f>IF($A27="","",IF(OR(MIN($I27,$P27)&lt;'Setari model'!$B$58,$CK27=1,$CL27=1,AND($CJ27&lt;&gt;"",$CJ27&lt;=1)),"92% – early/regim",IF(AND($AU27=1,$AR27&gt;1,COUNT($CY27:$DB27)=4),"94% – confirmat","93% – standard")))</x:f>
      </x:c>
      <x:c r="EI27" s="113" t="str">
        <x:f t="shared" si="17">IF($A27="","",IF(AND($EA27&gt;0.9,$AU27&lt;&gt;1),"WAIT XI – HIGH P",IF(AND($EA27&gt;0.9,COUNT($CY27:$DB27)&lt;4),"WAIT DATE CHEIE – HIGH P",IF($EP27&lt;&gt;"DA","NU – PORTOFOLIU","DA"))))</x:f>
      </x:c>
      <x:c r="EJ27" s="117" t="str">
        <x:f t="shared" si="18">IF($A27="","",IF($DE27&lt;&gt;"Live 20-30","",IF(SUM($DG27:$DH27)&gt;0,1,IF($EU27="","",1-MIN(0.95,MAX(0.001,EXP(-$EU27)*$DX27*$DY27/$DW27))))))</x:f>
      </x:c>
      <x:c r="EK27" s="117" t="str">
        <x:f t="shared" si="19">""</x:f>
      </x:c>
      <x:c r="EL27" s="113" t="str">
        <x:f>IF($A27="","",IF($DE27="Live 20-30",IF(SUM($DG27:$DH27)&gt;0,"EVENIMENT ÎNDEPLINIT",IF(OR($DF27="",COUNT($DI27:$DN27)&lt;4),"LIVE – WATCH",IF($EJ27&gt;=0.75,"LIVE – FEZABIL TEHNIC","LIVE – NO BET"))),IF($EI27&lt;&gt;"DA","WATCH / NO BET",IF(AND($EA27&gt;=INDEX('Setari model'!$B$35:$B$40,1),$EF27&gt;=100*'Setari model'!$B$76),"PARIU RECOMANDAT",IF(AND($EA27&gt;=INDEX('Setari model'!$B$35:$B$40,5),$EF27&gt;=100*'Setari model'!$B$40),"WATCH – APROAPE DE PRAG","PARIU EVITAT")))))</x:f>
      </x:c>
      <x:c r="EM27" s="113" t="str">
        <x:f t="shared" si="20">IF($A27="","",IF($DE27="Live 20-30",IF(SUM($DG27:$DH27)&gt;0,"Gol deja marcat.",IF($DF27="","Minut live lipsă.",IF(COUNT($DI27:$DN27)&lt;4,"Lipsesc xG/SOT/big chances live.",IF($EJ27&lt;0.75,"P live sub prag.","Semnal live tehnic complet; EV ignorat.")))),IF($EI27&lt;&gt;"DA",$EI27,IF($EF27&lt;75,"Confidence sub 75.",IF($EA27&lt;0.92,"P sub 92%.","G0/Zero-Mass + confidence trecute; EV ignorat.")))))</x:f>
      </x:c>
      <x:c r="EN27" s="117" t="str">
        <x:f>IF($A27="","",IF(OR($EL27="PARIU RECOMANDAT",$EL27="LIVE – FEZABIL"),MIN(IF($DU27&gt;0,$DU27,'Setari model'!$B$81)/MAX(1,$DR27),IF($DV27&gt;0,$DV27,'Setari model'!$B$80)*MAX(0,((IF($DE27="Live 20-30",$EJ27,$EA27)*IF($DE27="Live 20-30",$DQ27,$AR27)-1)/(IF($DE27="Live 20-30",$DQ27,$AR27)-1)))),0))</x:f>
      </x:c>
      <x:c r="EO27" s="121" t="str">
        <x:f t="shared" si="21">IF($A27="","",IF(AND($EN27&gt;0,$DT27&gt;0),$EN27*$DT27,""))</x:f>
      </x:c>
      <x:c r="EP27" s="113" t="str">
        <x:f>IF($A27="","",IF(OR($DR27&lt;1,$DR27&gt;'Setari model'!$B$78),"NU – 1–5 selecții",IF($DS27&gt;'Setari model'!$B$79,"NU – corelație", "DA")))</x:f>
      </x:c>
      <x:c r="EQ27" s="117" t="str">
        <x:f t="shared" si="22">IF($A27="","",IF(AND($DC27&gt;1,$DD27&gt;1),$DC27/$DD27-1,""))</x:f>
      </x:c>
      <x:c r="ER27" s="113" t="str">
        <x:f t="shared" si="23">IF($A27="","","P v2="&amp;TEXT($EA27,"0.0%")&amp;" ±"&amp;TEXT($EG27,"0.0%")&amp;"; P0 ZIP="&amp;TEXT($DZ27,"0.0%")&amp;"; Confidence="&amp;TEXT($EF27,"0")&amp;"/100; piață reală="&amp;IF($EC27="","NU","DA")&amp;"; EV="&amp;IF($EE27="","n/a",TEXT($EE27,"0.0%"))&amp;"; gate="&amp;$EI27&amp;"; verdict="&amp;$EL27&amp;". "&amp;$EM27)</x:f>
      </x:c>
      <x:c r="ES27" s="119" t="str">
        <x:f>IF($A27="","",'Setari model'!$B$82)</x:f>
      </x:c>
      <x:c r="ET27" s="118" t="str">
        <x:f>IF($A27="","",'Setari model'!$B$83)</x:f>
      </x:c>
      <x:c r="EU27" s="115" t="str">
        <x:f t="shared" si="24">IF(OR($A27="",$DE27&lt;&gt;"Live 20-30",$DF27="",$DF27&lt;$ES27,$DF27&gt;=90),"",MAX(0.05,MIN($BS27*$ET27,$BS27*(90-$DF27)/90+0.35*($DI27+$DJ27)+0.06*($DK27+$DL27)+0.15*($DM27+$DN27)+0.1*(MAX($DO27,$DP27)-MIN($DO27,$DP27)))))</x:f>
      </x:c>
      <x:c r="EV27" s="132"/>
      <x:c r="EW27" s="132"/>
      <x:c r="EX27" s="132"/>
      <x:c r="EY27" s="132"/>
      <x:c r="EZ27" s="132"/>
      <x:c r="FA27" s="132"/>
      <x:c r="FB27" s="247"/>
      <x:c r="FC27" s="134" t="str">
        <x:f t="shared" si="25">IF($A27="","",IF(OR($J27="",$L27="",$L27&lt;=0),"",MAX(0.5,MIN(1.5,$J27/$L27))))</x:f>
      </x:c>
      <x:c r="FD27" s="134" t="str">
        <x:f t="shared" si="26">IF($A27="","",IF(OR($Q27="",$S27="",$S27&lt;=0),"",MAX(0.5,MIN(1.5,$Q27/$S27))))</x:f>
      </x:c>
      <x:c r="FE27" s="134" t="str">
        <x:f>IF($A27="","",IF(COUNT($EV27:$EW27)&lt;2,"",SQRT($EV27*$EW27)/'Setari model'!$B$87))</x:f>
      </x:c>
      <x:c r="FF27" s="134" t="str">
        <x:f>IF($A27="","",IF(COUNT($O27,$V27,$EX27,$EY27)&lt;4,"",AVERAGE(SQRT($O27*$EY27),SQRT($V27*$EX27))/'Setari model'!$B$88))</x:f>
      </x:c>
      <x:c r="FG27" s="134" t="str">
        <x:f t="shared" si="27">IF($A27="","",IF(COUNT($FC27:$FD27)&lt;2,"",MAX(0,1-AVERAGE($FC27:$FD27))))</x:f>
      </x:c>
      <x:c r="FH27" s="134" t="str">
        <x:f>IF($A27="","",IF(COUNT($EZ27:$FA27)&lt;2,"",'Setari model'!$B$94*AVERAGE($EZ27:$FA27)/'Setari model'!$B$89))</x:f>
      </x:c>
      <x:c r="FI27" s="134" t="str">
        <x:f>IF($A27="","",IF(COUNT($FE27:$FH27)&lt;4,"",MAX('Setari model'!$B$97,MIN('Setari model'!$B$98,1+'Setari model'!$B$90*($FE27-1)+'Setari model'!$B$91*($FF27-1)+'Setari model'!$B$92*$FG27+'Setari model'!$B$93*($FH27-1)))))</x:f>
      </x:c>
      <x:c r="FJ27" s="133" t="str">
        <x:f>IF($A27="","",IF($FI27="","",MIN('Setari model'!$B$101,MAX(0.002,$DZ27*$FI27))))</x:f>
      </x:c>
      <x:c r="FK27" s="131" t="str">
        <x:f t="shared" si="28">IF($A27="","",IF(AND(COUNT($EV27:$FA27)=6,COUNT($O27,$V27,$FC27,$FD27)=4),"DA","NU"))</x:f>
      </x:c>
      <x:c r="FL27" s="131" t="str">
        <x:f>IF($A27="","",IF($FK27&lt;&gt;"DA","NEDETERMINAT",IF($FI27&lt;='Setari model'!$B$99,"SCĂZUT",IF($FI27&lt;='Setari model'!$B$100,"MEDIU","RIDICAT"))))</x:f>
      </x:c>
      <x:c r="FM27" s="131" t="str">
        <x:f>IF($A27="","",IF(AND($AR27&gt;1,$EC27&gt;='Setari model'!$B$106),"DA","NU"))</x:f>
      </x:c>
      <x:c r="FN27" s="131" t="str">
        <x:f t="shared" si="29">IF($A27="","",IF(AND($AU27=1,COUNT($CY27:$DB27)=4),"DA","NU"))</x:f>
      </x:c>
      <x:c r="FO27" s="133" t="str">
        <x:f>IF($A27="","",IF(OR($FK27&lt;&gt;"DA",$FL27="RIDICAT"),'Setari model'!$B$102,IF($FL27="MEDIU",'Setari model'!$B$103,IF(AND($FM27="DA",$FN27="DA"),'Setari model'!$B$105,'Setari model'!$B$104))))</x:f>
      </x:c>
      <x:c r="FP27" s="133" t="str">
        <x:f t="shared" si="30">IF($A27="","",IF($FJ27="","",MIN(1-$FJ27,$FO27)))</x:f>
      </x:c>
      <x:c r="FQ27" s="135" t="str">
        <x:f t="shared" si="31">IF($A27="","",IF($FP27="","",IF($FP27&gt;0,1/$FP27,"")))</x:f>
      </x:c>
      <x:c r="FR27" s="133" t="str">
        <x:f t="shared" si="32">IF($A27="","",IF($EC27="","",$FP27-$EC27))</x:f>
      </x:c>
      <x:c r="FS27" s="133" t="str">
        <x:f t="shared" si="33">IF($A27="","",IF($AR27&gt;1,$FP27*$AR27-1,""))</x:f>
      </x:c>
      <x:c r="FT27" s="136" t="str">
        <x:f>IF($A27="","",MAX(0,MIN(100,$EF27-IF($FK27&lt;&gt;"DA",'Setari model'!$B$107,0)-IF($FL27="MEDIU",'Setari model'!$B$108,0)-IF($FL27="RIDICAT",'Setari model'!$B$109,0))))</x:f>
      </x:c>
      <x:c r="FU27" s="131" t="str">
        <x:f t="shared" si="34">IF($A27="","",IF($AR27&lt;=1,"NU – LIPSEȘTE COTA REALĂ",IF($FK27&lt;&gt;"DA","NU – ZERO-RISK INCOMPLET",IF($FL27&lt;&gt;"SCĂZUT","NU – RISC 0-0 "&amp;$FL27,IF($FN27&lt;&gt;"DA","NU – LINEUP NECONFIRMAT",IF($FM27&lt;&gt;"DA","NU – PIAȚĂ NECONFIRMATĂ",IF($EP27&lt;&gt;"DA","NU – PORTOFOLIU","DA")))))))</x:f>
      </x:c>
      <x:c r="FV27" s="131" t="str">
        <x:f>IF($A27="","",IF($FU27&lt;&gt;"DA","WATCH / NO BET",IF(AND($FP27&gt;='Setari model'!$B$35,$FT27&gt;=100*'Setari model'!$B$76,$FS27&gt;0),"PARIU RECOMANDAT",IF(AND($FP27&gt;='Setari model'!$B$39,$FT27&gt;=100*'Setari model'!$B$40,$FS27&gt;0),"WATCH – APROAPE DE PRAG","PARIU EVITAT"))))</x:f>
      </x:c>
      <x:c r="FW27" s="131" t="str">
        <x:f t="shared" si="35">IF($A27="","",IF($FU27&lt;&gt;"DA",$FU27,IF($FT27&lt;75,"Confidence v3 sub 75.",IF($FP27&lt;0.92,"P v3 sub 92%.",IF($FS27&lt;=0,"EV v3 nepozitiv.","P0 v3, lineup și piață confirmate.")))))</x:f>
      </x:c>
      <x:c r="FX27" s="131" t="str">
        <x:f t="shared" si="36">IF($A27="","","P v3="&amp;TEXT($FP27,"0.0%")&amp;"; P0 v3="&amp;TEXT($FJ27,"0.0%")&amp;"; factor zero="&amp;IF($FI27="","n/a",TEXT($FI27,"0.00x"))&amp;" ("&amp;$FL27&amp;"); cap="&amp;TEXT($FO27,"0.0%")&amp;"; Confidence="&amp;TEXT($FT27,"0")&amp;"/100; lineup="&amp;$FN27&amp;"; piață="&amp;$FM27&amp;"; EV="&amp;IF($FS27="","n/a",TEXT($FS27,"0.0%"))&amp;"; gate="&amp;$FU27&amp;"; verdict="&amp;$FV27&amp;". "&amp;$FW27)</x:f>
      </x:c>
      <x:c r="FY27" s="159"/>
      <x:c r="FZ27" s="159"/>
      <x:c r="GA27" s="157"/>
      <x:c r="GB27" s="157"/>
      <x:c r="GC27" s="161" t="str">
        <x:f t="shared" si="37">IF($A27="","",IF(OR($X27="",$Z27="",$Z27&lt;=0),"",MAX(0.5,MIN(1.5,$X27/$Z27))))</x:f>
      </x:c>
      <x:c r="GD27" s="161" t="str">
        <x:f t="shared" si="38">IF($A27="","",IF(OR($AC27="",$AE27="",$AE27&lt;=0),"",MAX(0.5,MIN(1.5,$AC27/$AE27))))</x:f>
      </x:c>
      <x:c r="GE27" s="162" t="str">
        <x:f t="shared" si="39">IF($A27="","",IF(COUNT($Z27,$AE27)&lt;2,"",AVERAGE($Z27,$AE27)))</x:f>
      </x:c>
      <x:c r="GF27" s="158" t="str">
        <x:f>IF($A27="","",IF(COUNT($FY27:$FZ27)&lt;2,"NEDETERMINAT",IF(AND($FY27&gt;='Setari model'!$B$113,$FZ27&gt;='Setari model'!$B$113),"DA","NU")))</x:f>
      </x:c>
      <x:c r="GG27" s="158" t="str">
        <x:f>IF($A27="","",IF(COUNT($FY27:$FZ27,$EX27:$EY27)&lt;4,"NEDETERMINAT",IF(OR(AND($FY27&gt;='Setari model'!$B$113,$EY27&gt;='Setari model'!$B$114),AND($FZ27&gt;='Setari model'!$B$113,$EX27&gt;='Setari model'!$B$114)),"DA","NU")))</x:f>
      </x:c>
      <x:c r="GH27" s="158" t="str">
        <x:f>IF($A27="","",IF(COUNT($BJ27:$BN27,$GC27:$GE27)&lt;8,"NEDETERMINAT",IF(AND((($BJ27*INDEX('Setari model'!$B$5:$B$11,MATCH($E27,'Setari model'!$A$5:$A$11,0))+$BK27*INDEX('Setari model'!$C$5:$C$11,MATCH($E27,'Setari model'!$A$5:$A$11,0))+$BL27*INDEX('Setari model'!$D$5:$D$11,MATCH($E27,'Setari model'!$A$5:$A$11,0))+$BM27*INDEX('Setari model'!$E$5:$E$11,MATCH($E27,'Setari model'!$A$5:$A$11,0))+$BN27*INDEX('Setari model'!$F$5:$F$11,MATCH($E27,'Setari model'!$A$5:$A$11,0)))/(INDEX('Setari model'!$B$5:$B$11,MATCH($E27,'Setari model'!$A$5:$A$11,0))+INDEX('Setari model'!$C$5:$C$11,MATCH($E27,'Setari model'!$A$5:$A$11,0))+INDEX('Setari model'!$D$5:$D$11,MATCH($E27,'Setari model'!$A$5:$A$11,0))+INDEX('Setari model'!$E$5:$E$11,MATCH($E27,'Setari model'!$A$5:$A$11,0))+INDEX('Setari model'!$F$5:$F$11,MATCH($E27,'Setari model'!$A$5:$A$11,0))))*$BR27&gt;='Setari model'!$B$115,(($BJ27*INDEX('Setari model'!$B$5:$B$11,MATCH($E27,'Setari model'!$A$5:$A$11,0))+$BK27*INDEX('Setari model'!$C$5:$C$11,MATCH($E27,'Setari model'!$A$5:$A$11,0))+$BL27*INDEX('Setari model'!$D$5:$D$11,MATCH($E27,'Setari model'!$A$5:$A$11,0))+$BM27*INDEX('Setari model'!$E$5:$E$11,MATCH($E27,'Setari model'!$A$5:$A$11,0))+$BN27*INDEX('Setari model'!$F$5:$F$11,MATCH($E27,'Setari model'!$A$5:$A$11,0)))/(INDEX('Setari model'!$B$5:$B$11,MATCH($E27,'Setari model'!$A$5:$A$11,0))+INDEX('Setari model'!$C$5:$C$11,MATCH($E27,'Setari model'!$A$5:$A$11,0))+INDEX('Setari model'!$D$5:$D$11,MATCH($E27,'Setari model'!$A$5:$A$11,0))+INDEX('Setari model'!$E$5:$E$11,MATCH($E27,'Setari model'!$A$5:$A$11,0))+INDEX('Setari model'!$F$5:$F$11,MATCH($E27,'Setari model'!$A$5:$A$11,0))))*$BR27&lt;='Setari model'!$B$116,AVERAGE($GC27:$GD27)&lt;='Setari model'!$B$117,$GE27&gt;='Setari model'!$B$118),"DA","NU")))</x:f>
      </x:c>
      <x:c r="GI27" s="158" t="str">
        <x:f>IF($A27="","",IF(COUNT($W27,$AB27,$GA27:$GB27)&lt;4,"NEDETERMINAT",IF(AND($W27&gt;='Setari model'!$B$120,$AB27&gt;='Setari model'!$B$120,OR(IFERROR($GA27/$W27,0)&gt;='Setari model'!$B$119,IFERROR($GB27/$AB27,0)&gt;='Setari model'!$B$119)),"DA","NU")))</x:f>
      </x:c>
      <x:c r="GJ27" s="160" t="str">
        <x:f>IF($A27="","",IF(COUNT($FY27:$GB27)&lt;4,"",IF($GH27&lt;&gt;"DA",0,'Setari model'!$B$121*IF($GF27="DA",1,0)+'Setari model'!$B$122*IF($GG27="DA",1,0)+'Setari model'!$B$123+'Setari model'!$B$124*IF($GI27="DA",1,0))))</x:f>
      </x:c>
      <x:c r="GK27" s="161" t="str">
        <x:f>IF($A27="","",IF(COUNT($GJ27)=0,"",1+'Setari model'!$B$125*$GJ27))</x:f>
      </x:c>
      <x:c r="GL27" s="160" t="str">
        <x:f>IF($A27="","",IF($GM27&lt;&gt;"DA",$FJ27,MIN('Setari model'!$B$101,MAX(0.002,$FJ27*$GK27))))</x:f>
      </x:c>
      <x:c r="GM27" s="158" t="str">
        <x:f>IF($A27="","",IF(AND($FK27="DA",COUNT($FY27:$GB27)=4,COUNT($I27,$P27,$W27,$AB27,$Z27,$AE27,$EX27,$EY27,$GC27,$GD27)=10,COUNT($BJ27:$BN27)=5),"DA","NU"))</x:f>
      </x:c>
      <x:c r="GN27" s="158" t="str">
        <x:f>IF($A27="","",IF($GM27&lt;&gt;"DA","NEDETERMINAT",IF($FI27*$GK27&lt;='Setari model'!$B$99,"SCĂZUT",IF($FI27*$GK27&lt;='Setari model'!$B$100,"MEDIU","RIDICAT"))))</x:f>
      </x:c>
      <x:c r="GO27" s="160" t="str">
        <x:f>IF($A27="","",IF(OR($GM27&lt;&gt;"DA",$GN27="RIDICAT"),'Setari model'!$B$102,IF($GN27="MEDIU",'Setari model'!$B$103,IF(AND($FM27="DA",$FN27="DA"),'Setari model'!$B$105,'Setari model'!$B$104))))</x:f>
      </x:c>
      <x:c r="GP27" s="160" t="str">
        <x:f t="shared" si="40">IF($A27="","",IF($GL27="","",MIN(1-$GL27,$GO27)))</x:f>
      </x:c>
      <x:c r="GQ27" s="162" t="str">
        <x:f t="shared" si="41">IF($A27="","",IF($GP27="","",IF($GP27&gt;0,1/$GP27,"")))</x:f>
      </x:c>
      <x:c r="GR27" s="160" t="str">
        <x:f t="shared" si="42">IF($A27="","",IF($EC27="","",$GP27-$EC27))</x:f>
      </x:c>
      <x:c r="GS27" s="160" t="str">
        <x:f t="shared" si="43">IF($A27="","",IF($AR27&gt;1,$GP27*$AR27-1,""))</x:f>
      </x:c>
      <x:c r="GT27" s="163" t="str">
        <x:f>IF($A27="","",MAX(0,MIN(100,$FT27-IF(AND($GM27&lt;&gt;"DA",$FK27="DA"),'Setari model'!$B$107,0)-'Setari model'!$B$126*IF($GJ27="",0,$GJ27))))</x:f>
      </x:c>
      <x:c r="GU27" s="158" t="str">
        <x:f t="shared" si="44">IF($A27="","",IF($AR27&lt;=1,"NU – LIPSEȘTE COTA REALĂ",IF($GM27&lt;&gt;"DA","NU – DATE LOW-CONVERSION INCOMPLETE",IF($GN27&lt;&gt;"SCĂZUT","NU – RISC 0-0 "&amp;$GN27,IF($FN27&lt;&gt;"DA","NU – LINEUP NECONFIRMAT",IF($FM27&lt;&gt;"DA","NU – PIAȚĂ NECONFIRMATĂ",IF($EP27&lt;&gt;"DA","NU – PORTOFOLIU","DA")))))))</x:f>
      </x:c>
      <x:c r="GV27" s="158" t="str">
        <x:f>IF($A27="","",IF($GU27&lt;&gt;"DA","WATCH / NO BET",IF(AND($GP27&gt;='Setari model'!$B$35,$GT27&gt;=100*'Setari model'!$B$76,$GS27&gt;0),"PARIU RECOMANDAT",IF(AND($GP27&gt;='Setari model'!$B$39,$GT27&gt;=100*'Setari model'!$B$40,$GS27&gt;0),"WATCH – APROAPE DE PRAG","PARIU EVITAT"))))</x:f>
      </x:c>
      <x:c r="GW27" s="158" t="str">
        <x:f t="shared" si="45">IF($A27="","",IF($GU27&lt;&gt;"DA",$GU27,IF($GT27&lt;75,"Confidence v5 sub 75.",IF($GP27&lt;0.92,"P v5 sub 92%.",IF($GS27&lt;=0,"EV v5 nepozitiv.",IF($GJ27&gt;0,"Low-conversion absorbit în P0; toate porțile rămân trecute.","Toate porțile v5 sunt trecute."))))))</x:f>
      </x:c>
      <x:c r="GX27" s="158" t="str">
        <x:f t="shared" si="46">IF($A27="","","P v5="&amp;TEXT($GP27,"0.0%")&amp;"; P0 v5="&amp;TEXT($GL27,"0.0%")&amp;"; low-conv="&amp;IF(COUNT($GJ27)=0,"n/a",TEXT($GJ27,"0%"))&amp;"; mult.P0="&amp;IF(COUNT($GK27)=0,"n/a",TEXT($GK27,"0.00"))&amp;"; clasă="&amp;$GN27&amp;"; cap="&amp;TEXT($GO27,"0.0%")&amp;"; Confidence="&amp;TEXT($GT27,"0")&amp;"/100; lineup="&amp;$FN27&amp;"; piață="&amp;$FM27&amp;"; EV="&amp;IF($GS27="","n/a",TEXT($GS27,"0.0%"))&amp;"; gate="&amp;$GU27&amp;"; verdict="&amp;$GV27&amp;". "&amp;$GW27)</x:f>
      </x:c>
      <x:c r="GY27" s="174" t="str">
        <x:f>IF($A27="","",IF($GM27&lt;&gt;"DA","SOURCING INCOMPLETE – REVIEW REQUIRED",IF(MIN($I27,$P27,$W27,$AB27)&lt;'Setari model'!$B$58,"SMALL SAMPLE + PRIOR / SHRINKAGE","VERIFIED / PRIOR / SHRINKAGE")))</x:f>
      </x:c>
      <x:c r="GZ27" s="175" t="str">
        <x:f t="shared" si="47">IF($A27="","",MAX(0,MIN(100,100*(1-AVERAGE(IF($GM27="DA",1,0),MIN(1,$AT27/5))))))</x:f>
      </x:c>
      <x:c r="HA27" s="175" t="str">
        <x:f>IF($A27="","",IF($GM27&lt;&gt;"DA","",MAX(0,MIN(100,100*(($FI27*$GK27)-'Setari model'!$B$97)/('Setari model'!$B$98-'Setari model'!$B$97)))))</x:f>
      </x:c>
      <x:c r="HB27" s="175" t="str">
        <x:f>IF($A27="","",MAX(0,MIN(100,100*(ABS($BR27-1)/MAX(1-'Setari model'!$B$53,'Setari model'!$B$54-1)+MIN(1,$BG27/2))/2)))</x:f>
      </x:c>
      <x:c r="HC27" s="175" t="str">
        <x:f t="shared" si="48">IF($A27="","",MAX(0,MIN(100,100*(1-AVERAGE($CC27,MAX(0,1-(MAX($BJ27:$BN27)-MIN($BJ27:$BN27))/(AVERAGE($BJ27:$BN27)*'Setari model'!$B$45)))))))</x:f>
      </x:c>
      <x:c r="HD27" s="175" t="str">
        <x:f t="shared" si="49">IF($A27="","",MAX(0,MIN(100,100*MAX(IF($GJ27="",0,$GJ27),MIN(1,$BG27/2)))))</x:f>
      </x:c>
      <x:c r="HE27" s="175" t="str">
        <x:f>IF($A27="","",IF(COUNT($GZ27:$HD27)&lt;5,"",$GZ27*Risk_Classification!$E$28+$HA27*Risk_Classification!$E$29+$HB27*Risk_Classification!$E$30+$HC27*Risk_Classification!$E$31+$HD27*Risk_Classification!$E$32))</x:f>
      </x:c>
      <x:c r="HF27" s="176" t="str">
        <x:f t="shared" si="50">IF($A27="","",IF($HE27="","",IF($HE27&lt;=20,1,IF($HE27&lt;=40,2,IF($HE27&lt;=60,3,IF($HE27&lt;=80,4,5))))))</x:f>
      </x:c>
      <x:c r="HG27" s="176" t="str">
        <x:f t="shared" si="51">IF($A27="","",IF($GM27="DA","PASS","FAIL – DATE CRITICE ZERO-MASS INCOMPLETE"))</x:f>
      </x:c>
      <x:c r="HH27" s="176" t="str">
        <x:f t="shared" si="52">IF($A27="","",IF($HG27&lt;&gt;"PASS",5,$HF27))</x:f>
      </x:c>
      <x:c r="HI27" s="174" t="str">
        <x:f t="shared" si="53">IF($A27="","",IF($HH27="","N/A",IF($HH27=1,"DEFENSIV",IF($HH27=2,"PRUDENT",IF($HH27=3,"MODERAT",IF($HH27=4,"RIDICAT","WATCH / NO BET"))))))</x:f>
      </x:c>
      <x:c r="HJ27" s="177" t="str">
        <x:f t="shared" si="54">IF($A27="","","Data="&amp;$GY27&amp;"; DQ="&amp;TEXT($GZ27,"0.0")&amp;"; ZM="&amp;IF($HA27="","n/a",TEXT($HA27,"0.0"))&amp;"; Context="&amp;TEXT($HB27,"0.0")&amp;"; Uncertainty="&amp;TEXT($HC27,"0.0")&amp;"; Compound="&amp;TEXT($HD27,"0.0")&amp;"; Risk Score="&amp;IF($HE27="","n/a",TEXT($HE27,"0.0"))&amp;"; Base="&amp;IF($HF27="","n/a",$HF27)&amp;"; G0="&amp;$HG27&amp;"; Final="&amp;$HH27&amp;". Cota, EV si lineup sunt informative si nu intra in recomandare.")</x:f>
      </x:c>
      <x:c r="HK27" s="174" t="str">
        <x:f t="shared" si="55">IF($A27="","",$HI27)</x:f>
      </x:c>
    </x:row>
    <x:row r="28" ht="24" customHeight="1">
      <x:c r="A28" s="58"/>
      <x:c r="B28" s="24"/>
      <x:c r="C28" s="59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18"/>
      <x:c r="O28" s="18"/>
      <x:c r="P28" s="24"/>
      <x:c r="Q28" s="24"/>
      <x:c r="R28" s="24"/>
      <x:c r="S28" s="24"/>
      <x:c r="T28" s="24"/>
      <x:c r="U28" s="18"/>
      <x:c r="V28" s="18"/>
      <x:c r="W28" s="24"/>
      <x:c r="X28" s="24"/>
      <x:c r="Y28" s="24"/>
      <x:c r="Z28" s="24"/>
      <x:c r="AA28" s="24"/>
      <x:c r="AB28" s="24"/>
      <x:c r="AC28" s="24"/>
      <x:c r="AD28" s="24"/>
      <x:c r="AE28" s="24"/>
      <x:c r="AF28" s="24"/>
      <x:c r="AG28" s="24"/>
      <x:c r="AH28" s="24"/>
      <x:c r="AI28" s="18"/>
      <x:c r="AJ28" s="24"/>
      <x:c r="AK28" s="24"/>
      <x:c r="AL28" s="24"/>
      <x:c r="AM28" s="18"/>
      <x:c r="AN28" s="24"/>
      <x:c r="AO28" s="60"/>
      <x:c r="AP28" s="60"/>
      <x:c r="AQ28" s="60"/>
      <x:c r="AR28" s="60"/>
      <x:c r="AS28" s="60"/>
      <x:c r="AT28" s="24"/>
      <x:c r="AU28" s="24"/>
      <x:c r="AV28" s="24"/>
      <x:c r="AW28" s="24"/>
      <x:c r="AX28" s="24"/>
      <x:c r="AY28" s="24"/>
      <x:c r="AZ28" s="24"/>
      <x:c r="BA28" s="24"/>
      <x:c r="BB28" s="24"/>
      <x:c r="BC28" s="24"/>
      <x:c r="BD28" s="24"/>
      <x:c r="BE28" s="24"/>
      <x:c r="BF28" s="24"/>
      <x:c r="BG28" s="24"/>
      <x:c r="BH28" s="61"/>
      <x:c r="BI28" s="61"/>
      <x:c r="BJ28" s="62" t="str">
        <x:f>IF($A28="","",SQRT((($I28*IF($J28="",$AJ28,$J28)+'Setari model'!$B$30*$AJ28)/($I28+'Setari model'!$B$30))*(($P28*IF($R28="",$AJ28,$R28)+'Setari model'!$B$30*$AJ28)/($P28+'Setari model'!$B$30)))+SQRT((($P28*IF($Q28="",$AK28,$Q28)+'Setari model'!$B$30*$AK28)/($P28+'Setari model'!$B$30))*(($I28*IF($K28="",$AK28,$K28)+'Setari model'!$B$30*$AK28)/($I28+'Setari model'!$B$30))))</x:f>
      </x:c>
      <x:c r="BK28" s="62" t="str">
        <x:f>IF($A28="","",SQRT((($I28*IF($L28="",IF($J28="",$AJ28,$J28),$L28)+'Setari model'!$B$30*$AJ28)/($I28+'Setari model'!$B$30))*(($P28*IF($T28="",IF($R28="",$AJ28,$R28),$T28)+'Setari model'!$B$30*$AJ28)/($P28+'Setari model'!$B$30)))+SQRT((($P28*IF($S28="",IF($Q28="",$AK28,$Q28),$S28)+'Setari model'!$B$30*$AK28)/($P28+'Setari model'!$B$30))*(($I28*IF($M28="",IF($K28="",$AK28,$K28),$M28)+'Setari model'!$B$30*$AK28)/($I28+'Setari model'!$B$30))))</x:f>
      </x:c>
      <x:c r="BL28" s="62" t="str">
        <x:f>IF($A28="","",SQRT((($W28*IF($X28="",$AL28/2,$X28)+'Setari model'!$B$31*$AL28/2)/($W28+'Setari model'!$B$31))*(($AB28*IF($AD28="",$AL28/2,$AD28)+'Setari model'!$B$31*$AL28/2)/($AB28+'Setari model'!$B$31)))+SQRT((($AB28*IF($AC28="",$AL28/2,$AC28)+'Setari model'!$B$31*$AL28/2)/($AB28+'Setari model'!$B$31))*(($W28*IF($Y28="",$AL28/2,$Y28)+'Setari model'!$B$31*$AL28/2)/($W28+'Setari model'!$B$31))))</x:f>
      </x:c>
      <x:c r="BM28" s="62" t="str">
        <x:f>IF($A28="","",SQRT((($W28*IF($Z28="",IF($X28="",$AL28/2,$X28),$Z28)+'Setari model'!$B$31*$AL28/2)/($W28+'Setari model'!$B$31))*(($AB28*IF($AF28="",IF($AD28="",$AL28/2,$AD28),$AF28)+'Setari model'!$B$31*$AL28/2)/($AB28+'Setari model'!$B$31)))+SQRT((($AB28*IF($AE28="",IF($AC28="",$AL28/2,$AC28),$AE28)+'Setari model'!$B$31*$AL28/2)/($AB28+'Setari model'!$B$31))*(($W28*IF($AA28="",IF($Y28="",$AL28/2,$Y28),$AA28)+'Setari model'!$B$31*$AL28/2)/($W28+'Setari model'!$B$31))))</x:f>
      </x:c>
      <x:c r="BN28" s="62" t="str">
        <x:f t="shared" si="0">IF($A28="","",IF($AG28&gt;0,($AG28*IF($AH28="",$AL28,$AH28)+5*$AL28)/($AG28+5),$AL28))</x:f>
      </x:c>
      <x:c r="BO28" s="63" t="str">
        <x:f>IF($A28="","",IF($AR28&gt;1,IF($AS28&gt;1,(1/$AR28)/((1/$AR28+1/$AS28)),MIN(0.995,(1/$AR28)/(1+'Setari model'!$B$32))),1-EXP(-$AL28)))</x:f>
      </x:c>
      <x:c r="BP28" s="62" t="str">
        <x:f t="shared" si="1">IF($A28="","",-LN(1-$BO28))</x:f>
      </x:c>
      <x:c r="BQ28" s="62" t="str">
        <x:f>IF($A28="","",$BJ28*INDEX('Setari model'!$B$5:$B$11,MATCH($E28,'Setari model'!$A$5:$A$11,0))+$BK28*INDEX('Setari model'!$C$5:$C$11,MATCH($E28,'Setari model'!$A$5:$A$11,0))+$BL28*INDEX('Setari model'!$D$5:$D$11,MATCH($E28,'Setari model'!$A$5:$A$11,0))+$BM28*INDEX('Setari model'!$E$5:$E$11,MATCH($E28,'Setari model'!$A$5:$A$11,0))+$BN28*INDEX('Setari model'!$F$5:$F$11,MATCH($E28,'Setari model'!$A$5:$A$11,0))+$BP28*INDEX('Setari model'!$G$5:$G$11,MATCH($E28,'Setari model'!$A$5:$A$11,0)))</x:f>
      </x:c>
      <x:c r="BR28" s="64" t="str">
        <x:f>IF($A28="","",MAX('Setari model'!$B$53,MIN('Setari model'!$B$54,1+($AV28*'Setari model'!$B$15+$AW28*'Setari model'!$B$16+$AX28*'Setari model'!$B$17+$AY28*'Setari model'!$B$18+$AZ28*'Setari model'!$B$19+$BA28*'Setari model'!$B$20+$BB28*'Setari model'!$B$21+$BC28*'Setari model'!$B$22+$BD28*'Setari model'!$B$23+$BE28*'Setari model'!$B$24+$BF28*'Setari model'!$B$25)*INDEX('Setari model'!$H$5:$H$11,MATCH($E28,'Setari model'!$A$5:$A$11,0)))))</x:f>
      </x:c>
      <x:c r="BS28" s="62" t="str">
        <x:f t="shared" si="2">IF($A28="","",$BQ28*$BR28)</x:f>
      </x:c>
      <x:c r="BT28" s="63" t="str">
        <x:f t="shared" si="3">IF($A28="","",EXP(-$BS28))</x:f>
      </x:c>
      <x:c r="BU28" s="65" t="str">
        <x:f>IF($A28="","",IF(OR($AM28="",$AN28=""),1,1+MIN('Setari model'!$B$33,$AN28/100*'Setari model'!$B$33)*($AM28/EXP(-$AL28)-1)))</x:f>
      </x:c>
      <x:c r="BV28" s="63" t="str">
        <x:f>IF($A28="","",MIN(0.45,MAX(0.005,(1-'Setari model'!$B$34*MIN(1,($I28+$P28)/20))*MIN(0.45,$BT28*$BU28)+'Setari model'!$B$34*MIN(1,($I28+$P28)/20)*IF(COUNT($N28,$U28)=2,SQRT(MAX(0,1-$N28)*MAX(0,1-$U28)),IF($AM28="",EXP(-$AL28),$AM28)))))</x:f>
      </x:c>
      <x:c r="BW28" s="63" t="str">
        <x:f t="shared" si="4">IF($A28="","",1-$BV28)</x:f>
      </x:c>
      <x:c r="BX28" s="62" t="str">
        <x:f t="shared" si="5">IF($A28="","",1/$BW28)</x:f>
      </x:c>
      <x:c r="BY28" s="63" t="str">
        <x:f t="shared" si="6">IF($A28="","",$BO28)</x:f>
      </x:c>
      <x:c r="BZ28" s="63" t="str">
        <x:f t="shared" si="7">IF($A28="","",$BW28-$BY28)</x:f>
      </x:c>
      <x:c r="CA28" s="63" t="str">
        <x:f t="shared" si="8">IF($A28="","",IF($AR28&gt;1,$BW28*$AR28-1,""))</x:f>
      </x:c>
      <x:c r="CB28" s="63" t="str">
        <x:f>IF($A28="","",MIN(1,COUNT($I28:$AN28,$AR28:$BG28)/'Setari model'!$B$46))</x:f>
      </x:c>
      <x:c r="CC28" s="63" t="str">
        <x:f t="shared" si="9">IF($A28="","",0.25*MIN(1,$I28/10)+0.25*MIN(1,$P28/10)+0.15*MIN(1,$W28/5)+0.15*MIN(1,$AB28/5)+0.1*MIN(1,$AG28/5)+0.1*MIN(1,$AN28/100))</x:f>
      </x:c>
      <x:c r="CD28" s="63" t="str">
        <x:f>IF($A28="","",MAX(0,1-(MAX($BJ28:$BN28,$BP28)-MIN($BJ28:$BN28,$BP28))/(AVERAGE($BJ28:$BN28,$BP28)*'Setari model'!$B$45)))</x:f>
      </x:c>
      <x:c r="CE28" s="66" t="str">
        <x:f>IF($A28="","",MAX(0,MIN(100,100*INDEX('Setari model'!$I$5:$I$11,MATCH($E28,'Setari model'!$A$5:$A$11,0))*('Setari model'!$B$47*$CB28+'Setari model'!$B$48*$CC28+'Setari model'!$B$49*$CD28+'Setari model'!$B$50*$AT28/5+'Setari model'!$B$51*$AU28)-100*'Setari model'!$B$52*$BG28)))</x:f>
      </x:c>
      <x:c r="CF28" s="65" t="str">
        <x:f t="shared" si="10">IF($A28="","",IF(OR($AT28&lt;3,$BG28&gt;=2,$CB28&lt;0.55,$CC28&lt;0.4),"RIDICAT",IF(OR($AU28=0,$CD28&lt;0.45,$BR28&lt;0.9),"MEDIU","SCĂZUT")))</x:f>
      </x:c>
      <x:c r="CG28" s="65" t="str">
        <x:f>IF($A28="","",IF($AR28&gt;1,IF(AND($BW28&gt;= 'Setari model'!$B$35,$CE28&gt;=100*'Setari model'!$B$36,$BZ28&gt;= 'Setari model'!$B$37,$CA28&gt;= 'Setari model'!$B$38,$CF28&lt;&gt;"RIDICAT"),"PARIU RECOMANDAT",IF(AND($BW28&gt;= 'Setari model'!$B$39,$CE28&gt;=100*'Setari model'!$B$40,$BZ28&gt;= 'Setari model'!$B$41,$CA28&gt;=0,$CF28&lt;&gt;"RIDICAT"),"RECOMANDAT CU PRUDENȚĂ",IF(AND($BW28&gt;= 'Setari model'!$B$42,$CE28&gt;=100*'Setari model'!$B$43),"ANALIZĂ NECONCLUDENTĂ","PARIU EVITAT"))),IF(AND($BW28&gt;= 'Setari model'!$B$35,$CE28&gt;=100*'Setari model'!$B$36,$CF28&lt;&gt;"RIDICAT"),"FAVORABIL STATISTIC – VERIFICĂ COTA",IF(AND($BW28&gt;= 'Setari model'!$B$42,$CE28&gt;=100*'Setari model'!$B$43),"ANALIZĂ NECONCLUDENTĂ","PARIU EVITAT"))))</x:f>
      </x:c>
      <x:c r="CH28" s="67" t="str">
        <x:f t="shared" si="11">IF($A28="","","P(O0,5)="&amp;TEXT($BW28,"0.0%")&amp;"; λ ajustat="&amp;TEXT($BS28,"0.00")&amp;"; Confidence="&amp;TEXT($CE28,"0")&amp;"/100; Edge="&amp;TEXT($BZ28,"0.0%")&amp;"; risc="&amp;$CF28&amp;". "&amp;$BH28)</x:f>
      </x:c>
      <x:c r="CI28" s="68" t="str">
        <x:f t="shared" si="12">IF($A28="","",$BI28)</x:f>
      </x:c>
      <x:c r="CJ28" s="112"/>
      <x:c r="CK28" s="112"/>
      <x:c r="CL28" s="112"/>
      <x:c r="CM28" s="112"/>
      <x:c r="CN28" s="112"/>
      <x:c r="CO28" s="112"/>
      <x:c r="CP28" s="112"/>
      <x:c r="CQ28" s="112"/>
      <x:c r="CR28" s="112"/>
      <x:c r="CS28" s="112"/>
      <x:c r="CT28" s="112"/>
      <x:c r="CU28" s="112"/>
      <x:c r="CV28" s="112"/>
      <x:c r="CW28" s="112"/>
      <x:c r="CX28" s="112"/>
      <x:c r="CY28" s="112"/>
      <x:c r="CZ28" s="112"/>
      <x:c r="DA28" s="112"/>
      <x:c r="DB28" s="112"/>
      <x:c r="DC28" s="114"/>
      <x:c r="DD28" s="114"/>
      <x:c r="DE28" s="112" t="s">
        <x:v>266</x:v>
      </x:c>
      <x:c r="DF28" s="112"/>
      <x:c r="DG28" s="112"/>
      <x:c r="DH28" s="112"/>
      <x:c r="DI28" s="112"/>
      <x:c r="DJ28" s="112"/>
      <x:c r="DK28" s="112"/>
      <x:c r="DL28" s="112"/>
      <x:c r="DM28" s="112"/>
      <x:c r="DN28" s="112"/>
      <x:c r="DO28" s="112"/>
      <x:c r="DP28" s="112"/>
      <x:c r="DQ28" s="114"/>
      <x:c r="DR28" s="112">
        <x:v>1</x:v>
      </x:c>
      <x:c r="DS28" s="116">
        <x:v>0</x:v>
      </x:c>
      <x:c r="DT28" s="120"/>
      <x:c r="DU28" s="116">
        <x:v>0.02</x:v>
      </x:c>
      <x:c r="DV28" s="116">
        <x:v>0.25</x:v>
      </x:c>
      <x:c r="DW28" s="118" t="str">
        <x:f>IF($A28="","",MAX('Setari model'!$B$71,MIN('Setari model'!$B$72,1+0.08*(IFERROR(AVERAGE($CM28:$CN28)/'Setari model'!$B$66,1)-1)+0.08*(IFERROR(AVERAGE($CO28:$CP28)/'Setari model'!$B$67,1)-1)+0.06*(IFERROR(AVERAGE($CQ28:$CR28)/'Setari model'!$B$68,1)-1)+0.04*(IFERROR(AVERAGE($CS28:$CT28)/'Setari model'!$B$69,1)-1)+0.04*(IFERROR(AVERAGE($CU28:$CV28)/'Setari model'!$B$70,1)-1)-'Setari model'!$B$73*IFERROR(AVERAGE($CW28:$CX28),0))))</x:f>
      </x:c>
      <x:c r="DX28" s="118" t="str">
        <x:f>IF($A28="","",1+'Setari model'!$B$62*MAX(IF(OR($CK28=1,$CL28=1),1,0),IF(AND($CJ28&lt;&gt;"",$CJ28&lt;=1),1,0))+'Setari model'!$B$63*IF(AND($CJ28&gt;1,$CJ28&lt;=3),1,0))</x:f>
      </x:c>
      <x:c r="DY28" s="118" t="str">
        <x:f>IF($A28="","",1+'Setari model'!$B$74*(IF($CY28="",0,IF($CY28=0,1,0))+IF($CZ28="",0,IF($CZ28=0,1,0)))+'Setari model'!$B$75*(IF($DA28="",0,IF($DA28=0,1,0))+IF($DB28="",0,IF($DB28=0,1,0))))</x:f>
      </x:c>
      <x:c r="DZ28" s="117" t="str">
        <x:f>IF($A28="","",MIN(0.6,MAX(0.002,(((1-'Setari model'!$B$34*MIN(1,($I28+$P28)/20))*$BT28+'Setari model'!$B$34*MIN(1,($I28+$P28)/20)*IF(COUNT($N28,$U28)=2,SQRT(MAX(0,1-$N28)*MAX(0,1-$U28)),$BT28))*(1-'Setari model'!$B$65*MIN(1,IF($AN28="",0,$AN28/'Setari model'!$B$64)))+'Setari model'!$B$65*MIN(1,IF($AN28="",0,$AN28/'Setari model'!$B$64))*IF($AM28="",$BT28,$AM28))*$DX28*$DY28/$DW28)))</x:f>
      </x:c>
      <x:c r="EA28" s="117" t="str">
        <x:f>IF($A28="","",MIN(1-$DZ28,IF(OR(MIN($I28,$P28)&lt;'Setari model'!$B$58,$CK28=1,$CL28=1,AND($CJ28&lt;&gt;"",$CJ28&lt;=1)),'Setari model'!$B$59,IF(AND($AU28=1,$AR28&gt;1,COUNT($CY28:$DB28)=4),'Setari model'!$B$61,'Setari model'!$B$60))))</x:f>
      </x:c>
      <x:c r="EB28" s="115" t="str">
        <x:f t="shared" si="13">IF($A28="","",1/$EA28)</x:f>
      </x:c>
      <x:c r="EC28" s="117" t="str">
        <x:f t="shared" si="14">IF($A28="","",IF($AR28&gt;1,IF($AS28&gt;1,(1/$AR28)/((1/$AR28)+(1/$AS28)),1/$AR28),""))</x:f>
      </x:c>
      <x:c r="ED28" s="117" t="str">
        <x:f t="shared" si="15">IF($A28="","",IF($EC28="","",$EA28-$EC28))</x:f>
      </x:c>
      <x:c r="EE28" s="117" t="str">
        <x:f t="shared" si="16">""</x:f>
      </x:c>
      <x:c r="EF28" s="119" t="str">
        <x:f>IF($A28="","",MAX(0,MIN(100,$CE28-200*MAX(0,$EG28-'Setari model'!$B$77)-IF($AU28&lt;&gt;1,10,0)-IF(COUNT($CY28:$DB28)&lt;4,4,0))))</x:f>
      </x:c>
      <x:c r="EG28" s="117" t="str">
        <x:f>IF($A28="","",'Setari model'!$B$77+IF(MIN($I28,$P28)&lt;'Setari model'!$B$58,0.03,0)+IF(OR($CK28=1,$CL28=1,AND($CJ28&lt;&gt;"",$CJ28&lt;=1)),0.03,0)+IF($AG28=0,0.02,0)+0.03*(1-MIN(1,COUNT($CM28:$CV28)/10))+0.03*(1-MIN(1,IF($AN28="",0,$AN28/'Setari model'!$B$64)))+IF($AR28&lt;=1,0.02,0))</x:f>
      </x:c>
      <x:c r="EH28" s="113" t="str">
        <x:f>IF($A28="","",IF(OR(MIN($I28,$P28)&lt;'Setari model'!$B$58,$CK28=1,$CL28=1,AND($CJ28&lt;&gt;"",$CJ28&lt;=1)),"92% – early/regim",IF(AND($AU28=1,$AR28&gt;1,COUNT($CY28:$DB28)=4),"94% – confirmat","93% – standard")))</x:f>
      </x:c>
      <x:c r="EI28" s="113" t="str">
        <x:f t="shared" si="17">IF($A28="","",IF(AND($EA28&gt;0.9,$AU28&lt;&gt;1),"WAIT XI – HIGH P",IF(AND($EA28&gt;0.9,COUNT($CY28:$DB28)&lt;4),"WAIT DATE CHEIE – HIGH P",IF($EP28&lt;&gt;"DA","NU – PORTOFOLIU","DA"))))</x:f>
      </x:c>
      <x:c r="EJ28" s="117" t="str">
        <x:f t="shared" si="18">IF($A28="","",IF($DE28&lt;&gt;"Live 20-30","",IF(SUM($DG28:$DH28)&gt;0,1,IF($EU28="","",1-MIN(0.95,MAX(0.001,EXP(-$EU28)*$DX28*$DY28/$DW28))))))</x:f>
      </x:c>
      <x:c r="EK28" s="117" t="str">
        <x:f t="shared" si="19">""</x:f>
      </x:c>
      <x:c r="EL28" s="113" t="str">
        <x:f>IF($A28="","",IF($DE28="Live 20-30",IF(SUM($DG28:$DH28)&gt;0,"EVENIMENT ÎNDEPLINIT",IF(OR($DF28="",COUNT($DI28:$DN28)&lt;4),"LIVE – WATCH",IF($EJ28&gt;=0.75,"LIVE – FEZABIL TEHNIC","LIVE – NO BET"))),IF($EI28&lt;&gt;"DA","WATCH / NO BET",IF(AND($EA28&gt;=INDEX('Setari model'!$B$35:$B$40,1),$EF28&gt;=100*'Setari model'!$B$76),"PARIU RECOMANDAT",IF(AND($EA28&gt;=INDEX('Setari model'!$B$35:$B$40,5),$EF28&gt;=100*'Setari model'!$B$40),"WATCH – APROAPE DE PRAG","PARIU EVITAT")))))</x:f>
      </x:c>
      <x:c r="EM28" s="113" t="str">
        <x:f t="shared" si="20">IF($A28="","",IF($DE28="Live 20-30",IF(SUM($DG28:$DH28)&gt;0,"Gol deja marcat.",IF($DF28="","Minut live lipsă.",IF(COUNT($DI28:$DN28)&lt;4,"Lipsesc xG/SOT/big chances live.",IF($EJ28&lt;0.75,"P live sub prag.","Semnal live tehnic complet; EV ignorat.")))),IF($EI28&lt;&gt;"DA",$EI28,IF($EF28&lt;75,"Confidence sub 75.",IF($EA28&lt;0.92,"P sub 92%.","G0/Zero-Mass + confidence trecute; EV ignorat.")))))</x:f>
      </x:c>
      <x:c r="EN28" s="117" t="str">
        <x:f>IF($A28="","",IF(OR($EL28="PARIU RECOMANDAT",$EL28="LIVE – FEZABIL"),MIN(IF($DU28&gt;0,$DU28,'Setari model'!$B$81)/MAX(1,$DR28),IF($DV28&gt;0,$DV28,'Setari model'!$B$80)*MAX(0,((IF($DE28="Live 20-30",$EJ28,$EA28)*IF($DE28="Live 20-30",$DQ28,$AR28)-1)/(IF($DE28="Live 20-30",$DQ28,$AR28)-1)))),0))</x:f>
      </x:c>
      <x:c r="EO28" s="121" t="str">
        <x:f t="shared" si="21">IF($A28="","",IF(AND($EN28&gt;0,$DT28&gt;0),$EN28*$DT28,""))</x:f>
      </x:c>
      <x:c r="EP28" s="113" t="str">
        <x:f>IF($A28="","",IF(OR($DR28&lt;1,$DR28&gt;'Setari model'!$B$78),"NU – 1–5 selecții",IF($DS28&gt;'Setari model'!$B$79,"NU – corelație", "DA")))</x:f>
      </x:c>
      <x:c r="EQ28" s="117" t="str">
        <x:f t="shared" si="22">IF($A28="","",IF(AND($DC28&gt;1,$DD28&gt;1),$DC28/$DD28-1,""))</x:f>
      </x:c>
      <x:c r="ER28" s="113" t="str">
        <x:f t="shared" si="23">IF($A28="","","P v2="&amp;TEXT($EA28,"0.0%")&amp;" ±"&amp;TEXT($EG28,"0.0%")&amp;"; P0 ZIP="&amp;TEXT($DZ28,"0.0%")&amp;"; Confidence="&amp;TEXT($EF28,"0")&amp;"/100; piață reală="&amp;IF($EC28="","NU","DA")&amp;"; EV="&amp;IF($EE28="","n/a",TEXT($EE28,"0.0%"))&amp;"; gate="&amp;$EI28&amp;"; verdict="&amp;$EL28&amp;". "&amp;$EM28)</x:f>
      </x:c>
      <x:c r="ES28" s="119" t="str">
        <x:f>IF($A28="","",'Setari model'!$B$82)</x:f>
      </x:c>
      <x:c r="ET28" s="118" t="str">
        <x:f>IF($A28="","",'Setari model'!$B$83)</x:f>
      </x:c>
      <x:c r="EU28" s="115" t="str">
        <x:f t="shared" si="24">IF(OR($A28="",$DE28&lt;&gt;"Live 20-30",$DF28="",$DF28&lt;$ES28,$DF28&gt;=90),"",MAX(0.05,MIN($BS28*$ET28,$BS28*(90-$DF28)/90+0.35*($DI28+$DJ28)+0.06*($DK28+$DL28)+0.15*($DM28+$DN28)+0.1*(MAX($DO28,$DP28)-MIN($DO28,$DP28)))))</x:f>
      </x:c>
      <x:c r="EV28" s="132"/>
      <x:c r="EW28" s="132"/>
      <x:c r="EX28" s="132"/>
      <x:c r="EY28" s="132"/>
      <x:c r="EZ28" s="132"/>
      <x:c r="FA28" s="132"/>
      <x:c r="FB28" s="247"/>
      <x:c r="FC28" s="134" t="str">
        <x:f t="shared" si="25">IF($A28="","",IF(OR($J28="",$L28="",$L28&lt;=0),"",MAX(0.5,MIN(1.5,$J28/$L28))))</x:f>
      </x:c>
      <x:c r="FD28" s="134" t="str">
        <x:f t="shared" si="26">IF($A28="","",IF(OR($Q28="",$S28="",$S28&lt;=0),"",MAX(0.5,MIN(1.5,$Q28/$S28))))</x:f>
      </x:c>
      <x:c r="FE28" s="134" t="str">
        <x:f>IF($A28="","",IF(COUNT($EV28:$EW28)&lt;2,"",SQRT($EV28*$EW28)/'Setari model'!$B$87))</x:f>
      </x:c>
      <x:c r="FF28" s="134" t="str">
        <x:f>IF($A28="","",IF(COUNT($O28,$V28,$EX28,$EY28)&lt;4,"",AVERAGE(SQRT($O28*$EY28),SQRT($V28*$EX28))/'Setari model'!$B$88))</x:f>
      </x:c>
      <x:c r="FG28" s="134" t="str">
        <x:f t="shared" si="27">IF($A28="","",IF(COUNT($FC28:$FD28)&lt;2,"",MAX(0,1-AVERAGE($FC28:$FD28))))</x:f>
      </x:c>
      <x:c r="FH28" s="134" t="str">
        <x:f>IF($A28="","",IF(COUNT($EZ28:$FA28)&lt;2,"",'Setari model'!$B$94*AVERAGE($EZ28:$FA28)/'Setari model'!$B$89))</x:f>
      </x:c>
      <x:c r="FI28" s="134" t="str">
        <x:f>IF($A28="","",IF(COUNT($FE28:$FH28)&lt;4,"",MAX('Setari model'!$B$97,MIN('Setari model'!$B$98,1+'Setari model'!$B$90*($FE28-1)+'Setari model'!$B$91*($FF28-1)+'Setari model'!$B$92*$FG28+'Setari model'!$B$93*($FH28-1)))))</x:f>
      </x:c>
      <x:c r="FJ28" s="133" t="str">
        <x:f>IF($A28="","",IF($FI28="","",MIN('Setari model'!$B$101,MAX(0.002,$DZ28*$FI28))))</x:f>
      </x:c>
      <x:c r="FK28" s="131" t="str">
        <x:f t="shared" si="28">IF($A28="","",IF(AND(COUNT($EV28:$FA28)=6,COUNT($O28,$V28,$FC28,$FD28)=4),"DA","NU"))</x:f>
      </x:c>
      <x:c r="FL28" s="131" t="str">
        <x:f>IF($A28="","",IF($FK28&lt;&gt;"DA","NEDETERMINAT",IF($FI28&lt;='Setari model'!$B$99,"SCĂZUT",IF($FI28&lt;='Setari model'!$B$100,"MEDIU","RIDICAT"))))</x:f>
      </x:c>
      <x:c r="FM28" s="131" t="str">
        <x:f>IF($A28="","",IF(AND($AR28&gt;1,$EC28&gt;='Setari model'!$B$106),"DA","NU"))</x:f>
      </x:c>
      <x:c r="FN28" s="131" t="str">
        <x:f t="shared" si="29">IF($A28="","",IF(AND($AU28=1,COUNT($CY28:$DB28)=4),"DA","NU"))</x:f>
      </x:c>
      <x:c r="FO28" s="133" t="str">
        <x:f>IF($A28="","",IF(OR($FK28&lt;&gt;"DA",$FL28="RIDICAT"),'Setari model'!$B$102,IF($FL28="MEDIU",'Setari model'!$B$103,IF(AND($FM28="DA",$FN28="DA"),'Setari model'!$B$105,'Setari model'!$B$104))))</x:f>
      </x:c>
      <x:c r="FP28" s="133" t="str">
        <x:f t="shared" si="30">IF($A28="","",IF($FJ28="","",MIN(1-$FJ28,$FO28)))</x:f>
      </x:c>
      <x:c r="FQ28" s="135" t="str">
        <x:f t="shared" si="31">IF($A28="","",IF($FP28="","",IF($FP28&gt;0,1/$FP28,"")))</x:f>
      </x:c>
      <x:c r="FR28" s="133" t="str">
        <x:f t="shared" si="32">IF($A28="","",IF($EC28="","",$FP28-$EC28))</x:f>
      </x:c>
      <x:c r="FS28" s="133" t="str">
        <x:f t="shared" si="33">IF($A28="","",IF($AR28&gt;1,$FP28*$AR28-1,""))</x:f>
      </x:c>
      <x:c r="FT28" s="136" t="str">
        <x:f>IF($A28="","",MAX(0,MIN(100,$EF28-IF($FK28&lt;&gt;"DA",'Setari model'!$B$107,0)-IF($FL28="MEDIU",'Setari model'!$B$108,0)-IF($FL28="RIDICAT",'Setari model'!$B$109,0))))</x:f>
      </x:c>
      <x:c r="FU28" s="131" t="str">
        <x:f t="shared" si="34">IF($A28="","",IF($AR28&lt;=1,"NU – LIPSEȘTE COTA REALĂ",IF($FK28&lt;&gt;"DA","NU – ZERO-RISK INCOMPLET",IF($FL28&lt;&gt;"SCĂZUT","NU – RISC 0-0 "&amp;$FL28,IF($FN28&lt;&gt;"DA","NU – LINEUP NECONFIRMAT",IF($FM28&lt;&gt;"DA","NU – PIAȚĂ NECONFIRMATĂ",IF($EP28&lt;&gt;"DA","NU – PORTOFOLIU","DA")))))))</x:f>
      </x:c>
      <x:c r="FV28" s="131" t="str">
        <x:f>IF($A28="","",IF($FU28&lt;&gt;"DA","WATCH / NO BET",IF(AND($FP28&gt;='Setari model'!$B$35,$FT28&gt;=100*'Setari model'!$B$76,$FS28&gt;0),"PARIU RECOMANDAT",IF(AND($FP28&gt;='Setari model'!$B$39,$FT28&gt;=100*'Setari model'!$B$40,$FS28&gt;0),"WATCH – APROAPE DE PRAG","PARIU EVITAT"))))</x:f>
      </x:c>
      <x:c r="FW28" s="131" t="str">
        <x:f t="shared" si="35">IF($A28="","",IF($FU28&lt;&gt;"DA",$FU28,IF($FT28&lt;75,"Confidence v3 sub 75.",IF($FP28&lt;0.92,"P v3 sub 92%.",IF($FS28&lt;=0,"EV v3 nepozitiv.","P0 v3, lineup și piață confirmate.")))))</x:f>
      </x:c>
      <x:c r="FX28" s="131" t="str">
        <x:f t="shared" si="36">IF($A28="","","P v3="&amp;TEXT($FP28,"0.0%")&amp;"; P0 v3="&amp;TEXT($FJ28,"0.0%")&amp;"; factor zero="&amp;IF($FI28="","n/a",TEXT($FI28,"0.00x"))&amp;" ("&amp;$FL28&amp;"); cap="&amp;TEXT($FO28,"0.0%")&amp;"; Confidence="&amp;TEXT($FT28,"0")&amp;"/100; lineup="&amp;$FN28&amp;"; piață="&amp;$FM28&amp;"; EV="&amp;IF($FS28="","n/a",TEXT($FS28,"0.0%"))&amp;"; gate="&amp;$FU28&amp;"; verdict="&amp;$FV28&amp;". "&amp;$FW28)</x:f>
      </x:c>
      <x:c r="FY28" s="159"/>
      <x:c r="FZ28" s="159"/>
      <x:c r="GA28" s="157"/>
      <x:c r="GB28" s="157"/>
      <x:c r="GC28" s="161" t="str">
        <x:f t="shared" si="37">IF($A28="","",IF(OR($X28="",$Z28="",$Z28&lt;=0),"",MAX(0.5,MIN(1.5,$X28/$Z28))))</x:f>
      </x:c>
      <x:c r="GD28" s="161" t="str">
        <x:f t="shared" si="38">IF($A28="","",IF(OR($AC28="",$AE28="",$AE28&lt;=0),"",MAX(0.5,MIN(1.5,$AC28/$AE28))))</x:f>
      </x:c>
      <x:c r="GE28" s="162" t="str">
        <x:f t="shared" si="39">IF($A28="","",IF(COUNT($Z28,$AE28)&lt;2,"",AVERAGE($Z28,$AE28)))</x:f>
      </x:c>
      <x:c r="GF28" s="158" t="str">
        <x:f>IF($A28="","",IF(COUNT($FY28:$FZ28)&lt;2,"NEDETERMINAT",IF(AND($FY28&gt;='Setari model'!$B$113,$FZ28&gt;='Setari model'!$B$113),"DA","NU")))</x:f>
      </x:c>
      <x:c r="GG28" s="158" t="str">
        <x:f>IF($A28="","",IF(COUNT($FY28:$FZ28,$EX28:$EY28)&lt;4,"NEDETERMINAT",IF(OR(AND($FY28&gt;='Setari model'!$B$113,$EY28&gt;='Setari model'!$B$114),AND($FZ28&gt;='Setari model'!$B$113,$EX28&gt;='Setari model'!$B$114)),"DA","NU")))</x:f>
      </x:c>
      <x:c r="GH28" s="158" t="str">
        <x:f>IF($A28="","",IF(COUNT($BJ28:$BN28,$GC28:$GE28)&lt;8,"NEDETERMINAT",IF(AND((($BJ28*INDEX('Setari model'!$B$5:$B$11,MATCH($E28,'Setari model'!$A$5:$A$11,0))+$BK28*INDEX('Setari model'!$C$5:$C$11,MATCH($E28,'Setari model'!$A$5:$A$11,0))+$BL28*INDEX('Setari model'!$D$5:$D$11,MATCH($E28,'Setari model'!$A$5:$A$11,0))+$BM28*INDEX('Setari model'!$E$5:$E$11,MATCH($E28,'Setari model'!$A$5:$A$11,0))+$BN28*INDEX('Setari model'!$F$5:$F$11,MATCH($E28,'Setari model'!$A$5:$A$11,0)))/(INDEX('Setari model'!$B$5:$B$11,MATCH($E28,'Setari model'!$A$5:$A$11,0))+INDEX('Setari model'!$C$5:$C$11,MATCH($E28,'Setari model'!$A$5:$A$11,0))+INDEX('Setari model'!$D$5:$D$11,MATCH($E28,'Setari model'!$A$5:$A$11,0))+INDEX('Setari model'!$E$5:$E$11,MATCH($E28,'Setari model'!$A$5:$A$11,0))+INDEX('Setari model'!$F$5:$F$11,MATCH($E28,'Setari model'!$A$5:$A$11,0))))*$BR28&gt;='Setari model'!$B$115,(($BJ28*INDEX('Setari model'!$B$5:$B$11,MATCH($E28,'Setari model'!$A$5:$A$11,0))+$BK28*INDEX('Setari model'!$C$5:$C$11,MATCH($E28,'Setari model'!$A$5:$A$11,0))+$BL28*INDEX('Setari model'!$D$5:$D$11,MATCH($E28,'Setari model'!$A$5:$A$11,0))+$BM28*INDEX('Setari model'!$E$5:$E$11,MATCH($E28,'Setari model'!$A$5:$A$11,0))+$BN28*INDEX('Setari model'!$F$5:$F$11,MATCH($E28,'Setari model'!$A$5:$A$11,0)))/(INDEX('Setari model'!$B$5:$B$11,MATCH($E28,'Setari model'!$A$5:$A$11,0))+INDEX('Setari model'!$C$5:$C$11,MATCH($E28,'Setari model'!$A$5:$A$11,0))+INDEX('Setari model'!$D$5:$D$11,MATCH($E28,'Setari model'!$A$5:$A$11,0))+INDEX('Setari model'!$E$5:$E$11,MATCH($E28,'Setari model'!$A$5:$A$11,0))+INDEX('Setari model'!$F$5:$F$11,MATCH($E28,'Setari model'!$A$5:$A$11,0))))*$BR28&lt;='Setari model'!$B$116,AVERAGE($GC28:$GD28)&lt;='Setari model'!$B$117,$GE28&gt;='Setari model'!$B$118),"DA","NU")))</x:f>
      </x:c>
      <x:c r="GI28" s="158" t="str">
        <x:f>IF($A28="","",IF(COUNT($W28,$AB28,$GA28:$GB28)&lt;4,"NEDETERMINAT",IF(AND($W28&gt;='Setari model'!$B$120,$AB28&gt;='Setari model'!$B$120,OR(IFERROR($GA28/$W28,0)&gt;='Setari model'!$B$119,IFERROR($GB28/$AB28,0)&gt;='Setari model'!$B$119)),"DA","NU")))</x:f>
      </x:c>
      <x:c r="GJ28" s="160" t="str">
        <x:f>IF($A28="","",IF(COUNT($FY28:$GB28)&lt;4,"",IF($GH28&lt;&gt;"DA",0,'Setari model'!$B$121*IF($GF28="DA",1,0)+'Setari model'!$B$122*IF($GG28="DA",1,0)+'Setari model'!$B$123+'Setari model'!$B$124*IF($GI28="DA",1,0))))</x:f>
      </x:c>
      <x:c r="GK28" s="161" t="str">
        <x:f>IF($A28="","",IF(COUNT($GJ28)=0,"",1+'Setari model'!$B$125*$GJ28))</x:f>
      </x:c>
      <x:c r="GL28" s="160" t="str">
        <x:f>IF($A28="","",IF($GM28&lt;&gt;"DA",$FJ28,MIN('Setari model'!$B$101,MAX(0.002,$FJ28*$GK28))))</x:f>
      </x:c>
      <x:c r="GM28" s="158" t="str">
        <x:f>IF($A28="","",IF(AND($FK28="DA",COUNT($FY28:$GB28)=4,COUNT($I28,$P28,$W28,$AB28,$Z28,$AE28,$EX28,$EY28,$GC28,$GD28)=10,COUNT($BJ28:$BN28)=5),"DA","NU"))</x:f>
      </x:c>
      <x:c r="GN28" s="158" t="str">
        <x:f>IF($A28="","",IF($GM28&lt;&gt;"DA","NEDETERMINAT",IF($FI28*$GK28&lt;='Setari model'!$B$99,"SCĂZUT",IF($FI28*$GK28&lt;='Setari model'!$B$100,"MEDIU","RIDICAT"))))</x:f>
      </x:c>
      <x:c r="GO28" s="160" t="str">
        <x:f>IF($A28="","",IF(OR($GM28&lt;&gt;"DA",$GN28="RIDICAT"),'Setari model'!$B$102,IF($GN28="MEDIU",'Setari model'!$B$103,IF(AND($FM28="DA",$FN28="DA"),'Setari model'!$B$105,'Setari model'!$B$104))))</x:f>
      </x:c>
      <x:c r="GP28" s="160" t="str">
        <x:f t="shared" si="40">IF($A28="","",IF($GL28="","",MIN(1-$GL28,$GO28)))</x:f>
      </x:c>
      <x:c r="GQ28" s="162" t="str">
        <x:f t="shared" si="41">IF($A28="","",IF($GP28="","",IF($GP28&gt;0,1/$GP28,"")))</x:f>
      </x:c>
      <x:c r="GR28" s="160" t="str">
        <x:f t="shared" si="42">IF($A28="","",IF($EC28="","",$GP28-$EC28))</x:f>
      </x:c>
      <x:c r="GS28" s="160" t="str">
        <x:f t="shared" si="43">IF($A28="","",IF($AR28&gt;1,$GP28*$AR28-1,""))</x:f>
      </x:c>
      <x:c r="GT28" s="163" t="str">
        <x:f>IF($A28="","",MAX(0,MIN(100,$FT28-IF(AND($GM28&lt;&gt;"DA",$FK28="DA"),'Setari model'!$B$107,0)-'Setari model'!$B$126*IF($GJ28="",0,$GJ28))))</x:f>
      </x:c>
      <x:c r="GU28" s="158" t="str">
        <x:f t="shared" si="44">IF($A28="","",IF($AR28&lt;=1,"NU – LIPSEȘTE COTA REALĂ",IF($GM28&lt;&gt;"DA","NU – DATE LOW-CONVERSION INCOMPLETE",IF($GN28&lt;&gt;"SCĂZUT","NU – RISC 0-0 "&amp;$GN28,IF($FN28&lt;&gt;"DA","NU – LINEUP NECONFIRMAT",IF($FM28&lt;&gt;"DA","NU – PIAȚĂ NECONFIRMATĂ",IF($EP28&lt;&gt;"DA","NU – PORTOFOLIU","DA")))))))</x:f>
      </x:c>
      <x:c r="GV28" s="158" t="str">
        <x:f>IF($A28="","",IF($GU28&lt;&gt;"DA","WATCH / NO BET",IF(AND($GP28&gt;='Setari model'!$B$35,$GT28&gt;=100*'Setari model'!$B$76,$GS28&gt;0),"PARIU RECOMANDAT",IF(AND($GP28&gt;='Setari model'!$B$39,$GT28&gt;=100*'Setari model'!$B$40,$GS28&gt;0),"WATCH – APROAPE DE PRAG","PARIU EVITAT"))))</x:f>
      </x:c>
      <x:c r="GW28" s="158" t="str">
        <x:f t="shared" si="45">IF($A28="","",IF($GU28&lt;&gt;"DA",$GU28,IF($GT28&lt;75,"Confidence v5 sub 75.",IF($GP28&lt;0.92,"P v5 sub 92%.",IF($GS28&lt;=0,"EV v5 nepozitiv.",IF($GJ28&gt;0,"Low-conversion absorbit în P0; toate porțile rămân trecute.","Toate porțile v5 sunt trecute."))))))</x:f>
      </x:c>
      <x:c r="GX28" s="158" t="str">
        <x:f t="shared" si="46">IF($A28="","","P v5="&amp;TEXT($GP28,"0.0%")&amp;"; P0 v5="&amp;TEXT($GL28,"0.0%")&amp;"; low-conv="&amp;IF(COUNT($GJ28)=0,"n/a",TEXT($GJ28,"0%"))&amp;"; mult.P0="&amp;IF(COUNT($GK28)=0,"n/a",TEXT($GK28,"0.00"))&amp;"; clasă="&amp;$GN28&amp;"; cap="&amp;TEXT($GO28,"0.0%")&amp;"; Confidence="&amp;TEXT($GT28,"0")&amp;"/100; lineup="&amp;$FN28&amp;"; piață="&amp;$FM28&amp;"; EV="&amp;IF($GS28="","n/a",TEXT($GS28,"0.0%"))&amp;"; gate="&amp;$GU28&amp;"; verdict="&amp;$GV28&amp;". "&amp;$GW28)</x:f>
      </x:c>
      <x:c r="GY28" s="174" t="str">
        <x:f>IF($A28="","",IF($GM28&lt;&gt;"DA","SOURCING INCOMPLETE – REVIEW REQUIRED",IF(MIN($I28,$P28,$W28,$AB28)&lt;'Setari model'!$B$58,"SMALL SAMPLE + PRIOR / SHRINKAGE","VERIFIED / PRIOR / SHRINKAGE")))</x:f>
      </x:c>
      <x:c r="GZ28" s="175" t="str">
        <x:f t="shared" si="47">IF($A28="","",MAX(0,MIN(100,100*(1-AVERAGE(IF($GM28="DA",1,0),MIN(1,$AT28/5))))))</x:f>
      </x:c>
      <x:c r="HA28" s="175" t="str">
        <x:f>IF($A28="","",IF($GM28&lt;&gt;"DA","",MAX(0,MIN(100,100*(($FI28*$GK28)-'Setari model'!$B$97)/('Setari model'!$B$98-'Setari model'!$B$97)))))</x:f>
      </x:c>
      <x:c r="HB28" s="175" t="str">
        <x:f>IF($A28="","",MAX(0,MIN(100,100*(ABS($BR28-1)/MAX(1-'Setari model'!$B$53,'Setari model'!$B$54-1)+MIN(1,$BG28/2))/2)))</x:f>
      </x:c>
      <x:c r="HC28" s="175" t="str">
        <x:f t="shared" si="48">IF($A28="","",MAX(0,MIN(100,100*(1-AVERAGE($CC28,MAX(0,1-(MAX($BJ28:$BN28)-MIN($BJ28:$BN28))/(AVERAGE($BJ28:$BN28)*'Setari model'!$B$45)))))))</x:f>
      </x:c>
      <x:c r="HD28" s="175" t="str">
        <x:f t="shared" si="49">IF($A28="","",MAX(0,MIN(100,100*MAX(IF($GJ28="",0,$GJ28),MIN(1,$BG28/2)))))</x:f>
      </x:c>
      <x:c r="HE28" s="175" t="str">
        <x:f>IF($A28="","",IF(COUNT($GZ28:$HD28)&lt;5,"",$GZ28*Risk_Classification!$E$28+$HA28*Risk_Classification!$E$29+$HB28*Risk_Classification!$E$30+$HC28*Risk_Classification!$E$31+$HD28*Risk_Classification!$E$32))</x:f>
      </x:c>
      <x:c r="HF28" s="176" t="str">
        <x:f t="shared" si="50">IF($A28="","",IF($HE28="","",IF($HE28&lt;=20,1,IF($HE28&lt;=40,2,IF($HE28&lt;=60,3,IF($HE28&lt;=80,4,5))))))</x:f>
      </x:c>
      <x:c r="HG28" s="176" t="str">
        <x:f t="shared" si="51">IF($A28="","",IF($GM28="DA","PASS","FAIL – DATE CRITICE ZERO-MASS INCOMPLETE"))</x:f>
      </x:c>
      <x:c r="HH28" s="176" t="str">
        <x:f t="shared" si="52">IF($A28="","",IF($HG28&lt;&gt;"PASS",5,$HF28))</x:f>
      </x:c>
      <x:c r="HI28" s="174" t="str">
        <x:f t="shared" si="53">IF($A28="","",IF($HH28="","N/A",IF($HH28=1,"DEFENSIV",IF($HH28=2,"PRUDENT",IF($HH28=3,"MODERAT",IF($HH28=4,"RIDICAT","WATCH / NO BET"))))))</x:f>
      </x:c>
      <x:c r="HJ28" s="177" t="str">
        <x:f t="shared" si="54">IF($A28="","","Data="&amp;$GY28&amp;"; DQ="&amp;TEXT($GZ28,"0.0")&amp;"; ZM="&amp;IF($HA28="","n/a",TEXT($HA28,"0.0"))&amp;"; Context="&amp;TEXT($HB28,"0.0")&amp;"; Uncertainty="&amp;TEXT($HC28,"0.0")&amp;"; Compound="&amp;TEXT($HD28,"0.0")&amp;"; Risk Score="&amp;IF($HE28="","n/a",TEXT($HE28,"0.0"))&amp;"; Base="&amp;IF($HF28="","n/a",$HF28)&amp;"; G0="&amp;$HG28&amp;"; Final="&amp;$HH28&amp;". Cota, EV si lineup sunt informative si nu intra in recomandare.")</x:f>
      </x:c>
      <x:c r="HK28" s="174" t="str">
        <x:f t="shared" si="55">IF($A28="","",$HI28)</x:f>
      </x:c>
    </x:row>
    <x:row r="29" ht="24" customHeight="1">
      <x:c r="A29" s="58"/>
      <x:c r="B29" s="24"/>
      <x:c r="C29" s="59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18"/>
      <x:c r="O29" s="18"/>
      <x:c r="P29" s="24"/>
      <x:c r="Q29" s="24"/>
      <x:c r="R29" s="24"/>
      <x:c r="S29" s="24"/>
      <x:c r="T29" s="24"/>
      <x:c r="U29" s="18"/>
      <x:c r="V29" s="18"/>
      <x:c r="W29" s="24"/>
      <x:c r="X29" s="24"/>
      <x:c r="Y29" s="24"/>
      <x:c r="Z29" s="24"/>
      <x:c r="AA29" s="24"/>
      <x:c r="AB29" s="24"/>
      <x:c r="AC29" s="24"/>
      <x:c r="AD29" s="24"/>
      <x:c r="AE29" s="24"/>
      <x:c r="AF29" s="24"/>
      <x:c r="AG29" s="24"/>
      <x:c r="AH29" s="24"/>
      <x:c r="AI29" s="18"/>
      <x:c r="AJ29" s="24"/>
      <x:c r="AK29" s="24"/>
      <x:c r="AL29" s="24"/>
      <x:c r="AM29" s="18"/>
      <x:c r="AN29" s="24"/>
      <x:c r="AO29" s="60"/>
      <x:c r="AP29" s="60"/>
      <x:c r="AQ29" s="60"/>
      <x:c r="AR29" s="60"/>
      <x:c r="AS29" s="60"/>
      <x:c r="AT29" s="24"/>
      <x:c r="AU29" s="24"/>
      <x:c r="AV29" s="24"/>
      <x:c r="AW29" s="24"/>
      <x:c r="AX29" s="24"/>
      <x:c r="AY29" s="24"/>
      <x:c r="AZ29" s="24"/>
      <x:c r="BA29" s="24"/>
      <x:c r="BB29" s="24"/>
      <x:c r="BC29" s="24"/>
      <x:c r="BD29" s="24"/>
      <x:c r="BE29" s="24"/>
      <x:c r="BF29" s="24"/>
      <x:c r="BG29" s="24"/>
      <x:c r="BH29" s="61"/>
      <x:c r="BI29" s="61"/>
      <x:c r="BJ29" s="62" t="str">
        <x:f>IF($A29="","",SQRT((($I29*IF($J29="",$AJ29,$J29)+'Setari model'!$B$30*$AJ29)/($I29+'Setari model'!$B$30))*(($P29*IF($R29="",$AJ29,$R29)+'Setari model'!$B$30*$AJ29)/($P29+'Setari model'!$B$30)))+SQRT((($P29*IF($Q29="",$AK29,$Q29)+'Setari model'!$B$30*$AK29)/($P29+'Setari model'!$B$30))*(($I29*IF($K29="",$AK29,$K29)+'Setari model'!$B$30*$AK29)/($I29+'Setari model'!$B$30))))</x:f>
      </x:c>
      <x:c r="BK29" s="62" t="str">
        <x:f>IF($A29="","",SQRT((($I29*IF($L29="",IF($J29="",$AJ29,$J29),$L29)+'Setari model'!$B$30*$AJ29)/($I29+'Setari model'!$B$30))*(($P29*IF($T29="",IF($R29="",$AJ29,$R29),$T29)+'Setari model'!$B$30*$AJ29)/($P29+'Setari model'!$B$30)))+SQRT((($P29*IF($S29="",IF($Q29="",$AK29,$Q29),$S29)+'Setari model'!$B$30*$AK29)/($P29+'Setari model'!$B$30))*(($I29*IF($M29="",IF($K29="",$AK29,$K29),$M29)+'Setari model'!$B$30*$AK29)/($I29+'Setari model'!$B$30))))</x:f>
      </x:c>
      <x:c r="BL29" s="62" t="str">
        <x:f>IF($A29="","",SQRT((($W29*IF($X29="",$AL29/2,$X29)+'Setari model'!$B$31*$AL29/2)/($W29+'Setari model'!$B$31))*(($AB29*IF($AD29="",$AL29/2,$AD29)+'Setari model'!$B$31*$AL29/2)/($AB29+'Setari model'!$B$31)))+SQRT((($AB29*IF($AC29="",$AL29/2,$AC29)+'Setari model'!$B$31*$AL29/2)/($AB29+'Setari model'!$B$31))*(($W29*IF($Y29="",$AL29/2,$Y29)+'Setari model'!$B$31*$AL29/2)/($W29+'Setari model'!$B$31))))</x:f>
      </x:c>
      <x:c r="BM29" s="62" t="str">
        <x:f>IF($A29="","",SQRT((($W29*IF($Z29="",IF($X29="",$AL29/2,$X29),$Z29)+'Setari model'!$B$31*$AL29/2)/($W29+'Setari model'!$B$31))*(($AB29*IF($AF29="",IF($AD29="",$AL29/2,$AD29),$AF29)+'Setari model'!$B$31*$AL29/2)/($AB29+'Setari model'!$B$31)))+SQRT((($AB29*IF($AE29="",IF($AC29="",$AL29/2,$AC29),$AE29)+'Setari model'!$B$31*$AL29/2)/($AB29+'Setari model'!$B$31))*(($W29*IF($AA29="",IF($Y29="",$AL29/2,$Y29),$AA29)+'Setari model'!$B$31*$AL29/2)/($W29+'Setari model'!$B$31))))</x:f>
      </x:c>
      <x:c r="BN29" s="62" t="str">
        <x:f t="shared" si="0">IF($A29="","",IF($AG29&gt;0,($AG29*IF($AH29="",$AL29,$AH29)+5*$AL29)/($AG29+5),$AL29))</x:f>
      </x:c>
      <x:c r="BO29" s="63" t="str">
        <x:f>IF($A29="","",IF($AR29&gt;1,IF($AS29&gt;1,(1/$AR29)/((1/$AR29+1/$AS29)),MIN(0.995,(1/$AR29)/(1+'Setari model'!$B$32))),1-EXP(-$AL29)))</x:f>
      </x:c>
      <x:c r="BP29" s="62" t="str">
        <x:f t="shared" si="1">IF($A29="","",-LN(1-$BO29))</x:f>
      </x:c>
      <x:c r="BQ29" s="62" t="str">
        <x:f>IF($A29="","",$BJ29*INDEX('Setari model'!$B$5:$B$11,MATCH($E29,'Setari model'!$A$5:$A$11,0))+$BK29*INDEX('Setari model'!$C$5:$C$11,MATCH($E29,'Setari model'!$A$5:$A$11,0))+$BL29*INDEX('Setari model'!$D$5:$D$11,MATCH($E29,'Setari model'!$A$5:$A$11,0))+$BM29*INDEX('Setari model'!$E$5:$E$11,MATCH($E29,'Setari model'!$A$5:$A$11,0))+$BN29*INDEX('Setari model'!$F$5:$F$11,MATCH($E29,'Setari model'!$A$5:$A$11,0))+$BP29*INDEX('Setari model'!$G$5:$G$11,MATCH($E29,'Setari model'!$A$5:$A$11,0)))</x:f>
      </x:c>
      <x:c r="BR29" s="64" t="str">
        <x:f>IF($A29="","",MAX('Setari model'!$B$53,MIN('Setari model'!$B$54,1+($AV29*'Setari model'!$B$15+$AW29*'Setari model'!$B$16+$AX29*'Setari model'!$B$17+$AY29*'Setari model'!$B$18+$AZ29*'Setari model'!$B$19+$BA29*'Setari model'!$B$20+$BB29*'Setari model'!$B$21+$BC29*'Setari model'!$B$22+$BD29*'Setari model'!$B$23+$BE29*'Setari model'!$B$24+$BF29*'Setari model'!$B$25)*INDEX('Setari model'!$H$5:$H$11,MATCH($E29,'Setari model'!$A$5:$A$11,0)))))</x:f>
      </x:c>
      <x:c r="BS29" s="62" t="str">
        <x:f t="shared" si="2">IF($A29="","",$BQ29*$BR29)</x:f>
      </x:c>
      <x:c r="BT29" s="63" t="str">
        <x:f t="shared" si="3">IF($A29="","",EXP(-$BS29))</x:f>
      </x:c>
      <x:c r="BU29" s="65" t="str">
        <x:f>IF($A29="","",IF(OR($AM29="",$AN29=""),1,1+MIN('Setari model'!$B$33,$AN29/100*'Setari model'!$B$33)*($AM29/EXP(-$AL29)-1)))</x:f>
      </x:c>
      <x:c r="BV29" s="63" t="str">
        <x:f>IF($A29="","",MIN(0.45,MAX(0.005,(1-'Setari model'!$B$34*MIN(1,($I29+$P29)/20))*MIN(0.45,$BT29*$BU29)+'Setari model'!$B$34*MIN(1,($I29+$P29)/20)*IF(COUNT($N29,$U29)=2,SQRT(MAX(0,1-$N29)*MAX(0,1-$U29)),IF($AM29="",EXP(-$AL29),$AM29)))))</x:f>
      </x:c>
      <x:c r="BW29" s="63" t="str">
        <x:f t="shared" si="4">IF($A29="","",1-$BV29)</x:f>
      </x:c>
      <x:c r="BX29" s="62" t="str">
        <x:f t="shared" si="5">IF($A29="","",1/$BW29)</x:f>
      </x:c>
      <x:c r="BY29" s="63" t="str">
        <x:f t="shared" si="6">IF($A29="","",$BO29)</x:f>
      </x:c>
      <x:c r="BZ29" s="63" t="str">
        <x:f t="shared" si="7">IF($A29="","",$BW29-$BY29)</x:f>
      </x:c>
      <x:c r="CA29" s="63" t="str">
        <x:f t="shared" si="8">IF($A29="","",IF($AR29&gt;1,$BW29*$AR29-1,""))</x:f>
      </x:c>
      <x:c r="CB29" s="63" t="str">
        <x:f>IF($A29="","",MIN(1,COUNT($I29:$AN29,$AR29:$BG29)/'Setari model'!$B$46))</x:f>
      </x:c>
      <x:c r="CC29" s="63" t="str">
        <x:f t="shared" si="9">IF($A29="","",0.25*MIN(1,$I29/10)+0.25*MIN(1,$P29/10)+0.15*MIN(1,$W29/5)+0.15*MIN(1,$AB29/5)+0.1*MIN(1,$AG29/5)+0.1*MIN(1,$AN29/100))</x:f>
      </x:c>
      <x:c r="CD29" s="63" t="str">
        <x:f>IF($A29="","",MAX(0,1-(MAX($BJ29:$BN29,$BP29)-MIN($BJ29:$BN29,$BP29))/(AVERAGE($BJ29:$BN29,$BP29)*'Setari model'!$B$45)))</x:f>
      </x:c>
      <x:c r="CE29" s="66" t="str">
        <x:f>IF($A29="","",MAX(0,MIN(100,100*INDEX('Setari model'!$I$5:$I$11,MATCH($E29,'Setari model'!$A$5:$A$11,0))*('Setari model'!$B$47*$CB29+'Setari model'!$B$48*$CC29+'Setari model'!$B$49*$CD29+'Setari model'!$B$50*$AT29/5+'Setari model'!$B$51*$AU29)-100*'Setari model'!$B$52*$BG29)))</x:f>
      </x:c>
      <x:c r="CF29" s="65" t="str">
        <x:f t="shared" si="10">IF($A29="","",IF(OR($AT29&lt;3,$BG29&gt;=2,$CB29&lt;0.55,$CC29&lt;0.4),"RIDICAT",IF(OR($AU29=0,$CD29&lt;0.45,$BR29&lt;0.9),"MEDIU","SCĂZUT")))</x:f>
      </x:c>
      <x:c r="CG29" s="65" t="str">
        <x:f>IF($A29="","",IF($AR29&gt;1,IF(AND($BW29&gt;= 'Setari model'!$B$35,$CE29&gt;=100*'Setari model'!$B$36,$BZ29&gt;= 'Setari model'!$B$37,$CA29&gt;= 'Setari model'!$B$38,$CF29&lt;&gt;"RIDICAT"),"PARIU RECOMANDAT",IF(AND($BW29&gt;= 'Setari model'!$B$39,$CE29&gt;=100*'Setari model'!$B$40,$BZ29&gt;= 'Setari model'!$B$41,$CA29&gt;=0,$CF29&lt;&gt;"RIDICAT"),"RECOMANDAT CU PRUDENȚĂ",IF(AND($BW29&gt;= 'Setari model'!$B$42,$CE29&gt;=100*'Setari model'!$B$43),"ANALIZĂ NECONCLUDENTĂ","PARIU EVITAT"))),IF(AND($BW29&gt;= 'Setari model'!$B$35,$CE29&gt;=100*'Setari model'!$B$36,$CF29&lt;&gt;"RIDICAT"),"FAVORABIL STATISTIC – VERIFICĂ COTA",IF(AND($BW29&gt;= 'Setari model'!$B$42,$CE29&gt;=100*'Setari model'!$B$43),"ANALIZĂ NECONCLUDENTĂ","PARIU EVITAT"))))</x:f>
      </x:c>
      <x:c r="CH29" s="67" t="str">
        <x:f t="shared" si="11">IF($A29="","","P(O0,5)="&amp;TEXT($BW29,"0.0%")&amp;"; λ ajustat="&amp;TEXT($BS29,"0.00")&amp;"; Confidence="&amp;TEXT($CE29,"0")&amp;"/100; Edge="&amp;TEXT($BZ29,"0.0%")&amp;"; risc="&amp;$CF29&amp;". "&amp;$BH29)</x:f>
      </x:c>
      <x:c r="CI29" s="68" t="str">
        <x:f t="shared" si="12">IF($A29="","",$BI29)</x:f>
      </x:c>
      <x:c r="CJ29" s="112"/>
      <x:c r="CK29" s="112"/>
      <x:c r="CL29" s="112"/>
      <x:c r="CM29" s="112"/>
      <x:c r="CN29" s="112"/>
      <x:c r="CO29" s="112"/>
      <x:c r="CP29" s="112"/>
      <x:c r="CQ29" s="112"/>
      <x:c r="CR29" s="112"/>
      <x:c r="CS29" s="112"/>
      <x:c r="CT29" s="112"/>
      <x:c r="CU29" s="112"/>
      <x:c r="CV29" s="112"/>
      <x:c r="CW29" s="112"/>
      <x:c r="CX29" s="112"/>
      <x:c r="CY29" s="112"/>
      <x:c r="CZ29" s="112"/>
      <x:c r="DA29" s="112"/>
      <x:c r="DB29" s="112"/>
      <x:c r="DC29" s="114"/>
      <x:c r="DD29" s="114"/>
      <x:c r="DE29" s="112" t="s">
        <x:v>266</x:v>
      </x:c>
      <x:c r="DF29" s="112"/>
      <x:c r="DG29" s="112"/>
      <x:c r="DH29" s="112"/>
      <x:c r="DI29" s="112"/>
      <x:c r="DJ29" s="112"/>
      <x:c r="DK29" s="112"/>
      <x:c r="DL29" s="112"/>
      <x:c r="DM29" s="112"/>
      <x:c r="DN29" s="112"/>
      <x:c r="DO29" s="112"/>
      <x:c r="DP29" s="112"/>
      <x:c r="DQ29" s="114"/>
      <x:c r="DR29" s="112">
        <x:v>1</x:v>
      </x:c>
      <x:c r="DS29" s="116">
        <x:v>0</x:v>
      </x:c>
      <x:c r="DT29" s="120"/>
      <x:c r="DU29" s="116">
        <x:v>0.02</x:v>
      </x:c>
      <x:c r="DV29" s="116">
        <x:v>0.25</x:v>
      </x:c>
      <x:c r="DW29" s="118" t="str">
        <x:f>IF($A29="","",MAX('Setari model'!$B$71,MIN('Setari model'!$B$72,1+0.08*(IFERROR(AVERAGE($CM29:$CN29)/'Setari model'!$B$66,1)-1)+0.08*(IFERROR(AVERAGE($CO29:$CP29)/'Setari model'!$B$67,1)-1)+0.06*(IFERROR(AVERAGE($CQ29:$CR29)/'Setari model'!$B$68,1)-1)+0.04*(IFERROR(AVERAGE($CS29:$CT29)/'Setari model'!$B$69,1)-1)+0.04*(IFERROR(AVERAGE($CU29:$CV29)/'Setari model'!$B$70,1)-1)-'Setari model'!$B$73*IFERROR(AVERAGE($CW29:$CX29),0))))</x:f>
      </x:c>
      <x:c r="DX29" s="118" t="str">
        <x:f>IF($A29="","",1+'Setari model'!$B$62*MAX(IF(OR($CK29=1,$CL29=1),1,0),IF(AND($CJ29&lt;&gt;"",$CJ29&lt;=1),1,0))+'Setari model'!$B$63*IF(AND($CJ29&gt;1,$CJ29&lt;=3),1,0))</x:f>
      </x:c>
      <x:c r="DY29" s="118" t="str">
        <x:f>IF($A29="","",1+'Setari model'!$B$74*(IF($CY29="",0,IF($CY29=0,1,0))+IF($CZ29="",0,IF($CZ29=0,1,0)))+'Setari model'!$B$75*(IF($DA29="",0,IF($DA29=0,1,0))+IF($DB29="",0,IF($DB29=0,1,0))))</x:f>
      </x:c>
      <x:c r="DZ29" s="117" t="str">
        <x:f>IF($A29="","",MIN(0.6,MAX(0.002,(((1-'Setari model'!$B$34*MIN(1,($I29+$P29)/20))*$BT29+'Setari model'!$B$34*MIN(1,($I29+$P29)/20)*IF(COUNT($N29,$U29)=2,SQRT(MAX(0,1-$N29)*MAX(0,1-$U29)),$BT29))*(1-'Setari model'!$B$65*MIN(1,IF($AN29="",0,$AN29/'Setari model'!$B$64)))+'Setari model'!$B$65*MIN(1,IF($AN29="",0,$AN29/'Setari model'!$B$64))*IF($AM29="",$BT29,$AM29))*$DX29*$DY29/$DW29)))</x:f>
      </x:c>
      <x:c r="EA29" s="117" t="str">
        <x:f>IF($A29="","",MIN(1-$DZ29,IF(OR(MIN($I29,$P29)&lt;'Setari model'!$B$58,$CK29=1,$CL29=1,AND($CJ29&lt;&gt;"",$CJ29&lt;=1)),'Setari model'!$B$59,IF(AND($AU29=1,$AR29&gt;1,COUNT($CY29:$DB29)=4),'Setari model'!$B$61,'Setari model'!$B$60))))</x:f>
      </x:c>
      <x:c r="EB29" s="115" t="str">
        <x:f t="shared" si="13">IF($A29="","",1/$EA29)</x:f>
      </x:c>
      <x:c r="EC29" s="117" t="str">
        <x:f t="shared" si="14">IF($A29="","",IF($AR29&gt;1,IF($AS29&gt;1,(1/$AR29)/((1/$AR29)+(1/$AS29)),1/$AR29),""))</x:f>
      </x:c>
      <x:c r="ED29" s="117" t="str">
        <x:f t="shared" si="15">IF($A29="","",IF($EC29="","",$EA29-$EC29))</x:f>
      </x:c>
      <x:c r="EE29" s="117" t="str">
        <x:f t="shared" si="16">""</x:f>
      </x:c>
      <x:c r="EF29" s="119" t="str">
        <x:f>IF($A29="","",MAX(0,MIN(100,$CE29-200*MAX(0,$EG29-'Setari model'!$B$77)-IF($AU29&lt;&gt;1,10,0)-IF(COUNT($CY29:$DB29)&lt;4,4,0))))</x:f>
      </x:c>
      <x:c r="EG29" s="117" t="str">
        <x:f>IF($A29="","",'Setari model'!$B$77+IF(MIN($I29,$P29)&lt;'Setari model'!$B$58,0.03,0)+IF(OR($CK29=1,$CL29=1,AND($CJ29&lt;&gt;"",$CJ29&lt;=1)),0.03,0)+IF($AG29=0,0.02,0)+0.03*(1-MIN(1,COUNT($CM29:$CV29)/10))+0.03*(1-MIN(1,IF($AN29="",0,$AN29/'Setari model'!$B$64)))+IF($AR29&lt;=1,0.02,0))</x:f>
      </x:c>
      <x:c r="EH29" s="113" t="str">
        <x:f>IF($A29="","",IF(OR(MIN($I29,$P29)&lt;'Setari model'!$B$58,$CK29=1,$CL29=1,AND($CJ29&lt;&gt;"",$CJ29&lt;=1)),"92% – early/regim",IF(AND($AU29=1,$AR29&gt;1,COUNT($CY29:$DB29)=4),"94% – confirmat","93% – standard")))</x:f>
      </x:c>
      <x:c r="EI29" s="113" t="str">
        <x:f t="shared" si="17">IF($A29="","",IF(AND($EA29&gt;0.9,$AU29&lt;&gt;1),"WAIT XI – HIGH P",IF(AND($EA29&gt;0.9,COUNT($CY29:$DB29)&lt;4),"WAIT DATE CHEIE – HIGH P",IF($EP29&lt;&gt;"DA","NU – PORTOFOLIU","DA"))))</x:f>
      </x:c>
      <x:c r="EJ29" s="117" t="str">
        <x:f t="shared" si="18">IF($A29="","",IF($DE29&lt;&gt;"Live 20-30","",IF(SUM($DG29:$DH29)&gt;0,1,IF($EU29="","",1-MIN(0.95,MAX(0.001,EXP(-$EU29)*$DX29*$DY29/$DW29))))))</x:f>
      </x:c>
      <x:c r="EK29" s="117" t="str">
        <x:f t="shared" si="19">""</x:f>
      </x:c>
      <x:c r="EL29" s="113" t="str">
        <x:f>IF($A29="","",IF($DE29="Live 20-30",IF(SUM($DG29:$DH29)&gt;0,"EVENIMENT ÎNDEPLINIT",IF(OR($DF29="",COUNT($DI29:$DN29)&lt;4),"LIVE – WATCH",IF($EJ29&gt;=0.75,"LIVE – FEZABIL TEHNIC","LIVE – NO BET"))),IF($EI29&lt;&gt;"DA","WATCH / NO BET",IF(AND($EA29&gt;=INDEX('Setari model'!$B$35:$B$40,1),$EF29&gt;=100*'Setari model'!$B$76),"PARIU RECOMANDAT",IF(AND($EA29&gt;=INDEX('Setari model'!$B$35:$B$40,5),$EF29&gt;=100*'Setari model'!$B$40),"WATCH – APROAPE DE PRAG","PARIU EVITAT")))))</x:f>
      </x:c>
      <x:c r="EM29" s="113" t="str">
        <x:f t="shared" si="20">IF($A29="","",IF($DE29="Live 20-30",IF(SUM($DG29:$DH29)&gt;0,"Gol deja marcat.",IF($DF29="","Minut live lipsă.",IF(COUNT($DI29:$DN29)&lt;4,"Lipsesc xG/SOT/big chances live.",IF($EJ29&lt;0.75,"P live sub prag.","Semnal live tehnic complet; EV ignorat.")))),IF($EI29&lt;&gt;"DA",$EI29,IF($EF29&lt;75,"Confidence sub 75.",IF($EA29&lt;0.92,"P sub 92%.","G0/Zero-Mass + confidence trecute; EV ignorat.")))))</x:f>
      </x:c>
      <x:c r="EN29" s="117" t="str">
        <x:f>IF($A29="","",IF(OR($EL29="PARIU RECOMANDAT",$EL29="LIVE – FEZABIL"),MIN(IF($DU29&gt;0,$DU29,'Setari model'!$B$81)/MAX(1,$DR29),IF($DV29&gt;0,$DV29,'Setari model'!$B$80)*MAX(0,((IF($DE29="Live 20-30",$EJ29,$EA29)*IF($DE29="Live 20-30",$DQ29,$AR29)-1)/(IF($DE29="Live 20-30",$DQ29,$AR29)-1)))),0))</x:f>
      </x:c>
      <x:c r="EO29" s="121" t="str">
        <x:f t="shared" si="21">IF($A29="","",IF(AND($EN29&gt;0,$DT29&gt;0),$EN29*$DT29,""))</x:f>
      </x:c>
      <x:c r="EP29" s="113" t="str">
        <x:f>IF($A29="","",IF(OR($DR29&lt;1,$DR29&gt;'Setari model'!$B$78),"NU – 1–5 selecții",IF($DS29&gt;'Setari model'!$B$79,"NU – corelație", "DA")))</x:f>
      </x:c>
      <x:c r="EQ29" s="117" t="str">
        <x:f t="shared" si="22">IF($A29="","",IF(AND($DC29&gt;1,$DD29&gt;1),$DC29/$DD29-1,""))</x:f>
      </x:c>
      <x:c r="ER29" s="113" t="str">
        <x:f t="shared" si="23">IF($A29="","","P v2="&amp;TEXT($EA29,"0.0%")&amp;" ±"&amp;TEXT($EG29,"0.0%")&amp;"; P0 ZIP="&amp;TEXT($DZ29,"0.0%")&amp;"; Confidence="&amp;TEXT($EF29,"0")&amp;"/100; piață reală="&amp;IF($EC29="","NU","DA")&amp;"; EV="&amp;IF($EE29="","n/a",TEXT($EE29,"0.0%"))&amp;"; gate="&amp;$EI29&amp;"; verdict="&amp;$EL29&amp;". "&amp;$EM29)</x:f>
      </x:c>
      <x:c r="ES29" s="119" t="str">
        <x:f>IF($A29="","",'Setari model'!$B$82)</x:f>
      </x:c>
      <x:c r="ET29" s="118" t="str">
        <x:f>IF($A29="","",'Setari model'!$B$83)</x:f>
      </x:c>
      <x:c r="EU29" s="115" t="str">
        <x:f t="shared" si="24">IF(OR($A29="",$DE29&lt;&gt;"Live 20-30",$DF29="",$DF29&lt;$ES29,$DF29&gt;=90),"",MAX(0.05,MIN($BS29*$ET29,$BS29*(90-$DF29)/90+0.35*($DI29+$DJ29)+0.06*($DK29+$DL29)+0.15*($DM29+$DN29)+0.1*(MAX($DO29,$DP29)-MIN($DO29,$DP29)))))</x:f>
      </x:c>
      <x:c r="EV29" s="132"/>
      <x:c r="EW29" s="132"/>
      <x:c r="EX29" s="132"/>
      <x:c r="EY29" s="132"/>
      <x:c r="EZ29" s="132"/>
      <x:c r="FA29" s="132"/>
      <x:c r="FB29" s="247"/>
      <x:c r="FC29" s="134" t="str">
        <x:f t="shared" si="25">IF($A29="","",IF(OR($J29="",$L29="",$L29&lt;=0),"",MAX(0.5,MIN(1.5,$J29/$L29))))</x:f>
      </x:c>
      <x:c r="FD29" s="134" t="str">
        <x:f t="shared" si="26">IF($A29="","",IF(OR($Q29="",$S29="",$S29&lt;=0),"",MAX(0.5,MIN(1.5,$Q29/$S29))))</x:f>
      </x:c>
      <x:c r="FE29" s="134" t="str">
        <x:f>IF($A29="","",IF(COUNT($EV29:$EW29)&lt;2,"",SQRT($EV29*$EW29)/'Setari model'!$B$87))</x:f>
      </x:c>
      <x:c r="FF29" s="134" t="str">
        <x:f>IF($A29="","",IF(COUNT($O29,$V29,$EX29,$EY29)&lt;4,"",AVERAGE(SQRT($O29*$EY29),SQRT($V29*$EX29))/'Setari model'!$B$88))</x:f>
      </x:c>
      <x:c r="FG29" s="134" t="str">
        <x:f t="shared" si="27">IF($A29="","",IF(COUNT($FC29:$FD29)&lt;2,"",MAX(0,1-AVERAGE($FC29:$FD29))))</x:f>
      </x:c>
      <x:c r="FH29" s="134" t="str">
        <x:f>IF($A29="","",IF(COUNT($EZ29:$FA29)&lt;2,"",'Setari model'!$B$94*AVERAGE($EZ29:$FA29)/'Setari model'!$B$89))</x:f>
      </x:c>
      <x:c r="FI29" s="134" t="str">
        <x:f>IF($A29="","",IF(COUNT($FE29:$FH29)&lt;4,"",MAX('Setari model'!$B$97,MIN('Setari model'!$B$98,1+'Setari model'!$B$90*($FE29-1)+'Setari model'!$B$91*($FF29-1)+'Setari model'!$B$92*$FG29+'Setari model'!$B$93*($FH29-1)))))</x:f>
      </x:c>
      <x:c r="FJ29" s="133" t="str">
        <x:f>IF($A29="","",IF($FI29="","",MIN('Setari model'!$B$101,MAX(0.002,$DZ29*$FI29))))</x:f>
      </x:c>
      <x:c r="FK29" s="131" t="str">
        <x:f t="shared" si="28">IF($A29="","",IF(AND(COUNT($EV29:$FA29)=6,COUNT($O29,$V29,$FC29,$FD29)=4),"DA","NU"))</x:f>
      </x:c>
      <x:c r="FL29" s="131" t="str">
        <x:f>IF($A29="","",IF($FK29&lt;&gt;"DA","NEDETERMINAT",IF($FI29&lt;='Setari model'!$B$99,"SCĂZUT",IF($FI29&lt;='Setari model'!$B$100,"MEDIU","RIDICAT"))))</x:f>
      </x:c>
      <x:c r="FM29" s="131" t="str">
        <x:f>IF($A29="","",IF(AND($AR29&gt;1,$EC29&gt;='Setari model'!$B$106),"DA","NU"))</x:f>
      </x:c>
      <x:c r="FN29" s="131" t="str">
        <x:f t="shared" si="29">IF($A29="","",IF(AND($AU29=1,COUNT($CY29:$DB29)=4),"DA","NU"))</x:f>
      </x:c>
      <x:c r="FO29" s="133" t="str">
        <x:f>IF($A29="","",IF(OR($FK29&lt;&gt;"DA",$FL29="RIDICAT"),'Setari model'!$B$102,IF($FL29="MEDIU",'Setari model'!$B$103,IF(AND($FM29="DA",$FN29="DA"),'Setari model'!$B$105,'Setari model'!$B$104))))</x:f>
      </x:c>
      <x:c r="FP29" s="133" t="str">
        <x:f t="shared" si="30">IF($A29="","",IF($FJ29="","",MIN(1-$FJ29,$FO29)))</x:f>
      </x:c>
      <x:c r="FQ29" s="135" t="str">
        <x:f t="shared" si="31">IF($A29="","",IF($FP29="","",IF($FP29&gt;0,1/$FP29,"")))</x:f>
      </x:c>
      <x:c r="FR29" s="133" t="str">
        <x:f t="shared" si="32">IF($A29="","",IF($EC29="","",$FP29-$EC29))</x:f>
      </x:c>
      <x:c r="FS29" s="133" t="str">
        <x:f t="shared" si="33">IF($A29="","",IF($AR29&gt;1,$FP29*$AR29-1,""))</x:f>
      </x:c>
      <x:c r="FT29" s="136" t="str">
        <x:f>IF($A29="","",MAX(0,MIN(100,$EF29-IF($FK29&lt;&gt;"DA",'Setari model'!$B$107,0)-IF($FL29="MEDIU",'Setari model'!$B$108,0)-IF($FL29="RIDICAT",'Setari model'!$B$109,0))))</x:f>
      </x:c>
      <x:c r="FU29" s="131" t="str">
        <x:f t="shared" si="34">IF($A29="","",IF($AR29&lt;=1,"NU – LIPSEȘTE COTA REALĂ",IF($FK29&lt;&gt;"DA","NU – ZERO-RISK INCOMPLET",IF($FL29&lt;&gt;"SCĂZUT","NU – RISC 0-0 "&amp;$FL29,IF($FN29&lt;&gt;"DA","NU – LINEUP NECONFIRMAT",IF($FM29&lt;&gt;"DA","NU – PIAȚĂ NECONFIRMATĂ",IF($EP29&lt;&gt;"DA","NU – PORTOFOLIU","DA")))))))</x:f>
      </x:c>
      <x:c r="FV29" s="131" t="str">
        <x:f>IF($A29="","",IF($FU29&lt;&gt;"DA","WATCH / NO BET",IF(AND($FP29&gt;='Setari model'!$B$35,$FT29&gt;=100*'Setari model'!$B$76,$FS29&gt;0),"PARIU RECOMANDAT",IF(AND($FP29&gt;='Setari model'!$B$39,$FT29&gt;=100*'Setari model'!$B$40,$FS29&gt;0),"WATCH – APROAPE DE PRAG","PARIU EVITAT"))))</x:f>
      </x:c>
      <x:c r="FW29" s="131" t="str">
        <x:f t="shared" si="35">IF($A29="","",IF($FU29&lt;&gt;"DA",$FU29,IF($FT29&lt;75,"Confidence v3 sub 75.",IF($FP29&lt;0.92,"P v3 sub 92%.",IF($FS29&lt;=0,"EV v3 nepozitiv.","P0 v3, lineup și piață confirmate.")))))</x:f>
      </x:c>
      <x:c r="FX29" s="131" t="str">
        <x:f t="shared" si="36">IF($A29="","","P v3="&amp;TEXT($FP29,"0.0%")&amp;"; P0 v3="&amp;TEXT($FJ29,"0.0%")&amp;"; factor zero="&amp;IF($FI29="","n/a",TEXT($FI29,"0.00x"))&amp;" ("&amp;$FL29&amp;"); cap="&amp;TEXT($FO29,"0.0%")&amp;"; Confidence="&amp;TEXT($FT29,"0")&amp;"/100; lineup="&amp;$FN29&amp;"; piață="&amp;$FM29&amp;"; EV="&amp;IF($FS29="","n/a",TEXT($FS29,"0.0%"))&amp;"; gate="&amp;$FU29&amp;"; verdict="&amp;$FV29&amp;". "&amp;$FW29)</x:f>
      </x:c>
      <x:c r="FY29" s="159"/>
      <x:c r="FZ29" s="159"/>
      <x:c r="GA29" s="157"/>
      <x:c r="GB29" s="157"/>
      <x:c r="GC29" s="161" t="str">
        <x:f t="shared" si="37">IF($A29="","",IF(OR($X29="",$Z29="",$Z29&lt;=0),"",MAX(0.5,MIN(1.5,$X29/$Z29))))</x:f>
      </x:c>
      <x:c r="GD29" s="161" t="str">
        <x:f t="shared" si="38">IF($A29="","",IF(OR($AC29="",$AE29="",$AE29&lt;=0),"",MAX(0.5,MIN(1.5,$AC29/$AE29))))</x:f>
      </x:c>
      <x:c r="GE29" s="162" t="str">
        <x:f t="shared" si="39">IF($A29="","",IF(COUNT($Z29,$AE29)&lt;2,"",AVERAGE($Z29,$AE29)))</x:f>
      </x:c>
      <x:c r="GF29" s="158" t="str">
        <x:f>IF($A29="","",IF(COUNT($FY29:$FZ29)&lt;2,"NEDETERMINAT",IF(AND($FY29&gt;='Setari model'!$B$113,$FZ29&gt;='Setari model'!$B$113),"DA","NU")))</x:f>
      </x:c>
      <x:c r="GG29" s="158" t="str">
        <x:f>IF($A29="","",IF(COUNT($FY29:$FZ29,$EX29:$EY29)&lt;4,"NEDETERMINAT",IF(OR(AND($FY29&gt;='Setari model'!$B$113,$EY29&gt;='Setari model'!$B$114),AND($FZ29&gt;='Setari model'!$B$113,$EX29&gt;='Setari model'!$B$114)),"DA","NU")))</x:f>
      </x:c>
      <x:c r="GH29" s="158" t="str">
        <x:f>IF($A29="","",IF(COUNT($BJ29:$BN29,$GC29:$GE29)&lt;8,"NEDETERMINAT",IF(AND((($BJ29*INDEX('Setari model'!$B$5:$B$11,MATCH($E29,'Setari model'!$A$5:$A$11,0))+$BK29*INDEX('Setari model'!$C$5:$C$11,MATCH($E29,'Setari model'!$A$5:$A$11,0))+$BL29*INDEX('Setari model'!$D$5:$D$11,MATCH($E29,'Setari model'!$A$5:$A$11,0))+$BM29*INDEX('Setari model'!$E$5:$E$11,MATCH($E29,'Setari model'!$A$5:$A$11,0))+$BN29*INDEX('Setari model'!$F$5:$F$11,MATCH($E29,'Setari model'!$A$5:$A$11,0)))/(INDEX('Setari model'!$B$5:$B$11,MATCH($E29,'Setari model'!$A$5:$A$11,0))+INDEX('Setari model'!$C$5:$C$11,MATCH($E29,'Setari model'!$A$5:$A$11,0))+INDEX('Setari model'!$D$5:$D$11,MATCH($E29,'Setari model'!$A$5:$A$11,0))+INDEX('Setari model'!$E$5:$E$11,MATCH($E29,'Setari model'!$A$5:$A$11,0))+INDEX('Setari model'!$F$5:$F$11,MATCH($E29,'Setari model'!$A$5:$A$11,0))))*$BR29&gt;='Setari model'!$B$115,(($BJ29*INDEX('Setari model'!$B$5:$B$11,MATCH($E29,'Setari model'!$A$5:$A$11,0))+$BK29*INDEX('Setari model'!$C$5:$C$11,MATCH($E29,'Setari model'!$A$5:$A$11,0))+$BL29*INDEX('Setari model'!$D$5:$D$11,MATCH($E29,'Setari model'!$A$5:$A$11,0))+$BM29*INDEX('Setari model'!$E$5:$E$11,MATCH($E29,'Setari model'!$A$5:$A$11,0))+$BN29*INDEX('Setari model'!$F$5:$F$11,MATCH($E29,'Setari model'!$A$5:$A$11,0)))/(INDEX('Setari model'!$B$5:$B$11,MATCH($E29,'Setari model'!$A$5:$A$11,0))+INDEX('Setari model'!$C$5:$C$11,MATCH($E29,'Setari model'!$A$5:$A$11,0))+INDEX('Setari model'!$D$5:$D$11,MATCH($E29,'Setari model'!$A$5:$A$11,0))+INDEX('Setari model'!$E$5:$E$11,MATCH($E29,'Setari model'!$A$5:$A$11,0))+INDEX('Setari model'!$F$5:$F$11,MATCH($E29,'Setari model'!$A$5:$A$11,0))))*$BR29&lt;='Setari model'!$B$116,AVERAGE($GC29:$GD29)&lt;='Setari model'!$B$117,$GE29&gt;='Setari model'!$B$118),"DA","NU")))</x:f>
      </x:c>
      <x:c r="GI29" s="158" t="str">
        <x:f>IF($A29="","",IF(COUNT($W29,$AB29,$GA29:$GB29)&lt;4,"NEDETERMINAT",IF(AND($W29&gt;='Setari model'!$B$120,$AB29&gt;='Setari model'!$B$120,OR(IFERROR($GA29/$W29,0)&gt;='Setari model'!$B$119,IFERROR($GB29/$AB29,0)&gt;='Setari model'!$B$119)),"DA","NU")))</x:f>
      </x:c>
      <x:c r="GJ29" s="160" t="str">
        <x:f>IF($A29="","",IF(COUNT($FY29:$GB29)&lt;4,"",IF($GH29&lt;&gt;"DA",0,'Setari model'!$B$121*IF($GF29="DA",1,0)+'Setari model'!$B$122*IF($GG29="DA",1,0)+'Setari model'!$B$123+'Setari model'!$B$124*IF($GI29="DA",1,0))))</x:f>
      </x:c>
      <x:c r="GK29" s="161" t="str">
        <x:f>IF($A29="","",IF(COUNT($GJ29)=0,"",1+'Setari model'!$B$125*$GJ29))</x:f>
      </x:c>
      <x:c r="GL29" s="160" t="str">
        <x:f>IF($A29="","",IF($GM29&lt;&gt;"DA",$FJ29,MIN('Setari model'!$B$101,MAX(0.002,$FJ29*$GK29))))</x:f>
      </x:c>
      <x:c r="GM29" s="158" t="str">
        <x:f>IF($A29="","",IF(AND($FK29="DA",COUNT($FY29:$GB29)=4,COUNT($I29,$P29,$W29,$AB29,$Z29,$AE29,$EX29,$EY29,$GC29,$GD29)=10,COUNT($BJ29:$BN29)=5),"DA","NU"))</x:f>
      </x:c>
      <x:c r="GN29" s="158" t="str">
        <x:f>IF($A29="","",IF($GM29&lt;&gt;"DA","NEDETERMINAT",IF($FI29*$GK29&lt;='Setari model'!$B$99,"SCĂZUT",IF($FI29*$GK29&lt;='Setari model'!$B$100,"MEDIU","RIDICAT"))))</x:f>
      </x:c>
      <x:c r="GO29" s="160" t="str">
        <x:f>IF($A29="","",IF(OR($GM29&lt;&gt;"DA",$GN29="RIDICAT"),'Setari model'!$B$102,IF($GN29="MEDIU",'Setari model'!$B$103,IF(AND($FM29="DA",$FN29="DA"),'Setari model'!$B$105,'Setari model'!$B$104))))</x:f>
      </x:c>
      <x:c r="GP29" s="160" t="str">
        <x:f t="shared" si="40">IF($A29="","",IF($GL29="","",MIN(1-$GL29,$GO29)))</x:f>
      </x:c>
      <x:c r="GQ29" s="162" t="str">
        <x:f t="shared" si="41">IF($A29="","",IF($GP29="","",IF($GP29&gt;0,1/$GP29,"")))</x:f>
      </x:c>
      <x:c r="GR29" s="160" t="str">
        <x:f t="shared" si="42">IF($A29="","",IF($EC29="","",$GP29-$EC29))</x:f>
      </x:c>
      <x:c r="GS29" s="160" t="str">
        <x:f t="shared" si="43">IF($A29="","",IF($AR29&gt;1,$GP29*$AR29-1,""))</x:f>
      </x:c>
      <x:c r="GT29" s="163" t="str">
        <x:f>IF($A29="","",MAX(0,MIN(100,$FT29-IF(AND($GM29&lt;&gt;"DA",$FK29="DA"),'Setari model'!$B$107,0)-'Setari model'!$B$126*IF($GJ29="",0,$GJ29))))</x:f>
      </x:c>
      <x:c r="GU29" s="158" t="str">
        <x:f t="shared" si="44">IF($A29="","",IF($AR29&lt;=1,"NU – LIPSEȘTE COTA REALĂ",IF($GM29&lt;&gt;"DA","NU – DATE LOW-CONVERSION INCOMPLETE",IF($GN29&lt;&gt;"SCĂZUT","NU – RISC 0-0 "&amp;$GN29,IF($FN29&lt;&gt;"DA","NU – LINEUP NECONFIRMAT",IF($FM29&lt;&gt;"DA","NU – PIAȚĂ NECONFIRMATĂ",IF($EP29&lt;&gt;"DA","NU – PORTOFOLIU","DA")))))))</x:f>
      </x:c>
      <x:c r="GV29" s="158" t="str">
        <x:f>IF($A29="","",IF($GU29&lt;&gt;"DA","WATCH / NO BET",IF(AND($GP29&gt;='Setari model'!$B$35,$GT29&gt;=100*'Setari model'!$B$76,$GS29&gt;0),"PARIU RECOMANDAT",IF(AND($GP29&gt;='Setari model'!$B$39,$GT29&gt;=100*'Setari model'!$B$40,$GS29&gt;0),"WATCH – APROAPE DE PRAG","PARIU EVITAT"))))</x:f>
      </x:c>
      <x:c r="GW29" s="158" t="str">
        <x:f t="shared" si="45">IF($A29="","",IF($GU29&lt;&gt;"DA",$GU29,IF($GT29&lt;75,"Confidence v5 sub 75.",IF($GP29&lt;0.92,"P v5 sub 92%.",IF($GS29&lt;=0,"EV v5 nepozitiv.",IF($GJ29&gt;0,"Low-conversion absorbit în P0; toate porțile rămân trecute.","Toate porțile v5 sunt trecute."))))))</x:f>
      </x:c>
      <x:c r="GX29" s="158" t="str">
        <x:f t="shared" si="46">IF($A29="","","P v5="&amp;TEXT($GP29,"0.0%")&amp;"; P0 v5="&amp;TEXT($GL29,"0.0%")&amp;"; low-conv="&amp;IF(COUNT($GJ29)=0,"n/a",TEXT($GJ29,"0%"))&amp;"; mult.P0="&amp;IF(COUNT($GK29)=0,"n/a",TEXT($GK29,"0.00"))&amp;"; clasă="&amp;$GN29&amp;"; cap="&amp;TEXT($GO29,"0.0%")&amp;"; Confidence="&amp;TEXT($GT29,"0")&amp;"/100; lineup="&amp;$FN29&amp;"; piață="&amp;$FM29&amp;"; EV="&amp;IF($GS29="","n/a",TEXT($GS29,"0.0%"))&amp;"; gate="&amp;$GU29&amp;"; verdict="&amp;$GV29&amp;". "&amp;$GW29)</x:f>
      </x:c>
      <x:c r="GY29" s="174" t="str">
        <x:f>IF($A29="","",IF($GM29&lt;&gt;"DA","SOURCING INCOMPLETE – REVIEW REQUIRED",IF(MIN($I29,$P29,$W29,$AB29)&lt;'Setari model'!$B$58,"SMALL SAMPLE + PRIOR / SHRINKAGE","VERIFIED / PRIOR / SHRINKAGE")))</x:f>
      </x:c>
      <x:c r="GZ29" s="175" t="str">
        <x:f t="shared" si="47">IF($A29="","",MAX(0,MIN(100,100*(1-AVERAGE(IF($GM29="DA",1,0),MIN(1,$AT29/5))))))</x:f>
      </x:c>
      <x:c r="HA29" s="175" t="str">
        <x:f>IF($A29="","",IF($GM29&lt;&gt;"DA","",MAX(0,MIN(100,100*(($FI29*$GK29)-'Setari model'!$B$97)/('Setari model'!$B$98-'Setari model'!$B$97)))))</x:f>
      </x:c>
      <x:c r="HB29" s="175" t="str">
        <x:f>IF($A29="","",MAX(0,MIN(100,100*(ABS($BR29-1)/MAX(1-'Setari model'!$B$53,'Setari model'!$B$54-1)+MIN(1,$BG29/2))/2)))</x:f>
      </x:c>
      <x:c r="HC29" s="175" t="str">
        <x:f t="shared" si="48">IF($A29="","",MAX(0,MIN(100,100*(1-AVERAGE($CC29,MAX(0,1-(MAX($BJ29:$BN29)-MIN($BJ29:$BN29))/(AVERAGE($BJ29:$BN29)*'Setari model'!$B$45)))))))</x:f>
      </x:c>
      <x:c r="HD29" s="175" t="str">
        <x:f t="shared" si="49">IF($A29="","",MAX(0,MIN(100,100*MAX(IF($GJ29="",0,$GJ29),MIN(1,$BG29/2)))))</x:f>
      </x:c>
      <x:c r="HE29" s="175" t="str">
        <x:f>IF($A29="","",IF(COUNT($GZ29:$HD29)&lt;5,"",$GZ29*Risk_Classification!$E$28+$HA29*Risk_Classification!$E$29+$HB29*Risk_Classification!$E$30+$HC29*Risk_Classification!$E$31+$HD29*Risk_Classification!$E$32))</x:f>
      </x:c>
      <x:c r="HF29" s="176" t="str">
        <x:f t="shared" si="50">IF($A29="","",IF($HE29="","",IF($HE29&lt;=20,1,IF($HE29&lt;=40,2,IF($HE29&lt;=60,3,IF($HE29&lt;=80,4,5))))))</x:f>
      </x:c>
      <x:c r="HG29" s="176" t="str">
        <x:f t="shared" si="51">IF($A29="","",IF($GM29="DA","PASS","FAIL – DATE CRITICE ZERO-MASS INCOMPLETE"))</x:f>
      </x:c>
      <x:c r="HH29" s="176" t="str">
        <x:f t="shared" si="52">IF($A29="","",IF($HG29&lt;&gt;"PASS",5,$HF29))</x:f>
      </x:c>
      <x:c r="HI29" s="174" t="str">
        <x:f t="shared" si="53">IF($A29="","",IF($HH29="","N/A",IF($HH29=1,"DEFENSIV",IF($HH29=2,"PRUDENT",IF($HH29=3,"MODERAT",IF($HH29=4,"RIDICAT","WATCH / NO BET"))))))</x:f>
      </x:c>
      <x:c r="HJ29" s="177" t="str">
        <x:f t="shared" si="54">IF($A29="","","Data="&amp;$GY29&amp;"; DQ="&amp;TEXT($GZ29,"0.0")&amp;"; ZM="&amp;IF($HA29="","n/a",TEXT($HA29,"0.0"))&amp;"; Context="&amp;TEXT($HB29,"0.0")&amp;"; Uncertainty="&amp;TEXT($HC29,"0.0")&amp;"; Compound="&amp;TEXT($HD29,"0.0")&amp;"; Risk Score="&amp;IF($HE29="","n/a",TEXT($HE29,"0.0"))&amp;"; Base="&amp;IF($HF29="","n/a",$HF29)&amp;"; G0="&amp;$HG29&amp;"; Final="&amp;$HH29&amp;". Cota, EV si lineup sunt informative si nu intra in recomandare.")</x:f>
      </x:c>
      <x:c r="HK29" s="174" t="str">
        <x:f t="shared" si="55">IF($A29="","",$HI29)</x:f>
      </x:c>
    </x:row>
    <x:row r="30" ht="24" customHeight="1">
      <x:c r="A30" s="58"/>
      <x:c r="B30" s="24"/>
      <x:c r="C30" s="59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18"/>
      <x:c r="O30" s="18"/>
      <x:c r="P30" s="24"/>
      <x:c r="Q30" s="24"/>
      <x:c r="R30" s="24"/>
      <x:c r="S30" s="24"/>
      <x:c r="T30" s="24"/>
      <x:c r="U30" s="18"/>
      <x:c r="V30" s="18"/>
      <x:c r="W30" s="24"/>
      <x:c r="X30" s="24"/>
      <x:c r="Y30" s="24"/>
      <x:c r="Z30" s="24"/>
      <x:c r="AA30" s="24"/>
      <x:c r="AB30" s="24"/>
      <x:c r="AC30" s="24"/>
      <x:c r="AD30" s="24"/>
      <x:c r="AE30" s="24"/>
      <x:c r="AF30" s="24"/>
      <x:c r="AG30" s="24"/>
      <x:c r="AH30" s="24"/>
      <x:c r="AI30" s="18"/>
      <x:c r="AJ30" s="24"/>
      <x:c r="AK30" s="24"/>
      <x:c r="AL30" s="24"/>
      <x:c r="AM30" s="18"/>
      <x:c r="AN30" s="24"/>
      <x:c r="AO30" s="60"/>
      <x:c r="AP30" s="60"/>
      <x:c r="AQ30" s="60"/>
      <x:c r="AR30" s="60"/>
      <x:c r="AS30" s="60"/>
      <x:c r="AT30" s="24"/>
      <x:c r="AU30" s="24"/>
      <x:c r="AV30" s="24"/>
      <x:c r="AW30" s="24"/>
      <x:c r="AX30" s="24"/>
      <x:c r="AY30" s="24"/>
      <x:c r="AZ30" s="24"/>
      <x:c r="BA30" s="24"/>
      <x:c r="BB30" s="24"/>
      <x:c r="BC30" s="24"/>
      <x:c r="BD30" s="24"/>
      <x:c r="BE30" s="24"/>
      <x:c r="BF30" s="24"/>
      <x:c r="BG30" s="24"/>
      <x:c r="BH30" s="61"/>
      <x:c r="BI30" s="61"/>
      <x:c r="BJ30" s="62" t="str">
        <x:f>IF($A30="","",SQRT((($I30*IF($J30="",$AJ30,$J30)+'Setari model'!$B$30*$AJ30)/($I30+'Setari model'!$B$30))*(($P30*IF($R30="",$AJ30,$R30)+'Setari model'!$B$30*$AJ30)/($P30+'Setari model'!$B$30)))+SQRT((($P30*IF($Q30="",$AK30,$Q30)+'Setari model'!$B$30*$AK30)/($P30+'Setari model'!$B$30))*(($I30*IF($K30="",$AK30,$K30)+'Setari model'!$B$30*$AK30)/($I30+'Setari model'!$B$30))))</x:f>
      </x:c>
      <x:c r="BK30" s="62" t="str">
        <x:f>IF($A30="","",SQRT((($I30*IF($L30="",IF($J30="",$AJ30,$J30),$L30)+'Setari model'!$B$30*$AJ30)/($I30+'Setari model'!$B$30))*(($P30*IF($T30="",IF($R30="",$AJ30,$R30),$T30)+'Setari model'!$B$30*$AJ30)/($P30+'Setari model'!$B$30)))+SQRT((($P30*IF($S30="",IF($Q30="",$AK30,$Q30),$S30)+'Setari model'!$B$30*$AK30)/($P30+'Setari model'!$B$30))*(($I30*IF($M30="",IF($K30="",$AK30,$K30),$M30)+'Setari model'!$B$30*$AK30)/($I30+'Setari model'!$B$30))))</x:f>
      </x:c>
      <x:c r="BL30" s="62" t="str">
        <x:f>IF($A30="","",SQRT((($W30*IF($X30="",$AL30/2,$X30)+'Setari model'!$B$31*$AL30/2)/($W30+'Setari model'!$B$31))*(($AB30*IF($AD30="",$AL30/2,$AD30)+'Setari model'!$B$31*$AL30/2)/($AB30+'Setari model'!$B$31)))+SQRT((($AB30*IF($AC30="",$AL30/2,$AC30)+'Setari model'!$B$31*$AL30/2)/($AB30+'Setari model'!$B$31))*(($W30*IF($Y30="",$AL30/2,$Y30)+'Setari model'!$B$31*$AL30/2)/($W30+'Setari model'!$B$31))))</x:f>
      </x:c>
      <x:c r="BM30" s="62" t="str">
        <x:f>IF($A30="","",SQRT((($W30*IF($Z30="",IF($X30="",$AL30/2,$X30),$Z30)+'Setari model'!$B$31*$AL30/2)/($W30+'Setari model'!$B$31))*(($AB30*IF($AF30="",IF($AD30="",$AL30/2,$AD30),$AF30)+'Setari model'!$B$31*$AL30/2)/($AB30+'Setari model'!$B$31)))+SQRT((($AB30*IF($AE30="",IF($AC30="",$AL30/2,$AC30),$AE30)+'Setari model'!$B$31*$AL30/2)/($AB30+'Setari model'!$B$31))*(($W30*IF($AA30="",IF($Y30="",$AL30/2,$Y30),$AA30)+'Setari model'!$B$31*$AL30/2)/($W30+'Setari model'!$B$31))))</x:f>
      </x:c>
      <x:c r="BN30" s="62" t="str">
        <x:f t="shared" si="0">IF($A30="","",IF($AG30&gt;0,($AG30*IF($AH30="",$AL30,$AH30)+5*$AL30)/($AG30+5),$AL30))</x:f>
      </x:c>
      <x:c r="BO30" s="63" t="str">
        <x:f>IF($A30="","",IF($AR30&gt;1,IF($AS30&gt;1,(1/$AR30)/((1/$AR30+1/$AS30)),MIN(0.995,(1/$AR30)/(1+'Setari model'!$B$32))),1-EXP(-$AL30)))</x:f>
      </x:c>
      <x:c r="BP30" s="62" t="str">
        <x:f t="shared" si="1">IF($A30="","",-LN(1-$BO30))</x:f>
      </x:c>
      <x:c r="BQ30" s="62" t="str">
        <x:f>IF($A30="","",$BJ30*INDEX('Setari model'!$B$5:$B$11,MATCH($E30,'Setari model'!$A$5:$A$11,0))+$BK30*INDEX('Setari model'!$C$5:$C$11,MATCH($E30,'Setari model'!$A$5:$A$11,0))+$BL30*INDEX('Setari model'!$D$5:$D$11,MATCH($E30,'Setari model'!$A$5:$A$11,0))+$BM30*INDEX('Setari model'!$E$5:$E$11,MATCH($E30,'Setari model'!$A$5:$A$11,0))+$BN30*INDEX('Setari model'!$F$5:$F$11,MATCH($E30,'Setari model'!$A$5:$A$11,0))+$BP30*INDEX('Setari model'!$G$5:$G$11,MATCH($E30,'Setari model'!$A$5:$A$11,0)))</x:f>
      </x:c>
      <x:c r="BR30" s="64" t="str">
        <x:f>IF($A30="","",MAX('Setari model'!$B$53,MIN('Setari model'!$B$54,1+($AV30*'Setari model'!$B$15+$AW30*'Setari model'!$B$16+$AX30*'Setari model'!$B$17+$AY30*'Setari model'!$B$18+$AZ30*'Setari model'!$B$19+$BA30*'Setari model'!$B$20+$BB30*'Setari model'!$B$21+$BC30*'Setari model'!$B$22+$BD30*'Setari model'!$B$23+$BE30*'Setari model'!$B$24+$BF30*'Setari model'!$B$25)*INDEX('Setari model'!$H$5:$H$11,MATCH($E30,'Setari model'!$A$5:$A$11,0)))))</x:f>
      </x:c>
      <x:c r="BS30" s="62" t="str">
        <x:f t="shared" si="2">IF($A30="","",$BQ30*$BR30)</x:f>
      </x:c>
      <x:c r="BT30" s="63" t="str">
        <x:f t="shared" si="3">IF($A30="","",EXP(-$BS30))</x:f>
      </x:c>
      <x:c r="BU30" s="65" t="str">
        <x:f>IF($A30="","",IF(OR($AM30="",$AN30=""),1,1+MIN('Setari model'!$B$33,$AN30/100*'Setari model'!$B$33)*($AM30/EXP(-$AL30)-1)))</x:f>
      </x:c>
      <x:c r="BV30" s="63" t="str">
        <x:f>IF($A30="","",MIN(0.45,MAX(0.005,(1-'Setari model'!$B$34*MIN(1,($I30+$P30)/20))*MIN(0.45,$BT30*$BU30)+'Setari model'!$B$34*MIN(1,($I30+$P30)/20)*IF(COUNT($N30,$U30)=2,SQRT(MAX(0,1-$N30)*MAX(0,1-$U30)),IF($AM30="",EXP(-$AL30),$AM30)))))</x:f>
      </x:c>
      <x:c r="BW30" s="63" t="str">
        <x:f t="shared" si="4">IF($A30="","",1-$BV30)</x:f>
      </x:c>
      <x:c r="BX30" s="62" t="str">
        <x:f t="shared" si="5">IF($A30="","",1/$BW30)</x:f>
      </x:c>
      <x:c r="BY30" s="63" t="str">
        <x:f t="shared" si="6">IF($A30="","",$BO30)</x:f>
      </x:c>
      <x:c r="BZ30" s="63" t="str">
        <x:f t="shared" si="7">IF($A30="","",$BW30-$BY30)</x:f>
      </x:c>
      <x:c r="CA30" s="63" t="str">
        <x:f t="shared" si="8">IF($A30="","",IF($AR30&gt;1,$BW30*$AR30-1,""))</x:f>
      </x:c>
      <x:c r="CB30" s="63" t="str">
        <x:f>IF($A30="","",MIN(1,COUNT($I30:$AN30,$AR30:$BG30)/'Setari model'!$B$46))</x:f>
      </x:c>
      <x:c r="CC30" s="63" t="str">
        <x:f t="shared" si="9">IF($A30="","",0.25*MIN(1,$I30/10)+0.25*MIN(1,$P30/10)+0.15*MIN(1,$W30/5)+0.15*MIN(1,$AB30/5)+0.1*MIN(1,$AG30/5)+0.1*MIN(1,$AN30/100))</x:f>
      </x:c>
      <x:c r="CD30" s="63" t="str">
        <x:f>IF($A30="","",MAX(0,1-(MAX($BJ30:$BN30,$BP30)-MIN($BJ30:$BN30,$BP30))/(AVERAGE($BJ30:$BN30,$BP30)*'Setari model'!$B$45)))</x:f>
      </x:c>
      <x:c r="CE30" s="66" t="str">
        <x:f>IF($A30="","",MAX(0,MIN(100,100*INDEX('Setari model'!$I$5:$I$11,MATCH($E30,'Setari model'!$A$5:$A$11,0))*('Setari model'!$B$47*$CB30+'Setari model'!$B$48*$CC30+'Setari model'!$B$49*$CD30+'Setari model'!$B$50*$AT30/5+'Setari model'!$B$51*$AU30)-100*'Setari model'!$B$52*$BG30)))</x:f>
      </x:c>
      <x:c r="CF30" s="65" t="str">
        <x:f t="shared" si="10">IF($A30="","",IF(OR($AT30&lt;3,$BG30&gt;=2,$CB30&lt;0.55,$CC30&lt;0.4),"RIDICAT",IF(OR($AU30=0,$CD30&lt;0.45,$BR30&lt;0.9),"MEDIU","SCĂZUT")))</x:f>
      </x:c>
      <x:c r="CG30" s="65" t="str">
        <x:f>IF($A30="","",IF($AR30&gt;1,IF(AND($BW30&gt;= 'Setari model'!$B$35,$CE30&gt;=100*'Setari model'!$B$36,$BZ30&gt;= 'Setari model'!$B$37,$CA30&gt;= 'Setari model'!$B$38,$CF30&lt;&gt;"RIDICAT"),"PARIU RECOMANDAT",IF(AND($BW30&gt;= 'Setari model'!$B$39,$CE30&gt;=100*'Setari model'!$B$40,$BZ30&gt;= 'Setari model'!$B$41,$CA30&gt;=0,$CF30&lt;&gt;"RIDICAT"),"RECOMANDAT CU PRUDENȚĂ",IF(AND($BW30&gt;= 'Setari model'!$B$42,$CE30&gt;=100*'Setari model'!$B$43),"ANALIZĂ NECONCLUDENTĂ","PARIU EVITAT"))),IF(AND($BW30&gt;= 'Setari model'!$B$35,$CE30&gt;=100*'Setari model'!$B$36,$CF30&lt;&gt;"RIDICAT"),"FAVORABIL STATISTIC – VERIFICĂ COTA",IF(AND($BW30&gt;= 'Setari model'!$B$42,$CE30&gt;=100*'Setari model'!$B$43),"ANALIZĂ NECONCLUDENTĂ","PARIU EVITAT"))))</x:f>
      </x:c>
      <x:c r="CH30" s="67" t="str">
        <x:f t="shared" si="11">IF($A30="","","P(O0,5)="&amp;TEXT($BW30,"0.0%")&amp;"; λ ajustat="&amp;TEXT($BS30,"0.00")&amp;"; Confidence="&amp;TEXT($CE30,"0")&amp;"/100; Edge="&amp;TEXT($BZ30,"0.0%")&amp;"; risc="&amp;$CF30&amp;". "&amp;$BH30)</x:f>
      </x:c>
      <x:c r="CI30" s="68" t="str">
        <x:f t="shared" si="12">IF($A30="","",$BI30)</x:f>
      </x:c>
      <x:c r="CJ30" s="112"/>
      <x:c r="CK30" s="112"/>
      <x:c r="CL30" s="112"/>
      <x:c r="CM30" s="112"/>
      <x:c r="CN30" s="112"/>
      <x:c r="CO30" s="112"/>
      <x:c r="CP30" s="112"/>
      <x:c r="CQ30" s="112"/>
      <x:c r="CR30" s="112"/>
      <x:c r="CS30" s="112"/>
      <x:c r="CT30" s="112"/>
      <x:c r="CU30" s="112"/>
      <x:c r="CV30" s="112"/>
      <x:c r="CW30" s="112"/>
      <x:c r="CX30" s="112"/>
      <x:c r="CY30" s="112"/>
      <x:c r="CZ30" s="112"/>
      <x:c r="DA30" s="112"/>
      <x:c r="DB30" s="112"/>
      <x:c r="DC30" s="114"/>
      <x:c r="DD30" s="114"/>
      <x:c r="DE30" s="112" t="s">
        <x:v>266</x:v>
      </x:c>
      <x:c r="DF30" s="112"/>
      <x:c r="DG30" s="112"/>
      <x:c r="DH30" s="112"/>
      <x:c r="DI30" s="112"/>
      <x:c r="DJ30" s="112"/>
      <x:c r="DK30" s="112"/>
      <x:c r="DL30" s="112"/>
      <x:c r="DM30" s="112"/>
      <x:c r="DN30" s="112"/>
      <x:c r="DO30" s="112"/>
      <x:c r="DP30" s="112"/>
      <x:c r="DQ30" s="114"/>
      <x:c r="DR30" s="112">
        <x:v>1</x:v>
      </x:c>
      <x:c r="DS30" s="116">
        <x:v>0</x:v>
      </x:c>
      <x:c r="DT30" s="120"/>
      <x:c r="DU30" s="116">
        <x:v>0.02</x:v>
      </x:c>
      <x:c r="DV30" s="116">
        <x:v>0.25</x:v>
      </x:c>
      <x:c r="DW30" s="118" t="str">
        <x:f>IF($A30="","",MAX('Setari model'!$B$71,MIN('Setari model'!$B$72,1+0.08*(IFERROR(AVERAGE($CM30:$CN30)/'Setari model'!$B$66,1)-1)+0.08*(IFERROR(AVERAGE($CO30:$CP30)/'Setari model'!$B$67,1)-1)+0.06*(IFERROR(AVERAGE($CQ30:$CR30)/'Setari model'!$B$68,1)-1)+0.04*(IFERROR(AVERAGE($CS30:$CT30)/'Setari model'!$B$69,1)-1)+0.04*(IFERROR(AVERAGE($CU30:$CV30)/'Setari model'!$B$70,1)-1)-'Setari model'!$B$73*IFERROR(AVERAGE($CW30:$CX30),0))))</x:f>
      </x:c>
      <x:c r="DX30" s="118" t="str">
        <x:f>IF($A30="","",1+'Setari model'!$B$62*MAX(IF(OR($CK30=1,$CL30=1),1,0),IF(AND($CJ30&lt;&gt;"",$CJ30&lt;=1),1,0))+'Setari model'!$B$63*IF(AND($CJ30&gt;1,$CJ30&lt;=3),1,0))</x:f>
      </x:c>
      <x:c r="DY30" s="118" t="str">
        <x:f>IF($A30="","",1+'Setari model'!$B$74*(IF($CY30="",0,IF($CY30=0,1,0))+IF($CZ30="",0,IF($CZ30=0,1,0)))+'Setari model'!$B$75*(IF($DA30="",0,IF($DA30=0,1,0))+IF($DB30="",0,IF($DB30=0,1,0))))</x:f>
      </x:c>
      <x:c r="DZ30" s="117" t="str">
        <x:f>IF($A30="","",MIN(0.6,MAX(0.002,(((1-'Setari model'!$B$34*MIN(1,($I30+$P30)/20))*$BT30+'Setari model'!$B$34*MIN(1,($I30+$P30)/20)*IF(COUNT($N30,$U30)=2,SQRT(MAX(0,1-$N30)*MAX(0,1-$U30)),$BT30))*(1-'Setari model'!$B$65*MIN(1,IF($AN30="",0,$AN30/'Setari model'!$B$64)))+'Setari model'!$B$65*MIN(1,IF($AN30="",0,$AN30/'Setari model'!$B$64))*IF($AM30="",$BT30,$AM30))*$DX30*$DY30/$DW30)))</x:f>
      </x:c>
      <x:c r="EA30" s="117" t="str">
        <x:f>IF($A30="","",MIN(1-$DZ30,IF(OR(MIN($I30,$P30)&lt;'Setari model'!$B$58,$CK30=1,$CL30=1,AND($CJ30&lt;&gt;"",$CJ30&lt;=1)),'Setari model'!$B$59,IF(AND($AU30=1,$AR30&gt;1,COUNT($CY30:$DB30)=4),'Setari model'!$B$61,'Setari model'!$B$60))))</x:f>
      </x:c>
      <x:c r="EB30" s="115" t="str">
        <x:f t="shared" si="13">IF($A30="","",1/$EA30)</x:f>
      </x:c>
      <x:c r="EC30" s="117" t="str">
        <x:f t="shared" si="14">IF($A30="","",IF($AR30&gt;1,IF($AS30&gt;1,(1/$AR30)/((1/$AR30)+(1/$AS30)),1/$AR30),""))</x:f>
      </x:c>
      <x:c r="ED30" s="117" t="str">
        <x:f t="shared" si="15">IF($A30="","",IF($EC30="","",$EA30-$EC30))</x:f>
      </x:c>
      <x:c r="EE30" s="117" t="str">
        <x:f t="shared" si="16">""</x:f>
      </x:c>
      <x:c r="EF30" s="119" t="str">
        <x:f>IF($A30="","",MAX(0,MIN(100,$CE30-200*MAX(0,$EG30-'Setari model'!$B$77)-IF($AU30&lt;&gt;1,10,0)-IF(COUNT($CY30:$DB30)&lt;4,4,0))))</x:f>
      </x:c>
      <x:c r="EG30" s="117" t="str">
        <x:f>IF($A30="","",'Setari model'!$B$77+IF(MIN($I30,$P30)&lt;'Setari model'!$B$58,0.03,0)+IF(OR($CK30=1,$CL30=1,AND($CJ30&lt;&gt;"",$CJ30&lt;=1)),0.03,0)+IF($AG30=0,0.02,0)+0.03*(1-MIN(1,COUNT($CM30:$CV30)/10))+0.03*(1-MIN(1,IF($AN30="",0,$AN30/'Setari model'!$B$64)))+IF($AR30&lt;=1,0.02,0))</x:f>
      </x:c>
      <x:c r="EH30" s="113" t="str">
        <x:f>IF($A30="","",IF(OR(MIN($I30,$P30)&lt;'Setari model'!$B$58,$CK30=1,$CL30=1,AND($CJ30&lt;&gt;"",$CJ30&lt;=1)),"92% – early/regim",IF(AND($AU30=1,$AR30&gt;1,COUNT($CY30:$DB30)=4),"94% – confirmat","93% – standard")))</x:f>
      </x:c>
      <x:c r="EI30" s="113" t="str">
        <x:f t="shared" si="17">IF($A30="","",IF(AND($EA30&gt;0.9,$AU30&lt;&gt;1),"WAIT XI – HIGH P",IF(AND($EA30&gt;0.9,COUNT($CY30:$DB30)&lt;4),"WAIT DATE CHEIE – HIGH P",IF($EP30&lt;&gt;"DA","NU – PORTOFOLIU","DA"))))</x:f>
      </x:c>
      <x:c r="EJ30" s="117" t="str">
        <x:f t="shared" si="18">IF($A30="","",IF($DE30&lt;&gt;"Live 20-30","",IF(SUM($DG30:$DH30)&gt;0,1,IF($EU30="","",1-MIN(0.95,MAX(0.001,EXP(-$EU30)*$DX30*$DY30/$DW30))))))</x:f>
      </x:c>
      <x:c r="EK30" s="117" t="str">
        <x:f t="shared" si="19">""</x:f>
      </x:c>
      <x:c r="EL30" s="113" t="str">
        <x:f>IF($A30="","",IF($DE30="Live 20-30",IF(SUM($DG30:$DH30)&gt;0,"EVENIMENT ÎNDEPLINIT",IF(OR($DF30="",COUNT($DI30:$DN30)&lt;4),"LIVE – WATCH",IF($EJ30&gt;=0.75,"LIVE – FEZABIL TEHNIC","LIVE – NO BET"))),IF($EI30&lt;&gt;"DA","WATCH / NO BET",IF(AND($EA30&gt;=INDEX('Setari model'!$B$35:$B$40,1),$EF30&gt;=100*'Setari model'!$B$76),"PARIU RECOMANDAT",IF(AND($EA30&gt;=INDEX('Setari model'!$B$35:$B$40,5),$EF30&gt;=100*'Setari model'!$B$40),"WATCH – APROAPE DE PRAG","PARIU EVITAT")))))</x:f>
      </x:c>
      <x:c r="EM30" s="113" t="str">
        <x:f t="shared" si="20">IF($A30="","",IF($DE30="Live 20-30",IF(SUM($DG30:$DH30)&gt;0,"Gol deja marcat.",IF($DF30="","Minut live lipsă.",IF(COUNT($DI30:$DN30)&lt;4,"Lipsesc xG/SOT/big chances live.",IF($EJ30&lt;0.75,"P live sub prag.","Semnal live tehnic complet; EV ignorat.")))),IF($EI30&lt;&gt;"DA",$EI30,IF($EF30&lt;75,"Confidence sub 75.",IF($EA30&lt;0.92,"P sub 92%.","G0/Zero-Mass + confidence trecute; EV ignorat.")))))</x:f>
      </x:c>
      <x:c r="EN30" s="117" t="str">
        <x:f>IF($A30="","",IF(OR($EL30="PARIU RECOMANDAT",$EL30="LIVE – FEZABIL"),MIN(IF($DU30&gt;0,$DU30,'Setari model'!$B$81)/MAX(1,$DR30),IF($DV30&gt;0,$DV30,'Setari model'!$B$80)*MAX(0,((IF($DE30="Live 20-30",$EJ30,$EA30)*IF($DE30="Live 20-30",$DQ30,$AR30)-1)/(IF($DE30="Live 20-30",$DQ30,$AR30)-1)))),0))</x:f>
      </x:c>
      <x:c r="EO30" s="121" t="str">
        <x:f t="shared" si="21">IF($A30="","",IF(AND($EN30&gt;0,$DT30&gt;0),$EN30*$DT30,""))</x:f>
      </x:c>
      <x:c r="EP30" s="113" t="str">
        <x:f>IF($A30="","",IF(OR($DR30&lt;1,$DR30&gt;'Setari model'!$B$78),"NU – 1–5 selecții",IF($DS30&gt;'Setari model'!$B$79,"NU – corelație", "DA")))</x:f>
      </x:c>
      <x:c r="EQ30" s="117" t="str">
        <x:f t="shared" si="22">IF($A30="","",IF(AND($DC30&gt;1,$DD30&gt;1),$DC30/$DD30-1,""))</x:f>
      </x:c>
      <x:c r="ER30" s="113" t="str">
        <x:f t="shared" si="23">IF($A30="","","P v2="&amp;TEXT($EA30,"0.0%")&amp;" ±"&amp;TEXT($EG30,"0.0%")&amp;"; P0 ZIP="&amp;TEXT($DZ30,"0.0%")&amp;"; Confidence="&amp;TEXT($EF30,"0")&amp;"/100; piață reală="&amp;IF($EC30="","NU","DA")&amp;"; EV="&amp;IF($EE30="","n/a",TEXT($EE30,"0.0%"))&amp;"; gate="&amp;$EI30&amp;"; verdict="&amp;$EL30&amp;". "&amp;$EM30)</x:f>
      </x:c>
      <x:c r="ES30" s="119" t="str">
        <x:f>IF($A30="","",'Setari model'!$B$82)</x:f>
      </x:c>
      <x:c r="ET30" s="118" t="str">
        <x:f>IF($A30="","",'Setari model'!$B$83)</x:f>
      </x:c>
      <x:c r="EU30" s="115" t="str">
        <x:f t="shared" si="24">IF(OR($A30="",$DE30&lt;&gt;"Live 20-30",$DF30="",$DF30&lt;$ES30,$DF30&gt;=90),"",MAX(0.05,MIN($BS30*$ET30,$BS30*(90-$DF30)/90+0.35*($DI30+$DJ30)+0.06*($DK30+$DL30)+0.15*($DM30+$DN30)+0.1*(MAX($DO30,$DP30)-MIN($DO30,$DP30)))))</x:f>
      </x:c>
      <x:c r="EV30" s="132"/>
      <x:c r="EW30" s="132"/>
      <x:c r="EX30" s="132"/>
      <x:c r="EY30" s="132"/>
      <x:c r="EZ30" s="132"/>
      <x:c r="FA30" s="132"/>
      <x:c r="FB30" s="247"/>
      <x:c r="FC30" s="134" t="str">
        <x:f t="shared" si="25">IF($A30="","",IF(OR($J30="",$L30="",$L30&lt;=0),"",MAX(0.5,MIN(1.5,$J30/$L30))))</x:f>
      </x:c>
      <x:c r="FD30" s="134" t="str">
        <x:f t="shared" si="26">IF($A30="","",IF(OR($Q30="",$S30="",$S30&lt;=0),"",MAX(0.5,MIN(1.5,$Q30/$S30))))</x:f>
      </x:c>
      <x:c r="FE30" s="134" t="str">
        <x:f>IF($A30="","",IF(COUNT($EV30:$EW30)&lt;2,"",SQRT($EV30*$EW30)/'Setari model'!$B$87))</x:f>
      </x:c>
      <x:c r="FF30" s="134" t="str">
        <x:f>IF($A30="","",IF(COUNT($O30,$V30,$EX30,$EY30)&lt;4,"",AVERAGE(SQRT($O30*$EY30),SQRT($V30*$EX30))/'Setari model'!$B$88))</x:f>
      </x:c>
      <x:c r="FG30" s="134" t="str">
        <x:f t="shared" si="27">IF($A30="","",IF(COUNT($FC30:$FD30)&lt;2,"",MAX(0,1-AVERAGE($FC30:$FD30))))</x:f>
      </x:c>
      <x:c r="FH30" s="134" t="str">
        <x:f>IF($A30="","",IF(COUNT($EZ30:$FA30)&lt;2,"",'Setari model'!$B$94*AVERAGE($EZ30:$FA30)/'Setari model'!$B$89))</x:f>
      </x:c>
      <x:c r="FI30" s="134" t="str">
        <x:f>IF($A30="","",IF(COUNT($FE30:$FH30)&lt;4,"",MAX('Setari model'!$B$97,MIN('Setari model'!$B$98,1+'Setari model'!$B$90*($FE30-1)+'Setari model'!$B$91*($FF30-1)+'Setari model'!$B$92*$FG30+'Setari model'!$B$93*($FH30-1)))))</x:f>
      </x:c>
      <x:c r="FJ30" s="133" t="str">
        <x:f>IF($A30="","",IF($FI30="","",MIN('Setari model'!$B$101,MAX(0.002,$DZ30*$FI30))))</x:f>
      </x:c>
      <x:c r="FK30" s="131" t="str">
        <x:f t="shared" si="28">IF($A30="","",IF(AND(COUNT($EV30:$FA30)=6,COUNT($O30,$V30,$FC30,$FD30)=4),"DA","NU"))</x:f>
      </x:c>
      <x:c r="FL30" s="131" t="str">
        <x:f>IF($A30="","",IF($FK30&lt;&gt;"DA","NEDETERMINAT",IF($FI30&lt;='Setari model'!$B$99,"SCĂZUT",IF($FI30&lt;='Setari model'!$B$100,"MEDIU","RIDICAT"))))</x:f>
      </x:c>
      <x:c r="FM30" s="131" t="str">
        <x:f>IF($A30="","",IF(AND($AR30&gt;1,$EC30&gt;='Setari model'!$B$106),"DA","NU"))</x:f>
      </x:c>
      <x:c r="FN30" s="131" t="str">
        <x:f t="shared" si="29">IF($A30="","",IF(AND($AU30=1,COUNT($CY30:$DB30)=4),"DA","NU"))</x:f>
      </x:c>
      <x:c r="FO30" s="133" t="str">
        <x:f>IF($A30="","",IF(OR($FK30&lt;&gt;"DA",$FL30="RIDICAT"),'Setari model'!$B$102,IF($FL30="MEDIU",'Setari model'!$B$103,IF(AND($FM30="DA",$FN30="DA"),'Setari model'!$B$105,'Setari model'!$B$104))))</x:f>
      </x:c>
      <x:c r="FP30" s="133" t="str">
        <x:f t="shared" si="30">IF($A30="","",IF($FJ30="","",MIN(1-$FJ30,$FO30)))</x:f>
      </x:c>
      <x:c r="FQ30" s="135" t="str">
        <x:f t="shared" si="31">IF($A30="","",IF($FP30="","",IF($FP30&gt;0,1/$FP30,"")))</x:f>
      </x:c>
      <x:c r="FR30" s="133" t="str">
        <x:f t="shared" si="32">IF($A30="","",IF($EC30="","",$FP30-$EC30))</x:f>
      </x:c>
      <x:c r="FS30" s="133" t="str">
        <x:f t="shared" si="33">IF($A30="","",IF($AR30&gt;1,$FP30*$AR30-1,""))</x:f>
      </x:c>
      <x:c r="FT30" s="136" t="str">
        <x:f>IF($A30="","",MAX(0,MIN(100,$EF30-IF($FK30&lt;&gt;"DA",'Setari model'!$B$107,0)-IF($FL30="MEDIU",'Setari model'!$B$108,0)-IF($FL30="RIDICAT",'Setari model'!$B$109,0))))</x:f>
      </x:c>
      <x:c r="FU30" s="131" t="str">
        <x:f t="shared" si="34">IF($A30="","",IF($AR30&lt;=1,"NU – LIPSEȘTE COTA REALĂ",IF($FK30&lt;&gt;"DA","NU – ZERO-RISK INCOMPLET",IF($FL30&lt;&gt;"SCĂZUT","NU – RISC 0-0 "&amp;$FL30,IF($FN30&lt;&gt;"DA","NU – LINEUP NECONFIRMAT",IF($FM30&lt;&gt;"DA","NU – PIAȚĂ NECONFIRMATĂ",IF($EP30&lt;&gt;"DA","NU – PORTOFOLIU","DA")))))))</x:f>
      </x:c>
      <x:c r="FV30" s="131" t="str">
        <x:f>IF($A30="","",IF($FU30&lt;&gt;"DA","WATCH / NO BET",IF(AND($FP30&gt;='Setari model'!$B$35,$FT30&gt;=100*'Setari model'!$B$76,$FS30&gt;0),"PARIU RECOMANDAT",IF(AND($FP30&gt;='Setari model'!$B$39,$FT30&gt;=100*'Setari model'!$B$40,$FS30&gt;0),"WATCH – APROAPE DE PRAG","PARIU EVITAT"))))</x:f>
      </x:c>
      <x:c r="FW30" s="131" t="str">
        <x:f t="shared" si="35">IF($A30="","",IF($FU30&lt;&gt;"DA",$FU30,IF($FT30&lt;75,"Confidence v3 sub 75.",IF($FP30&lt;0.92,"P v3 sub 92%.",IF($FS30&lt;=0,"EV v3 nepozitiv.","P0 v3, lineup și piață confirmate.")))))</x:f>
      </x:c>
      <x:c r="FX30" s="131" t="str">
        <x:f t="shared" si="36">IF($A30="","","P v3="&amp;TEXT($FP30,"0.0%")&amp;"; P0 v3="&amp;TEXT($FJ30,"0.0%")&amp;"; factor zero="&amp;IF($FI30="","n/a",TEXT($FI30,"0.00x"))&amp;" ("&amp;$FL30&amp;"); cap="&amp;TEXT($FO30,"0.0%")&amp;"; Confidence="&amp;TEXT($FT30,"0")&amp;"/100; lineup="&amp;$FN30&amp;"; piață="&amp;$FM30&amp;"; EV="&amp;IF($FS30="","n/a",TEXT($FS30,"0.0%"))&amp;"; gate="&amp;$FU30&amp;"; verdict="&amp;$FV30&amp;". "&amp;$FW30)</x:f>
      </x:c>
      <x:c r="FY30" s="159"/>
      <x:c r="FZ30" s="159"/>
      <x:c r="GA30" s="157"/>
      <x:c r="GB30" s="157"/>
      <x:c r="GC30" s="161" t="str">
        <x:f t="shared" si="37">IF($A30="","",IF(OR($X30="",$Z30="",$Z30&lt;=0),"",MAX(0.5,MIN(1.5,$X30/$Z30))))</x:f>
      </x:c>
      <x:c r="GD30" s="161" t="str">
        <x:f t="shared" si="38">IF($A30="","",IF(OR($AC30="",$AE30="",$AE30&lt;=0),"",MAX(0.5,MIN(1.5,$AC30/$AE30))))</x:f>
      </x:c>
      <x:c r="GE30" s="162" t="str">
        <x:f t="shared" si="39">IF($A30="","",IF(COUNT($Z30,$AE30)&lt;2,"",AVERAGE($Z30,$AE30)))</x:f>
      </x:c>
      <x:c r="GF30" s="158" t="str">
        <x:f>IF($A30="","",IF(COUNT($FY30:$FZ30)&lt;2,"NEDETERMINAT",IF(AND($FY30&gt;='Setari model'!$B$113,$FZ30&gt;='Setari model'!$B$113),"DA","NU")))</x:f>
      </x:c>
      <x:c r="GG30" s="158" t="str">
        <x:f>IF($A30="","",IF(COUNT($FY30:$FZ30,$EX30:$EY30)&lt;4,"NEDETERMINAT",IF(OR(AND($FY30&gt;='Setari model'!$B$113,$EY30&gt;='Setari model'!$B$114),AND($FZ30&gt;='Setari model'!$B$113,$EX30&gt;='Setari model'!$B$114)),"DA","NU")))</x:f>
      </x:c>
      <x:c r="GH30" s="158" t="str">
        <x:f>IF($A30="","",IF(COUNT($BJ30:$BN30,$GC30:$GE30)&lt;8,"NEDETERMINAT",IF(AND((($BJ30*INDEX('Setari model'!$B$5:$B$11,MATCH($E30,'Setari model'!$A$5:$A$11,0))+$BK30*INDEX('Setari model'!$C$5:$C$11,MATCH($E30,'Setari model'!$A$5:$A$11,0))+$BL30*INDEX('Setari model'!$D$5:$D$11,MATCH($E30,'Setari model'!$A$5:$A$11,0))+$BM30*INDEX('Setari model'!$E$5:$E$11,MATCH($E30,'Setari model'!$A$5:$A$11,0))+$BN30*INDEX('Setari model'!$F$5:$F$11,MATCH($E30,'Setari model'!$A$5:$A$11,0)))/(INDEX('Setari model'!$B$5:$B$11,MATCH($E30,'Setari model'!$A$5:$A$11,0))+INDEX('Setari model'!$C$5:$C$11,MATCH($E30,'Setari model'!$A$5:$A$11,0))+INDEX('Setari model'!$D$5:$D$11,MATCH($E30,'Setari model'!$A$5:$A$11,0))+INDEX('Setari model'!$E$5:$E$11,MATCH($E30,'Setari model'!$A$5:$A$11,0))+INDEX('Setari model'!$F$5:$F$11,MATCH($E30,'Setari model'!$A$5:$A$11,0))))*$BR30&gt;='Setari model'!$B$115,(($BJ30*INDEX('Setari model'!$B$5:$B$11,MATCH($E30,'Setari model'!$A$5:$A$11,0))+$BK30*INDEX('Setari model'!$C$5:$C$11,MATCH($E30,'Setari model'!$A$5:$A$11,0))+$BL30*INDEX('Setari model'!$D$5:$D$11,MATCH($E30,'Setari model'!$A$5:$A$11,0))+$BM30*INDEX('Setari model'!$E$5:$E$11,MATCH($E30,'Setari model'!$A$5:$A$11,0))+$BN30*INDEX('Setari model'!$F$5:$F$11,MATCH($E30,'Setari model'!$A$5:$A$11,0)))/(INDEX('Setari model'!$B$5:$B$11,MATCH($E30,'Setari model'!$A$5:$A$11,0))+INDEX('Setari model'!$C$5:$C$11,MATCH($E30,'Setari model'!$A$5:$A$11,0))+INDEX('Setari model'!$D$5:$D$11,MATCH($E30,'Setari model'!$A$5:$A$11,0))+INDEX('Setari model'!$E$5:$E$11,MATCH($E30,'Setari model'!$A$5:$A$11,0))+INDEX('Setari model'!$F$5:$F$11,MATCH($E30,'Setari model'!$A$5:$A$11,0))))*$BR30&lt;='Setari model'!$B$116,AVERAGE($GC30:$GD30)&lt;='Setari model'!$B$117,$GE30&gt;='Setari model'!$B$118),"DA","NU")))</x:f>
      </x:c>
      <x:c r="GI30" s="158" t="str">
        <x:f>IF($A30="","",IF(COUNT($W30,$AB30,$GA30:$GB30)&lt;4,"NEDETERMINAT",IF(AND($W30&gt;='Setari model'!$B$120,$AB30&gt;='Setari model'!$B$120,OR(IFERROR($GA30/$W30,0)&gt;='Setari model'!$B$119,IFERROR($GB30/$AB30,0)&gt;='Setari model'!$B$119)),"DA","NU")))</x:f>
      </x:c>
      <x:c r="GJ30" s="160" t="str">
        <x:f>IF($A30="","",IF(COUNT($FY30:$GB30)&lt;4,"",IF($GH30&lt;&gt;"DA",0,'Setari model'!$B$121*IF($GF30="DA",1,0)+'Setari model'!$B$122*IF($GG30="DA",1,0)+'Setari model'!$B$123+'Setari model'!$B$124*IF($GI30="DA",1,0))))</x:f>
      </x:c>
      <x:c r="GK30" s="161" t="str">
        <x:f>IF($A30="","",IF(COUNT($GJ30)=0,"",1+'Setari model'!$B$125*$GJ30))</x:f>
      </x:c>
      <x:c r="GL30" s="160" t="str">
        <x:f>IF($A30="","",IF($GM30&lt;&gt;"DA",$FJ30,MIN('Setari model'!$B$101,MAX(0.002,$FJ30*$GK30))))</x:f>
      </x:c>
      <x:c r="GM30" s="158" t="str">
        <x:f>IF($A30="","",IF(AND($FK30="DA",COUNT($FY30:$GB30)=4,COUNT($I30,$P30,$W30,$AB30,$Z30,$AE30,$EX30,$EY30,$GC30,$GD30)=10,COUNT($BJ30:$BN30)=5),"DA","NU"))</x:f>
      </x:c>
      <x:c r="GN30" s="158" t="str">
        <x:f>IF($A30="","",IF($GM30&lt;&gt;"DA","NEDETERMINAT",IF($FI30*$GK30&lt;='Setari model'!$B$99,"SCĂZUT",IF($FI30*$GK30&lt;='Setari model'!$B$100,"MEDIU","RIDICAT"))))</x:f>
      </x:c>
      <x:c r="GO30" s="160" t="str">
        <x:f>IF($A30="","",IF(OR($GM30&lt;&gt;"DA",$GN30="RIDICAT"),'Setari model'!$B$102,IF($GN30="MEDIU",'Setari model'!$B$103,IF(AND($FM30="DA",$FN30="DA"),'Setari model'!$B$105,'Setari model'!$B$104))))</x:f>
      </x:c>
      <x:c r="GP30" s="160" t="str">
        <x:f t="shared" si="40">IF($A30="","",IF($GL30="","",MIN(1-$GL30,$GO30)))</x:f>
      </x:c>
      <x:c r="GQ30" s="162" t="str">
        <x:f t="shared" si="41">IF($A30="","",IF($GP30="","",IF($GP30&gt;0,1/$GP30,"")))</x:f>
      </x:c>
      <x:c r="GR30" s="160" t="str">
        <x:f t="shared" si="42">IF($A30="","",IF($EC30="","",$GP30-$EC30))</x:f>
      </x:c>
      <x:c r="GS30" s="160" t="str">
        <x:f t="shared" si="43">IF($A30="","",IF($AR30&gt;1,$GP30*$AR30-1,""))</x:f>
      </x:c>
      <x:c r="GT30" s="163" t="str">
        <x:f>IF($A30="","",MAX(0,MIN(100,$FT30-IF(AND($GM30&lt;&gt;"DA",$FK30="DA"),'Setari model'!$B$107,0)-'Setari model'!$B$126*IF($GJ30="",0,$GJ30))))</x:f>
      </x:c>
      <x:c r="GU30" s="158" t="str">
        <x:f t="shared" si="44">IF($A30="","",IF($AR30&lt;=1,"NU – LIPSEȘTE COTA REALĂ",IF($GM30&lt;&gt;"DA","NU – DATE LOW-CONVERSION INCOMPLETE",IF($GN30&lt;&gt;"SCĂZUT","NU – RISC 0-0 "&amp;$GN30,IF($FN30&lt;&gt;"DA","NU – LINEUP NECONFIRMAT",IF($FM30&lt;&gt;"DA","NU – PIAȚĂ NECONFIRMATĂ",IF($EP30&lt;&gt;"DA","NU – PORTOFOLIU","DA")))))))</x:f>
      </x:c>
      <x:c r="GV30" s="158" t="str">
        <x:f>IF($A30="","",IF($GU30&lt;&gt;"DA","WATCH / NO BET",IF(AND($GP30&gt;='Setari model'!$B$35,$GT30&gt;=100*'Setari model'!$B$76,$GS30&gt;0),"PARIU RECOMANDAT",IF(AND($GP30&gt;='Setari model'!$B$39,$GT30&gt;=100*'Setari model'!$B$40,$GS30&gt;0),"WATCH – APROAPE DE PRAG","PARIU EVITAT"))))</x:f>
      </x:c>
      <x:c r="GW30" s="158" t="str">
        <x:f t="shared" si="45">IF($A30="","",IF($GU30&lt;&gt;"DA",$GU30,IF($GT30&lt;75,"Confidence v5 sub 75.",IF($GP30&lt;0.92,"P v5 sub 92%.",IF($GS30&lt;=0,"EV v5 nepozitiv.",IF($GJ30&gt;0,"Low-conversion absorbit în P0; toate porțile rămân trecute.","Toate porțile v5 sunt trecute."))))))</x:f>
      </x:c>
      <x:c r="GX30" s="158" t="str">
        <x:f t="shared" si="46">IF($A30="","","P v5="&amp;TEXT($GP30,"0.0%")&amp;"; P0 v5="&amp;TEXT($GL30,"0.0%")&amp;"; low-conv="&amp;IF(COUNT($GJ30)=0,"n/a",TEXT($GJ30,"0%"))&amp;"; mult.P0="&amp;IF(COUNT($GK30)=0,"n/a",TEXT($GK30,"0.00"))&amp;"; clasă="&amp;$GN30&amp;"; cap="&amp;TEXT($GO30,"0.0%")&amp;"; Confidence="&amp;TEXT($GT30,"0")&amp;"/100; lineup="&amp;$FN30&amp;"; piață="&amp;$FM30&amp;"; EV="&amp;IF($GS30="","n/a",TEXT($GS30,"0.0%"))&amp;"; gate="&amp;$GU30&amp;"; verdict="&amp;$GV30&amp;". "&amp;$GW30)</x:f>
      </x:c>
      <x:c r="GY30" s="174" t="str">
        <x:f>IF($A30="","",IF($GM30&lt;&gt;"DA","SOURCING INCOMPLETE – REVIEW REQUIRED",IF(MIN($I30,$P30,$W30,$AB30)&lt;'Setari model'!$B$58,"SMALL SAMPLE + PRIOR / SHRINKAGE","VERIFIED / PRIOR / SHRINKAGE")))</x:f>
      </x:c>
      <x:c r="GZ30" s="175" t="str">
        <x:f t="shared" si="47">IF($A30="","",MAX(0,MIN(100,100*(1-AVERAGE(IF($GM30="DA",1,0),MIN(1,$AT30/5))))))</x:f>
      </x:c>
      <x:c r="HA30" s="175" t="str">
        <x:f>IF($A30="","",IF($GM30&lt;&gt;"DA","",MAX(0,MIN(100,100*(($FI30*$GK30)-'Setari model'!$B$97)/('Setari model'!$B$98-'Setari model'!$B$97)))))</x:f>
      </x:c>
      <x:c r="HB30" s="175" t="str">
        <x:f>IF($A30="","",MAX(0,MIN(100,100*(ABS($BR30-1)/MAX(1-'Setari model'!$B$53,'Setari model'!$B$54-1)+MIN(1,$BG30/2))/2)))</x:f>
      </x:c>
      <x:c r="HC30" s="175" t="str">
        <x:f t="shared" si="48">IF($A30="","",MAX(0,MIN(100,100*(1-AVERAGE($CC30,MAX(0,1-(MAX($BJ30:$BN30)-MIN($BJ30:$BN30))/(AVERAGE($BJ30:$BN30)*'Setari model'!$B$45)))))))</x:f>
      </x:c>
      <x:c r="HD30" s="175" t="str">
        <x:f t="shared" si="49">IF($A30="","",MAX(0,MIN(100,100*MAX(IF($GJ30="",0,$GJ30),MIN(1,$BG30/2)))))</x:f>
      </x:c>
      <x:c r="HE30" s="175" t="str">
        <x:f>IF($A30="","",IF(COUNT($GZ30:$HD30)&lt;5,"",$GZ30*Risk_Classification!$E$28+$HA30*Risk_Classification!$E$29+$HB30*Risk_Classification!$E$30+$HC30*Risk_Classification!$E$31+$HD30*Risk_Classification!$E$32))</x:f>
      </x:c>
      <x:c r="HF30" s="176" t="str">
        <x:f t="shared" si="50">IF($A30="","",IF($HE30="","",IF($HE30&lt;=20,1,IF($HE30&lt;=40,2,IF($HE30&lt;=60,3,IF($HE30&lt;=80,4,5))))))</x:f>
      </x:c>
      <x:c r="HG30" s="176" t="str">
        <x:f t="shared" si="51">IF($A30="","",IF($GM30="DA","PASS","FAIL – DATE CRITICE ZERO-MASS INCOMPLETE"))</x:f>
      </x:c>
      <x:c r="HH30" s="176" t="str">
        <x:f t="shared" si="52">IF($A30="","",IF($HG30&lt;&gt;"PASS",5,$HF30))</x:f>
      </x:c>
      <x:c r="HI30" s="174" t="str">
        <x:f t="shared" si="53">IF($A30="","",IF($HH30="","N/A",IF($HH30=1,"DEFENSIV",IF($HH30=2,"PRUDENT",IF($HH30=3,"MODERAT",IF($HH30=4,"RIDICAT","WATCH / NO BET"))))))</x:f>
      </x:c>
      <x:c r="HJ30" s="177" t="str">
        <x:f t="shared" si="54">IF($A30="","","Data="&amp;$GY30&amp;"; DQ="&amp;TEXT($GZ30,"0.0")&amp;"; ZM="&amp;IF($HA30="","n/a",TEXT($HA30,"0.0"))&amp;"; Context="&amp;TEXT($HB30,"0.0")&amp;"; Uncertainty="&amp;TEXT($HC30,"0.0")&amp;"; Compound="&amp;TEXT($HD30,"0.0")&amp;"; Risk Score="&amp;IF($HE30="","n/a",TEXT($HE30,"0.0"))&amp;"; Base="&amp;IF($HF30="","n/a",$HF30)&amp;"; G0="&amp;$HG30&amp;"; Final="&amp;$HH30&amp;". Cota, EV si lineup sunt informative si nu intra in recomandare.")</x:f>
      </x:c>
      <x:c r="HK30" s="174" t="str">
        <x:f t="shared" si="55">IF($A30="","",$HI30)</x:f>
      </x:c>
    </x:row>
    <x:row r="31" ht="24" customHeight="1">
      <x:c r="A31" s="58"/>
      <x:c r="B31" s="24"/>
      <x:c r="C31" s="59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18"/>
      <x:c r="O31" s="18"/>
      <x:c r="P31" s="24"/>
      <x:c r="Q31" s="24"/>
      <x:c r="R31" s="24"/>
      <x:c r="S31" s="24"/>
      <x:c r="T31" s="24"/>
      <x:c r="U31" s="18"/>
      <x:c r="V31" s="18"/>
      <x:c r="W31" s="24"/>
      <x:c r="X31" s="24"/>
      <x:c r="Y31" s="24"/>
      <x:c r="Z31" s="24"/>
      <x:c r="AA31" s="24"/>
      <x:c r="AB31" s="24"/>
      <x:c r="AC31" s="24"/>
      <x:c r="AD31" s="24"/>
      <x:c r="AE31" s="24"/>
      <x:c r="AF31" s="24"/>
      <x:c r="AG31" s="24"/>
      <x:c r="AH31" s="24"/>
      <x:c r="AI31" s="18"/>
      <x:c r="AJ31" s="24"/>
      <x:c r="AK31" s="24"/>
      <x:c r="AL31" s="24"/>
      <x:c r="AM31" s="18"/>
      <x:c r="AN31" s="24"/>
      <x:c r="AO31" s="60"/>
      <x:c r="AP31" s="60"/>
      <x:c r="AQ31" s="60"/>
      <x:c r="AR31" s="60"/>
      <x:c r="AS31" s="60"/>
      <x:c r="AT31" s="24"/>
      <x:c r="AU31" s="24"/>
      <x:c r="AV31" s="24"/>
      <x:c r="AW31" s="24"/>
      <x:c r="AX31" s="24"/>
      <x:c r="AY31" s="24"/>
      <x:c r="AZ31" s="24"/>
      <x:c r="BA31" s="24"/>
      <x:c r="BB31" s="24"/>
      <x:c r="BC31" s="24"/>
      <x:c r="BD31" s="24"/>
      <x:c r="BE31" s="24"/>
      <x:c r="BF31" s="24"/>
      <x:c r="BG31" s="24"/>
      <x:c r="BH31" s="61"/>
      <x:c r="BI31" s="61"/>
      <x:c r="BJ31" s="62" t="str">
        <x:f>IF($A31="","",SQRT((($I31*IF($J31="",$AJ31,$J31)+'Setari model'!$B$30*$AJ31)/($I31+'Setari model'!$B$30))*(($P31*IF($R31="",$AJ31,$R31)+'Setari model'!$B$30*$AJ31)/($P31+'Setari model'!$B$30)))+SQRT((($P31*IF($Q31="",$AK31,$Q31)+'Setari model'!$B$30*$AK31)/($P31+'Setari model'!$B$30))*(($I31*IF($K31="",$AK31,$K31)+'Setari model'!$B$30*$AK31)/($I31+'Setari model'!$B$30))))</x:f>
      </x:c>
      <x:c r="BK31" s="62" t="str">
        <x:f>IF($A31="","",SQRT((($I31*IF($L31="",IF($J31="",$AJ31,$J31),$L31)+'Setari model'!$B$30*$AJ31)/($I31+'Setari model'!$B$30))*(($P31*IF($T31="",IF($R31="",$AJ31,$R31),$T31)+'Setari model'!$B$30*$AJ31)/($P31+'Setari model'!$B$30)))+SQRT((($P31*IF($S31="",IF($Q31="",$AK31,$Q31),$S31)+'Setari model'!$B$30*$AK31)/($P31+'Setari model'!$B$30))*(($I31*IF($M31="",IF($K31="",$AK31,$K31),$M31)+'Setari model'!$B$30*$AK31)/($I31+'Setari model'!$B$30))))</x:f>
      </x:c>
      <x:c r="BL31" s="62" t="str">
        <x:f>IF($A31="","",SQRT((($W31*IF($X31="",$AL31/2,$X31)+'Setari model'!$B$31*$AL31/2)/($W31+'Setari model'!$B$31))*(($AB31*IF($AD31="",$AL31/2,$AD31)+'Setari model'!$B$31*$AL31/2)/($AB31+'Setari model'!$B$31)))+SQRT((($AB31*IF($AC31="",$AL31/2,$AC31)+'Setari model'!$B$31*$AL31/2)/($AB31+'Setari model'!$B$31))*(($W31*IF($Y31="",$AL31/2,$Y31)+'Setari model'!$B$31*$AL31/2)/($W31+'Setari model'!$B$31))))</x:f>
      </x:c>
      <x:c r="BM31" s="62" t="str">
        <x:f>IF($A31="","",SQRT((($W31*IF($Z31="",IF($X31="",$AL31/2,$X31),$Z31)+'Setari model'!$B$31*$AL31/2)/($W31+'Setari model'!$B$31))*(($AB31*IF($AF31="",IF($AD31="",$AL31/2,$AD31),$AF31)+'Setari model'!$B$31*$AL31/2)/($AB31+'Setari model'!$B$31)))+SQRT((($AB31*IF($AE31="",IF($AC31="",$AL31/2,$AC31),$AE31)+'Setari model'!$B$31*$AL31/2)/($AB31+'Setari model'!$B$31))*(($W31*IF($AA31="",IF($Y31="",$AL31/2,$Y31),$AA31)+'Setari model'!$B$31*$AL31/2)/($W31+'Setari model'!$B$31))))</x:f>
      </x:c>
      <x:c r="BN31" s="62" t="str">
        <x:f t="shared" si="0">IF($A31="","",IF($AG31&gt;0,($AG31*IF($AH31="",$AL31,$AH31)+5*$AL31)/($AG31+5),$AL31))</x:f>
      </x:c>
      <x:c r="BO31" s="63" t="str">
        <x:f>IF($A31="","",IF($AR31&gt;1,IF($AS31&gt;1,(1/$AR31)/((1/$AR31+1/$AS31)),MIN(0.995,(1/$AR31)/(1+'Setari model'!$B$32))),1-EXP(-$AL31)))</x:f>
      </x:c>
      <x:c r="BP31" s="62" t="str">
        <x:f t="shared" si="1">IF($A31="","",-LN(1-$BO31))</x:f>
      </x:c>
      <x:c r="BQ31" s="62" t="str">
        <x:f>IF($A31="","",$BJ31*INDEX('Setari model'!$B$5:$B$11,MATCH($E31,'Setari model'!$A$5:$A$11,0))+$BK31*INDEX('Setari model'!$C$5:$C$11,MATCH($E31,'Setari model'!$A$5:$A$11,0))+$BL31*INDEX('Setari model'!$D$5:$D$11,MATCH($E31,'Setari model'!$A$5:$A$11,0))+$BM31*INDEX('Setari model'!$E$5:$E$11,MATCH($E31,'Setari model'!$A$5:$A$11,0))+$BN31*INDEX('Setari model'!$F$5:$F$11,MATCH($E31,'Setari model'!$A$5:$A$11,0))+$BP31*INDEX('Setari model'!$G$5:$G$11,MATCH($E31,'Setari model'!$A$5:$A$11,0)))</x:f>
      </x:c>
      <x:c r="BR31" s="64" t="str">
        <x:f>IF($A31="","",MAX('Setari model'!$B$53,MIN('Setari model'!$B$54,1+($AV31*'Setari model'!$B$15+$AW31*'Setari model'!$B$16+$AX31*'Setari model'!$B$17+$AY31*'Setari model'!$B$18+$AZ31*'Setari model'!$B$19+$BA31*'Setari model'!$B$20+$BB31*'Setari model'!$B$21+$BC31*'Setari model'!$B$22+$BD31*'Setari model'!$B$23+$BE31*'Setari model'!$B$24+$BF31*'Setari model'!$B$25)*INDEX('Setari model'!$H$5:$H$11,MATCH($E31,'Setari model'!$A$5:$A$11,0)))))</x:f>
      </x:c>
      <x:c r="BS31" s="62" t="str">
        <x:f t="shared" si="2">IF($A31="","",$BQ31*$BR31)</x:f>
      </x:c>
      <x:c r="BT31" s="63" t="str">
        <x:f t="shared" si="3">IF($A31="","",EXP(-$BS31))</x:f>
      </x:c>
      <x:c r="BU31" s="65" t="str">
        <x:f>IF($A31="","",IF(OR($AM31="",$AN31=""),1,1+MIN('Setari model'!$B$33,$AN31/100*'Setari model'!$B$33)*($AM31/EXP(-$AL31)-1)))</x:f>
      </x:c>
      <x:c r="BV31" s="63" t="str">
        <x:f>IF($A31="","",MIN(0.45,MAX(0.005,(1-'Setari model'!$B$34*MIN(1,($I31+$P31)/20))*MIN(0.45,$BT31*$BU31)+'Setari model'!$B$34*MIN(1,($I31+$P31)/20)*IF(COUNT($N31,$U31)=2,SQRT(MAX(0,1-$N31)*MAX(0,1-$U31)),IF($AM31="",EXP(-$AL31),$AM31)))))</x:f>
      </x:c>
      <x:c r="BW31" s="63" t="str">
        <x:f t="shared" si="4">IF($A31="","",1-$BV31)</x:f>
      </x:c>
      <x:c r="BX31" s="62" t="str">
        <x:f t="shared" si="5">IF($A31="","",1/$BW31)</x:f>
      </x:c>
      <x:c r="BY31" s="63" t="str">
        <x:f t="shared" si="6">IF($A31="","",$BO31)</x:f>
      </x:c>
      <x:c r="BZ31" s="63" t="str">
        <x:f t="shared" si="7">IF($A31="","",$BW31-$BY31)</x:f>
      </x:c>
      <x:c r="CA31" s="63" t="str">
        <x:f t="shared" si="8">IF($A31="","",IF($AR31&gt;1,$BW31*$AR31-1,""))</x:f>
      </x:c>
      <x:c r="CB31" s="63" t="str">
        <x:f>IF($A31="","",MIN(1,COUNT($I31:$AN31,$AR31:$BG31)/'Setari model'!$B$46))</x:f>
      </x:c>
      <x:c r="CC31" s="63" t="str">
        <x:f t="shared" si="9">IF($A31="","",0.25*MIN(1,$I31/10)+0.25*MIN(1,$P31/10)+0.15*MIN(1,$W31/5)+0.15*MIN(1,$AB31/5)+0.1*MIN(1,$AG31/5)+0.1*MIN(1,$AN31/100))</x:f>
      </x:c>
      <x:c r="CD31" s="63" t="str">
        <x:f>IF($A31="","",MAX(0,1-(MAX($BJ31:$BN31,$BP31)-MIN($BJ31:$BN31,$BP31))/(AVERAGE($BJ31:$BN31,$BP31)*'Setari model'!$B$45)))</x:f>
      </x:c>
      <x:c r="CE31" s="66" t="str">
        <x:f>IF($A31="","",MAX(0,MIN(100,100*INDEX('Setari model'!$I$5:$I$11,MATCH($E31,'Setari model'!$A$5:$A$11,0))*('Setari model'!$B$47*$CB31+'Setari model'!$B$48*$CC31+'Setari model'!$B$49*$CD31+'Setari model'!$B$50*$AT31/5+'Setari model'!$B$51*$AU31)-100*'Setari model'!$B$52*$BG31)))</x:f>
      </x:c>
      <x:c r="CF31" s="65" t="str">
        <x:f t="shared" si="10">IF($A31="","",IF(OR($AT31&lt;3,$BG31&gt;=2,$CB31&lt;0.55,$CC31&lt;0.4),"RIDICAT",IF(OR($AU31=0,$CD31&lt;0.45,$BR31&lt;0.9),"MEDIU","SCĂZUT")))</x:f>
      </x:c>
      <x:c r="CG31" s="65" t="str">
        <x:f>IF($A31="","",IF($AR31&gt;1,IF(AND($BW31&gt;= 'Setari model'!$B$35,$CE31&gt;=100*'Setari model'!$B$36,$BZ31&gt;= 'Setari model'!$B$37,$CA31&gt;= 'Setari model'!$B$38,$CF31&lt;&gt;"RIDICAT"),"PARIU RECOMANDAT",IF(AND($BW31&gt;= 'Setari model'!$B$39,$CE31&gt;=100*'Setari model'!$B$40,$BZ31&gt;= 'Setari model'!$B$41,$CA31&gt;=0,$CF31&lt;&gt;"RIDICAT"),"RECOMANDAT CU PRUDENȚĂ",IF(AND($BW31&gt;= 'Setari model'!$B$42,$CE31&gt;=100*'Setari model'!$B$43),"ANALIZĂ NECONCLUDENTĂ","PARIU EVITAT"))),IF(AND($BW31&gt;= 'Setari model'!$B$35,$CE31&gt;=100*'Setari model'!$B$36,$CF31&lt;&gt;"RIDICAT"),"FAVORABIL STATISTIC – VERIFICĂ COTA",IF(AND($BW31&gt;= 'Setari model'!$B$42,$CE31&gt;=100*'Setari model'!$B$43),"ANALIZĂ NECONCLUDENTĂ","PARIU EVITAT"))))</x:f>
      </x:c>
      <x:c r="CH31" s="67" t="str">
        <x:f t="shared" si="11">IF($A31="","","P(O0,5)="&amp;TEXT($BW31,"0.0%")&amp;"; λ ajustat="&amp;TEXT($BS31,"0.00")&amp;"; Confidence="&amp;TEXT($CE31,"0")&amp;"/100; Edge="&amp;TEXT($BZ31,"0.0%")&amp;"; risc="&amp;$CF31&amp;". "&amp;$BH31)</x:f>
      </x:c>
      <x:c r="CI31" s="68" t="str">
        <x:f t="shared" si="12">IF($A31="","",$BI31)</x:f>
      </x:c>
      <x:c r="CJ31" s="112"/>
      <x:c r="CK31" s="112"/>
      <x:c r="CL31" s="112"/>
      <x:c r="CM31" s="112"/>
      <x:c r="CN31" s="112"/>
      <x:c r="CO31" s="112"/>
      <x:c r="CP31" s="112"/>
      <x:c r="CQ31" s="112"/>
      <x:c r="CR31" s="112"/>
      <x:c r="CS31" s="112"/>
      <x:c r="CT31" s="112"/>
      <x:c r="CU31" s="112"/>
      <x:c r="CV31" s="112"/>
      <x:c r="CW31" s="112"/>
      <x:c r="CX31" s="112"/>
      <x:c r="CY31" s="112"/>
      <x:c r="CZ31" s="112"/>
      <x:c r="DA31" s="112"/>
      <x:c r="DB31" s="112"/>
      <x:c r="DC31" s="114"/>
      <x:c r="DD31" s="114"/>
      <x:c r="DE31" s="112" t="s">
        <x:v>266</x:v>
      </x:c>
      <x:c r="DF31" s="112"/>
      <x:c r="DG31" s="112"/>
      <x:c r="DH31" s="112"/>
      <x:c r="DI31" s="112"/>
      <x:c r="DJ31" s="112"/>
      <x:c r="DK31" s="112"/>
      <x:c r="DL31" s="112"/>
      <x:c r="DM31" s="112"/>
      <x:c r="DN31" s="112"/>
      <x:c r="DO31" s="112"/>
      <x:c r="DP31" s="112"/>
      <x:c r="DQ31" s="114"/>
      <x:c r="DR31" s="112">
        <x:v>1</x:v>
      </x:c>
      <x:c r="DS31" s="116">
        <x:v>0</x:v>
      </x:c>
      <x:c r="DT31" s="120"/>
      <x:c r="DU31" s="116">
        <x:v>0.02</x:v>
      </x:c>
      <x:c r="DV31" s="116">
        <x:v>0.25</x:v>
      </x:c>
      <x:c r="DW31" s="118" t="str">
        <x:f>IF($A31="","",MAX('Setari model'!$B$71,MIN('Setari model'!$B$72,1+0.08*(IFERROR(AVERAGE($CM31:$CN31)/'Setari model'!$B$66,1)-1)+0.08*(IFERROR(AVERAGE($CO31:$CP31)/'Setari model'!$B$67,1)-1)+0.06*(IFERROR(AVERAGE($CQ31:$CR31)/'Setari model'!$B$68,1)-1)+0.04*(IFERROR(AVERAGE($CS31:$CT31)/'Setari model'!$B$69,1)-1)+0.04*(IFERROR(AVERAGE($CU31:$CV31)/'Setari model'!$B$70,1)-1)-'Setari model'!$B$73*IFERROR(AVERAGE($CW31:$CX31),0))))</x:f>
      </x:c>
      <x:c r="DX31" s="118" t="str">
        <x:f>IF($A31="","",1+'Setari model'!$B$62*MAX(IF(OR($CK31=1,$CL31=1),1,0),IF(AND($CJ31&lt;&gt;"",$CJ31&lt;=1),1,0))+'Setari model'!$B$63*IF(AND($CJ31&gt;1,$CJ31&lt;=3),1,0))</x:f>
      </x:c>
      <x:c r="DY31" s="118" t="str">
        <x:f>IF($A31="","",1+'Setari model'!$B$74*(IF($CY31="",0,IF($CY31=0,1,0))+IF($CZ31="",0,IF($CZ31=0,1,0)))+'Setari model'!$B$75*(IF($DA31="",0,IF($DA31=0,1,0))+IF($DB31="",0,IF($DB31=0,1,0))))</x:f>
      </x:c>
      <x:c r="DZ31" s="117" t="str">
        <x:f>IF($A31="","",MIN(0.6,MAX(0.002,(((1-'Setari model'!$B$34*MIN(1,($I31+$P31)/20))*$BT31+'Setari model'!$B$34*MIN(1,($I31+$P31)/20)*IF(COUNT($N31,$U31)=2,SQRT(MAX(0,1-$N31)*MAX(0,1-$U31)),$BT31))*(1-'Setari model'!$B$65*MIN(1,IF($AN31="",0,$AN31/'Setari model'!$B$64)))+'Setari model'!$B$65*MIN(1,IF($AN31="",0,$AN31/'Setari model'!$B$64))*IF($AM31="",$BT31,$AM31))*$DX31*$DY31/$DW31)))</x:f>
      </x:c>
      <x:c r="EA31" s="117" t="str">
        <x:f>IF($A31="","",MIN(1-$DZ31,IF(OR(MIN($I31,$P31)&lt;'Setari model'!$B$58,$CK31=1,$CL31=1,AND($CJ31&lt;&gt;"",$CJ31&lt;=1)),'Setari model'!$B$59,IF(AND($AU31=1,$AR31&gt;1,COUNT($CY31:$DB31)=4),'Setari model'!$B$61,'Setari model'!$B$60))))</x:f>
      </x:c>
      <x:c r="EB31" s="115" t="str">
        <x:f t="shared" si="13">IF($A31="","",1/$EA31)</x:f>
      </x:c>
      <x:c r="EC31" s="117" t="str">
        <x:f t="shared" si="14">IF($A31="","",IF($AR31&gt;1,IF($AS31&gt;1,(1/$AR31)/((1/$AR31)+(1/$AS31)),1/$AR31),""))</x:f>
      </x:c>
      <x:c r="ED31" s="117" t="str">
        <x:f t="shared" si="15">IF($A31="","",IF($EC31="","",$EA31-$EC31))</x:f>
      </x:c>
      <x:c r="EE31" s="117" t="str">
        <x:f t="shared" si="16">""</x:f>
      </x:c>
      <x:c r="EF31" s="119" t="str">
        <x:f>IF($A31="","",MAX(0,MIN(100,$CE31-200*MAX(0,$EG31-'Setari model'!$B$77)-IF($AU31&lt;&gt;1,10,0)-IF(COUNT($CY31:$DB31)&lt;4,4,0))))</x:f>
      </x:c>
      <x:c r="EG31" s="117" t="str">
        <x:f>IF($A31="","",'Setari model'!$B$77+IF(MIN($I31,$P31)&lt;'Setari model'!$B$58,0.03,0)+IF(OR($CK31=1,$CL31=1,AND($CJ31&lt;&gt;"",$CJ31&lt;=1)),0.03,0)+IF($AG31=0,0.02,0)+0.03*(1-MIN(1,COUNT($CM31:$CV31)/10))+0.03*(1-MIN(1,IF($AN31="",0,$AN31/'Setari model'!$B$64)))+IF($AR31&lt;=1,0.02,0))</x:f>
      </x:c>
      <x:c r="EH31" s="113" t="str">
        <x:f>IF($A31="","",IF(OR(MIN($I31,$P31)&lt;'Setari model'!$B$58,$CK31=1,$CL31=1,AND($CJ31&lt;&gt;"",$CJ31&lt;=1)),"92% – early/regim",IF(AND($AU31=1,$AR31&gt;1,COUNT($CY31:$DB31)=4),"94% – confirmat","93% – standard")))</x:f>
      </x:c>
      <x:c r="EI31" s="113" t="str">
        <x:f t="shared" si="17">IF($A31="","",IF(AND($EA31&gt;0.9,$AU31&lt;&gt;1),"WAIT XI – HIGH P",IF(AND($EA31&gt;0.9,COUNT($CY31:$DB31)&lt;4),"WAIT DATE CHEIE – HIGH P",IF($EP31&lt;&gt;"DA","NU – PORTOFOLIU","DA"))))</x:f>
      </x:c>
      <x:c r="EJ31" s="117" t="str">
        <x:f t="shared" si="18">IF($A31="","",IF($DE31&lt;&gt;"Live 20-30","",IF(SUM($DG31:$DH31)&gt;0,1,IF($EU31="","",1-MIN(0.95,MAX(0.001,EXP(-$EU31)*$DX31*$DY31/$DW31))))))</x:f>
      </x:c>
      <x:c r="EK31" s="117" t="str">
        <x:f t="shared" si="19">""</x:f>
      </x:c>
      <x:c r="EL31" s="113" t="str">
        <x:f>IF($A31="","",IF($DE31="Live 20-30",IF(SUM($DG31:$DH31)&gt;0,"EVENIMENT ÎNDEPLINIT",IF(OR($DF31="",COUNT($DI31:$DN31)&lt;4),"LIVE – WATCH",IF($EJ31&gt;=0.75,"LIVE – FEZABIL TEHNIC","LIVE – NO BET"))),IF($EI31&lt;&gt;"DA","WATCH / NO BET",IF(AND($EA31&gt;=INDEX('Setari model'!$B$35:$B$40,1),$EF31&gt;=100*'Setari model'!$B$76),"PARIU RECOMANDAT",IF(AND($EA31&gt;=INDEX('Setari model'!$B$35:$B$40,5),$EF31&gt;=100*'Setari model'!$B$40),"WATCH – APROAPE DE PRAG","PARIU EVITAT")))))</x:f>
      </x:c>
      <x:c r="EM31" s="113" t="str">
        <x:f t="shared" si="20">IF($A31="","",IF($DE31="Live 20-30",IF(SUM($DG31:$DH31)&gt;0,"Gol deja marcat.",IF($DF31="","Minut live lipsă.",IF(COUNT($DI31:$DN31)&lt;4,"Lipsesc xG/SOT/big chances live.",IF($EJ31&lt;0.75,"P live sub prag.","Semnal live tehnic complet; EV ignorat.")))),IF($EI31&lt;&gt;"DA",$EI31,IF($EF31&lt;75,"Confidence sub 75.",IF($EA31&lt;0.92,"P sub 92%.","G0/Zero-Mass + confidence trecute; EV ignorat.")))))</x:f>
      </x:c>
      <x:c r="EN31" s="117" t="str">
        <x:f>IF($A31="","",IF(OR($EL31="PARIU RECOMANDAT",$EL31="LIVE – FEZABIL"),MIN(IF($DU31&gt;0,$DU31,'Setari model'!$B$81)/MAX(1,$DR31),IF($DV31&gt;0,$DV31,'Setari model'!$B$80)*MAX(0,((IF($DE31="Live 20-30",$EJ31,$EA31)*IF($DE31="Live 20-30",$DQ31,$AR31)-1)/(IF($DE31="Live 20-30",$DQ31,$AR31)-1)))),0))</x:f>
      </x:c>
      <x:c r="EO31" s="121" t="str">
        <x:f t="shared" si="21">IF($A31="","",IF(AND($EN31&gt;0,$DT31&gt;0),$EN31*$DT31,""))</x:f>
      </x:c>
      <x:c r="EP31" s="113" t="str">
        <x:f>IF($A31="","",IF(OR($DR31&lt;1,$DR31&gt;'Setari model'!$B$78),"NU – 1–5 selecții",IF($DS31&gt;'Setari model'!$B$79,"NU – corelație", "DA")))</x:f>
      </x:c>
      <x:c r="EQ31" s="117" t="str">
        <x:f t="shared" si="22">IF($A31="","",IF(AND($DC31&gt;1,$DD31&gt;1),$DC31/$DD31-1,""))</x:f>
      </x:c>
      <x:c r="ER31" s="113" t="str">
        <x:f t="shared" si="23">IF($A31="","","P v2="&amp;TEXT($EA31,"0.0%")&amp;" ±"&amp;TEXT($EG31,"0.0%")&amp;"; P0 ZIP="&amp;TEXT($DZ31,"0.0%")&amp;"; Confidence="&amp;TEXT($EF31,"0")&amp;"/100; piață reală="&amp;IF($EC31="","NU","DA")&amp;"; EV="&amp;IF($EE31="","n/a",TEXT($EE31,"0.0%"))&amp;"; gate="&amp;$EI31&amp;"; verdict="&amp;$EL31&amp;". "&amp;$EM31)</x:f>
      </x:c>
      <x:c r="ES31" s="119" t="str">
        <x:f>IF($A31="","",'Setari model'!$B$82)</x:f>
      </x:c>
      <x:c r="ET31" s="118" t="str">
        <x:f>IF($A31="","",'Setari model'!$B$83)</x:f>
      </x:c>
      <x:c r="EU31" s="115" t="str">
        <x:f t="shared" si="24">IF(OR($A31="",$DE31&lt;&gt;"Live 20-30",$DF31="",$DF31&lt;$ES31,$DF31&gt;=90),"",MAX(0.05,MIN($BS31*$ET31,$BS31*(90-$DF31)/90+0.35*($DI31+$DJ31)+0.06*($DK31+$DL31)+0.15*($DM31+$DN31)+0.1*(MAX($DO31,$DP31)-MIN($DO31,$DP31)))))</x:f>
      </x:c>
      <x:c r="EV31" s="132"/>
      <x:c r="EW31" s="132"/>
      <x:c r="EX31" s="132"/>
      <x:c r="EY31" s="132"/>
      <x:c r="EZ31" s="132"/>
      <x:c r="FA31" s="132"/>
      <x:c r="FB31" s="247"/>
      <x:c r="FC31" s="134" t="str">
        <x:f t="shared" si="25">IF($A31="","",IF(OR($J31="",$L31="",$L31&lt;=0),"",MAX(0.5,MIN(1.5,$J31/$L31))))</x:f>
      </x:c>
      <x:c r="FD31" s="134" t="str">
        <x:f t="shared" si="26">IF($A31="","",IF(OR($Q31="",$S31="",$S31&lt;=0),"",MAX(0.5,MIN(1.5,$Q31/$S31))))</x:f>
      </x:c>
      <x:c r="FE31" s="134" t="str">
        <x:f>IF($A31="","",IF(COUNT($EV31:$EW31)&lt;2,"",SQRT($EV31*$EW31)/'Setari model'!$B$87))</x:f>
      </x:c>
      <x:c r="FF31" s="134" t="str">
        <x:f>IF($A31="","",IF(COUNT($O31,$V31,$EX31,$EY31)&lt;4,"",AVERAGE(SQRT($O31*$EY31),SQRT($V31*$EX31))/'Setari model'!$B$88))</x:f>
      </x:c>
      <x:c r="FG31" s="134" t="str">
        <x:f t="shared" si="27">IF($A31="","",IF(COUNT($FC31:$FD31)&lt;2,"",MAX(0,1-AVERAGE($FC31:$FD31))))</x:f>
      </x:c>
      <x:c r="FH31" s="134" t="str">
        <x:f>IF($A31="","",IF(COUNT($EZ31:$FA31)&lt;2,"",'Setari model'!$B$94*AVERAGE($EZ31:$FA31)/'Setari model'!$B$89))</x:f>
      </x:c>
      <x:c r="FI31" s="134" t="str">
        <x:f>IF($A31="","",IF(COUNT($FE31:$FH31)&lt;4,"",MAX('Setari model'!$B$97,MIN('Setari model'!$B$98,1+'Setari model'!$B$90*($FE31-1)+'Setari model'!$B$91*($FF31-1)+'Setari model'!$B$92*$FG31+'Setari model'!$B$93*($FH31-1)))))</x:f>
      </x:c>
      <x:c r="FJ31" s="133" t="str">
        <x:f>IF($A31="","",IF($FI31="","",MIN('Setari model'!$B$101,MAX(0.002,$DZ31*$FI31))))</x:f>
      </x:c>
      <x:c r="FK31" s="131" t="str">
        <x:f t="shared" si="28">IF($A31="","",IF(AND(COUNT($EV31:$FA31)=6,COUNT($O31,$V31,$FC31,$FD31)=4),"DA","NU"))</x:f>
      </x:c>
      <x:c r="FL31" s="131" t="str">
        <x:f>IF($A31="","",IF($FK31&lt;&gt;"DA","NEDETERMINAT",IF($FI31&lt;='Setari model'!$B$99,"SCĂZUT",IF($FI31&lt;='Setari model'!$B$100,"MEDIU","RIDICAT"))))</x:f>
      </x:c>
      <x:c r="FM31" s="131" t="str">
        <x:f>IF($A31="","",IF(AND($AR31&gt;1,$EC31&gt;='Setari model'!$B$106),"DA","NU"))</x:f>
      </x:c>
      <x:c r="FN31" s="131" t="str">
        <x:f t="shared" si="29">IF($A31="","",IF(AND($AU31=1,COUNT($CY31:$DB31)=4),"DA","NU"))</x:f>
      </x:c>
      <x:c r="FO31" s="133" t="str">
        <x:f>IF($A31="","",IF(OR($FK31&lt;&gt;"DA",$FL31="RIDICAT"),'Setari model'!$B$102,IF($FL31="MEDIU",'Setari model'!$B$103,IF(AND($FM31="DA",$FN31="DA"),'Setari model'!$B$105,'Setari model'!$B$104))))</x:f>
      </x:c>
      <x:c r="FP31" s="133" t="str">
        <x:f t="shared" si="30">IF($A31="","",IF($FJ31="","",MIN(1-$FJ31,$FO31)))</x:f>
      </x:c>
      <x:c r="FQ31" s="135" t="str">
        <x:f t="shared" si="31">IF($A31="","",IF($FP31="","",IF($FP31&gt;0,1/$FP31,"")))</x:f>
      </x:c>
      <x:c r="FR31" s="133" t="str">
        <x:f t="shared" si="32">IF($A31="","",IF($EC31="","",$FP31-$EC31))</x:f>
      </x:c>
      <x:c r="FS31" s="133" t="str">
        <x:f t="shared" si="33">IF($A31="","",IF($AR31&gt;1,$FP31*$AR31-1,""))</x:f>
      </x:c>
      <x:c r="FT31" s="136" t="str">
        <x:f>IF($A31="","",MAX(0,MIN(100,$EF31-IF($FK31&lt;&gt;"DA",'Setari model'!$B$107,0)-IF($FL31="MEDIU",'Setari model'!$B$108,0)-IF($FL31="RIDICAT",'Setari model'!$B$109,0))))</x:f>
      </x:c>
      <x:c r="FU31" s="131" t="str">
        <x:f t="shared" si="34">IF($A31="","",IF($AR31&lt;=1,"NU – LIPSEȘTE COTA REALĂ",IF($FK31&lt;&gt;"DA","NU – ZERO-RISK INCOMPLET",IF($FL31&lt;&gt;"SCĂZUT","NU – RISC 0-0 "&amp;$FL31,IF($FN31&lt;&gt;"DA","NU – LINEUP NECONFIRMAT",IF($FM31&lt;&gt;"DA","NU – PIAȚĂ NECONFIRMATĂ",IF($EP31&lt;&gt;"DA","NU – PORTOFOLIU","DA")))))))</x:f>
      </x:c>
      <x:c r="FV31" s="131" t="str">
        <x:f>IF($A31="","",IF($FU31&lt;&gt;"DA","WATCH / NO BET",IF(AND($FP31&gt;='Setari model'!$B$35,$FT31&gt;=100*'Setari model'!$B$76,$FS31&gt;0),"PARIU RECOMANDAT",IF(AND($FP31&gt;='Setari model'!$B$39,$FT31&gt;=100*'Setari model'!$B$40,$FS31&gt;0),"WATCH – APROAPE DE PRAG","PARIU EVITAT"))))</x:f>
      </x:c>
      <x:c r="FW31" s="131" t="str">
        <x:f t="shared" si="35">IF($A31="","",IF($FU31&lt;&gt;"DA",$FU31,IF($FT31&lt;75,"Confidence v3 sub 75.",IF($FP31&lt;0.92,"P v3 sub 92%.",IF($FS31&lt;=0,"EV v3 nepozitiv.","P0 v3, lineup și piață confirmate.")))))</x:f>
      </x:c>
      <x:c r="FX31" s="131" t="str">
        <x:f t="shared" si="36">IF($A31="","","P v3="&amp;TEXT($FP31,"0.0%")&amp;"; P0 v3="&amp;TEXT($FJ31,"0.0%")&amp;"; factor zero="&amp;IF($FI31="","n/a",TEXT($FI31,"0.00x"))&amp;" ("&amp;$FL31&amp;"); cap="&amp;TEXT($FO31,"0.0%")&amp;"; Confidence="&amp;TEXT($FT31,"0")&amp;"/100; lineup="&amp;$FN31&amp;"; piață="&amp;$FM31&amp;"; EV="&amp;IF($FS31="","n/a",TEXT($FS31,"0.0%"))&amp;"; gate="&amp;$FU31&amp;"; verdict="&amp;$FV31&amp;". "&amp;$FW31)</x:f>
      </x:c>
      <x:c r="FY31" s="159"/>
      <x:c r="FZ31" s="159"/>
      <x:c r="GA31" s="157"/>
      <x:c r="GB31" s="157"/>
      <x:c r="GC31" s="161" t="str">
        <x:f t="shared" si="37">IF($A31="","",IF(OR($X31="",$Z31="",$Z31&lt;=0),"",MAX(0.5,MIN(1.5,$X31/$Z31))))</x:f>
      </x:c>
      <x:c r="GD31" s="161" t="str">
        <x:f t="shared" si="38">IF($A31="","",IF(OR($AC31="",$AE31="",$AE31&lt;=0),"",MAX(0.5,MIN(1.5,$AC31/$AE31))))</x:f>
      </x:c>
      <x:c r="GE31" s="162" t="str">
        <x:f t="shared" si="39">IF($A31="","",IF(COUNT($Z31,$AE31)&lt;2,"",AVERAGE($Z31,$AE31)))</x:f>
      </x:c>
      <x:c r="GF31" s="158" t="str">
        <x:f>IF($A31="","",IF(COUNT($FY31:$FZ31)&lt;2,"NEDETERMINAT",IF(AND($FY31&gt;='Setari model'!$B$113,$FZ31&gt;='Setari model'!$B$113),"DA","NU")))</x:f>
      </x:c>
      <x:c r="GG31" s="158" t="str">
        <x:f>IF($A31="","",IF(COUNT($FY31:$FZ31,$EX31:$EY31)&lt;4,"NEDETERMINAT",IF(OR(AND($FY31&gt;='Setari model'!$B$113,$EY31&gt;='Setari model'!$B$114),AND($FZ31&gt;='Setari model'!$B$113,$EX31&gt;='Setari model'!$B$114)),"DA","NU")))</x:f>
      </x:c>
      <x:c r="GH31" s="158" t="str">
        <x:f>IF($A31="","",IF(COUNT($BJ31:$BN31,$GC31:$GE31)&lt;8,"NEDETERMINAT",IF(AND((($BJ31*INDEX('Setari model'!$B$5:$B$11,MATCH($E31,'Setari model'!$A$5:$A$11,0))+$BK31*INDEX('Setari model'!$C$5:$C$11,MATCH($E31,'Setari model'!$A$5:$A$11,0))+$BL31*INDEX('Setari model'!$D$5:$D$11,MATCH($E31,'Setari model'!$A$5:$A$11,0))+$BM31*INDEX('Setari model'!$E$5:$E$11,MATCH($E31,'Setari model'!$A$5:$A$11,0))+$BN31*INDEX('Setari model'!$F$5:$F$11,MATCH($E31,'Setari model'!$A$5:$A$11,0)))/(INDEX('Setari model'!$B$5:$B$11,MATCH($E31,'Setari model'!$A$5:$A$11,0))+INDEX('Setari model'!$C$5:$C$11,MATCH($E31,'Setari model'!$A$5:$A$11,0))+INDEX('Setari model'!$D$5:$D$11,MATCH($E31,'Setari model'!$A$5:$A$11,0))+INDEX('Setari model'!$E$5:$E$11,MATCH($E31,'Setari model'!$A$5:$A$11,0))+INDEX('Setari model'!$F$5:$F$11,MATCH($E31,'Setari model'!$A$5:$A$11,0))))*$BR31&gt;='Setari model'!$B$115,(($BJ31*INDEX('Setari model'!$B$5:$B$11,MATCH($E31,'Setari model'!$A$5:$A$11,0))+$BK31*INDEX('Setari model'!$C$5:$C$11,MATCH($E31,'Setari model'!$A$5:$A$11,0))+$BL31*INDEX('Setari model'!$D$5:$D$11,MATCH($E31,'Setari model'!$A$5:$A$11,0))+$BM31*INDEX('Setari model'!$E$5:$E$11,MATCH($E31,'Setari model'!$A$5:$A$11,0))+$BN31*INDEX('Setari model'!$F$5:$F$11,MATCH($E31,'Setari model'!$A$5:$A$11,0)))/(INDEX('Setari model'!$B$5:$B$11,MATCH($E31,'Setari model'!$A$5:$A$11,0))+INDEX('Setari model'!$C$5:$C$11,MATCH($E31,'Setari model'!$A$5:$A$11,0))+INDEX('Setari model'!$D$5:$D$11,MATCH($E31,'Setari model'!$A$5:$A$11,0))+INDEX('Setari model'!$E$5:$E$11,MATCH($E31,'Setari model'!$A$5:$A$11,0))+INDEX('Setari model'!$F$5:$F$11,MATCH($E31,'Setari model'!$A$5:$A$11,0))))*$BR31&lt;='Setari model'!$B$116,AVERAGE($GC31:$GD31)&lt;='Setari model'!$B$117,$GE31&gt;='Setari model'!$B$118),"DA","NU")))</x:f>
      </x:c>
      <x:c r="GI31" s="158" t="str">
        <x:f>IF($A31="","",IF(COUNT($W31,$AB31,$GA31:$GB31)&lt;4,"NEDETERMINAT",IF(AND($W31&gt;='Setari model'!$B$120,$AB31&gt;='Setari model'!$B$120,OR(IFERROR($GA31/$W31,0)&gt;='Setari model'!$B$119,IFERROR($GB31/$AB31,0)&gt;='Setari model'!$B$119)),"DA","NU")))</x:f>
      </x:c>
      <x:c r="GJ31" s="160" t="str">
        <x:f>IF($A31="","",IF(COUNT($FY31:$GB31)&lt;4,"",IF($GH31&lt;&gt;"DA",0,'Setari model'!$B$121*IF($GF31="DA",1,0)+'Setari model'!$B$122*IF($GG31="DA",1,0)+'Setari model'!$B$123+'Setari model'!$B$124*IF($GI31="DA",1,0))))</x:f>
      </x:c>
      <x:c r="GK31" s="161" t="str">
        <x:f>IF($A31="","",IF(COUNT($GJ31)=0,"",1+'Setari model'!$B$125*$GJ31))</x:f>
      </x:c>
      <x:c r="GL31" s="160" t="str">
        <x:f>IF($A31="","",IF($GM31&lt;&gt;"DA",$FJ31,MIN('Setari model'!$B$101,MAX(0.002,$FJ31*$GK31))))</x:f>
      </x:c>
      <x:c r="GM31" s="158" t="str">
        <x:f>IF($A31="","",IF(AND($FK31="DA",COUNT($FY31:$GB31)=4,COUNT($I31,$P31,$W31,$AB31,$Z31,$AE31,$EX31,$EY31,$GC31,$GD31)=10,COUNT($BJ31:$BN31)=5),"DA","NU"))</x:f>
      </x:c>
      <x:c r="GN31" s="158" t="str">
        <x:f>IF($A31="","",IF($GM31&lt;&gt;"DA","NEDETERMINAT",IF($FI31*$GK31&lt;='Setari model'!$B$99,"SCĂZUT",IF($FI31*$GK31&lt;='Setari model'!$B$100,"MEDIU","RIDICAT"))))</x:f>
      </x:c>
      <x:c r="GO31" s="160" t="str">
        <x:f>IF($A31="","",IF(OR($GM31&lt;&gt;"DA",$GN31="RIDICAT"),'Setari model'!$B$102,IF($GN31="MEDIU",'Setari model'!$B$103,IF(AND($FM31="DA",$FN31="DA"),'Setari model'!$B$105,'Setari model'!$B$104))))</x:f>
      </x:c>
      <x:c r="GP31" s="160" t="str">
        <x:f t="shared" si="40">IF($A31="","",IF($GL31="","",MIN(1-$GL31,$GO31)))</x:f>
      </x:c>
      <x:c r="GQ31" s="162" t="str">
        <x:f t="shared" si="41">IF($A31="","",IF($GP31="","",IF($GP31&gt;0,1/$GP31,"")))</x:f>
      </x:c>
      <x:c r="GR31" s="160" t="str">
        <x:f t="shared" si="42">IF($A31="","",IF($EC31="","",$GP31-$EC31))</x:f>
      </x:c>
      <x:c r="GS31" s="160" t="str">
        <x:f t="shared" si="43">IF($A31="","",IF($AR31&gt;1,$GP31*$AR31-1,""))</x:f>
      </x:c>
      <x:c r="GT31" s="163" t="str">
        <x:f>IF($A31="","",MAX(0,MIN(100,$FT31-IF(AND($GM31&lt;&gt;"DA",$FK31="DA"),'Setari model'!$B$107,0)-'Setari model'!$B$126*IF($GJ31="",0,$GJ31))))</x:f>
      </x:c>
      <x:c r="GU31" s="158" t="str">
        <x:f t="shared" si="44">IF($A31="","",IF($AR31&lt;=1,"NU – LIPSEȘTE COTA REALĂ",IF($GM31&lt;&gt;"DA","NU – DATE LOW-CONVERSION INCOMPLETE",IF($GN31&lt;&gt;"SCĂZUT","NU – RISC 0-0 "&amp;$GN31,IF($FN31&lt;&gt;"DA","NU – LINEUP NECONFIRMAT",IF($FM31&lt;&gt;"DA","NU – PIAȚĂ NECONFIRMATĂ",IF($EP31&lt;&gt;"DA","NU – PORTOFOLIU","DA")))))))</x:f>
      </x:c>
      <x:c r="GV31" s="158" t="str">
        <x:f>IF($A31="","",IF($GU31&lt;&gt;"DA","WATCH / NO BET",IF(AND($GP31&gt;='Setari model'!$B$35,$GT31&gt;=100*'Setari model'!$B$76,$GS31&gt;0),"PARIU RECOMANDAT",IF(AND($GP31&gt;='Setari model'!$B$39,$GT31&gt;=100*'Setari model'!$B$40,$GS31&gt;0),"WATCH – APROAPE DE PRAG","PARIU EVITAT"))))</x:f>
      </x:c>
      <x:c r="GW31" s="158" t="str">
        <x:f t="shared" si="45">IF($A31="","",IF($GU31&lt;&gt;"DA",$GU31,IF($GT31&lt;75,"Confidence v5 sub 75.",IF($GP31&lt;0.92,"P v5 sub 92%.",IF($GS31&lt;=0,"EV v5 nepozitiv.",IF($GJ31&gt;0,"Low-conversion absorbit în P0; toate porțile rămân trecute.","Toate porțile v5 sunt trecute."))))))</x:f>
      </x:c>
      <x:c r="GX31" s="158" t="str">
        <x:f t="shared" si="46">IF($A31="","","P v5="&amp;TEXT($GP31,"0.0%")&amp;"; P0 v5="&amp;TEXT($GL31,"0.0%")&amp;"; low-conv="&amp;IF(COUNT($GJ31)=0,"n/a",TEXT($GJ31,"0%"))&amp;"; mult.P0="&amp;IF(COUNT($GK31)=0,"n/a",TEXT($GK31,"0.00"))&amp;"; clasă="&amp;$GN31&amp;"; cap="&amp;TEXT($GO31,"0.0%")&amp;"; Confidence="&amp;TEXT($GT31,"0")&amp;"/100; lineup="&amp;$FN31&amp;"; piață="&amp;$FM31&amp;"; EV="&amp;IF($GS31="","n/a",TEXT($GS31,"0.0%"))&amp;"; gate="&amp;$GU31&amp;"; verdict="&amp;$GV31&amp;". "&amp;$GW31)</x:f>
      </x:c>
      <x:c r="GY31" s="174" t="str">
        <x:f>IF($A31="","",IF($GM31&lt;&gt;"DA","SOURCING INCOMPLETE – REVIEW REQUIRED",IF(MIN($I31,$P31,$W31,$AB31)&lt;'Setari model'!$B$58,"SMALL SAMPLE + PRIOR / SHRINKAGE","VERIFIED / PRIOR / SHRINKAGE")))</x:f>
      </x:c>
      <x:c r="GZ31" s="175" t="str">
        <x:f t="shared" si="47">IF($A31="","",MAX(0,MIN(100,100*(1-AVERAGE(IF($GM31="DA",1,0),MIN(1,$AT31/5))))))</x:f>
      </x:c>
      <x:c r="HA31" s="175" t="str">
        <x:f>IF($A31="","",IF($GM31&lt;&gt;"DA","",MAX(0,MIN(100,100*(($FI31*$GK31)-'Setari model'!$B$97)/('Setari model'!$B$98-'Setari model'!$B$97)))))</x:f>
      </x:c>
      <x:c r="HB31" s="175" t="str">
        <x:f>IF($A31="","",MAX(0,MIN(100,100*(ABS($BR31-1)/MAX(1-'Setari model'!$B$53,'Setari model'!$B$54-1)+MIN(1,$BG31/2))/2)))</x:f>
      </x:c>
      <x:c r="HC31" s="175" t="str">
        <x:f t="shared" si="48">IF($A31="","",MAX(0,MIN(100,100*(1-AVERAGE($CC31,MAX(0,1-(MAX($BJ31:$BN31)-MIN($BJ31:$BN31))/(AVERAGE($BJ31:$BN31)*'Setari model'!$B$45)))))))</x:f>
      </x:c>
      <x:c r="HD31" s="175" t="str">
        <x:f t="shared" si="49">IF($A31="","",MAX(0,MIN(100,100*MAX(IF($GJ31="",0,$GJ31),MIN(1,$BG31/2)))))</x:f>
      </x:c>
      <x:c r="HE31" s="175" t="str">
        <x:f>IF($A31="","",IF(COUNT($GZ31:$HD31)&lt;5,"",$GZ31*Risk_Classification!$E$28+$HA31*Risk_Classification!$E$29+$HB31*Risk_Classification!$E$30+$HC31*Risk_Classification!$E$31+$HD31*Risk_Classification!$E$32))</x:f>
      </x:c>
      <x:c r="HF31" s="176" t="str">
        <x:f t="shared" si="50">IF($A31="","",IF($HE31="","",IF($HE31&lt;=20,1,IF($HE31&lt;=40,2,IF($HE31&lt;=60,3,IF($HE31&lt;=80,4,5))))))</x:f>
      </x:c>
      <x:c r="HG31" s="176" t="str">
        <x:f t="shared" si="51">IF($A31="","",IF($GM31="DA","PASS","FAIL – DATE CRITICE ZERO-MASS INCOMPLETE"))</x:f>
      </x:c>
      <x:c r="HH31" s="176" t="str">
        <x:f t="shared" si="52">IF($A31="","",IF($HG31&lt;&gt;"PASS",5,$HF31))</x:f>
      </x:c>
      <x:c r="HI31" s="174" t="str">
        <x:f t="shared" si="53">IF($A31="","",IF($HH31="","N/A",IF($HH31=1,"DEFENSIV",IF($HH31=2,"PRUDENT",IF($HH31=3,"MODERAT",IF($HH31=4,"RIDICAT","WATCH / NO BET"))))))</x:f>
      </x:c>
      <x:c r="HJ31" s="177" t="str">
        <x:f t="shared" si="54">IF($A31="","","Data="&amp;$GY31&amp;"; DQ="&amp;TEXT($GZ31,"0.0")&amp;"; ZM="&amp;IF($HA31="","n/a",TEXT($HA31,"0.0"))&amp;"; Context="&amp;TEXT($HB31,"0.0")&amp;"; Uncertainty="&amp;TEXT($HC31,"0.0")&amp;"; Compound="&amp;TEXT($HD31,"0.0")&amp;"; Risk Score="&amp;IF($HE31="","n/a",TEXT($HE31,"0.0"))&amp;"; Base="&amp;IF($HF31="","n/a",$HF31)&amp;"; G0="&amp;$HG31&amp;"; Final="&amp;$HH31&amp;". Cota, EV si lineup sunt informative si nu intra in recomandare.")</x:f>
      </x:c>
      <x:c r="HK31" s="174" t="str">
        <x:f t="shared" si="55">IF($A31="","",$HI31)</x:f>
      </x:c>
    </x:row>
    <x:row r="32" ht="24" customHeight="1">
      <x:c r="A32" s="58"/>
      <x:c r="B32" s="24"/>
      <x:c r="C32" s="59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18"/>
      <x:c r="O32" s="18"/>
      <x:c r="P32" s="24"/>
      <x:c r="Q32" s="24"/>
      <x:c r="R32" s="24"/>
      <x:c r="S32" s="24"/>
      <x:c r="T32" s="24"/>
      <x:c r="U32" s="18"/>
      <x:c r="V32" s="18"/>
      <x:c r="W32" s="24"/>
      <x:c r="X32" s="24"/>
      <x:c r="Y32" s="24"/>
      <x:c r="Z32" s="24"/>
      <x:c r="AA32" s="24"/>
      <x:c r="AB32" s="24"/>
      <x:c r="AC32" s="24"/>
      <x:c r="AD32" s="24"/>
      <x:c r="AE32" s="24"/>
      <x:c r="AF32" s="24"/>
      <x:c r="AG32" s="24"/>
      <x:c r="AH32" s="24"/>
      <x:c r="AI32" s="18"/>
      <x:c r="AJ32" s="24"/>
      <x:c r="AK32" s="24"/>
      <x:c r="AL32" s="24"/>
      <x:c r="AM32" s="18"/>
      <x:c r="AN32" s="24"/>
      <x:c r="AO32" s="60"/>
      <x:c r="AP32" s="60"/>
      <x:c r="AQ32" s="60"/>
      <x:c r="AR32" s="60"/>
      <x:c r="AS32" s="60"/>
      <x:c r="AT32" s="24"/>
      <x:c r="AU32" s="24"/>
      <x:c r="AV32" s="24"/>
      <x:c r="AW32" s="24"/>
      <x:c r="AX32" s="24"/>
      <x:c r="AY32" s="24"/>
      <x:c r="AZ32" s="24"/>
      <x:c r="BA32" s="24"/>
      <x:c r="BB32" s="24"/>
      <x:c r="BC32" s="24"/>
      <x:c r="BD32" s="24"/>
      <x:c r="BE32" s="24"/>
      <x:c r="BF32" s="24"/>
      <x:c r="BG32" s="24"/>
      <x:c r="BH32" s="61"/>
      <x:c r="BI32" s="61"/>
      <x:c r="BJ32" s="62" t="str">
        <x:f>IF($A32="","",SQRT((($I32*IF($J32="",$AJ32,$J32)+'Setari model'!$B$30*$AJ32)/($I32+'Setari model'!$B$30))*(($P32*IF($R32="",$AJ32,$R32)+'Setari model'!$B$30*$AJ32)/($P32+'Setari model'!$B$30)))+SQRT((($P32*IF($Q32="",$AK32,$Q32)+'Setari model'!$B$30*$AK32)/($P32+'Setari model'!$B$30))*(($I32*IF($K32="",$AK32,$K32)+'Setari model'!$B$30*$AK32)/($I32+'Setari model'!$B$30))))</x:f>
      </x:c>
      <x:c r="BK32" s="62" t="str">
        <x:f>IF($A32="","",SQRT((($I32*IF($L32="",IF($J32="",$AJ32,$J32),$L32)+'Setari model'!$B$30*$AJ32)/($I32+'Setari model'!$B$30))*(($P32*IF($T32="",IF($R32="",$AJ32,$R32),$T32)+'Setari model'!$B$30*$AJ32)/($P32+'Setari model'!$B$30)))+SQRT((($P32*IF($S32="",IF($Q32="",$AK32,$Q32),$S32)+'Setari model'!$B$30*$AK32)/($P32+'Setari model'!$B$30))*(($I32*IF($M32="",IF($K32="",$AK32,$K32),$M32)+'Setari model'!$B$30*$AK32)/($I32+'Setari model'!$B$30))))</x:f>
      </x:c>
      <x:c r="BL32" s="62" t="str">
        <x:f>IF($A32="","",SQRT((($W32*IF($X32="",$AL32/2,$X32)+'Setari model'!$B$31*$AL32/2)/($W32+'Setari model'!$B$31))*(($AB32*IF($AD32="",$AL32/2,$AD32)+'Setari model'!$B$31*$AL32/2)/($AB32+'Setari model'!$B$31)))+SQRT((($AB32*IF($AC32="",$AL32/2,$AC32)+'Setari model'!$B$31*$AL32/2)/($AB32+'Setari model'!$B$31))*(($W32*IF($Y32="",$AL32/2,$Y32)+'Setari model'!$B$31*$AL32/2)/($W32+'Setari model'!$B$31))))</x:f>
      </x:c>
      <x:c r="BM32" s="62" t="str">
        <x:f>IF($A32="","",SQRT((($W32*IF($Z32="",IF($X32="",$AL32/2,$X32),$Z32)+'Setari model'!$B$31*$AL32/2)/($W32+'Setari model'!$B$31))*(($AB32*IF($AF32="",IF($AD32="",$AL32/2,$AD32),$AF32)+'Setari model'!$B$31*$AL32/2)/($AB32+'Setari model'!$B$31)))+SQRT((($AB32*IF($AE32="",IF($AC32="",$AL32/2,$AC32),$AE32)+'Setari model'!$B$31*$AL32/2)/($AB32+'Setari model'!$B$31))*(($W32*IF($AA32="",IF($Y32="",$AL32/2,$Y32),$AA32)+'Setari model'!$B$31*$AL32/2)/($W32+'Setari model'!$B$31))))</x:f>
      </x:c>
      <x:c r="BN32" s="62" t="str">
        <x:f t="shared" si="0">IF($A32="","",IF($AG32&gt;0,($AG32*IF($AH32="",$AL32,$AH32)+5*$AL32)/($AG32+5),$AL32))</x:f>
      </x:c>
      <x:c r="BO32" s="63" t="str">
        <x:f>IF($A32="","",IF($AR32&gt;1,IF($AS32&gt;1,(1/$AR32)/((1/$AR32+1/$AS32)),MIN(0.995,(1/$AR32)/(1+'Setari model'!$B$32))),1-EXP(-$AL32)))</x:f>
      </x:c>
      <x:c r="BP32" s="62" t="str">
        <x:f t="shared" si="1">IF($A32="","",-LN(1-$BO32))</x:f>
      </x:c>
      <x:c r="BQ32" s="62" t="str">
        <x:f>IF($A32="","",$BJ32*INDEX('Setari model'!$B$5:$B$11,MATCH($E32,'Setari model'!$A$5:$A$11,0))+$BK32*INDEX('Setari model'!$C$5:$C$11,MATCH($E32,'Setari model'!$A$5:$A$11,0))+$BL32*INDEX('Setari model'!$D$5:$D$11,MATCH($E32,'Setari model'!$A$5:$A$11,0))+$BM32*INDEX('Setari model'!$E$5:$E$11,MATCH($E32,'Setari model'!$A$5:$A$11,0))+$BN32*INDEX('Setari model'!$F$5:$F$11,MATCH($E32,'Setari model'!$A$5:$A$11,0))+$BP32*INDEX('Setari model'!$G$5:$G$11,MATCH($E32,'Setari model'!$A$5:$A$11,0)))</x:f>
      </x:c>
      <x:c r="BR32" s="64" t="str">
        <x:f>IF($A32="","",MAX('Setari model'!$B$53,MIN('Setari model'!$B$54,1+($AV32*'Setari model'!$B$15+$AW32*'Setari model'!$B$16+$AX32*'Setari model'!$B$17+$AY32*'Setari model'!$B$18+$AZ32*'Setari model'!$B$19+$BA32*'Setari model'!$B$20+$BB32*'Setari model'!$B$21+$BC32*'Setari model'!$B$22+$BD32*'Setari model'!$B$23+$BE32*'Setari model'!$B$24+$BF32*'Setari model'!$B$25)*INDEX('Setari model'!$H$5:$H$11,MATCH($E32,'Setari model'!$A$5:$A$11,0)))))</x:f>
      </x:c>
      <x:c r="BS32" s="62" t="str">
        <x:f t="shared" si="2">IF($A32="","",$BQ32*$BR32)</x:f>
      </x:c>
      <x:c r="BT32" s="63" t="str">
        <x:f t="shared" si="3">IF($A32="","",EXP(-$BS32))</x:f>
      </x:c>
      <x:c r="BU32" s="65" t="str">
        <x:f>IF($A32="","",IF(OR($AM32="",$AN32=""),1,1+MIN('Setari model'!$B$33,$AN32/100*'Setari model'!$B$33)*($AM32/EXP(-$AL32)-1)))</x:f>
      </x:c>
      <x:c r="BV32" s="63" t="str">
        <x:f>IF($A32="","",MIN(0.45,MAX(0.005,(1-'Setari model'!$B$34*MIN(1,($I32+$P32)/20))*MIN(0.45,$BT32*$BU32)+'Setari model'!$B$34*MIN(1,($I32+$P32)/20)*IF(COUNT($N32,$U32)=2,SQRT(MAX(0,1-$N32)*MAX(0,1-$U32)),IF($AM32="",EXP(-$AL32),$AM32)))))</x:f>
      </x:c>
      <x:c r="BW32" s="63" t="str">
        <x:f t="shared" si="4">IF($A32="","",1-$BV32)</x:f>
      </x:c>
      <x:c r="BX32" s="62" t="str">
        <x:f t="shared" si="5">IF($A32="","",1/$BW32)</x:f>
      </x:c>
      <x:c r="BY32" s="63" t="str">
        <x:f t="shared" si="6">IF($A32="","",$BO32)</x:f>
      </x:c>
      <x:c r="BZ32" s="63" t="str">
        <x:f t="shared" si="7">IF($A32="","",$BW32-$BY32)</x:f>
      </x:c>
      <x:c r="CA32" s="63" t="str">
        <x:f t="shared" si="8">IF($A32="","",IF($AR32&gt;1,$BW32*$AR32-1,""))</x:f>
      </x:c>
      <x:c r="CB32" s="63" t="str">
        <x:f>IF($A32="","",MIN(1,COUNT($I32:$AN32,$AR32:$BG32)/'Setari model'!$B$46))</x:f>
      </x:c>
      <x:c r="CC32" s="63" t="str">
        <x:f t="shared" si="9">IF($A32="","",0.25*MIN(1,$I32/10)+0.25*MIN(1,$P32/10)+0.15*MIN(1,$W32/5)+0.15*MIN(1,$AB32/5)+0.1*MIN(1,$AG32/5)+0.1*MIN(1,$AN32/100))</x:f>
      </x:c>
      <x:c r="CD32" s="63" t="str">
        <x:f>IF($A32="","",MAX(0,1-(MAX($BJ32:$BN32,$BP32)-MIN($BJ32:$BN32,$BP32))/(AVERAGE($BJ32:$BN32,$BP32)*'Setari model'!$B$45)))</x:f>
      </x:c>
      <x:c r="CE32" s="66" t="str">
        <x:f>IF($A32="","",MAX(0,MIN(100,100*INDEX('Setari model'!$I$5:$I$11,MATCH($E32,'Setari model'!$A$5:$A$11,0))*('Setari model'!$B$47*$CB32+'Setari model'!$B$48*$CC32+'Setari model'!$B$49*$CD32+'Setari model'!$B$50*$AT32/5+'Setari model'!$B$51*$AU32)-100*'Setari model'!$B$52*$BG32)))</x:f>
      </x:c>
      <x:c r="CF32" s="65" t="str">
        <x:f t="shared" si="10">IF($A32="","",IF(OR($AT32&lt;3,$BG32&gt;=2,$CB32&lt;0.55,$CC32&lt;0.4),"RIDICAT",IF(OR($AU32=0,$CD32&lt;0.45,$BR32&lt;0.9),"MEDIU","SCĂZUT")))</x:f>
      </x:c>
      <x:c r="CG32" s="65" t="str">
        <x:f>IF($A32="","",IF($AR32&gt;1,IF(AND($BW32&gt;= 'Setari model'!$B$35,$CE32&gt;=100*'Setari model'!$B$36,$BZ32&gt;= 'Setari model'!$B$37,$CA32&gt;= 'Setari model'!$B$38,$CF32&lt;&gt;"RIDICAT"),"PARIU RECOMANDAT",IF(AND($BW32&gt;= 'Setari model'!$B$39,$CE32&gt;=100*'Setari model'!$B$40,$BZ32&gt;= 'Setari model'!$B$41,$CA32&gt;=0,$CF32&lt;&gt;"RIDICAT"),"RECOMANDAT CU PRUDENȚĂ",IF(AND($BW32&gt;= 'Setari model'!$B$42,$CE32&gt;=100*'Setari model'!$B$43),"ANALIZĂ NECONCLUDENTĂ","PARIU EVITAT"))),IF(AND($BW32&gt;= 'Setari model'!$B$35,$CE32&gt;=100*'Setari model'!$B$36,$CF32&lt;&gt;"RIDICAT"),"FAVORABIL STATISTIC – VERIFICĂ COTA",IF(AND($BW32&gt;= 'Setari model'!$B$42,$CE32&gt;=100*'Setari model'!$B$43),"ANALIZĂ NECONCLUDENTĂ","PARIU EVITAT"))))</x:f>
      </x:c>
      <x:c r="CH32" s="67" t="str">
        <x:f t="shared" si="11">IF($A32="","","P(O0,5)="&amp;TEXT($BW32,"0.0%")&amp;"; λ ajustat="&amp;TEXT($BS32,"0.00")&amp;"; Confidence="&amp;TEXT($CE32,"0")&amp;"/100; Edge="&amp;TEXT($BZ32,"0.0%")&amp;"; risc="&amp;$CF32&amp;". "&amp;$BH32)</x:f>
      </x:c>
      <x:c r="CI32" s="68" t="str">
        <x:f t="shared" si="12">IF($A32="","",$BI32)</x:f>
      </x:c>
      <x:c r="CJ32" s="112"/>
      <x:c r="CK32" s="112"/>
      <x:c r="CL32" s="112"/>
      <x:c r="CM32" s="112"/>
      <x:c r="CN32" s="112"/>
      <x:c r="CO32" s="112"/>
      <x:c r="CP32" s="112"/>
      <x:c r="CQ32" s="112"/>
      <x:c r="CR32" s="112"/>
      <x:c r="CS32" s="112"/>
      <x:c r="CT32" s="112"/>
      <x:c r="CU32" s="112"/>
      <x:c r="CV32" s="112"/>
      <x:c r="CW32" s="112"/>
      <x:c r="CX32" s="112"/>
      <x:c r="CY32" s="112"/>
      <x:c r="CZ32" s="112"/>
      <x:c r="DA32" s="112"/>
      <x:c r="DB32" s="112"/>
      <x:c r="DC32" s="114"/>
      <x:c r="DD32" s="114"/>
      <x:c r="DE32" s="112" t="s">
        <x:v>266</x:v>
      </x:c>
      <x:c r="DF32" s="112"/>
      <x:c r="DG32" s="112"/>
      <x:c r="DH32" s="112"/>
      <x:c r="DI32" s="112"/>
      <x:c r="DJ32" s="112"/>
      <x:c r="DK32" s="112"/>
      <x:c r="DL32" s="112"/>
      <x:c r="DM32" s="112"/>
      <x:c r="DN32" s="112"/>
      <x:c r="DO32" s="112"/>
      <x:c r="DP32" s="112"/>
      <x:c r="DQ32" s="114"/>
      <x:c r="DR32" s="112">
        <x:v>1</x:v>
      </x:c>
      <x:c r="DS32" s="116">
        <x:v>0</x:v>
      </x:c>
      <x:c r="DT32" s="120"/>
      <x:c r="DU32" s="116">
        <x:v>0.02</x:v>
      </x:c>
      <x:c r="DV32" s="116">
        <x:v>0.25</x:v>
      </x:c>
      <x:c r="DW32" s="118" t="str">
        <x:f>IF($A32="","",MAX('Setari model'!$B$71,MIN('Setari model'!$B$72,1+0.08*(IFERROR(AVERAGE($CM32:$CN32)/'Setari model'!$B$66,1)-1)+0.08*(IFERROR(AVERAGE($CO32:$CP32)/'Setari model'!$B$67,1)-1)+0.06*(IFERROR(AVERAGE($CQ32:$CR32)/'Setari model'!$B$68,1)-1)+0.04*(IFERROR(AVERAGE($CS32:$CT32)/'Setari model'!$B$69,1)-1)+0.04*(IFERROR(AVERAGE($CU32:$CV32)/'Setari model'!$B$70,1)-1)-'Setari model'!$B$73*IFERROR(AVERAGE($CW32:$CX32),0))))</x:f>
      </x:c>
      <x:c r="DX32" s="118" t="str">
        <x:f>IF($A32="","",1+'Setari model'!$B$62*MAX(IF(OR($CK32=1,$CL32=1),1,0),IF(AND($CJ32&lt;&gt;"",$CJ32&lt;=1),1,0))+'Setari model'!$B$63*IF(AND($CJ32&gt;1,$CJ32&lt;=3),1,0))</x:f>
      </x:c>
      <x:c r="DY32" s="118" t="str">
        <x:f>IF($A32="","",1+'Setari model'!$B$74*(IF($CY32="",0,IF($CY32=0,1,0))+IF($CZ32="",0,IF($CZ32=0,1,0)))+'Setari model'!$B$75*(IF($DA32="",0,IF($DA32=0,1,0))+IF($DB32="",0,IF($DB32=0,1,0))))</x:f>
      </x:c>
      <x:c r="DZ32" s="117" t="str">
        <x:f>IF($A32="","",MIN(0.6,MAX(0.002,(((1-'Setari model'!$B$34*MIN(1,($I32+$P32)/20))*$BT32+'Setari model'!$B$34*MIN(1,($I32+$P32)/20)*IF(COUNT($N32,$U32)=2,SQRT(MAX(0,1-$N32)*MAX(0,1-$U32)),$BT32))*(1-'Setari model'!$B$65*MIN(1,IF($AN32="",0,$AN32/'Setari model'!$B$64)))+'Setari model'!$B$65*MIN(1,IF($AN32="",0,$AN32/'Setari model'!$B$64))*IF($AM32="",$BT32,$AM32))*$DX32*$DY32/$DW32)))</x:f>
      </x:c>
      <x:c r="EA32" s="117" t="str">
        <x:f>IF($A32="","",MIN(1-$DZ32,IF(OR(MIN($I32,$P32)&lt;'Setari model'!$B$58,$CK32=1,$CL32=1,AND($CJ32&lt;&gt;"",$CJ32&lt;=1)),'Setari model'!$B$59,IF(AND($AU32=1,$AR32&gt;1,COUNT($CY32:$DB32)=4),'Setari model'!$B$61,'Setari model'!$B$60))))</x:f>
      </x:c>
      <x:c r="EB32" s="115" t="str">
        <x:f t="shared" si="13">IF($A32="","",1/$EA32)</x:f>
      </x:c>
      <x:c r="EC32" s="117" t="str">
        <x:f t="shared" si="14">IF($A32="","",IF($AR32&gt;1,IF($AS32&gt;1,(1/$AR32)/((1/$AR32)+(1/$AS32)),1/$AR32),""))</x:f>
      </x:c>
      <x:c r="ED32" s="117" t="str">
        <x:f t="shared" si="15">IF($A32="","",IF($EC32="","",$EA32-$EC32))</x:f>
      </x:c>
      <x:c r="EE32" s="117" t="str">
        <x:f t="shared" si="16">""</x:f>
      </x:c>
      <x:c r="EF32" s="119" t="str">
        <x:f>IF($A32="","",MAX(0,MIN(100,$CE32-200*MAX(0,$EG32-'Setari model'!$B$77)-IF($AU32&lt;&gt;1,10,0)-IF(COUNT($CY32:$DB32)&lt;4,4,0))))</x:f>
      </x:c>
      <x:c r="EG32" s="117" t="str">
        <x:f>IF($A32="","",'Setari model'!$B$77+IF(MIN($I32,$P32)&lt;'Setari model'!$B$58,0.03,0)+IF(OR($CK32=1,$CL32=1,AND($CJ32&lt;&gt;"",$CJ32&lt;=1)),0.03,0)+IF($AG32=0,0.02,0)+0.03*(1-MIN(1,COUNT($CM32:$CV32)/10))+0.03*(1-MIN(1,IF($AN32="",0,$AN32/'Setari model'!$B$64)))+IF($AR32&lt;=1,0.02,0))</x:f>
      </x:c>
      <x:c r="EH32" s="113" t="str">
        <x:f>IF($A32="","",IF(OR(MIN($I32,$P32)&lt;'Setari model'!$B$58,$CK32=1,$CL32=1,AND($CJ32&lt;&gt;"",$CJ32&lt;=1)),"92% – early/regim",IF(AND($AU32=1,$AR32&gt;1,COUNT($CY32:$DB32)=4),"94% – confirmat","93% – standard")))</x:f>
      </x:c>
      <x:c r="EI32" s="113" t="str">
        <x:f t="shared" si="17">IF($A32="","",IF(AND($EA32&gt;0.9,$AU32&lt;&gt;1),"WAIT XI – HIGH P",IF(AND($EA32&gt;0.9,COUNT($CY32:$DB32)&lt;4),"WAIT DATE CHEIE – HIGH P",IF($EP32&lt;&gt;"DA","NU – PORTOFOLIU","DA"))))</x:f>
      </x:c>
      <x:c r="EJ32" s="117" t="str">
        <x:f t="shared" si="18">IF($A32="","",IF($DE32&lt;&gt;"Live 20-30","",IF(SUM($DG32:$DH32)&gt;0,1,IF($EU32="","",1-MIN(0.95,MAX(0.001,EXP(-$EU32)*$DX32*$DY32/$DW32))))))</x:f>
      </x:c>
      <x:c r="EK32" s="117" t="str">
        <x:f t="shared" si="19">""</x:f>
      </x:c>
      <x:c r="EL32" s="113" t="str">
        <x:f>IF($A32="","",IF($DE32="Live 20-30",IF(SUM($DG32:$DH32)&gt;0,"EVENIMENT ÎNDEPLINIT",IF(OR($DF32="",COUNT($DI32:$DN32)&lt;4),"LIVE – WATCH",IF($EJ32&gt;=0.75,"LIVE – FEZABIL TEHNIC","LIVE – NO BET"))),IF($EI32&lt;&gt;"DA","WATCH / NO BET",IF(AND($EA32&gt;=INDEX('Setari model'!$B$35:$B$40,1),$EF32&gt;=100*'Setari model'!$B$76),"PARIU RECOMANDAT",IF(AND($EA32&gt;=INDEX('Setari model'!$B$35:$B$40,5),$EF32&gt;=100*'Setari model'!$B$40),"WATCH – APROAPE DE PRAG","PARIU EVITAT")))))</x:f>
      </x:c>
      <x:c r="EM32" s="113" t="str">
        <x:f t="shared" si="20">IF($A32="","",IF($DE32="Live 20-30",IF(SUM($DG32:$DH32)&gt;0,"Gol deja marcat.",IF($DF32="","Minut live lipsă.",IF(COUNT($DI32:$DN32)&lt;4,"Lipsesc xG/SOT/big chances live.",IF($EJ32&lt;0.75,"P live sub prag.","Semnal live tehnic complet; EV ignorat.")))),IF($EI32&lt;&gt;"DA",$EI32,IF($EF32&lt;75,"Confidence sub 75.",IF($EA32&lt;0.92,"P sub 92%.","G0/Zero-Mass + confidence trecute; EV ignorat.")))))</x:f>
      </x:c>
      <x:c r="EN32" s="117" t="str">
        <x:f>IF($A32="","",IF(OR($EL32="PARIU RECOMANDAT",$EL32="LIVE – FEZABIL"),MIN(IF($DU32&gt;0,$DU32,'Setari model'!$B$81)/MAX(1,$DR32),IF($DV32&gt;0,$DV32,'Setari model'!$B$80)*MAX(0,((IF($DE32="Live 20-30",$EJ32,$EA32)*IF($DE32="Live 20-30",$DQ32,$AR32)-1)/(IF($DE32="Live 20-30",$DQ32,$AR32)-1)))),0))</x:f>
      </x:c>
      <x:c r="EO32" s="121" t="str">
        <x:f t="shared" si="21">IF($A32="","",IF(AND($EN32&gt;0,$DT32&gt;0),$EN32*$DT32,""))</x:f>
      </x:c>
      <x:c r="EP32" s="113" t="str">
        <x:f>IF($A32="","",IF(OR($DR32&lt;1,$DR32&gt;'Setari model'!$B$78),"NU – 1–5 selecții",IF($DS32&gt;'Setari model'!$B$79,"NU – corelație", "DA")))</x:f>
      </x:c>
      <x:c r="EQ32" s="117" t="str">
        <x:f t="shared" si="22">IF($A32="","",IF(AND($DC32&gt;1,$DD32&gt;1),$DC32/$DD32-1,""))</x:f>
      </x:c>
      <x:c r="ER32" s="113" t="str">
        <x:f t="shared" si="23">IF($A32="","","P v2="&amp;TEXT($EA32,"0.0%")&amp;" ±"&amp;TEXT($EG32,"0.0%")&amp;"; P0 ZIP="&amp;TEXT($DZ32,"0.0%")&amp;"; Confidence="&amp;TEXT($EF32,"0")&amp;"/100; piață reală="&amp;IF($EC32="","NU","DA")&amp;"; EV="&amp;IF($EE32="","n/a",TEXT($EE32,"0.0%"))&amp;"; gate="&amp;$EI32&amp;"; verdict="&amp;$EL32&amp;". "&amp;$EM32)</x:f>
      </x:c>
      <x:c r="ES32" s="119" t="str">
        <x:f>IF($A32="","",'Setari model'!$B$82)</x:f>
      </x:c>
      <x:c r="ET32" s="118" t="str">
        <x:f>IF($A32="","",'Setari model'!$B$83)</x:f>
      </x:c>
      <x:c r="EU32" s="115" t="str">
        <x:f t="shared" si="24">IF(OR($A32="",$DE32&lt;&gt;"Live 20-30",$DF32="",$DF32&lt;$ES32,$DF32&gt;=90),"",MAX(0.05,MIN($BS32*$ET32,$BS32*(90-$DF32)/90+0.35*($DI32+$DJ32)+0.06*($DK32+$DL32)+0.15*($DM32+$DN32)+0.1*(MAX($DO32,$DP32)-MIN($DO32,$DP32)))))</x:f>
      </x:c>
      <x:c r="EV32" s="132"/>
      <x:c r="EW32" s="132"/>
      <x:c r="EX32" s="132"/>
      <x:c r="EY32" s="132"/>
      <x:c r="EZ32" s="132"/>
      <x:c r="FA32" s="132"/>
      <x:c r="FB32" s="247"/>
      <x:c r="FC32" s="134" t="str">
        <x:f t="shared" si="25">IF($A32="","",IF(OR($J32="",$L32="",$L32&lt;=0),"",MAX(0.5,MIN(1.5,$J32/$L32))))</x:f>
      </x:c>
      <x:c r="FD32" s="134" t="str">
        <x:f t="shared" si="26">IF($A32="","",IF(OR($Q32="",$S32="",$S32&lt;=0),"",MAX(0.5,MIN(1.5,$Q32/$S32))))</x:f>
      </x:c>
      <x:c r="FE32" s="134" t="str">
        <x:f>IF($A32="","",IF(COUNT($EV32:$EW32)&lt;2,"",SQRT($EV32*$EW32)/'Setari model'!$B$87))</x:f>
      </x:c>
      <x:c r="FF32" s="134" t="str">
        <x:f>IF($A32="","",IF(COUNT($O32,$V32,$EX32,$EY32)&lt;4,"",AVERAGE(SQRT($O32*$EY32),SQRT($V32*$EX32))/'Setari model'!$B$88))</x:f>
      </x:c>
      <x:c r="FG32" s="134" t="str">
        <x:f t="shared" si="27">IF($A32="","",IF(COUNT($FC32:$FD32)&lt;2,"",MAX(0,1-AVERAGE($FC32:$FD32))))</x:f>
      </x:c>
      <x:c r="FH32" s="134" t="str">
        <x:f>IF($A32="","",IF(COUNT($EZ32:$FA32)&lt;2,"",'Setari model'!$B$94*AVERAGE($EZ32:$FA32)/'Setari model'!$B$89))</x:f>
      </x:c>
      <x:c r="FI32" s="134" t="str">
        <x:f>IF($A32="","",IF(COUNT($FE32:$FH32)&lt;4,"",MAX('Setari model'!$B$97,MIN('Setari model'!$B$98,1+'Setari model'!$B$90*($FE32-1)+'Setari model'!$B$91*($FF32-1)+'Setari model'!$B$92*$FG32+'Setari model'!$B$93*($FH32-1)))))</x:f>
      </x:c>
      <x:c r="FJ32" s="133" t="str">
        <x:f>IF($A32="","",IF($FI32="","",MIN('Setari model'!$B$101,MAX(0.002,$DZ32*$FI32))))</x:f>
      </x:c>
      <x:c r="FK32" s="131" t="str">
        <x:f t="shared" si="28">IF($A32="","",IF(AND(COUNT($EV32:$FA32)=6,COUNT($O32,$V32,$FC32,$FD32)=4),"DA","NU"))</x:f>
      </x:c>
      <x:c r="FL32" s="131" t="str">
        <x:f>IF($A32="","",IF($FK32&lt;&gt;"DA","NEDETERMINAT",IF($FI32&lt;='Setari model'!$B$99,"SCĂZUT",IF($FI32&lt;='Setari model'!$B$100,"MEDIU","RIDICAT"))))</x:f>
      </x:c>
      <x:c r="FM32" s="131" t="str">
        <x:f>IF($A32="","",IF(AND($AR32&gt;1,$EC32&gt;='Setari model'!$B$106),"DA","NU"))</x:f>
      </x:c>
      <x:c r="FN32" s="131" t="str">
        <x:f t="shared" si="29">IF($A32="","",IF(AND($AU32=1,COUNT($CY32:$DB32)=4),"DA","NU"))</x:f>
      </x:c>
      <x:c r="FO32" s="133" t="str">
        <x:f>IF($A32="","",IF(OR($FK32&lt;&gt;"DA",$FL32="RIDICAT"),'Setari model'!$B$102,IF($FL32="MEDIU",'Setari model'!$B$103,IF(AND($FM32="DA",$FN32="DA"),'Setari model'!$B$105,'Setari model'!$B$104))))</x:f>
      </x:c>
      <x:c r="FP32" s="133" t="str">
        <x:f t="shared" si="30">IF($A32="","",IF($FJ32="","",MIN(1-$FJ32,$FO32)))</x:f>
      </x:c>
      <x:c r="FQ32" s="135" t="str">
        <x:f t="shared" si="31">IF($A32="","",IF($FP32="","",IF($FP32&gt;0,1/$FP32,"")))</x:f>
      </x:c>
      <x:c r="FR32" s="133" t="str">
        <x:f t="shared" si="32">IF($A32="","",IF($EC32="","",$FP32-$EC32))</x:f>
      </x:c>
      <x:c r="FS32" s="133" t="str">
        <x:f t="shared" si="33">IF($A32="","",IF($AR32&gt;1,$FP32*$AR32-1,""))</x:f>
      </x:c>
      <x:c r="FT32" s="136" t="str">
        <x:f>IF($A32="","",MAX(0,MIN(100,$EF32-IF($FK32&lt;&gt;"DA",'Setari model'!$B$107,0)-IF($FL32="MEDIU",'Setari model'!$B$108,0)-IF($FL32="RIDICAT",'Setari model'!$B$109,0))))</x:f>
      </x:c>
      <x:c r="FU32" s="131" t="str">
        <x:f t="shared" si="34">IF($A32="","",IF($AR32&lt;=1,"NU – LIPSEȘTE COTA REALĂ",IF($FK32&lt;&gt;"DA","NU – ZERO-RISK INCOMPLET",IF($FL32&lt;&gt;"SCĂZUT","NU – RISC 0-0 "&amp;$FL32,IF($FN32&lt;&gt;"DA","NU – LINEUP NECONFIRMAT",IF($FM32&lt;&gt;"DA","NU – PIAȚĂ NECONFIRMATĂ",IF($EP32&lt;&gt;"DA","NU – PORTOFOLIU","DA")))))))</x:f>
      </x:c>
      <x:c r="FV32" s="131" t="str">
        <x:f>IF($A32="","",IF($FU32&lt;&gt;"DA","WATCH / NO BET",IF(AND($FP32&gt;='Setari model'!$B$35,$FT32&gt;=100*'Setari model'!$B$76,$FS32&gt;0),"PARIU RECOMANDAT",IF(AND($FP32&gt;='Setari model'!$B$39,$FT32&gt;=100*'Setari model'!$B$40,$FS32&gt;0),"WATCH – APROAPE DE PRAG","PARIU EVITAT"))))</x:f>
      </x:c>
      <x:c r="FW32" s="131" t="str">
        <x:f t="shared" si="35">IF($A32="","",IF($FU32&lt;&gt;"DA",$FU32,IF($FT32&lt;75,"Confidence v3 sub 75.",IF($FP32&lt;0.92,"P v3 sub 92%.",IF($FS32&lt;=0,"EV v3 nepozitiv.","P0 v3, lineup și piață confirmate.")))))</x:f>
      </x:c>
      <x:c r="FX32" s="131" t="str">
        <x:f t="shared" si="36">IF($A32="","","P v3="&amp;TEXT($FP32,"0.0%")&amp;"; P0 v3="&amp;TEXT($FJ32,"0.0%")&amp;"; factor zero="&amp;IF($FI32="","n/a",TEXT($FI32,"0.00x"))&amp;" ("&amp;$FL32&amp;"); cap="&amp;TEXT($FO32,"0.0%")&amp;"; Confidence="&amp;TEXT($FT32,"0")&amp;"/100; lineup="&amp;$FN32&amp;"; piață="&amp;$FM32&amp;"; EV="&amp;IF($FS32="","n/a",TEXT($FS32,"0.0%"))&amp;"; gate="&amp;$FU32&amp;"; verdict="&amp;$FV32&amp;". "&amp;$FW32)</x:f>
      </x:c>
      <x:c r="FY32" s="159"/>
      <x:c r="FZ32" s="159"/>
      <x:c r="GA32" s="157"/>
      <x:c r="GB32" s="157"/>
      <x:c r="GC32" s="161" t="str">
        <x:f t="shared" si="37">IF($A32="","",IF(OR($X32="",$Z32="",$Z32&lt;=0),"",MAX(0.5,MIN(1.5,$X32/$Z32))))</x:f>
      </x:c>
      <x:c r="GD32" s="161" t="str">
        <x:f t="shared" si="38">IF($A32="","",IF(OR($AC32="",$AE32="",$AE32&lt;=0),"",MAX(0.5,MIN(1.5,$AC32/$AE32))))</x:f>
      </x:c>
      <x:c r="GE32" s="162" t="str">
        <x:f t="shared" si="39">IF($A32="","",IF(COUNT($Z32,$AE32)&lt;2,"",AVERAGE($Z32,$AE32)))</x:f>
      </x:c>
      <x:c r="GF32" s="158" t="str">
        <x:f>IF($A32="","",IF(COUNT($FY32:$FZ32)&lt;2,"NEDETERMINAT",IF(AND($FY32&gt;='Setari model'!$B$113,$FZ32&gt;='Setari model'!$B$113),"DA","NU")))</x:f>
      </x:c>
      <x:c r="GG32" s="158" t="str">
        <x:f>IF($A32="","",IF(COUNT($FY32:$FZ32,$EX32:$EY32)&lt;4,"NEDETERMINAT",IF(OR(AND($FY32&gt;='Setari model'!$B$113,$EY32&gt;='Setari model'!$B$114),AND($FZ32&gt;='Setari model'!$B$113,$EX32&gt;='Setari model'!$B$114)),"DA","NU")))</x:f>
      </x:c>
      <x:c r="GH32" s="158" t="str">
        <x:f>IF($A32="","",IF(COUNT($BJ32:$BN32,$GC32:$GE32)&lt;8,"NEDETERMINAT",IF(AND((($BJ32*INDEX('Setari model'!$B$5:$B$11,MATCH($E32,'Setari model'!$A$5:$A$11,0))+$BK32*INDEX('Setari model'!$C$5:$C$11,MATCH($E32,'Setari model'!$A$5:$A$11,0))+$BL32*INDEX('Setari model'!$D$5:$D$11,MATCH($E32,'Setari model'!$A$5:$A$11,0))+$BM32*INDEX('Setari model'!$E$5:$E$11,MATCH($E32,'Setari model'!$A$5:$A$11,0))+$BN32*INDEX('Setari model'!$F$5:$F$11,MATCH($E32,'Setari model'!$A$5:$A$11,0)))/(INDEX('Setari model'!$B$5:$B$11,MATCH($E32,'Setari model'!$A$5:$A$11,0))+INDEX('Setari model'!$C$5:$C$11,MATCH($E32,'Setari model'!$A$5:$A$11,0))+INDEX('Setari model'!$D$5:$D$11,MATCH($E32,'Setari model'!$A$5:$A$11,0))+INDEX('Setari model'!$E$5:$E$11,MATCH($E32,'Setari model'!$A$5:$A$11,0))+INDEX('Setari model'!$F$5:$F$11,MATCH($E32,'Setari model'!$A$5:$A$11,0))))*$BR32&gt;='Setari model'!$B$115,(($BJ32*INDEX('Setari model'!$B$5:$B$11,MATCH($E32,'Setari model'!$A$5:$A$11,0))+$BK32*INDEX('Setari model'!$C$5:$C$11,MATCH($E32,'Setari model'!$A$5:$A$11,0))+$BL32*INDEX('Setari model'!$D$5:$D$11,MATCH($E32,'Setari model'!$A$5:$A$11,0))+$BM32*INDEX('Setari model'!$E$5:$E$11,MATCH($E32,'Setari model'!$A$5:$A$11,0))+$BN32*INDEX('Setari model'!$F$5:$F$11,MATCH($E32,'Setari model'!$A$5:$A$11,0)))/(INDEX('Setari model'!$B$5:$B$11,MATCH($E32,'Setari model'!$A$5:$A$11,0))+INDEX('Setari model'!$C$5:$C$11,MATCH($E32,'Setari model'!$A$5:$A$11,0))+INDEX('Setari model'!$D$5:$D$11,MATCH($E32,'Setari model'!$A$5:$A$11,0))+INDEX('Setari model'!$E$5:$E$11,MATCH($E32,'Setari model'!$A$5:$A$11,0))+INDEX('Setari model'!$F$5:$F$11,MATCH($E32,'Setari model'!$A$5:$A$11,0))))*$BR32&lt;='Setari model'!$B$116,AVERAGE($GC32:$GD32)&lt;='Setari model'!$B$117,$GE32&gt;='Setari model'!$B$118),"DA","NU")))</x:f>
      </x:c>
      <x:c r="GI32" s="158" t="str">
        <x:f>IF($A32="","",IF(COUNT($W32,$AB32,$GA32:$GB32)&lt;4,"NEDETERMINAT",IF(AND($W32&gt;='Setari model'!$B$120,$AB32&gt;='Setari model'!$B$120,OR(IFERROR($GA32/$W32,0)&gt;='Setari model'!$B$119,IFERROR($GB32/$AB32,0)&gt;='Setari model'!$B$119)),"DA","NU")))</x:f>
      </x:c>
      <x:c r="GJ32" s="160" t="str">
        <x:f>IF($A32="","",IF(COUNT($FY32:$GB32)&lt;4,"",IF($GH32&lt;&gt;"DA",0,'Setari model'!$B$121*IF($GF32="DA",1,0)+'Setari model'!$B$122*IF($GG32="DA",1,0)+'Setari model'!$B$123+'Setari model'!$B$124*IF($GI32="DA",1,0))))</x:f>
      </x:c>
      <x:c r="GK32" s="161" t="str">
        <x:f>IF($A32="","",IF(COUNT($GJ32)=0,"",1+'Setari model'!$B$125*$GJ32))</x:f>
      </x:c>
      <x:c r="GL32" s="160" t="str">
        <x:f>IF($A32="","",IF($GM32&lt;&gt;"DA",$FJ32,MIN('Setari model'!$B$101,MAX(0.002,$FJ32*$GK32))))</x:f>
      </x:c>
      <x:c r="GM32" s="158" t="str">
        <x:f>IF($A32="","",IF(AND($FK32="DA",COUNT($FY32:$GB32)=4,COUNT($I32,$P32,$W32,$AB32,$Z32,$AE32,$EX32,$EY32,$GC32,$GD32)=10,COUNT($BJ32:$BN32)=5),"DA","NU"))</x:f>
      </x:c>
      <x:c r="GN32" s="158" t="str">
        <x:f>IF($A32="","",IF($GM32&lt;&gt;"DA","NEDETERMINAT",IF($FI32*$GK32&lt;='Setari model'!$B$99,"SCĂZUT",IF($FI32*$GK32&lt;='Setari model'!$B$100,"MEDIU","RIDICAT"))))</x:f>
      </x:c>
      <x:c r="GO32" s="160" t="str">
        <x:f>IF($A32="","",IF(OR($GM32&lt;&gt;"DA",$GN32="RIDICAT"),'Setari model'!$B$102,IF($GN32="MEDIU",'Setari model'!$B$103,IF(AND($FM32="DA",$FN32="DA"),'Setari model'!$B$105,'Setari model'!$B$104))))</x:f>
      </x:c>
      <x:c r="GP32" s="160" t="str">
        <x:f t="shared" si="40">IF($A32="","",IF($GL32="","",MIN(1-$GL32,$GO32)))</x:f>
      </x:c>
      <x:c r="GQ32" s="162" t="str">
        <x:f t="shared" si="41">IF($A32="","",IF($GP32="","",IF($GP32&gt;0,1/$GP32,"")))</x:f>
      </x:c>
      <x:c r="GR32" s="160" t="str">
        <x:f t="shared" si="42">IF($A32="","",IF($EC32="","",$GP32-$EC32))</x:f>
      </x:c>
      <x:c r="GS32" s="160" t="str">
        <x:f t="shared" si="43">IF($A32="","",IF($AR32&gt;1,$GP32*$AR32-1,""))</x:f>
      </x:c>
      <x:c r="GT32" s="163" t="str">
        <x:f>IF($A32="","",MAX(0,MIN(100,$FT32-IF(AND($GM32&lt;&gt;"DA",$FK32="DA"),'Setari model'!$B$107,0)-'Setari model'!$B$126*IF($GJ32="",0,$GJ32))))</x:f>
      </x:c>
      <x:c r="GU32" s="158" t="str">
        <x:f t="shared" si="44">IF($A32="","",IF($AR32&lt;=1,"NU – LIPSEȘTE COTA REALĂ",IF($GM32&lt;&gt;"DA","NU – DATE LOW-CONVERSION INCOMPLETE",IF($GN32&lt;&gt;"SCĂZUT","NU – RISC 0-0 "&amp;$GN32,IF($FN32&lt;&gt;"DA","NU – LINEUP NECONFIRMAT",IF($FM32&lt;&gt;"DA","NU – PIAȚĂ NECONFIRMATĂ",IF($EP32&lt;&gt;"DA","NU – PORTOFOLIU","DA")))))))</x:f>
      </x:c>
      <x:c r="GV32" s="158" t="str">
        <x:f>IF($A32="","",IF($GU32&lt;&gt;"DA","WATCH / NO BET",IF(AND($GP32&gt;='Setari model'!$B$35,$GT32&gt;=100*'Setari model'!$B$76,$GS32&gt;0),"PARIU RECOMANDAT",IF(AND($GP32&gt;='Setari model'!$B$39,$GT32&gt;=100*'Setari model'!$B$40,$GS32&gt;0),"WATCH – APROAPE DE PRAG","PARIU EVITAT"))))</x:f>
      </x:c>
      <x:c r="GW32" s="158" t="str">
        <x:f t="shared" si="45">IF($A32="","",IF($GU32&lt;&gt;"DA",$GU32,IF($GT32&lt;75,"Confidence v5 sub 75.",IF($GP32&lt;0.92,"P v5 sub 92%.",IF($GS32&lt;=0,"EV v5 nepozitiv.",IF($GJ32&gt;0,"Low-conversion absorbit în P0; toate porțile rămân trecute.","Toate porțile v5 sunt trecute."))))))</x:f>
      </x:c>
      <x:c r="GX32" s="158" t="str">
        <x:f t="shared" si="46">IF($A32="","","P v5="&amp;TEXT($GP32,"0.0%")&amp;"; P0 v5="&amp;TEXT($GL32,"0.0%")&amp;"; low-conv="&amp;IF(COUNT($GJ32)=0,"n/a",TEXT($GJ32,"0%"))&amp;"; mult.P0="&amp;IF(COUNT($GK32)=0,"n/a",TEXT($GK32,"0.00"))&amp;"; clasă="&amp;$GN32&amp;"; cap="&amp;TEXT($GO32,"0.0%")&amp;"; Confidence="&amp;TEXT($GT32,"0")&amp;"/100; lineup="&amp;$FN32&amp;"; piață="&amp;$FM32&amp;"; EV="&amp;IF($GS32="","n/a",TEXT($GS32,"0.0%"))&amp;"; gate="&amp;$GU32&amp;"; verdict="&amp;$GV32&amp;". "&amp;$GW32)</x:f>
      </x:c>
      <x:c r="GY32" s="174" t="str">
        <x:f>IF($A32="","",IF($GM32&lt;&gt;"DA","SOURCING INCOMPLETE – REVIEW REQUIRED",IF(MIN($I32,$P32,$W32,$AB32)&lt;'Setari model'!$B$58,"SMALL SAMPLE + PRIOR / SHRINKAGE","VERIFIED / PRIOR / SHRINKAGE")))</x:f>
      </x:c>
      <x:c r="GZ32" s="175" t="str">
        <x:f t="shared" si="47">IF($A32="","",MAX(0,MIN(100,100*(1-AVERAGE(IF($GM32="DA",1,0),MIN(1,$AT32/5))))))</x:f>
      </x:c>
      <x:c r="HA32" s="175" t="str">
        <x:f>IF($A32="","",IF($GM32&lt;&gt;"DA","",MAX(0,MIN(100,100*(($FI32*$GK32)-'Setari model'!$B$97)/('Setari model'!$B$98-'Setari model'!$B$97)))))</x:f>
      </x:c>
      <x:c r="HB32" s="175" t="str">
        <x:f>IF($A32="","",MAX(0,MIN(100,100*(ABS($BR32-1)/MAX(1-'Setari model'!$B$53,'Setari model'!$B$54-1)+MIN(1,$BG32/2))/2)))</x:f>
      </x:c>
      <x:c r="HC32" s="175" t="str">
        <x:f t="shared" si="48">IF($A32="","",MAX(0,MIN(100,100*(1-AVERAGE($CC32,MAX(0,1-(MAX($BJ32:$BN32)-MIN($BJ32:$BN32))/(AVERAGE($BJ32:$BN32)*'Setari model'!$B$45)))))))</x:f>
      </x:c>
      <x:c r="HD32" s="175" t="str">
        <x:f t="shared" si="49">IF($A32="","",MAX(0,MIN(100,100*MAX(IF($GJ32="",0,$GJ32),MIN(1,$BG32/2)))))</x:f>
      </x:c>
      <x:c r="HE32" s="175" t="str">
        <x:f>IF($A32="","",IF(COUNT($GZ32:$HD32)&lt;5,"",$GZ32*Risk_Classification!$E$28+$HA32*Risk_Classification!$E$29+$HB32*Risk_Classification!$E$30+$HC32*Risk_Classification!$E$31+$HD32*Risk_Classification!$E$32))</x:f>
      </x:c>
      <x:c r="HF32" s="176" t="str">
        <x:f t="shared" si="50">IF($A32="","",IF($HE32="","",IF($HE32&lt;=20,1,IF($HE32&lt;=40,2,IF($HE32&lt;=60,3,IF($HE32&lt;=80,4,5))))))</x:f>
      </x:c>
      <x:c r="HG32" s="176" t="str">
        <x:f t="shared" si="51">IF($A32="","",IF($GM32="DA","PASS","FAIL – DATE CRITICE ZERO-MASS INCOMPLETE"))</x:f>
      </x:c>
      <x:c r="HH32" s="176" t="str">
        <x:f t="shared" si="52">IF($A32="","",IF($HG32&lt;&gt;"PASS",5,$HF32))</x:f>
      </x:c>
      <x:c r="HI32" s="174" t="str">
        <x:f t="shared" si="53">IF($A32="","",IF($HH32="","N/A",IF($HH32=1,"DEFENSIV",IF($HH32=2,"PRUDENT",IF($HH32=3,"MODERAT",IF($HH32=4,"RIDICAT","WATCH / NO BET"))))))</x:f>
      </x:c>
      <x:c r="HJ32" s="177" t="str">
        <x:f t="shared" si="54">IF($A32="","","Data="&amp;$GY32&amp;"; DQ="&amp;TEXT($GZ32,"0.0")&amp;"; ZM="&amp;IF($HA32="","n/a",TEXT($HA32,"0.0"))&amp;"; Context="&amp;TEXT($HB32,"0.0")&amp;"; Uncertainty="&amp;TEXT($HC32,"0.0")&amp;"; Compound="&amp;TEXT($HD32,"0.0")&amp;"; Risk Score="&amp;IF($HE32="","n/a",TEXT($HE32,"0.0"))&amp;"; Base="&amp;IF($HF32="","n/a",$HF32)&amp;"; G0="&amp;$HG32&amp;"; Final="&amp;$HH32&amp;". Cota, EV si lineup sunt informative si nu intra in recomandare.")</x:f>
      </x:c>
      <x:c r="HK32" s="174" t="str">
        <x:f t="shared" si="55">IF($A32="","",$HI32)</x:f>
      </x:c>
    </x:row>
    <x:row r="33" ht="24" customHeight="1">
      <x:c r="A33" s="58"/>
      <x:c r="B33" s="24"/>
      <x:c r="C33" s="59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18"/>
      <x:c r="O33" s="18"/>
      <x:c r="P33" s="24"/>
      <x:c r="Q33" s="24"/>
      <x:c r="R33" s="24"/>
      <x:c r="S33" s="24"/>
      <x:c r="T33" s="24"/>
      <x:c r="U33" s="18"/>
      <x:c r="V33" s="18"/>
      <x:c r="W33" s="24"/>
      <x:c r="X33" s="24"/>
      <x:c r="Y33" s="24"/>
      <x:c r="Z33" s="24"/>
      <x:c r="AA33" s="24"/>
      <x:c r="AB33" s="24"/>
      <x:c r="AC33" s="24"/>
      <x:c r="AD33" s="24"/>
      <x:c r="AE33" s="24"/>
      <x:c r="AF33" s="24"/>
      <x:c r="AG33" s="24"/>
      <x:c r="AH33" s="24"/>
      <x:c r="AI33" s="18"/>
      <x:c r="AJ33" s="24"/>
      <x:c r="AK33" s="24"/>
      <x:c r="AL33" s="24"/>
      <x:c r="AM33" s="18"/>
      <x:c r="AN33" s="24"/>
      <x:c r="AO33" s="60"/>
      <x:c r="AP33" s="60"/>
      <x:c r="AQ33" s="60"/>
      <x:c r="AR33" s="60"/>
      <x:c r="AS33" s="60"/>
      <x:c r="AT33" s="24"/>
      <x:c r="AU33" s="24"/>
      <x:c r="AV33" s="24"/>
      <x:c r="AW33" s="24"/>
      <x:c r="AX33" s="24"/>
      <x:c r="AY33" s="24"/>
      <x:c r="AZ33" s="24"/>
      <x:c r="BA33" s="24"/>
      <x:c r="BB33" s="24"/>
      <x:c r="BC33" s="24"/>
      <x:c r="BD33" s="24"/>
      <x:c r="BE33" s="24"/>
      <x:c r="BF33" s="24"/>
      <x:c r="BG33" s="24"/>
      <x:c r="BH33" s="61"/>
      <x:c r="BI33" s="61"/>
      <x:c r="BJ33" s="62" t="str">
        <x:f>IF($A33="","",SQRT((($I33*IF($J33="",$AJ33,$J33)+'Setari model'!$B$30*$AJ33)/($I33+'Setari model'!$B$30))*(($P33*IF($R33="",$AJ33,$R33)+'Setari model'!$B$30*$AJ33)/($P33+'Setari model'!$B$30)))+SQRT((($P33*IF($Q33="",$AK33,$Q33)+'Setari model'!$B$30*$AK33)/($P33+'Setari model'!$B$30))*(($I33*IF($K33="",$AK33,$K33)+'Setari model'!$B$30*$AK33)/($I33+'Setari model'!$B$30))))</x:f>
      </x:c>
      <x:c r="BK33" s="62" t="str">
        <x:f>IF($A33="","",SQRT((($I33*IF($L33="",IF($J33="",$AJ33,$J33),$L33)+'Setari model'!$B$30*$AJ33)/($I33+'Setari model'!$B$30))*(($P33*IF($T33="",IF($R33="",$AJ33,$R33),$T33)+'Setari model'!$B$30*$AJ33)/($P33+'Setari model'!$B$30)))+SQRT((($P33*IF($S33="",IF($Q33="",$AK33,$Q33),$S33)+'Setari model'!$B$30*$AK33)/($P33+'Setari model'!$B$30))*(($I33*IF($M33="",IF($K33="",$AK33,$K33),$M33)+'Setari model'!$B$30*$AK33)/($I33+'Setari model'!$B$30))))</x:f>
      </x:c>
      <x:c r="BL33" s="62" t="str">
        <x:f>IF($A33="","",SQRT((($W33*IF($X33="",$AL33/2,$X33)+'Setari model'!$B$31*$AL33/2)/($W33+'Setari model'!$B$31))*(($AB33*IF($AD33="",$AL33/2,$AD33)+'Setari model'!$B$31*$AL33/2)/($AB33+'Setari model'!$B$31)))+SQRT((($AB33*IF($AC33="",$AL33/2,$AC33)+'Setari model'!$B$31*$AL33/2)/($AB33+'Setari model'!$B$31))*(($W33*IF($Y33="",$AL33/2,$Y33)+'Setari model'!$B$31*$AL33/2)/($W33+'Setari model'!$B$31))))</x:f>
      </x:c>
      <x:c r="BM33" s="62" t="str">
        <x:f>IF($A33="","",SQRT((($W33*IF($Z33="",IF($X33="",$AL33/2,$X33),$Z33)+'Setari model'!$B$31*$AL33/2)/($W33+'Setari model'!$B$31))*(($AB33*IF($AF33="",IF($AD33="",$AL33/2,$AD33),$AF33)+'Setari model'!$B$31*$AL33/2)/($AB33+'Setari model'!$B$31)))+SQRT((($AB33*IF($AE33="",IF($AC33="",$AL33/2,$AC33),$AE33)+'Setari model'!$B$31*$AL33/2)/($AB33+'Setari model'!$B$31))*(($W33*IF($AA33="",IF($Y33="",$AL33/2,$Y33),$AA33)+'Setari model'!$B$31*$AL33/2)/($W33+'Setari model'!$B$31))))</x:f>
      </x:c>
      <x:c r="BN33" s="62" t="str">
        <x:f t="shared" si="0">IF($A33="","",IF($AG33&gt;0,($AG33*IF($AH33="",$AL33,$AH33)+5*$AL33)/($AG33+5),$AL33))</x:f>
      </x:c>
      <x:c r="BO33" s="63" t="str">
        <x:f>IF($A33="","",IF($AR33&gt;1,IF($AS33&gt;1,(1/$AR33)/((1/$AR33+1/$AS33)),MIN(0.995,(1/$AR33)/(1+'Setari model'!$B$32))),1-EXP(-$AL33)))</x:f>
      </x:c>
      <x:c r="BP33" s="62" t="str">
        <x:f t="shared" si="1">IF($A33="","",-LN(1-$BO33))</x:f>
      </x:c>
      <x:c r="BQ33" s="62" t="str">
        <x:f>IF($A33="","",$BJ33*INDEX('Setari model'!$B$5:$B$11,MATCH($E33,'Setari model'!$A$5:$A$11,0))+$BK33*INDEX('Setari model'!$C$5:$C$11,MATCH($E33,'Setari model'!$A$5:$A$11,0))+$BL33*INDEX('Setari model'!$D$5:$D$11,MATCH($E33,'Setari model'!$A$5:$A$11,0))+$BM33*INDEX('Setari model'!$E$5:$E$11,MATCH($E33,'Setari model'!$A$5:$A$11,0))+$BN33*INDEX('Setari model'!$F$5:$F$11,MATCH($E33,'Setari model'!$A$5:$A$11,0))+$BP33*INDEX('Setari model'!$G$5:$G$11,MATCH($E33,'Setari model'!$A$5:$A$11,0)))</x:f>
      </x:c>
      <x:c r="BR33" s="64" t="str">
        <x:f>IF($A33="","",MAX('Setari model'!$B$53,MIN('Setari model'!$B$54,1+($AV33*'Setari model'!$B$15+$AW33*'Setari model'!$B$16+$AX33*'Setari model'!$B$17+$AY33*'Setari model'!$B$18+$AZ33*'Setari model'!$B$19+$BA33*'Setari model'!$B$20+$BB33*'Setari model'!$B$21+$BC33*'Setari model'!$B$22+$BD33*'Setari model'!$B$23+$BE33*'Setari model'!$B$24+$BF33*'Setari model'!$B$25)*INDEX('Setari model'!$H$5:$H$11,MATCH($E33,'Setari model'!$A$5:$A$11,0)))))</x:f>
      </x:c>
      <x:c r="BS33" s="62" t="str">
        <x:f t="shared" si="2">IF($A33="","",$BQ33*$BR33)</x:f>
      </x:c>
      <x:c r="BT33" s="63" t="str">
        <x:f t="shared" si="3">IF($A33="","",EXP(-$BS33))</x:f>
      </x:c>
      <x:c r="BU33" s="65" t="str">
        <x:f>IF($A33="","",IF(OR($AM33="",$AN33=""),1,1+MIN('Setari model'!$B$33,$AN33/100*'Setari model'!$B$33)*($AM33/EXP(-$AL33)-1)))</x:f>
      </x:c>
      <x:c r="BV33" s="63" t="str">
        <x:f>IF($A33="","",MIN(0.45,MAX(0.005,(1-'Setari model'!$B$34*MIN(1,($I33+$P33)/20))*MIN(0.45,$BT33*$BU33)+'Setari model'!$B$34*MIN(1,($I33+$P33)/20)*IF(COUNT($N33,$U33)=2,SQRT(MAX(0,1-$N33)*MAX(0,1-$U33)),IF($AM33="",EXP(-$AL33),$AM33)))))</x:f>
      </x:c>
      <x:c r="BW33" s="63" t="str">
        <x:f t="shared" si="4">IF($A33="","",1-$BV33)</x:f>
      </x:c>
      <x:c r="BX33" s="62" t="str">
        <x:f t="shared" si="5">IF($A33="","",1/$BW33)</x:f>
      </x:c>
      <x:c r="BY33" s="63" t="str">
        <x:f t="shared" si="6">IF($A33="","",$BO33)</x:f>
      </x:c>
      <x:c r="BZ33" s="63" t="str">
        <x:f t="shared" si="7">IF($A33="","",$BW33-$BY33)</x:f>
      </x:c>
      <x:c r="CA33" s="63" t="str">
        <x:f t="shared" si="8">IF($A33="","",IF($AR33&gt;1,$BW33*$AR33-1,""))</x:f>
      </x:c>
      <x:c r="CB33" s="63" t="str">
        <x:f>IF($A33="","",MIN(1,COUNT($I33:$AN33,$AR33:$BG33)/'Setari model'!$B$46))</x:f>
      </x:c>
      <x:c r="CC33" s="63" t="str">
        <x:f t="shared" si="9">IF($A33="","",0.25*MIN(1,$I33/10)+0.25*MIN(1,$P33/10)+0.15*MIN(1,$W33/5)+0.15*MIN(1,$AB33/5)+0.1*MIN(1,$AG33/5)+0.1*MIN(1,$AN33/100))</x:f>
      </x:c>
      <x:c r="CD33" s="63" t="str">
        <x:f>IF($A33="","",MAX(0,1-(MAX($BJ33:$BN33,$BP33)-MIN($BJ33:$BN33,$BP33))/(AVERAGE($BJ33:$BN33,$BP33)*'Setari model'!$B$45)))</x:f>
      </x:c>
      <x:c r="CE33" s="66" t="str">
        <x:f>IF($A33="","",MAX(0,MIN(100,100*INDEX('Setari model'!$I$5:$I$11,MATCH($E33,'Setari model'!$A$5:$A$11,0))*('Setari model'!$B$47*$CB33+'Setari model'!$B$48*$CC33+'Setari model'!$B$49*$CD33+'Setari model'!$B$50*$AT33/5+'Setari model'!$B$51*$AU33)-100*'Setari model'!$B$52*$BG33)))</x:f>
      </x:c>
      <x:c r="CF33" s="65" t="str">
        <x:f t="shared" si="10">IF($A33="","",IF(OR($AT33&lt;3,$BG33&gt;=2,$CB33&lt;0.55,$CC33&lt;0.4),"RIDICAT",IF(OR($AU33=0,$CD33&lt;0.45,$BR33&lt;0.9),"MEDIU","SCĂZUT")))</x:f>
      </x:c>
      <x:c r="CG33" s="65" t="str">
        <x:f>IF($A33="","",IF($AR33&gt;1,IF(AND($BW33&gt;= 'Setari model'!$B$35,$CE33&gt;=100*'Setari model'!$B$36,$BZ33&gt;= 'Setari model'!$B$37,$CA33&gt;= 'Setari model'!$B$38,$CF33&lt;&gt;"RIDICAT"),"PARIU RECOMANDAT",IF(AND($BW33&gt;= 'Setari model'!$B$39,$CE33&gt;=100*'Setari model'!$B$40,$BZ33&gt;= 'Setari model'!$B$41,$CA33&gt;=0,$CF33&lt;&gt;"RIDICAT"),"RECOMANDAT CU PRUDENȚĂ",IF(AND($BW33&gt;= 'Setari model'!$B$42,$CE33&gt;=100*'Setari model'!$B$43),"ANALIZĂ NECONCLUDENTĂ","PARIU EVITAT"))),IF(AND($BW33&gt;= 'Setari model'!$B$35,$CE33&gt;=100*'Setari model'!$B$36,$CF33&lt;&gt;"RIDICAT"),"FAVORABIL STATISTIC – VERIFICĂ COTA",IF(AND($BW33&gt;= 'Setari model'!$B$42,$CE33&gt;=100*'Setari model'!$B$43),"ANALIZĂ NECONCLUDENTĂ","PARIU EVITAT"))))</x:f>
      </x:c>
      <x:c r="CH33" s="67" t="str">
        <x:f t="shared" si="11">IF($A33="","","P(O0,5)="&amp;TEXT($BW33,"0.0%")&amp;"; λ ajustat="&amp;TEXT($BS33,"0.00")&amp;"; Confidence="&amp;TEXT($CE33,"0")&amp;"/100; Edge="&amp;TEXT($BZ33,"0.0%")&amp;"; risc="&amp;$CF33&amp;". "&amp;$BH33)</x:f>
      </x:c>
      <x:c r="CI33" s="68" t="str">
        <x:f t="shared" si="12">IF($A33="","",$BI33)</x:f>
      </x:c>
      <x:c r="CJ33" s="112"/>
      <x:c r="CK33" s="112"/>
      <x:c r="CL33" s="112"/>
      <x:c r="CM33" s="112"/>
      <x:c r="CN33" s="112"/>
      <x:c r="CO33" s="112"/>
      <x:c r="CP33" s="112"/>
      <x:c r="CQ33" s="112"/>
      <x:c r="CR33" s="112"/>
      <x:c r="CS33" s="112"/>
      <x:c r="CT33" s="112"/>
      <x:c r="CU33" s="112"/>
      <x:c r="CV33" s="112"/>
      <x:c r="CW33" s="112"/>
      <x:c r="CX33" s="112"/>
      <x:c r="CY33" s="112"/>
      <x:c r="CZ33" s="112"/>
      <x:c r="DA33" s="112"/>
      <x:c r="DB33" s="112"/>
      <x:c r="DC33" s="114"/>
      <x:c r="DD33" s="114"/>
      <x:c r="DE33" s="112" t="s">
        <x:v>266</x:v>
      </x:c>
      <x:c r="DF33" s="112"/>
      <x:c r="DG33" s="112"/>
      <x:c r="DH33" s="112"/>
      <x:c r="DI33" s="112"/>
      <x:c r="DJ33" s="112"/>
      <x:c r="DK33" s="112"/>
      <x:c r="DL33" s="112"/>
      <x:c r="DM33" s="112"/>
      <x:c r="DN33" s="112"/>
      <x:c r="DO33" s="112"/>
      <x:c r="DP33" s="112"/>
      <x:c r="DQ33" s="114"/>
      <x:c r="DR33" s="112">
        <x:v>1</x:v>
      </x:c>
      <x:c r="DS33" s="116">
        <x:v>0</x:v>
      </x:c>
      <x:c r="DT33" s="120"/>
      <x:c r="DU33" s="116">
        <x:v>0.02</x:v>
      </x:c>
      <x:c r="DV33" s="116">
        <x:v>0.25</x:v>
      </x:c>
      <x:c r="DW33" s="118" t="str">
        <x:f>IF($A33="","",MAX('Setari model'!$B$71,MIN('Setari model'!$B$72,1+0.08*(IFERROR(AVERAGE($CM33:$CN33)/'Setari model'!$B$66,1)-1)+0.08*(IFERROR(AVERAGE($CO33:$CP33)/'Setari model'!$B$67,1)-1)+0.06*(IFERROR(AVERAGE($CQ33:$CR33)/'Setari model'!$B$68,1)-1)+0.04*(IFERROR(AVERAGE($CS33:$CT33)/'Setari model'!$B$69,1)-1)+0.04*(IFERROR(AVERAGE($CU33:$CV33)/'Setari model'!$B$70,1)-1)-'Setari model'!$B$73*IFERROR(AVERAGE($CW33:$CX33),0))))</x:f>
      </x:c>
      <x:c r="DX33" s="118" t="str">
        <x:f>IF($A33="","",1+'Setari model'!$B$62*MAX(IF(OR($CK33=1,$CL33=1),1,0),IF(AND($CJ33&lt;&gt;"",$CJ33&lt;=1),1,0))+'Setari model'!$B$63*IF(AND($CJ33&gt;1,$CJ33&lt;=3),1,0))</x:f>
      </x:c>
      <x:c r="DY33" s="118" t="str">
        <x:f>IF($A33="","",1+'Setari model'!$B$74*(IF($CY33="",0,IF($CY33=0,1,0))+IF($CZ33="",0,IF($CZ33=0,1,0)))+'Setari model'!$B$75*(IF($DA33="",0,IF($DA33=0,1,0))+IF($DB33="",0,IF($DB33=0,1,0))))</x:f>
      </x:c>
      <x:c r="DZ33" s="117" t="str">
        <x:f>IF($A33="","",MIN(0.6,MAX(0.002,(((1-'Setari model'!$B$34*MIN(1,($I33+$P33)/20))*$BT33+'Setari model'!$B$34*MIN(1,($I33+$P33)/20)*IF(COUNT($N33,$U33)=2,SQRT(MAX(0,1-$N33)*MAX(0,1-$U33)),$BT33))*(1-'Setari model'!$B$65*MIN(1,IF($AN33="",0,$AN33/'Setari model'!$B$64)))+'Setari model'!$B$65*MIN(1,IF($AN33="",0,$AN33/'Setari model'!$B$64))*IF($AM33="",$BT33,$AM33))*$DX33*$DY33/$DW33)))</x:f>
      </x:c>
      <x:c r="EA33" s="117" t="str">
        <x:f>IF($A33="","",MIN(1-$DZ33,IF(OR(MIN($I33,$P33)&lt;'Setari model'!$B$58,$CK33=1,$CL33=1,AND($CJ33&lt;&gt;"",$CJ33&lt;=1)),'Setari model'!$B$59,IF(AND($AU33=1,$AR33&gt;1,COUNT($CY33:$DB33)=4),'Setari model'!$B$61,'Setari model'!$B$60))))</x:f>
      </x:c>
      <x:c r="EB33" s="115" t="str">
        <x:f t="shared" si="13">IF($A33="","",1/$EA33)</x:f>
      </x:c>
      <x:c r="EC33" s="117" t="str">
        <x:f t="shared" si="14">IF($A33="","",IF($AR33&gt;1,IF($AS33&gt;1,(1/$AR33)/((1/$AR33)+(1/$AS33)),1/$AR33),""))</x:f>
      </x:c>
      <x:c r="ED33" s="117" t="str">
        <x:f t="shared" si="15">IF($A33="","",IF($EC33="","",$EA33-$EC33))</x:f>
      </x:c>
      <x:c r="EE33" s="117" t="str">
        <x:f t="shared" si="16">""</x:f>
      </x:c>
      <x:c r="EF33" s="119" t="str">
        <x:f>IF($A33="","",MAX(0,MIN(100,$CE33-200*MAX(0,$EG33-'Setari model'!$B$77)-IF($AU33&lt;&gt;1,10,0)-IF(COUNT($CY33:$DB33)&lt;4,4,0))))</x:f>
      </x:c>
      <x:c r="EG33" s="117" t="str">
        <x:f>IF($A33="","",'Setari model'!$B$77+IF(MIN($I33,$P33)&lt;'Setari model'!$B$58,0.03,0)+IF(OR($CK33=1,$CL33=1,AND($CJ33&lt;&gt;"",$CJ33&lt;=1)),0.03,0)+IF($AG33=0,0.02,0)+0.03*(1-MIN(1,COUNT($CM33:$CV33)/10))+0.03*(1-MIN(1,IF($AN33="",0,$AN33/'Setari model'!$B$64)))+IF($AR33&lt;=1,0.02,0))</x:f>
      </x:c>
      <x:c r="EH33" s="113" t="str">
        <x:f>IF($A33="","",IF(OR(MIN($I33,$P33)&lt;'Setari model'!$B$58,$CK33=1,$CL33=1,AND($CJ33&lt;&gt;"",$CJ33&lt;=1)),"92% – early/regim",IF(AND($AU33=1,$AR33&gt;1,COUNT($CY33:$DB33)=4),"94% – confirmat","93% – standard")))</x:f>
      </x:c>
      <x:c r="EI33" s="113" t="str">
        <x:f t="shared" si="17">IF($A33="","",IF(AND($EA33&gt;0.9,$AU33&lt;&gt;1),"WAIT XI – HIGH P",IF(AND($EA33&gt;0.9,COUNT($CY33:$DB33)&lt;4),"WAIT DATE CHEIE – HIGH P",IF($EP33&lt;&gt;"DA","NU – PORTOFOLIU","DA"))))</x:f>
      </x:c>
      <x:c r="EJ33" s="117" t="str">
        <x:f t="shared" si="18">IF($A33="","",IF($DE33&lt;&gt;"Live 20-30","",IF(SUM($DG33:$DH33)&gt;0,1,IF($EU33="","",1-MIN(0.95,MAX(0.001,EXP(-$EU33)*$DX33*$DY33/$DW33))))))</x:f>
      </x:c>
      <x:c r="EK33" s="117" t="str">
        <x:f t="shared" si="19">""</x:f>
      </x:c>
      <x:c r="EL33" s="113" t="str">
        <x:f>IF($A33="","",IF($DE33="Live 20-30",IF(SUM($DG33:$DH33)&gt;0,"EVENIMENT ÎNDEPLINIT",IF(OR($DF33="",COUNT($DI33:$DN33)&lt;4),"LIVE – WATCH",IF($EJ33&gt;=0.75,"LIVE – FEZABIL TEHNIC","LIVE – NO BET"))),IF($EI33&lt;&gt;"DA","WATCH / NO BET",IF(AND($EA33&gt;=INDEX('Setari model'!$B$35:$B$40,1),$EF33&gt;=100*'Setari model'!$B$76),"PARIU RECOMANDAT",IF(AND($EA33&gt;=INDEX('Setari model'!$B$35:$B$40,5),$EF33&gt;=100*'Setari model'!$B$40),"WATCH – APROAPE DE PRAG","PARIU EVITAT")))))</x:f>
      </x:c>
      <x:c r="EM33" s="113" t="str">
        <x:f t="shared" si="20">IF($A33="","",IF($DE33="Live 20-30",IF(SUM($DG33:$DH33)&gt;0,"Gol deja marcat.",IF($DF33="","Minut live lipsă.",IF(COUNT($DI33:$DN33)&lt;4,"Lipsesc xG/SOT/big chances live.",IF($EJ33&lt;0.75,"P live sub prag.","Semnal live tehnic complet; EV ignorat.")))),IF($EI33&lt;&gt;"DA",$EI33,IF($EF33&lt;75,"Confidence sub 75.",IF($EA33&lt;0.92,"P sub 92%.","G0/Zero-Mass + confidence trecute; EV ignorat.")))))</x:f>
      </x:c>
      <x:c r="EN33" s="117" t="str">
        <x:f>IF($A33="","",IF(OR($EL33="PARIU RECOMANDAT",$EL33="LIVE – FEZABIL"),MIN(IF($DU33&gt;0,$DU33,'Setari model'!$B$81)/MAX(1,$DR33),IF($DV33&gt;0,$DV33,'Setari model'!$B$80)*MAX(0,((IF($DE33="Live 20-30",$EJ33,$EA33)*IF($DE33="Live 20-30",$DQ33,$AR33)-1)/(IF($DE33="Live 20-30",$DQ33,$AR33)-1)))),0))</x:f>
      </x:c>
      <x:c r="EO33" s="121" t="str">
        <x:f t="shared" si="21">IF($A33="","",IF(AND($EN33&gt;0,$DT33&gt;0),$EN33*$DT33,""))</x:f>
      </x:c>
      <x:c r="EP33" s="113" t="str">
        <x:f>IF($A33="","",IF(OR($DR33&lt;1,$DR33&gt;'Setari model'!$B$78),"NU – 1–5 selecții",IF($DS33&gt;'Setari model'!$B$79,"NU – corelație", "DA")))</x:f>
      </x:c>
      <x:c r="EQ33" s="117" t="str">
        <x:f t="shared" si="22">IF($A33="","",IF(AND($DC33&gt;1,$DD33&gt;1),$DC33/$DD33-1,""))</x:f>
      </x:c>
      <x:c r="ER33" s="113" t="str">
        <x:f t="shared" si="23">IF($A33="","","P v2="&amp;TEXT($EA33,"0.0%")&amp;" ±"&amp;TEXT($EG33,"0.0%")&amp;"; P0 ZIP="&amp;TEXT($DZ33,"0.0%")&amp;"; Confidence="&amp;TEXT($EF33,"0")&amp;"/100; piață reală="&amp;IF($EC33="","NU","DA")&amp;"; EV="&amp;IF($EE33="","n/a",TEXT($EE33,"0.0%"))&amp;"; gate="&amp;$EI33&amp;"; verdict="&amp;$EL33&amp;". "&amp;$EM33)</x:f>
      </x:c>
      <x:c r="ES33" s="119" t="str">
        <x:f>IF($A33="","",'Setari model'!$B$82)</x:f>
      </x:c>
      <x:c r="ET33" s="118" t="str">
        <x:f>IF($A33="","",'Setari model'!$B$83)</x:f>
      </x:c>
      <x:c r="EU33" s="115" t="str">
        <x:f t="shared" si="24">IF(OR($A33="",$DE33&lt;&gt;"Live 20-30",$DF33="",$DF33&lt;$ES33,$DF33&gt;=90),"",MAX(0.05,MIN($BS33*$ET33,$BS33*(90-$DF33)/90+0.35*($DI33+$DJ33)+0.06*($DK33+$DL33)+0.15*($DM33+$DN33)+0.1*(MAX($DO33,$DP33)-MIN($DO33,$DP33)))))</x:f>
      </x:c>
      <x:c r="EV33" s="132"/>
      <x:c r="EW33" s="132"/>
      <x:c r="EX33" s="132"/>
      <x:c r="EY33" s="132"/>
      <x:c r="EZ33" s="132"/>
      <x:c r="FA33" s="132"/>
      <x:c r="FB33" s="247"/>
      <x:c r="FC33" s="134" t="str">
        <x:f t="shared" si="25">IF($A33="","",IF(OR($J33="",$L33="",$L33&lt;=0),"",MAX(0.5,MIN(1.5,$J33/$L33))))</x:f>
      </x:c>
      <x:c r="FD33" s="134" t="str">
        <x:f t="shared" si="26">IF($A33="","",IF(OR($Q33="",$S33="",$S33&lt;=0),"",MAX(0.5,MIN(1.5,$Q33/$S33))))</x:f>
      </x:c>
      <x:c r="FE33" s="134" t="str">
        <x:f>IF($A33="","",IF(COUNT($EV33:$EW33)&lt;2,"",SQRT($EV33*$EW33)/'Setari model'!$B$87))</x:f>
      </x:c>
      <x:c r="FF33" s="134" t="str">
        <x:f>IF($A33="","",IF(COUNT($O33,$V33,$EX33,$EY33)&lt;4,"",AVERAGE(SQRT($O33*$EY33),SQRT($V33*$EX33))/'Setari model'!$B$88))</x:f>
      </x:c>
      <x:c r="FG33" s="134" t="str">
        <x:f t="shared" si="27">IF($A33="","",IF(COUNT($FC33:$FD33)&lt;2,"",MAX(0,1-AVERAGE($FC33:$FD33))))</x:f>
      </x:c>
      <x:c r="FH33" s="134" t="str">
        <x:f>IF($A33="","",IF(COUNT($EZ33:$FA33)&lt;2,"",'Setari model'!$B$94*AVERAGE($EZ33:$FA33)/'Setari model'!$B$89))</x:f>
      </x:c>
      <x:c r="FI33" s="134" t="str">
        <x:f>IF($A33="","",IF(COUNT($FE33:$FH33)&lt;4,"",MAX('Setari model'!$B$97,MIN('Setari model'!$B$98,1+'Setari model'!$B$90*($FE33-1)+'Setari model'!$B$91*($FF33-1)+'Setari model'!$B$92*$FG33+'Setari model'!$B$93*($FH33-1)))))</x:f>
      </x:c>
      <x:c r="FJ33" s="133" t="str">
        <x:f>IF($A33="","",IF($FI33="","",MIN('Setari model'!$B$101,MAX(0.002,$DZ33*$FI33))))</x:f>
      </x:c>
      <x:c r="FK33" s="131" t="str">
        <x:f t="shared" si="28">IF($A33="","",IF(AND(COUNT($EV33:$FA33)=6,COUNT($O33,$V33,$FC33,$FD33)=4),"DA","NU"))</x:f>
      </x:c>
      <x:c r="FL33" s="131" t="str">
        <x:f>IF($A33="","",IF($FK33&lt;&gt;"DA","NEDETERMINAT",IF($FI33&lt;='Setari model'!$B$99,"SCĂZUT",IF($FI33&lt;='Setari model'!$B$100,"MEDIU","RIDICAT"))))</x:f>
      </x:c>
      <x:c r="FM33" s="131" t="str">
        <x:f>IF($A33="","",IF(AND($AR33&gt;1,$EC33&gt;='Setari model'!$B$106),"DA","NU"))</x:f>
      </x:c>
      <x:c r="FN33" s="131" t="str">
        <x:f t="shared" si="29">IF($A33="","",IF(AND($AU33=1,COUNT($CY33:$DB33)=4),"DA","NU"))</x:f>
      </x:c>
      <x:c r="FO33" s="133" t="str">
        <x:f>IF($A33="","",IF(OR($FK33&lt;&gt;"DA",$FL33="RIDICAT"),'Setari model'!$B$102,IF($FL33="MEDIU",'Setari model'!$B$103,IF(AND($FM33="DA",$FN33="DA"),'Setari model'!$B$105,'Setari model'!$B$104))))</x:f>
      </x:c>
      <x:c r="FP33" s="133" t="str">
        <x:f t="shared" si="30">IF($A33="","",IF($FJ33="","",MIN(1-$FJ33,$FO33)))</x:f>
      </x:c>
      <x:c r="FQ33" s="135" t="str">
        <x:f t="shared" si="31">IF($A33="","",IF($FP33="","",IF($FP33&gt;0,1/$FP33,"")))</x:f>
      </x:c>
      <x:c r="FR33" s="133" t="str">
        <x:f t="shared" si="32">IF($A33="","",IF($EC33="","",$FP33-$EC33))</x:f>
      </x:c>
      <x:c r="FS33" s="133" t="str">
        <x:f t="shared" si="33">IF($A33="","",IF($AR33&gt;1,$FP33*$AR33-1,""))</x:f>
      </x:c>
      <x:c r="FT33" s="136" t="str">
        <x:f>IF($A33="","",MAX(0,MIN(100,$EF33-IF($FK33&lt;&gt;"DA",'Setari model'!$B$107,0)-IF($FL33="MEDIU",'Setari model'!$B$108,0)-IF($FL33="RIDICAT",'Setari model'!$B$109,0))))</x:f>
      </x:c>
      <x:c r="FU33" s="131" t="str">
        <x:f t="shared" si="34">IF($A33="","",IF($AR33&lt;=1,"NU – LIPSEȘTE COTA REALĂ",IF($FK33&lt;&gt;"DA","NU – ZERO-RISK INCOMPLET",IF($FL33&lt;&gt;"SCĂZUT","NU – RISC 0-0 "&amp;$FL33,IF($FN33&lt;&gt;"DA","NU – LINEUP NECONFIRMAT",IF($FM33&lt;&gt;"DA","NU – PIAȚĂ NECONFIRMATĂ",IF($EP33&lt;&gt;"DA","NU – PORTOFOLIU","DA")))))))</x:f>
      </x:c>
      <x:c r="FV33" s="131" t="str">
        <x:f>IF($A33="","",IF($FU33&lt;&gt;"DA","WATCH / NO BET",IF(AND($FP33&gt;='Setari model'!$B$35,$FT33&gt;=100*'Setari model'!$B$76,$FS33&gt;0),"PARIU RECOMANDAT",IF(AND($FP33&gt;='Setari model'!$B$39,$FT33&gt;=100*'Setari model'!$B$40,$FS33&gt;0),"WATCH – APROAPE DE PRAG","PARIU EVITAT"))))</x:f>
      </x:c>
      <x:c r="FW33" s="131" t="str">
        <x:f t="shared" si="35">IF($A33="","",IF($FU33&lt;&gt;"DA",$FU33,IF($FT33&lt;75,"Confidence v3 sub 75.",IF($FP33&lt;0.92,"P v3 sub 92%.",IF($FS33&lt;=0,"EV v3 nepozitiv.","P0 v3, lineup și piață confirmate.")))))</x:f>
      </x:c>
      <x:c r="FX33" s="131" t="str">
        <x:f t="shared" si="36">IF($A33="","","P v3="&amp;TEXT($FP33,"0.0%")&amp;"; P0 v3="&amp;TEXT($FJ33,"0.0%")&amp;"; factor zero="&amp;IF($FI33="","n/a",TEXT($FI33,"0.00x"))&amp;" ("&amp;$FL33&amp;"); cap="&amp;TEXT($FO33,"0.0%")&amp;"; Confidence="&amp;TEXT($FT33,"0")&amp;"/100; lineup="&amp;$FN33&amp;"; piață="&amp;$FM33&amp;"; EV="&amp;IF($FS33="","n/a",TEXT($FS33,"0.0%"))&amp;"; gate="&amp;$FU33&amp;"; verdict="&amp;$FV33&amp;". "&amp;$FW33)</x:f>
      </x:c>
      <x:c r="FY33" s="159"/>
      <x:c r="FZ33" s="159"/>
      <x:c r="GA33" s="157"/>
      <x:c r="GB33" s="157"/>
      <x:c r="GC33" s="161" t="str">
        <x:f t="shared" si="37">IF($A33="","",IF(OR($X33="",$Z33="",$Z33&lt;=0),"",MAX(0.5,MIN(1.5,$X33/$Z33))))</x:f>
      </x:c>
      <x:c r="GD33" s="161" t="str">
        <x:f t="shared" si="38">IF($A33="","",IF(OR($AC33="",$AE33="",$AE33&lt;=0),"",MAX(0.5,MIN(1.5,$AC33/$AE33))))</x:f>
      </x:c>
      <x:c r="GE33" s="162" t="str">
        <x:f t="shared" si="39">IF($A33="","",IF(COUNT($Z33,$AE33)&lt;2,"",AVERAGE($Z33,$AE33)))</x:f>
      </x:c>
      <x:c r="GF33" s="158" t="str">
        <x:f>IF($A33="","",IF(COUNT($FY33:$FZ33)&lt;2,"NEDETERMINAT",IF(AND($FY33&gt;='Setari model'!$B$113,$FZ33&gt;='Setari model'!$B$113),"DA","NU")))</x:f>
      </x:c>
      <x:c r="GG33" s="158" t="str">
        <x:f>IF($A33="","",IF(COUNT($FY33:$FZ33,$EX33:$EY33)&lt;4,"NEDETERMINAT",IF(OR(AND($FY33&gt;='Setari model'!$B$113,$EY33&gt;='Setari model'!$B$114),AND($FZ33&gt;='Setari model'!$B$113,$EX33&gt;='Setari model'!$B$114)),"DA","NU")))</x:f>
      </x:c>
      <x:c r="GH33" s="158" t="str">
        <x:f>IF($A33="","",IF(COUNT($BJ33:$BN33,$GC33:$GE33)&lt;8,"NEDETERMINAT",IF(AND((($BJ33*INDEX('Setari model'!$B$5:$B$11,MATCH($E33,'Setari model'!$A$5:$A$11,0))+$BK33*INDEX('Setari model'!$C$5:$C$11,MATCH($E33,'Setari model'!$A$5:$A$11,0))+$BL33*INDEX('Setari model'!$D$5:$D$11,MATCH($E33,'Setari model'!$A$5:$A$11,0))+$BM33*INDEX('Setari model'!$E$5:$E$11,MATCH($E33,'Setari model'!$A$5:$A$11,0))+$BN33*INDEX('Setari model'!$F$5:$F$11,MATCH($E33,'Setari model'!$A$5:$A$11,0)))/(INDEX('Setari model'!$B$5:$B$11,MATCH($E33,'Setari model'!$A$5:$A$11,0))+INDEX('Setari model'!$C$5:$C$11,MATCH($E33,'Setari model'!$A$5:$A$11,0))+INDEX('Setari model'!$D$5:$D$11,MATCH($E33,'Setari model'!$A$5:$A$11,0))+INDEX('Setari model'!$E$5:$E$11,MATCH($E33,'Setari model'!$A$5:$A$11,0))+INDEX('Setari model'!$F$5:$F$11,MATCH($E33,'Setari model'!$A$5:$A$11,0))))*$BR33&gt;='Setari model'!$B$115,(($BJ33*INDEX('Setari model'!$B$5:$B$11,MATCH($E33,'Setari model'!$A$5:$A$11,0))+$BK33*INDEX('Setari model'!$C$5:$C$11,MATCH($E33,'Setari model'!$A$5:$A$11,0))+$BL33*INDEX('Setari model'!$D$5:$D$11,MATCH($E33,'Setari model'!$A$5:$A$11,0))+$BM33*INDEX('Setari model'!$E$5:$E$11,MATCH($E33,'Setari model'!$A$5:$A$11,0))+$BN33*INDEX('Setari model'!$F$5:$F$11,MATCH($E33,'Setari model'!$A$5:$A$11,0)))/(INDEX('Setari model'!$B$5:$B$11,MATCH($E33,'Setari model'!$A$5:$A$11,0))+INDEX('Setari model'!$C$5:$C$11,MATCH($E33,'Setari model'!$A$5:$A$11,0))+INDEX('Setari model'!$D$5:$D$11,MATCH($E33,'Setari model'!$A$5:$A$11,0))+INDEX('Setari model'!$E$5:$E$11,MATCH($E33,'Setari model'!$A$5:$A$11,0))+INDEX('Setari model'!$F$5:$F$11,MATCH($E33,'Setari model'!$A$5:$A$11,0))))*$BR33&lt;='Setari model'!$B$116,AVERAGE($GC33:$GD33)&lt;='Setari model'!$B$117,$GE33&gt;='Setari model'!$B$118),"DA","NU")))</x:f>
      </x:c>
      <x:c r="GI33" s="158" t="str">
        <x:f>IF($A33="","",IF(COUNT($W33,$AB33,$GA33:$GB33)&lt;4,"NEDETERMINAT",IF(AND($W33&gt;='Setari model'!$B$120,$AB33&gt;='Setari model'!$B$120,OR(IFERROR($GA33/$W33,0)&gt;='Setari model'!$B$119,IFERROR($GB33/$AB33,0)&gt;='Setari model'!$B$119)),"DA","NU")))</x:f>
      </x:c>
      <x:c r="GJ33" s="160" t="str">
        <x:f>IF($A33="","",IF(COUNT($FY33:$GB33)&lt;4,"",IF($GH33&lt;&gt;"DA",0,'Setari model'!$B$121*IF($GF33="DA",1,0)+'Setari model'!$B$122*IF($GG33="DA",1,0)+'Setari model'!$B$123+'Setari model'!$B$124*IF($GI33="DA",1,0))))</x:f>
      </x:c>
      <x:c r="GK33" s="161" t="str">
        <x:f>IF($A33="","",IF(COUNT($GJ33)=0,"",1+'Setari model'!$B$125*$GJ33))</x:f>
      </x:c>
      <x:c r="GL33" s="160" t="str">
        <x:f>IF($A33="","",IF($GM33&lt;&gt;"DA",$FJ33,MIN('Setari model'!$B$101,MAX(0.002,$FJ33*$GK33))))</x:f>
      </x:c>
      <x:c r="GM33" s="158" t="str">
        <x:f>IF($A33="","",IF(AND($FK33="DA",COUNT($FY33:$GB33)=4,COUNT($I33,$P33,$W33,$AB33,$Z33,$AE33,$EX33,$EY33,$GC33,$GD33)=10,COUNT($BJ33:$BN33)=5),"DA","NU"))</x:f>
      </x:c>
      <x:c r="GN33" s="158" t="str">
        <x:f>IF($A33="","",IF($GM33&lt;&gt;"DA","NEDETERMINAT",IF($FI33*$GK33&lt;='Setari model'!$B$99,"SCĂZUT",IF($FI33*$GK33&lt;='Setari model'!$B$100,"MEDIU","RIDICAT"))))</x:f>
      </x:c>
      <x:c r="GO33" s="160" t="str">
        <x:f>IF($A33="","",IF(OR($GM33&lt;&gt;"DA",$GN33="RIDICAT"),'Setari model'!$B$102,IF($GN33="MEDIU",'Setari model'!$B$103,IF(AND($FM33="DA",$FN33="DA"),'Setari model'!$B$105,'Setari model'!$B$104))))</x:f>
      </x:c>
      <x:c r="GP33" s="160" t="str">
        <x:f t="shared" si="40">IF($A33="","",IF($GL33="","",MIN(1-$GL33,$GO33)))</x:f>
      </x:c>
      <x:c r="GQ33" s="162" t="str">
        <x:f t="shared" si="41">IF($A33="","",IF($GP33="","",IF($GP33&gt;0,1/$GP33,"")))</x:f>
      </x:c>
      <x:c r="GR33" s="160" t="str">
        <x:f t="shared" si="42">IF($A33="","",IF($EC33="","",$GP33-$EC33))</x:f>
      </x:c>
      <x:c r="GS33" s="160" t="str">
        <x:f t="shared" si="43">IF($A33="","",IF($AR33&gt;1,$GP33*$AR33-1,""))</x:f>
      </x:c>
      <x:c r="GT33" s="163" t="str">
        <x:f>IF($A33="","",MAX(0,MIN(100,$FT33-IF(AND($GM33&lt;&gt;"DA",$FK33="DA"),'Setari model'!$B$107,0)-'Setari model'!$B$126*IF($GJ33="",0,$GJ33))))</x:f>
      </x:c>
      <x:c r="GU33" s="158" t="str">
        <x:f t="shared" si="44">IF($A33="","",IF($AR33&lt;=1,"NU – LIPSEȘTE COTA REALĂ",IF($GM33&lt;&gt;"DA","NU – DATE LOW-CONVERSION INCOMPLETE",IF($GN33&lt;&gt;"SCĂZUT","NU – RISC 0-0 "&amp;$GN33,IF($FN33&lt;&gt;"DA","NU – LINEUP NECONFIRMAT",IF($FM33&lt;&gt;"DA","NU – PIAȚĂ NECONFIRMATĂ",IF($EP33&lt;&gt;"DA","NU – PORTOFOLIU","DA")))))))</x:f>
      </x:c>
      <x:c r="GV33" s="158" t="str">
        <x:f>IF($A33="","",IF($GU33&lt;&gt;"DA","WATCH / NO BET",IF(AND($GP33&gt;='Setari model'!$B$35,$GT33&gt;=100*'Setari model'!$B$76,$GS33&gt;0),"PARIU RECOMANDAT",IF(AND($GP33&gt;='Setari model'!$B$39,$GT33&gt;=100*'Setari model'!$B$40,$GS33&gt;0),"WATCH – APROAPE DE PRAG","PARIU EVITAT"))))</x:f>
      </x:c>
      <x:c r="GW33" s="158" t="str">
        <x:f t="shared" si="45">IF($A33="","",IF($GU33&lt;&gt;"DA",$GU33,IF($GT33&lt;75,"Confidence v5 sub 75.",IF($GP33&lt;0.92,"P v5 sub 92%.",IF($GS33&lt;=0,"EV v5 nepozitiv.",IF($GJ33&gt;0,"Low-conversion absorbit în P0; toate porțile rămân trecute.","Toate porțile v5 sunt trecute."))))))</x:f>
      </x:c>
      <x:c r="GX33" s="158" t="str">
        <x:f t="shared" si="46">IF($A33="","","P v5="&amp;TEXT($GP33,"0.0%")&amp;"; P0 v5="&amp;TEXT($GL33,"0.0%")&amp;"; low-conv="&amp;IF(COUNT($GJ33)=0,"n/a",TEXT($GJ33,"0%"))&amp;"; mult.P0="&amp;IF(COUNT($GK33)=0,"n/a",TEXT($GK33,"0.00"))&amp;"; clasă="&amp;$GN33&amp;"; cap="&amp;TEXT($GO33,"0.0%")&amp;"; Confidence="&amp;TEXT($GT33,"0")&amp;"/100; lineup="&amp;$FN33&amp;"; piață="&amp;$FM33&amp;"; EV="&amp;IF($GS33="","n/a",TEXT($GS33,"0.0%"))&amp;"; gate="&amp;$GU33&amp;"; verdict="&amp;$GV33&amp;". "&amp;$GW33)</x:f>
      </x:c>
      <x:c r="GY33" s="174" t="str">
        <x:f>IF($A33="","",IF($GM33&lt;&gt;"DA","SOURCING INCOMPLETE – REVIEW REQUIRED",IF(MIN($I33,$P33,$W33,$AB33)&lt;'Setari model'!$B$58,"SMALL SAMPLE + PRIOR / SHRINKAGE","VERIFIED / PRIOR / SHRINKAGE")))</x:f>
      </x:c>
      <x:c r="GZ33" s="175" t="str">
        <x:f t="shared" si="47">IF($A33="","",MAX(0,MIN(100,100*(1-AVERAGE(IF($GM33="DA",1,0),MIN(1,$AT33/5))))))</x:f>
      </x:c>
      <x:c r="HA33" s="175" t="str">
        <x:f>IF($A33="","",IF($GM33&lt;&gt;"DA","",MAX(0,MIN(100,100*(($FI33*$GK33)-'Setari model'!$B$97)/('Setari model'!$B$98-'Setari model'!$B$97)))))</x:f>
      </x:c>
      <x:c r="HB33" s="175" t="str">
        <x:f>IF($A33="","",MAX(0,MIN(100,100*(ABS($BR33-1)/MAX(1-'Setari model'!$B$53,'Setari model'!$B$54-1)+MIN(1,$BG33/2))/2)))</x:f>
      </x:c>
      <x:c r="HC33" s="175" t="str">
        <x:f t="shared" si="48">IF($A33="","",MAX(0,MIN(100,100*(1-AVERAGE($CC33,MAX(0,1-(MAX($BJ33:$BN33)-MIN($BJ33:$BN33))/(AVERAGE($BJ33:$BN33)*'Setari model'!$B$45)))))))</x:f>
      </x:c>
      <x:c r="HD33" s="175" t="str">
        <x:f t="shared" si="49">IF($A33="","",MAX(0,MIN(100,100*MAX(IF($GJ33="",0,$GJ33),MIN(1,$BG33/2)))))</x:f>
      </x:c>
      <x:c r="HE33" s="175" t="str">
        <x:f>IF($A33="","",IF(COUNT($GZ33:$HD33)&lt;5,"",$GZ33*Risk_Classification!$E$28+$HA33*Risk_Classification!$E$29+$HB33*Risk_Classification!$E$30+$HC33*Risk_Classification!$E$31+$HD33*Risk_Classification!$E$32))</x:f>
      </x:c>
      <x:c r="HF33" s="176" t="str">
        <x:f t="shared" si="50">IF($A33="","",IF($HE33="","",IF($HE33&lt;=20,1,IF($HE33&lt;=40,2,IF($HE33&lt;=60,3,IF($HE33&lt;=80,4,5))))))</x:f>
      </x:c>
      <x:c r="HG33" s="176" t="str">
        <x:f t="shared" si="51">IF($A33="","",IF($GM33="DA","PASS","FAIL – DATE CRITICE ZERO-MASS INCOMPLETE"))</x:f>
      </x:c>
      <x:c r="HH33" s="176" t="str">
        <x:f t="shared" si="52">IF($A33="","",IF($HG33&lt;&gt;"PASS",5,$HF33))</x:f>
      </x:c>
      <x:c r="HI33" s="174" t="str">
        <x:f t="shared" si="53">IF($A33="","",IF($HH33="","N/A",IF($HH33=1,"DEFENSIV",IF($HH33=2,"PRUDENT",IF($HH33=3,"MODERAT",IF($HH33=4,"RIDICAT","WATCH / NO BET"))))))</x:f>
      </x:c>
      <x:c r="HJ33" s="177" t="str">
        <x:f t="shared" si="54">IF($A33="","","Data="&amp;$GY33&amp;"; DQ="&amp;TEXT($GZ33,"0.0")&amp;"; ZM="&amp;IF($HA33="","n/a",TEXT($HA33,"0.0"))&amp;"; Context="&amp;TEXT($HB33,"0.0")&amp;"; Uncertainty="&amp;TEXT($HC33,"0.0")&amp;"; Compound="&amp;TEXT($HD33,"0.0")&amp;"; Risk Score="&amp;IF($HE33="","n/a",TEXT($HE33,"0.0"))&amp;"; Base="&amp;IF($HF33="","n/a",$HF33)&amp;"; G0="&amp;$HG33&amp;"; Final="&amp;$HH33&amp;". Cota, EV si lineup sunt informative si nu intra in recomandare.")</x:f>
      </x:c>
      <x:c r="HK33" s="174" t="str">
        <x:f t="shared" si="55">IF($A33="","",$HI33)</x:f>
      </x:c>
    </x:row>
    <x:row r="34" ht="24" customHeight="1">
      <x:c r="A34" s="58"/>
      <x:c r="B34" s="24"/>
      <x:c r="C34" s="59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18"/>
      <x:c r="O34" s="18"/>
      <x:c r="P34" s="24"/>
      <x:c r="Q34" s="24"/>
      <x:c r="R34" s="24"/>
      <x:c r="S34" s="24"/>
      <x:c r="T34" s="24"/>
      <x:c r="U34" s="18"/>
      <x:c r="V34" s="18"/>
      <x:c r="W34" s="24"/>
      <x:c r="X34" s="24"/>
      <x:c r="Y34" s="24"/>
      <x:c r="Z34" s="24"/>
      <x:c r="AA34" s="24"/>
      <x:c r="AB34" s="24"/>
      <x:c r="AC34" s="24"/>
      <x:c r="AD34" s="24"/>
      <x:c r="AE34" s="24"/>
      <x:c r="AF34" s="24"/>
      <x:c r="AG34" s="24"/>
      <x:c r="AH34" s="24"/>
      <x:c r="AI34" s="18"/>
      <x:c r="AJ34" s="24"/>
      <x:c r="AK34" s="24"/>
      <x:c r="AL34" s="24"/>
      <x:c r="AM34" s="18"/>
      <x:c r="AN34" s="24"/>
      <x:c r="AO34" s="60"/>
      <x:c r="AP34" s="60"/>
      <x:c r="AQ34" s="60"/>
      <x:c r="AR34" s="60"/>
      <x:c r="AS34" s="60"/>
      <x:c r="AT34" s="24"/>
      <x:c r="AU34" s="24"/>
      <x:c r="AV34" s="24"/>
      <x:c r="AW34" s="24"/>
      <x:c r="AX34" s="24"/>
      <x:c r="AY34" s="24"/>
      <x:c r="AZ34" s="24"/>
      <x:c r="BA34" s="24"/>
      <x:c r="BB34" s="24"/>
      <x:c r="BC34" s="24"/>
      <x:c r="BD34" s="24"/>
      <x:c r="BE34" s="24"/>
      <x:c r="BF34" s="24"/>
      <x:c r="BG34" s="24"/>
      <x:c r="BH34" s="61"/>
      <x:c r="BI34" s="61"/>
      <x:c r="BJ34" s="62" t="str">
        <x:f>IF($A34="","",SQRT((($I34*IF($J34="",$AJ34,$J34)+'Setari model'!$B$30*$AJ34)/($I34+'Setari model'!$B$30))*(($P34*IF($R34="",$AJ34,$R34)+'Setari model'!$B$30*$AJ34)/($P34+'Setari model'!$B$30)))+SQRT((($P34*IF($Q34="",$AK34,$Q34)+'Setari model'!$B$30*$AK34)/($P34+'Setari model'!$B$30))*(($I34*IF($K34="",$AK34,$K34)+'Setari model'!$B$30*$AK34)/($I34+'Setari model'!$B$30))))</x:f>
      </x:c>
      <x:c r="BK34" s="62" t="str">
        <x:f>IF($A34="","",SQRT((($I34*IF($L34="",IF($J34="",$AJ34,$J34),$L34)+'Setari model'!$B$30*$AJ34)/($I34+'Setari model'!$B$30))*(($P34*IF($T34="",IF($R34="",$AJ34,$R34),$T34)+'Setari model'!$B$30*$AJ34)/($P34+'Setari model'!$B$30)))+SQRT((($P34*IF($S34="",IF($Q34="",$AK34,$Q34),$S34)+'Setari model'!$B$30*$AK34)/($P34+'Setari model'!$B$30))*(($I34*IF($M34="",IF($K34="",$AK34,$K34),$M34)+'Setari model'!$B$30*$AK34)/($I34+'Setari model'!$B$30))))</x:f>
      </x:c>
      <x:c r="BL34" s="62" t="str">
        <x:f>IF($A34="","",SQRT((($W34*IF($X34="",$AL34/2,$X34)+'Setari model'!$B$31*$AL34/2)/($W34+'Setari model'!$B$31))*(($AB34*IF($AD34="",$AL34/2,$AD34)+'Setari model'!$B$31*$AL34/2)/($AB34+'Setari model'!$B$31)))+SQRT((($AB34*IF($AC34="",$AL34/2,$AC34)+'Setari model'!$B$31*$AL34/2)/($AB34+'Setari model'!$B$31))*(($W34*IF($Y34="",$AL34/2,$Y34)+'Setari model'!$B$31*$AL34/2)/($W34+'Setari model'!$B$31))))</x:f>
      </x:c>
      <x:c r="BM34" s="62" t="str">
        <x:f>IF($A34="","",SQRT((($W34*IF($Z34="",IF($X34="",$AL34/2,$X34),$Z34)+'Setari model'!$B$31*$AL34/2)/($W34+'Setari model'!$B$31))*(($AB34*IF($AF34="",IF($AD34="",$AL34/2,$AD34),$AF34)+'Setari model'!$B$31*$AL34/2)/($AB34+'Setari model'!$B$31)))+SQRT((($AB34*IF($AE34="",IF($AC34="",$AL34/2,$AC34),$AE34)+'Setari model'!$B$31*$AL34/2)/($AB34+'Setari model'!$B$31))*(($W34*IF($AA34="",IF($Y34="",$AL34/2,$Y34),$AA34)+'Setari model'!$B$31*$AL34/2)/($W34+'Setari model'!$B$31))))</x:f>
      </x:c>
      <x:c r="BN34" s="62" t="str">
        <x:f t="shared" si="0">IF($A34="","",IF($AG34&gt;0,($AG34*IF($AH34="",$AL34,$AH34)+5*$AL34)/($AG34+5),$AL34))</x:f>
      </x:c>
      <x:c r="BO34" s="63" t="str">
        <x:f>IF($A34="","",IF($AR34&gt;1,IF($AS34&gt;1,(1/$AR34)/((1/$AR34+1/$AS34)),MIN(0.995,(1/$AR34)/(1+'Setari model'!$B$32))),1-EXP(-$AL34)))</x:f>
      </x:c>
      <x:c r="BP34" s="62" t="str">
        <x:f t="shared" si="1">IF($A34="","",-LN(1-$BO34))</x:f>
      </x:c>
      <x:c r="BQ34" s="62" t="str">
        <x:f>IF($A34="","",$BJ34*INDEX('Setari model'!$B$5:$B$11,MATCH($E34,'Setari model'!$A$5:$A$11,0))+$BK34*INDEX('Setari model'!$C$5:$C$11,MATCH($E34,'Setari model'!$A$5:$A$11,0))+$BL34*INDEX('Setari model'!$D$5:$D$11,MATCH($E34,'Setari model'!$A$5:$A$11,0))+$BM34*INDEX('Setari model'!$E$5:$E$11,MATCH($E34,'Setari model'!$A$5:$A$11,0))+$BN34*INDEX('Setari model'!$F$5:$F$11,MATCH($E34,'Setari model'!$A$5:$A$11,0))+$BP34*INDEX('Setari model'!$G$5:$G$11,MATCH($E34,'Setari model'!$A$5:$A$11,0)))</x:f>
      </x:c>
      <x:c r="BR34" s="64" t="str">
        <x:f>IF($A34="","",MAX('Setari model'!$B$53,MIN('Setari model'!$B$54,1+($AV34*'Setari model'!$B$15+$AW34*'Setari model'!$B$16+$AX34*'Setari model'!$B$17+$AY34*'Setari model'!$B$18+$AZ34*'Setari model'!$B$19+$BA34*'Setari model'!$B$20+$BB34*'Setari model'!$B$21+$BC34*'Setari model'!$B$22+$BD34*'Setari model'!$B$23+$BE34*'Setari model'!$B$24+$BF34*'Setari model'!$B$25)*INDEX('Setari model'!$H$5:$H$11,MATCH($E34,'Setari model'!$A$5:$A$11,0)))))</x:f>
      </x:c>
      <x:c r="BS34" s="62" t="str">
        <x:f t="shared" si="2">IF($A34="","",$BQ34*$BR34)</x:f>
      </x:c>
      <x:c r="BT34" s="63" t="str">
        <x:f t="shared" si="3">IF($A34="","",EXP(-$BS34))</x:f>
      </x:c>
      <x:c r="BU34" s="65" t="str">
        <x:f>IF($A34="","",IF(OR($AM34="",$AN34=""),1,1+MIN('Setari model'!$B$33,$AN34/100*'Setari model'!$B$33)*($AM34/EXP(-$AL34)-1)))</x:f>
      </x:c>
      <x:c r="BV34" s="63" t="str">
        <x:f>IF($A34="","",MIN(0.45,MAX(0.005,(1-'Setari model'!$B$34*MIN(1,($I34+$P34)/20))*MIN(0.45,$BT34*$BU34)+'Setari model'!$B$34*MIN(1,($I34+$P34)/20)*IF(COUNT($N34,$U34)=2,SQRT(MAX(0,1-$N34)*MAX(0,1-$U34)),IF($AM34="",EXP(-$AL34),$AM34)))))</x:f>
      </x:c>
      <x:c r="BW34" s="63" t="str">
        <x:f t="shared" si="4">IF($A34="","",1-$BV34)</x:f>
      </x:c>
      <x:c r="BX34" s="62" t="str">
        <x:f t="shared" si="5">IF($A34="","",1/$BW34)</x:f>
      </x:c>
      <x:c r="BY34" s="63" t="str">
        <x:f t="shared" si="6">IF($A34="","",$BO34)</x:f>
      </x:c>
      <x:c r="BZ34" s="63" t="str">
        <x:f t="shared" si="7">IF($A34="","",$BW34-$BY34)</x:f>
      </x:c>
      <x:c r="CA34" s="63" t="str">
        <x:f t="shared" si="8">IF($A34="","",IF($AR34&gt;1,$BW34*$AR34-1,""))</x:f>
      </x:c>
      <x:c r="CB34" s="63" t="str">
        <x:f>IF($A34="","",MIN(1,COUNT($I34:$AN34,$AR34:$BG34)/'Setari model'!$B$46))</x:f>
      </x:c>
      <x:c r="CC34" s="63" t="str">
        <x:f t="shared" si="9">IF($A34="","",0.25*MIN(1,$I34/10)+0.25*MIN(1,$P34/10)+0.15*MIN(1,$W34/5)+0.15*MIN(1,$AB34/5)+0.1*MIN(1,$AG34/5)+0.1*MIN(1,$AN34/100))</x:f>
      </x:c>
      <x:c r="CD34" s="63" t="str">
        <x:f>IF($A34="","",MAX(0,1-(MAX($BJ34:$BN34,$BP34)-MIN($BJ34:$BN34,$BP34))/(AVERAGE($BJ34:$BN34,$BP34)*'Setari model'!$B$45)))</x:f>
      </x:c>
      <x:c r="CE34" s="66" t="str">
        <x:f>IF($A34="","",MAX(0,MIN(100,100*INDEX('Setari model'!$I$5:$I$11,MATCH($E34,'Setari model'!$A$5:$A$11,0))*('Setari model'!$B$47*$CB34+'Setari model'!$B$48*$CC34+'Setari model'!$B$49*$CD34+'Setari model'!$B$50*$AT34/5+'Setari model'!$B$51*$AU34)-100*'Setari model'!$B$52*$BG34)))</x:f>
      </x:c>
      <x:c r="CF34" s="65" t="str">
        <x:f t="shared" si="10">IF($A34="","",IF(OR($AT34&lt;3,$BG34&gt;=2,$CB34&lt;0.55,$CC34&lt;0.4),"RIDICAT",IF(OR($AU34=0,$CD34&lt;0.45,$BR34&lt;0.9),"MEDIU","SCĂZUT")))</x:f>
      </x:c>
      <x:c r="CG34" s="65" t="str">
        <x:f>IF($A34="","",IF($AR34&gt;1,IF(AND($BW34&gt;= 'Setari model'!$B$35,$CE34&gt;=100*'Setari model'!$B$36,$BZ34&gt;= 'Setari model'!$B$37,$CA34&gt;= 'Setari model'!$B$38,$CF34&lt;&gt;"RIDICAT"),"PARIU RECOMANDAT",IF(AND($BW34&gt;= 'Setari model'!$B$39,$CE34&gt;=100*'Setari model'!$B$40,$BZ34&gt;= 'Setari model'!$B$41,$CA34&gt;=0,$CF34&lt;&gt;"RIDICAT"),"RECOMANDAT CU PRUDENȚĂ",IF(AND($BW34&gt;= 'Setari model'!$B$42,$CE34&gt;=100*'Setari model'!$B$43),"ANALIZĂ NECONCLUDENTĂ","PARIU EVITAT"))),IF(AND($BW34&gt;= 'Setari model'!$B$35,$CE34&gt;=100*'Setari model'!$B$36,$CF34&lt;&gt;"RIDICAT"),"FAVORABIL STATISTIC – VERIFICĂ COTA",IF(AND($BW34&gt;= 'Setari model'!$B$42,$CE34&gt;=100*'Setari model'!$B$43),"ANALIZĂ NECONCLUDENTĂ","PARIU EVITAT"))))</x:f>
      </x:c>
      <x:c r="CH34" s="67" t="str">
        <x:f t="shared" si="11">IF($A34="","","P(O0,5)="&amp;TEXT($BW34,"0.0%")&amp;"; λ ajustat="&amp;TEXT($BS34,"0.00")&amp;"; Confidence="&amp;TEXT($CE34,"0")&amp;"/100; Edge="&amp;TEXT($BZ34,"0.0%")&amp;"; risc="&amp;$CF34&amp;". "&amp;$BH34)</x:f>
      </x:c>
      <x:c r="CI34" s="68" t="str">
        <x:f t="shared" si="12">IF($A34="","",$BI34)</x:f>
      </x:c>
      <x:c r="CJ34" s="112"/>
      <x:c r="CK34" s="112"/>
      <x:c r="CL34" s="112"/>
      <x:c r="CM34" s="112"/>
      <x:c r="CN34" s="112"/>
      <x:c r="CO34" s="112"/>
      <x:c r="CP34" s="112"/>
      <x:c r="CQ34" s="112"/>
      <x:c r="CR34" s="112"/>
      <x:c r="CS34" s="112"/>
      <x:c r="CT34" s="112"/>
      <x:c r="CU34" s="112"/>
      <x:c r="CV34" s="112"/>
      <x:c r="CW34" s="112"/>
      <x:c r="CX34" s="112"/>
      <x:c r="CY34" s="112"/>
      <x:c r="CZ34" s="112"/>
      <x:c r="DA34" s="112"/>
      <x:c r="DB34" s="112"/>
      <x:c r="DC34" s="114"/>
      <x:c r="DD34" s="114"/>
      <x:c r="DE34" s="112" t="s">
        <x:v>266</x:v>
      </x:c>
      <x:c r="DF34" s="112"/>
      <x:c r="DG34" s="112"/>
      <x:c r="DH34" s="112"/>
      <x:c r="DI34" s="112"/>
      <x:c r="DJ34" s="112"/>
      <x:c r="DK34" s="112"/>
      <x:c r="DL34" s="112"/>
      <x:c r="DM34" s="112"/>
      <x:c r="DN34" s="112"/>
      <x:c r="DO34" s="112"/>
      <x:c r="DP34" s="112"/>
      <x:c r="DQ34" s="114"/>
      <x:c r="DR34" s="112">
        <x:v>1</x:v>
      </x:c>
      <x:c r="DS34" s="116">
        <x:v>0</x:v>
      </x:c>
      <x:c r="DT34" s="120"/>
      <x:c r="DU34" s="116">
        <x:v>0.02</x:v>
      </x:c>
      <x:c r="DV34" s="116">
        <x:v>0.25</x:v>
      </x:c>
      <x:c r="DW34" s="118" t="str">
        <x:f>IF($A34="","",MAX('Setari model'!$B$71,MIN('Setari model'!$B$72,1+0.08*(IFERROR(AVERAGE($CM34:$CN34)/'Setari model'!$B$66,1)-1)+0.08*(IFERROR(AVERAGE($CO34:$CP34)/'Setari model'!$B$67,1)-1)+0.06*(IFERROR(AVERAGE($CQ34:$CR34)/'Setari model'!$B$68,1)-1)+0.04*(IFERROR(AVERAGE($CS34:$CT34)/'Setari model'!$B$69,1)-1)+0.04*(IFERROR(AVERAGE($CU34:$CV34)/'Setari model'!$B$70,1)-1)-'Setari model'!$B$73*IFERROR(AVERAGE($CW34:$CX34),0))))</x:f>
      </x:c>
      <x:c r="DX34" s="118" t="str">
        <x:f>IF($A34="","",1+'Setari model'!$B$62*MAX(IF(OR($CK34=1,$CL34=1),1,0),IF(AND($CJ34&lt;&gt;"",$CJ34&lt;=1),1,0))+'Setari model'!$B$63*IF(AND($CJ34&gt;1,$CJ34&lt;=3),1,0))</x:f>
      </x:c>
      <x:c r="DY34" s="118" t="str">
        <x:f>IF($A34="","",1+'Setari model'!$B$74*(IF($CY34="",0,IF($CY34=0,1,0))+IF($CZ34="",0,IF($CZ34=0,1,0)))+'Setari model'!$B$75*(IF($DA34="",0,IF($DA34=0,1,0))+IF($DB34="",0,IF($DB34=0,1,0))))</x:f>
      </x:c>
      <x:c r="DZ34" s="117" t="str">
        <x:f>IF($A34="","",MIN(0.6,MAX(0.002,(((1-'Setari model'!$B$34*MIN(1,($I34+$P34)/20))*$BT34+'Setari model'!$B$34*MIN(1,($I34+$P34)/20)*IF(COUNT($N34,$U34)=2,SQRT(MAX(0,1-$N34)*MAX(0,1-$U34)),$BT34))*(1-'Setari model'!$B$65*MIN(1,IF($AN34="",0,$AN34/'Setari model'!$B$64)))+'Setari model'!$B$65*MIN(1,IF($AN34="",0,$AN34/'Setari model'!$B$64))*IF($AM34="",$BT34,$AM34))*$DX34*$DY34/$DW34)))</x:f>
      </x:c>
      <x:c r="EA34" s="117" t="str">
        <x:f>IF($A34="","",MIN(1-$DZ34,IF(OR(MIN($I34,$P34)&lt;'Setari model'!$B$58,$CK34=1,$CL34=1,AND($CJ34&lt;&gt;"",$CJ34&lt;=1)),'Setari model'!$B$59,IF(AND($AU34=1,$AR34&gt;1,COUNT($CY34:$DB34)=4),'Setari model'!$B$61,'Setari model'!$B$60))))</x:f>
      </x:c>
      <x:c r="EB34" s="115" t="str">
        <x:f t="shared" si="13">IF($A34="","",1/$EA34)</x:f>
      </x:c>
      <x:c r="EC34" s="117" t="str">
        <x:f t="shared" si="14">IF($A34="","",IF($AR34&gt;1,IF($AS34&gt;1,(1/$AR34)/((1/$AR34)+(1/$AS34)),1/$AR34),""))</x:f>
      </x:c>
      <x:c r="ED34" s="117" t="str">
        <x:f t="shared" si="15">IF($A34="","",IF($EC34="","",$EA34-$EC34))</x:f>
      </x:c>
      <x:c r="EE34" s="117" t="str">
        <x:f t="shared" si="16">""</x:f>
      </x:c>
      <x:c r="EF34" s="119" t="str">
        <x:f>IF($A34="","",MAX(0,MIN(100,$CE34-200*MAX(0,$EG34-'Setari model'!$B$77)-IF($AU34&lt;&gt;1,10,0)-IF(COUNT($CY34:$DB34)&lt;4,4,0))))</x:f>
      </x:c>
      <x:c r="EG34" s="117" t="str">
        <x:f>IF($A34="","",'Setari model'!$B$77+IF(MIN($I34,$P34)&lt;'Setari model'!$B$58,0.03,0)+IF(OR($CK34=1,$CL34=1,AND($CJ34&lt;&gt;"",$CJ34&lt;=1)),0.03,0)+IF($AG34=0,0.02,0)+0.03*(1-MIN(1,COUNT($CM34:$CV34)/10))+0.03*(1-MIN(1,IF($AN34="",0,$AN34/'Setari model'!$B$64)))+IF($AR34&lt;=1,0.02,0))</x:f>
      </x:c>
      <x:c r="EH34" s="113" t="str">
        <x:f>IF($A34="","",IF(OR(MIN($I34,$P34)&lt;'Setari model'!$B$58,$CK34=1,$CL34=1,AND($CJ34&lt;&gt;"",$CJ34&lt;=1)),"92% – early/regim",IF(AND($AU34=1,$AR34&gt;1,COUNT($CY34:$DB34)=4),"94% – confirmat","93% – standard")))</x:f>
      </x:c>
      <x:c r="EI34" s="113" t="str">
        <x:f t="shared" si="17">IF($A34="","",IF(AND($EA34&gt;0.9,$AU34&lt;&gt;1),"WAIT XI – HIGH P",IF(AND($EA34&gt;0.9,COUNT($CY34:$DB34)&lt;4),"WAIT DATE CHEIE – HIGH P",IF($EP34&lt;&gt;"DA","NU – PORTOFOLIU","DA"))))</x:f>
      </x:c>
      <x:c r="EJ34" s="117" t="str">
        <x:f t="shared" si="18">IF($A34="","",IF($DE34&lt;&gt;"Live 20-30","",IF(SUM($DG34:$DH34)&gt;0,1,IF($EU34="","",1-MIN(0.95,MAX(0.001,EXP(-$EU34)*$DX34*$DY34/$DW34))))))</x:f>
      </x:c>
      <x:c r="EK34" s="117" t="str">
        <x:f t="shared" si="19">""</x:f>
      </x:c>
      <x:c r="EL34" s="113" t="str">
        <x:f>IF($A34="","",IF($DE34="Live 20-30",IF(SUM($DG34:$DH34)&gt;0,"EVENIMENT ÎNDEPLINIT",IF(OR($DF34="",COUNT($DI34:$DN34)&lt;4),"LIVE – WATCH",IF($EJ34&gt;=0.75,"LIVE – FEZABIL TEHNIC","LIVE – NO BET"))),IF($EI34&lt;&gt;"DA","WATCH / NO BET",IF(AND($EA34&gt;=INDEX('Setari model'!$B$35:$B$40,1),$EF34&gt;=100*'Setari model'!$B$76),"PARIU RECOMANDAT",IF(AND($EA34&gt;=INDEX('Setari model'!$B$35:$B$40,5),$EF34&gt;=100*'Setari model'!$B$40),"WATCH – APROAPE DE PRAG","PARIU EVITAT")))))</x:f>
      </x:c>
      <x:c r="EM34" s="113" t="str">
        <x:f t="shared" si="20">IF($A34="","",IF($DE34="Live 20-30",IF(SUM($DG34:$DH34)&gt;0,"Gol deja marcat.",IF($DF34="","Minut live lipsă.",IF(COUNT($DI34:$DN34)&lt;4,"Lipsesc xG/SOT/big chances live.",IF($EJ34&lt;0.75,"P live sub prag.","Semnal live tehnic complet; EV ignorat.")))),IF($EI34&lt;&gt;"DA",$EI34,IF($EF34&lt;75,"Confidence sub 75.",IF($EA34&lt;0.92,"P sub 92%.","G0/Zero-Mass + confidence trecute; EV ignorat.")))))</x:f>
      </x:c>
      <x:c r="EN34" s="117" t="str">
        <x:f>IF($A34="","",IF(OR($EL34="PARIU RECOMANDAT",$EL34="LIVE – FEZABIL"),MIN(IF($DU34&gt;0,$DU34,'Setari model'!$B$81)/MAX(1,$DR34),IF($DV34&gt;0,$DV34,'Setari model'!$B$80)*MAX(0,((IF($DE34="Live 20-30",$EJ34,$EA34)*IF($DE34="Live 20-30",$DQ34,$AR34)-1)/(IF($DE34="Live 20-30",$DQ34,$AR34)-1)))),0))</x:f>
      </x:c>
      <x:c r="EO34" s="121" t="str">
        <x:f t="shared" si="21">IF($A34="","",IF(AND($EN34&gt;0,$DT34&gt;0),$EN34*$DT34,""))</x:f>
      </x:c>
      <x:c r="EP34" s="113" t="str">
        <x:f>IF($A34="","",IF(OR($DR34&lt;1,$DR34&gt;'Setari model'!$B$78),"NU – 1–5 selecții",IF($DS34&gt;'Setari model'!$B$79,"NU – corelație", "DA")))</x:f>
      </x:c>
      <x:c r="EQ34" s="117" t="str">
        <x:f t="shared" si="22">IF($A34="","",IF(AND($DC34&gt;1,$DD34&gt;1),$DC34/$DD34-1,""))</x:f>
      </x:c>
      <x:c r="ER34" s="113" t="str">
        <x:f t="shared" si="23">IF($A34="","","P v2="&amp;TEXT($EA34,"0.0%")&amp;" ±"&amp;TEXT($EG34,"0.0%")&amp;"; P0 ZIP="&amp;TEXT($DZ34,"0.0%")&amp;"; Confidence="&amp;TEXT($EF34,"0")&amp;"/100; piață reală="&amp;IF($EC34="","NU","DA")&amp;"; EV="&amp;IF($EE34="","n/a",TEXT($EE34,"0.0%"))&amp;"; gate="&amp;$EI34&amp;"; verdict="&amp;$EL34&amp;". "&amp;$EM34)</x:f>
      </x:c>
      <x:c r="ES34" s="119" t="str">
        <x:f>IF($A34="","",'Setari model'!$B$82)</x:f>
      </x:c>
      <x:c r="ET34" s="118" t="str">
        <x:f>IF($A34="","",'Setari model'!$B$83)</x:f>
      </x:c>
      <x:c r="EU34" s="115" t="str">
        <x:f t="shared" si="24">IF(OR($A34="",$DE34&lt;&gt;"Live 20-30",$DF34="",$DF34&lt;$ES34,$DF34&gt;=90),"",MAX(0.05,MIN($BS34*$ET34,$BS34*(90-$DF34)/90+0.35*($DI34+$DJ34)+0.06*($DK34+$DL34)+0.15*($DM34+$DN34)+0.1*(MAX($DO34,$DP34)-MIN($DO34,$DP34)))))</x:f>
      </x:c>
      <x:c r="EV34" s="132"/>
      <x:c r="EW34" s="132"/>
      <x:c r="EX34" s="132"/>
      <x:c r="EY34" s="132"/>
      <x:c r="EZ34" s="132"/>
      <x:c r="FA34" s="132"/>
      <x:c r="FB34" s="247"/>
      <x:c r="FC34" s="134" t="str">
        <x:f t="shared" si="25">IF($A34="","",IF(OR($J34="",$L34="",$L34&lt;=0),"",MAX(0.5,MIN(1.5,$J34/$L34))))</x:f>
      </x:c>
      <x:c r="FD34" s="134" t="str">
        <x:f t="shared" si="26">IF($A34="","",IF(OR($Q34="",$S34="",$S34&lt;=0),"",MAX(0.5,MIN(1.5,$Q34/$S34))))</x:f>
      </x:c>
      <x:c r="FE34" s="134" t="str">
        <x:f>IF($A34="","",IF(COUNT($EV34:$EW34)&lt;2,"",SQRT($EV34*$EW34)/'Setari model'!$B$87))</x:f>
      </x:c>
      <x:c r="FF34" s="134" t="str">
        <x:f>IF($A34="","",IF(COUNT($O34,$V34,$EX34,$EY34)&lt;4,"",AVERAGE(SQRT($O34*$EY34),SQRT($V34*$EX34))/'Setari model'!$B$88))</x:f>
      </x:c>
      <x:c r="FG34" s="134" t="str">
        <x:f t="shared" si="27">IF($A34="","",IF(COUNT($FC34:$FD34)&lt;2,"",MAX(0,1-AVERAGE($FC34:$FD34))))</x:f>
      </x:c>
      <x:c r="FH34" s="134" t="str">
        <x:f>IF($A34="","",IF(COUNT($EZ34:$FA34)&lt;2,"",'Setari model'!$B$94*AVERAGE($EZ34:$FA34)/'Setari model'!$B$89))</x:f>
      </x:c>
      <x:c r="FI34" s="134" t="str">
        <x:f>IF($A34="","",IF(COUNT($FE34:$FH34)&lt;4,"",MAX('Setari model'!$B$97,MIN('Setari model'!$B$98,1+'Setari model'!$B$90*($FE34-1)+'Setari model'!$B$91*($FF34-1)+'Setari model'!$B$92*$FG34+'Setari model'!$B$93*($FH34-1)))))</x:f>
      </x:c>
      <x:c r="FJ34" s="133" t="str">
        <x:f>IF($A34="","",IF($FI34="","",MIN('Setari model'!$B$101,MAX(0.002,$DZ34*$FI34))))</x:f>
      </x:c>
      <x:c r="FK34" s="131" t="str">
        <x:f t="shared" si="28">IF($A34="","",IF(AND(COUNT($EV34:$FA34)=6,COUNT($O34,$V34,$FC34,$FD34)=4),"DA","NU"))</x:f>
      </x:c>
      <x:c r="FL34" s="131" t="str">
        <x:f>IF($A34="","",IF($FK34&lt;&gt;"DA","NEDETERMINAT",IF($FI34&lt;='Setari model'!$B$99,"SCĂZUT",IF($FI34&lt;='Setari model'!$B$100,"MEDIU","RIDICAT"))))</x:f>
      </x:c>
      <x:c r="FM34" s="131" t="str">
        <x:f>IF($A34="","",IF(AND($AR34&gt;1,$EC34&gt;='Setari model'!$B$106),"DA","NU"))</x:f>
      </x:c>
      <x:c r="FN34" s="131" t="str">
        <x:f t="shared" si="29">IF($A34="","",IF(AND($AU34=1,COUNT($CY34:$DB34)=4),"DA","NU"))</x:f>
      </x:c>
      <x:c r="FO34" s="133" t="str">
        <x:f>IF($A34="","",IF(OR($FK34&lt;&gt;"DA",$FL34="RIDICAT"),'Setari model'!$B$102,IF($FL34="MEDIU",'Setari model'!$B$103,IF(AND($FM34="DA",$FN34="DA"),'Setari model'!$B$105,'Setari model'!$B$104))))</x:f>
      </x:c>
      <x:c r="FP34" s="133" t="str">
        <x:f t="shared" si="30">IF($A34="","",IF($FJ34="","",MIN(1-$FJ34,$FO34)))</x:f>
      </x:c>
      <x:c r="FQ34" s="135" t="str">
        <x:f t="shared" si="31">IF($A34="","",IF($FP34="","",IF($FP34&gt;0,1/$FP34,"")))</x:f>
      </x:c>
      <x:c r="FR34" s="133" t="str">
        <x:f t="shared" si="32">IF($A34="","",IF($EC34="","",$FP34-$EC34))</x:f>
      </x:c>
      <x:c r="FS34" s="133" t="str">
        <x:f t="shared" si="33">IF($A34="","",IF($AR34&gt;1,$FP34*$AR34-1,""))</x:f>
      </x:c>
      <x:c r="FT34" s="136" t="str">
        <x:f>IF($A34="","",MAX(0,MIN(100,$EF34-IF($FK34&lt;&gt;"DA",'Setari model'!$B$107,0)-IF($FL34="MEDIU",'Setari model'!$B$108,0)-IF($FL34="RIDICAT",'Setari model'!$B$109,0))))</x:f>
      </x:c>
      <x:c r="FU34" s="131" t="str">
        <x:f t="shared" si="34">IF($A34="","",IF($AR34&lt;=1,"NU – LIPSEȘTE COTA REALĂ",IF($FK34&lt;&gt;"DA","NU – ZERO-RISK INCOMPLET",IF($FL34&lt;&gt;"SCĂZUT","NU – RISC 0-0 "&amp;$FL34,IF($FN34&lt;&gt;"DA","NU – LINEUP NECONFIRMAT",IF($FM34&lt;&gt;"DA","NU – PIAȚĂ NECONFIRMATĂ",IF($EP34&lt;&gt;"DA","NU – PORTOFOLIU","DA")))))))</x:f>
      </x:c>
      <x:c r="FV34" s="131" t="str">
        <x:f>IF($A34="","",IF($FU34&lt;&gt;"DA","WATCH / NO BET",IF(AND($FP34&gt;='Setari model'!$B$35,$FT34&gt;=100*'Setari model'!$B$76,$FS34&gt;0),"PARIU RECOMANDAT",IF(AND($FP34&gt;='Setari model'!$B$39,$FT34&gt;=100*'Setari model'!$B$40,$FS34&gt;0),"WATCH – APROAPE DE PRAG","PARIU EVITAT"))))</x:f>
      </x:c>
      <x:c r="FW34" s="131" t="str">
        <x:f t="shared" si="35">IF($A34="","",IF($FU34&lt;&gt;"DA",$FU34,IF($FT34&lt;75,"Confidence v3 sub 75.",IF($FP34&lt;0.92,"P v3 sub 92%.",IF($FS34&lt;=0,"EV v3 nepozitiv.","P0 v3, lineup și piață confirmate.")))))</x:f>
      </x:c>
      <x:c r="FX34" s="131" t="str">
        <x:f t="shared" si="36">IF($A34="","","P v3="&amp;TEXT($FP34,"0.0%")&amp;"; P0 v3="&amp;TEXT($FJ34,"0.0%")&amp;"; factor zero="&amp;IF($FI34="","n/a",TEXT($FI34,"0.00x"))&amp;" ("&amp;$FL34&amp;"); cap="&amp;TEXT($FO34,"0.0%")&amp;"; Confidence="&amp;TEXT($FT34,"0")&amp;"/100; lineup="&amp;$FN34&amp;"; piață="&amp;$FM34&amp;"; EV="&amp;IF($FS34="","n/a",TEXT($FS34,"0.0%"))&amp;"; gate="&amp;$FU34&amp;"; verdict="&amp;$FV34&amp;". "&amp;$FW34)</x:f>
      </x:c>
      <x:c r="FY34" s="159"/>
      <x:c r="FZ34" s="159"/>
      <x:c r="GA34" s="157"/>
      <x:c r="GB34" s="157"/>
      <x:c r="GC34" s="161" t="str">
        <x:f t="shared" si="37">IF($A34="","",IF(OR($X34="",$Z34="",$Z34&lt;=0),"",MAX(0.5,MIN(1.5,$X34/$Z34))))</x:f>
      </x:c>
      <x:c r="GD34" s="161" t="str">
        <x:f t="shared" si="38">IF($A34="","",IF(OR($AC34="",$AE34="",$AE34&lt;=0),"",MAX(0.5,MIN(1.5,$AC34/$AE34))))</x:f>
      </x:c>
      <x:c r="GE34" s="162" t="str">
        <x:f t="shared" si="39">IF($A34="","",IF(COUNT($Z34,$AE34)&lt;2,"",AVERAGE($Z34,$AE34)))</x:f>
      </x:c>
      <x:c r="GF34" s="158" t="str">
        <x:f>IF($A34="","",IF(COUNT($FY34:$FZ34)&lt;2,"NEDETERMINAT",IF(AND($FY34&gt;='Setari model'!$B$113,$FZ34&gt;='Setari model'!$B$113),"DA","NU")))</x:f>
      </x:c>
      <x:c r="GG34" s="158" t="str">
        <x:f>IF($A34="","",IF(COUNT($FY34:$FZ34,$EX34:$EY34)&lt;4,"NEDETERMINAT",IF(OR(AND($FY34&gt;='Setari model'!$B$113,$EY34&gt;='Setari model'!$B$114),AND($FZ34&gt;='Setari model'!$B$113,$EX34&gt;='Setari model'!$B$114)),"DA","NU")))</x:f>
      </x:c>
      <x:c r="GH34" s="158" t="str">
        <x:f>IF($A34="","",IF(COUNT($BJ34:$BN34,$GC34:$GE34)&lt;8,"NEDETERMINAT",IF(AND((($BJ34*INDEX('Setari model'!$B$5:$B$11,MATCH($E34,'Setari model'!$A$5:$A$11,0))+$BK34*INDEX('Setari model'!$C$5:$C$11,MATCH($E34,'Setari model'!$A$5:$A$11,0))+$BL34*INDEX('Setari model'!$D$5:$D$11,MATCH($E34,'Setari model'!$A$5:$A$11,0))+$BM34*INDEX('Setari model'!$E$5:$E$11,MATCH($E34,'Setari model'!$A$5:$A$11,0))+$BN34*INDEX('Setari model'!$F$5:$F$11,MATCH($E34,'Setari model'!$A$5:$A$11,0)))/(INDEX('Setari model'!$B$5:$B$11,MATCH($E34,'Setari model'!$A$5:$A$11,0))+INDEX('Setari model'!$C$5:$C$11,MATCH($E34,'Setari model'!$A$5:$A$11,0))+INDEX('Setari model'!$D$5:$D$11,MATCH($E34,'Setari model'!$A$5:$A$11,0))+INDEX('Setari model'!$E$5:$E$11,MATCH($E34,'Setari model'!$A$5:$A$11,0))+INDEX('Setari model'!$F$5:$F$11,MATCH($E34,'Setari model'!$A$5:$A$11,0))))*$BR34&gt;='Setari model'!$B$115,(($BJ34*INDEX('Setari model'!$B$5:$B$11,MATCH($E34,'Setari model'!$A$5:$A$11,0))+$BK34*INDEX('Setari model'!$C$5:$C$11,MATCH($E34,'Setari model'!$A$5:$A$11,0))+$BL34*INDEX('Setari model'!$D$5:$D$11,MATCH($E34,'Setari model'!$A$5:$A$11,0))+$BM34*INDEX('Setari model'!$E$5:$E$11,MATCH($E34,'Setari model'!$A$5:$A$11,0))+$BN34*INDEX('Setari model'!$F$5:$F$11,MATCH($E34,'Setari model'!$A$5:$A$11,0)))/(INDEX('Setari model'!$B$5:$B$11,MATCH($E34,'Setari model'!$A$5:$A$11,0))+INDEX('Setari model'!$C$5:$C$11,MATCH($E34,'Setari model'!$A$5:$A$11,0))+INDEX('Setari model'!$D$5:$D$11,MATCH($E34,'Setari model'!$A$5:$A$11,0))+INDEX('Setari model'!$E$5:$E$11,MATCH($E34,'Setari model'!$A$5:$A$11,0))+INDEX('Setari model'!$F$5:$F$11,MATCH($E34,'Setari model'!$A$5:$A$11,0))))*$BR34&lt;='Setari model'!$B$116,AVERAGE($GC34:$GD34)&lt;='Setari model'!$B$117,$GE34&gt;='Setari model'!$B$118),"DA","NU")))</x:f>
      </x:c>
      <x:c r="GI34" s="158" t="str">
        <x:f>IF($A34="","",IF(COUNT($W34,$AB34,$GA34:$GB34)&lt;4,"NEDETERMINAT",IF(AND($W34&gt;='Setari model'!$B$120,$AB34&gt;='Setari model'!$B$120,OR(IFERROR($GA34/$W34,0)&gt;='Setari model'!$B$119,IFERROR($GB34/$AB34,0)&gt;='Setari model'!$B$119)),"DA","NU")))</x:f>
      </x:c>
      <x:c r="GJ34" s="160" t="str">
        <x:f>IF($A34="","",IF(COUNT($FY34:$GB34)&lt;4,"",IF($GH34&lt;&gt;"DA",0,'Setari model'!$B$121*IF($GF34="DA",1,0)+'Setari model'!$B$122*IF($GG34="DA",1,0)+'Setari model'!$B$123+'Setari model'!$B$124*IF($GI34="DA",1,0))))</x:f>
      </x:c>
      <x:c r="GK34" s="161" t="str">
        <x:f>IF($A34="","",IF(COUNT($GJ34)=0,"",1+'Setari model'!$B$125*$GJ34))</x:f>
      </x:c>
      <x:c r="GL34" s="160" t="str">
        <x:f>IF($A34="","",IF($GM34&lt;&gt;"DA",$FJ34,MIN('Setari model'!$B$101,MAX(0.002,$FJ34*$GK34))))</x:f>
      </x:c>
      <x:c r="GM34" s="158" t="str">
        <x:f>IF($A34="","",IF(AND($FK34="DA",COUNT($FY34:$GB34)=4,COUNT($I34,$P34,$W34,$AB34,$Z34,$AE34,$EX34,$EY34,$GC34,$GD34)=10,COUNT($BJ34:$BN34)=5),"DA","NU"))</x:f>
      </x:c>
      <x:c r="GN34" s="158" t="str">
        <x:f>IF($A34="","",IF($GM34&lt;&gt;"DA","NEDETERMINAT",IF($FI34*$GK34&lt;='Setari model'!$B$99,"SCĂZUT",IF($FI34*$GK34&lt;='Setari model'!$B$100,"MEDIU","RIDICAT"))))</x:f>
      </x:c>
      <x:c r="GO34" s="160" t="str">
        <x:f>IF($A34="","",IF(OR($GM34&lt;&gt;"DA",$GN34="RIDICAT"),'Setari model'!$B$102,IF($GN34="MEDIU",'Setari model'!$B$103,IF(AND($FM34="DA",$FN34="DA"),'Setari model'!$B$105,'Setari model'!$B$104))))</x:f>
      </x:c>
      <x:c r="GP34" s="160" t="str">
        <x:f t="shared" si="40">IF($A34="","",IF($GL34="","",MIN(1-$GL34,$GO34)))</x:f>
      </x:c>
      <x:c r="GQ34" s="162" t="str">
        <x:f t="shared" si="41">IF($A34="","",IF($GP34="","",IF($GP34&gt;0,1/$GP34,"")))</x:f>
      </x:c>
      <x:c r="GR34" s="160" t="str">
        <x:f t="shared" si="42">IF($A34="","",IF($EC34="","",$GP34-$EC34))</x:f>
      </x:c>
      <x:c r="GS34" s="160" t="str">
        <x:f t="shared" si="43">IF($A34="","",IF($AR34&gt;1,$GP34*$AR34-1,""))</x:f>
      </x:c>
      <x:c r="GT34" s="163" t="str">
        <x:f>IF($A34="","",MAX(0,MIN(100,$FT34-IF(AND($GM34&lt;&gt;"DA",$FK34="DA"),'Setari model'!$B$107,0)-'Setari model'!$B$126*IF($GJ34="",0,$GJ34))))</x:f>
      </x:c>
      <x:c r="GU34" s="158" t="str">
        <x:f t="shared" si="44">IF($A34="","",IF($AR34&lt;=1,"NU – LIPSEȘTE COTA REALĂ",IF($GM34&lt;&gt;"DA","NU – DATE LOW-CONVERSION INCOMPLETE",IF($GN34&lt;&gt;"SCĂZUT","NU – RISC 0-0 "&amp;$GN34,IF($FN34&lt;&gt;"DA","NU – LINEUP NECONFIRMAT",IF($FM34&lt;&gt;"DA","NU – PIAȚĂ NECONFIRMATĂ",IF($EP34&lt;&gt;"DA","NU – PORTOFOLIU","DA")))))))</x:f>
      </x:c>
      <x:c r="GV34" s="158" t="str">
        <x:f>IF($A34="","",IF($GU34&lt;&gt;"DA","WATCH / NO BET",IF(AND($GP34&gt;='Setari model'!$B$35,$GT34&gt;=100*'Setari model'!$B$76,$GS34&gt;0),"PARIU RECOMANDAT",IF(AND($GP34&gt;='Setari model'!$B$39,$GT34&gt;=100*'Setari model'!$B$40,$GS34&gt;0),"WATCH – APROAPE DE PRAG","PARIU EVITAT"))))</x:f>
      </x:c>
      <x:c r="GW34" s="158" t="str">
        <x:f t="shared" si="45">IF($A34="","",IF($GU34&lt;&gt;"DA",$GU34,IF($GT34&lt;75,"Confidence v5 sub 75.",IF($GP34&lt;0.92,"P v5 sub 92%.",IF($GS34&lt;=0,"EV v5 nepozitiv.",IF($GJ34&gt;0,"Low-conversion absorbit în P0; toate porțile rămân trecute.","Toate porțile v5 sunt trecute."))))))</x:f>
      </x:c>
      <x:c r="GX34" s="158" t="str">
        <x:f t="shared" si="46">IF($A34="","","P v5="&amp;TEXT($GP34,"0.0%")&amp;"; P0 v5="&amp;TEXT($GL34,"0.0%")&amp;"; low-conv="&amp;IF(COUNT($GJ34)=0,"n/a",TEXT($GJ34,"0%"))&amp;"; mult.P0="&amp;IF(COUNT($GK34)=0,"n/a",TEXT($GK34,"0.00"))&amp;"; clasă="&amp;$GN34&amp;"; cap="&amp;TEXT($GO34,"0.0%")&amp;"; Confidence="&amp;TEXT($GT34,"0")&amp;"/100; lineup="&amp;$FN34&amp;"; piață="&amp;$FM34&amp;"; EV="&amp;IF($GS34="","n/a",TEXT($GS34,"0.0%"))&amp;"; gate="&amp;$GU34&amp;"; verdict="&amp;$GV34&amp;". "&amp;$GW34)</x:f>
      </x:c>
      <x:c r="GY34" s="174" t="str">
        <x:f>IF($A34="","",IF($GM34&lt;&gt;"DA","SOURCING INCOMPLETE – REVIEW REQUIRED",IF(MIN($I34,$P34,$W34,$AB34)&lt;'Setari model'!$B$58,"SMALL SAMPLE + PRIOR / SHRINKAGE","VERIFIED / PRIOR / SHRINKAGE")))</x:f>
      </x:c>
      <x:c r="GZ34" s="175" t="str">
        <x:f t="shared" si="47">IF($A34="","",MAX(0,MIN(100,100*(1-AVERAGE(IF($GM34="DA",1,0),MIN(1,$AT34/5))))))</x:f>
      </x:c>
      <x:c r="HA34" s="175" t="str">
        <x:f>IF($A34="","",IF($GM34&lt;&gt;"DA","",MAX(0,MIN(100,100*(($FI34*$GK34)-'Setari model'!$B$97)/('Setari model'!$B$98-'Setari model'!$B$97)))))</x:f>
      </x:c>
      <x:c r="HB34" s="175" t="str">
        <x:f>IF($A34="","",MAX(0,MIN(100,100*(ABS($BR34-1)/MAX(1-'Setari model'!$B$53,'Setari model'!$B$54-1)+MIN(1,$BG34/2))/2)))</x:f>
      </x:c>
      <x:c r="HC34" s="175" t="str">
        <x:f t="shared" si="48">IF($A34="","",MAX(0,MIN(100,100*(1-AVERAGE($CC34,MAX(0,1-(MAX($BJ34:$BN34)-MIN($BJ34:$BN34))/(AVERAGE($BJ34:$BN34)*'Setari model'!$B$45)))))))</x:f>
      </x:c>
      <x:c r="HD34" s="175" t="str">
        <x:f t="shared" si="49">IF($A34="","",MAX(0,MIN(100,100*MAX(IF($GJ34="",0,$GJ34),MIN(1,$BG34/2)))))</x:f>
      </x:c>
      <x:c r="HE34" s="175" t="str">
        <x:f>IF($A34="","",IF(COUNT($GZ34:$HD34)&lt;5,"",$GZ34*Risk_Classification!$E$28+$HA34*Risk_Classification!$E$29+$HB34*Risk_Classification!$E$30+$HC34*Risk_Classification!$E$31+$HD34*Risk_Classification!$E$32))</x:f>
      </x:c>
      <x:c r="HF34" s="176" t="str">
        <x:f t="shared" si="50">IF($A34="","",IF($HE34="","",IF($HE34&lt;=20,1,IF($HE34&lt;=40,2,IF($HE34&lt;=60,3,IF($HE34&lt;=80,4,5))))))</x:f>
      </x:c>
      <x:c r="HG34" s="176" t="str">
        <x:f t="shared" si="51">IF($A34="","",IF($GM34="DA","PASS","FAIL – DATE CRITICE ZERO-MASS INCOMPLETE"))</x:f>
      </x:c>
      <x:c r="HH34" s="176" t="str">
        <x:f t="shared" si="52">IF($A34="","",IF($HG34&lt;&gt;"PASS",5,$HF34))</x:f>
      </x:c>
      <x:c r="HI34" s="174" t="str">
        <x:f t="shared" si="53">IF($A34="","",IF($HH34="","N/A",IF($HH34=1,"DEFENSIV",IF($HH34=2,"PRUDENT",IF($HH34=3,"MODERAT",IF($HH34=4,"RIDICAT","WATCH / NO BET"))))))</x:f>
      </x:c>
      <x:c r="HJ34" s="177" t="str">
        <x:f t="shared" si="54">IF($A34="","","Data="&amp;$GY34&amp;"; DQ="&amp;TEXT($GZ34,"0.0")&amp;"; ZM="&amp;IF($HA34="","n/a",TEXT($HA34,"0.0"))&amp;"; Context="&amp;TEXT($HB34,"0.0")&amp;"; Uncertainty="&amp;TEXT($HC34,"0.0")&amp;"; Compound="&amp;TEXT($HD34,"0.0")&amp;"; Risk Score="&amp;IF($HE34="","n/a",TEXT($HE34,"0.0"))&amp;"; Base="&amp;IF($HF34="","n/a",$HF34)&amp;"; G0="&amp;$HG34&amp;"; Final="&amp;$HH34&amp;". Cota, EV si lineup sunt informative si nu intra in recomandare.")</x:f>
      </x:c>
      <x:c r="HK34" s="174" t="str">
        <x:f t="shared" si="55">IF($A34="","",$HI34)</x:f>
      </x:c>
    </x:row>
    <x:row r="35" ht="24" customHeight="1">
      <x:c r="A35" s="58"/>
      <x:c r="B35" s="24"/>
      <x:c r="C35" s="59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18"/>
      <x:c r="O35" s="18"/>
      <x:c r="P35" s="24"/>
      <x:c r="Q35" s="24"/>
      <x:c r="R35" s="24"/>
      <x:c r="S35" s="24"/>
      <x:c r="T35" s="24"/>
      <x:c r="U35" s="18"/>
      <x:c r="V35" s="18"/>
      <x:c r="W35" s="24"/>
      <x:c r="X35" s="24"/>
      <x:c r="Y35" s="24"/>
      <x:c r="Z35" s="24"/>
      <x:c r="AA35" s="24"/>
      <x:c r="AB35" s="24"/>
      <x:c r="AC35" s="24"/>
      <x:c r="AD35" s="24"/>
      <x:c r="AE35" s="24"/>
      <x:c r="AF35" s="24"/>
      <x:c r="AG35" s="24"/>
      <x:c r="AH35" s="24"/>
      <x:c r="AI35" s="18"/>
      <x:c r="AJ35" s="24"/>
      <x:c r="AK35" s="24"/>
      <x:c r="AL35" s="24"/>
      <x:c r="AM35" s="18"/>
      <x:c r="AN35" s="24"/>
      <x:c r="AO35" s="60"/>
      <x:c r="AP35" s="60"/>
      <x:c r="AQ35" s="60"/>
      <x:c r="AR35" s="60"/>
      <x:c r="AS35" s="60"/>
      <x:c r="AT35" s="24"/>
      <x:c r="AU35" s="24"/>
      <x:c r="AV35" s="24"/>
      <x:c r="AW35" s="24"/>
      <x:c r="AX35" s="24"/>
      <x:c r="AY35" s="24"/>
      <x:c r="AZ35" s="24"/>
      <x:c r="BA35" s="24"/>
      <x:c r="BB35" s="24"/>
      <x:c r="BC35" s="24"/>
      <x:c r="BD35" s="24"/>
      <x:c r="BE35" s="24"/>
      <x:c r="BF35" s="24"/>
      <x:c r="BG35" s="24"/>
      <x:c r="BH35" s="61"/>
      <x:c r="BI35" s="61"/>
      <x:c r="BJ35" s="62" t="str">
        <x:f>IF($A35="","",SQRT((($I35*IF($J35="",$AJ35,$J35)+'Setari model'!$B$30*$AJ35)/($I35+'Setari model'!$B$30))*(($P35*IF($R35="",$AJ35,$R35)+'Setari model'!$B$30*$AJ35)/($P35+'Setari model'!$B$30)))+SQRT((($P35*IF($Q35="",$AK35,$Q35)+'Setari model'!$B$30*$AK35)/($P35+'Setari model'!$B$30))*(($I35*IF($K35="",$AK35,$K35)+'Setari model'!$B$30*$AK35)/($I35+'Setari model'!$B$30))))</x:f>
      </x:c>
      <x:c r="BK35" s="62" t="str">
        <x:f>IF($A35="","",SQRT((($I35*IF($L35="",IF($J35="",$AJ35,$J35),$L35)+'Setari model'!$B$30*$AJ35)/($I35+'Setari model'!$B$30))*(($P35*IF($T35="",IF($R35="",$AJ35,$R35),$T35)+'Setari model'!$B$30*$AJ35)/($P35+'Setari model'!$B$30)))+SQRT((($P35*IF($S35="",IF($Q35="",$AK35,$Q35),$S35)+'Setari model'!$B$30*$AK35)/($P35+'Setari model'!$B$30))*(($I35*IF($M35="",IF($K35="",$AK35,$K35),$M35)+'Setari model'!$B$30*$AK35)/($I35+'Setari model'!$B$30))))</x:f>
      </x:c>
      <x:c r="BL35" s="62" t="str">
        <x:f>IF($A35="","",SQRT((($W35*IF($X35="",$AL35/2,$X35)+'Setari model'!$B$31*$AL35/2)/($W35+'Setari model'!$B$31))*(($AB35*IF($AD35="",$AL35/2,$AD35)+'Setari model'!$B$31*$AL35/2)/($AB35+'Setari model'!$B$31)))+SQRT((($AB35*IF($AC35="",$AL35/2,$AC35)+'Setari model'!$B$31*$AL35/2)/($AB35+'Setari model'!$B$31))*(($W35*IF($Y35="",$AL35/2,$Y35)+'Setari model'!$B$31*$AL35/2)/($W35+'Setari model'!$B$31))))</x:f>
      </x:c>
      <x:c r="BM35" s="62" t="str">
        <x:f>IF($A35="","",SQRT((($W35*IF($Z35="",IF($X35="",$AL35/2,$X35),$Z35)+'Setari model'!$B$31*$AL35/2)/($W35+'Setari model'!$B$31))*(($AB35*IF($AF35="",IF($AD35="",$AL35/2,$AD35),$AF35)+'Setari model'!$B$31*$AL35/2)/($AB35+'Setari model'!$B$31)))+SQRT((($AB35*IF($AE35="",IF($AC35="",$AL35/2,$AC35),$AE35)+'Setari model'!$B$31*$AL35/2)/($AB35+'Setari model'!$B$31))*(($W35*IF($AA35="",IF($Y35="",$AL35/2,$Y35),$AA35)+'Setari model'!$B$31*$AL35/2)/($W35+'Setari model'!$B$31))))</x:f>
      </x:c>
      <x:c r="BN35" s="62" t="str">
        <x:f t="shared" si="0">IF($A35="","",IF($AG35&gt;0,($AG35*IF($AH35="",$AL35,$AH35)+5*$AL35)/($AG35+5),$AL35))</x:f>
      </x:c>
      <x:c r="BO35" s="63" t="str">
        <x:f>IF($A35="","",IF($AR35&gt;1,IF($AS35&gt;1,(1/$AR35)/((1/$AR35+1/$AS35)),MIN(0.995,(1/$AR35)/(1+'Setari model'!$B$32))),1-EXP(-$AL35)))</x:f>
      </x:c>
      <x:c r="BP35" s="62" t="str">
        <x:f t="shared" si="1">IF($A35="","",-LN(1-$BO35))</x:f>
      </x:c>
      <x:c r="BQ35" s="62" t="str">
        <x:f>IF($A35="","",$BJ35*INDEX('Setari model'!$B$5:$B$11,MATCH($E35,'Setari model'!$A$5:$A$11,0))+$BK35*INDEX('Setari model'!$C$5:$C$11,MATCH($E35,'Setari model'!$A$5:$A$11,0))+$BL35*INDEX('Setari model'!$D$5:$D$11,MATCH($E35,'Setari model'!$A$5:$A$11,0))+$BM35*INDEX('Setari model'!$E$5:$E$11,MATCH($E35,'Setari model'!$A$5:$A$11,0))+$BN35*INDEX('Setari model'!$F$5:$F$11,MATCH($E35,'Setari model'!$A$5:$A$11,0))+$BP35*INDEX('Setari model'!$G$5:$G$11,MATCH($E35,'Setari model'!$A$5:$A$11,0)))</x:f>
      </x:c>
      <x:c r="BR35" s="64" t="str">
        <x:f>IF($A35="","",MAX('Setari model'!$B$53,MIN('Setari model'!$B$54,1+($AV35*'Setari model'!$B$15+$AW35*'Setari model'!$B$16+$AX35*'Setari model'!$B$17+$AY35*'Setari model'!$B$18+$AZ35*'Setari model'!$B$19+$BA35*'Setari model'!$B$20+$BB35*'Setari model'!$B$21+$BC35*'Setari model'!$B$22+$BD35*'Setari model'!$B$23+$BE35*'Setari model'!$B$24+$BF35*'Setari model'!$B$25)*INDEX('Setari model'!$H$5:$H$11,MATCH($E35,'Setari model'!$A$5:$A$11,0)))))</x:f>
      </x:c>
      <x:c r="BS35" s="62" t="str">
        <x:f t="shared" si="2">IF($A35="","",$BQ35*$BR35)</x:f>
      </x:c>
      <x:c r="BT35" s="63" t="str">
        <x:f t="shared" si="3">IF($A35="","",EXP(-$BS35))</x:f>
      </x:c>
      <x:c r="BU35" s="65" t="str">
        <x:f>IF($A35="","",IF(OR($AM35="",$AN35=""),1,1+MIN('Setari model'!$B$33,$AN35/100*'Setari model'!$B$33)*($AM35/EXP(-$AL35)-1)))</x:f>
      </x:c>
      <x:c r="BV35" s="63" t="str">
        <x:f>IF($A35="","",MIN(0.45,MAX(0.005,(1-'Setari model'!$B$34*MIN(1,($I35+$P35)/20))*MIN(0.45,$BT35*$BU35)+'Setari model'!$B$34*MIN(1,($I35+$P35)/20)*IF(COUNT($N35,$U35)=2,SQRT(MAX(0,1-$N35)*MAX(0,1-$U35)),IF($AM35="",EXP(-$AL35),$AM35)))))</x:f>
      </x:c>
      <x:c r="BW35" s="63" t="str">
        <x:f t="shared" si="4">IF($A35="","",1-$BV35)</x:f>
      </x:c>
      <x:c r="BX35" s="62" t="str">
        <x:f t="shared" si="5">IF($A35="","",1/$BW35)</x:f>
      </x:c>
      <x:c r="BY35" s="63" t="str">
        <x:f t="shared" si="6">IF($A35="","",$BO35)</x:f>
      </x:c>
      <x:c r="BZ35" s="63" t="str">
        <x:f t="shared" si="7">IF($A35="","",$BW35-$BY35)</x:f>
      </x:c>
      <x:c r="CA35" s="63" t="str">
        <x:f t="shared" si="8">IF($A35="","",IF($AR35&gt;1,$BW35*$AR35-1,""))</x:f>
      </x:c>
      <x:c r="CB35" s="63" t="str">
        <x:f>IF($A35="","",MIN(1,COUNT($I35:$AN35,$AR35:$BG35)/'Setari model'!$B$46))</x:f>
      </x:c>
      <x:c r="CC35" s="63" t="str">
        <x:f t="shared" si="9">IF($A35="","",0.25*MIN(1,$I35/10)+0.25*MIN(1,$P35/10)+0.15*MIN(1,$W35/5)+0.15*MIN(1,$AB35/5)+0.1*MIN(1,$AG35/5)+0.1*MIN(1,$AN35/100))</x:f>
      </x:c>
      <x:c r="CD35" s="63" t="str">
        <x:f>IF($A35="","",MAX(0,1-(MAX($BJ35:$BN35,$BP35)-MIN($BJ35:$BN35,$BP35))/(AVERAGE($BJ35:$BN35,$BP35)*'Setari model'!$B$45)))</x:f>
      </x:c>
      <x:c r="CE35" s="66" t="str">
        <x:f>IF($A35="","",MAX(0,MIN(100,100*INDEX('Setari model'!$I$5:$I$11,MATCH($E35,'Setari model'!$A$5:$A$11,0))*('Setari model'!$B$47*$CB35+'Setari model'!$B$48*$CC35+'Setari model'!$B$49*$CD35+'Setari model'!$B$50*$AT35/5+'Setari model'!$B$51*$AU35)-100*'Setari model'!$B$52*$BG35)))</x:f>
      </x:c>
      <x:c r="CF35" s="65" t="str">
        <x:f t="shared" si="10">IF($A35="","",IF(OR($AT35&lt;3,$BG35&gt;=2,$CB35&lt;0.55,$CC35&lt;0.4),"RIDICAT",IF(OR($AU35=0,$CD35&lt;0.45,$BR35&lt;0.9),"MEDIU","SCĂZUT")))</x:f>
      </x:c>
      <x:c r="CG35" s="65" t="str">
        <x:f>IF($A35="","",IF($AR35&gt;1,IF(AND($BW35&gt;= 'Setari model'!$B$35,$CE35&gt;=100*'Setari model'!$B$36,$BZ35&gt;= 'Setari model'!$B$37,$CA35&gt;= 'Setari model'!$B$38,$CF35&lt;&gt;"RIDICAT"),"PARIU RECOMANDAT",IF(AND($BW35&gt;= 'Setari model'!$B$39,$CE35&gt;=100*'Setari model'!$B$40,$BZ35&gt;= 'Setari model'!$B$41,$CA35&gt;=0,$CF35&lt;&gt;"RIDICAT"),"RECOMANDAT CU PRUDENȚĂ",IF(AND($BW35&gt;= 'Setari model'!$B$42,$CE35&gt;=100*'Setari model'!$B$43),"ANALIZĂ NECONCLUDENTĂ","PARIU EVITAT"))),IF(AND($BW35&gt;= 'Setari model'!$B$35,$CE35&gt;=100*'Setari model'!$B$36,$CF35&lt;&gt;"RIDICAT"),"FAVORABIL STATISTIC – VERIFICĂ COTA",IF(AND($BW35&gt;= 'Setari model'!$B$42,$CE35&gt;=100*'Setari model'!$B$43),"ANALIZĂ NECONCLUDENTĂ","PARIU EVITAT"))))</x:f>
      </x:c>
      <x:c r="CH35" s="67" t="str">
        <x:f t="shared" si="11">IF($A35="","","P(O0,5)="&amp;TEXT($BW35,"0.0%")&amp;"; λ ajustat="&amp;TEXT($BS35,"0.00")&amp;"; Confidence="&amp;TEXT($CE35,"0")&amp;"/100; Edge="&amp;TEXT($BZ35,"0.0%")&amp;"; risc="&amp;$CF35&amp;". "&amp;$BH35)</x:f>
      </x:c>
      <x:c r="CI35" s="68" t="str">
        <x:f t="shared" si="12">IF($A35="","",$BI35)</x:f>
      </x:c>
      <x:c r="CJ35" s="112"/>
      <x:c r="CK35" s="112"/>
      <x:c r="CL35" s="112"/>
      <x:c r="CM35" s="112"/>
      <x:c r="CN35" s="112"/>
      <x:c r="CO35" s="112"/>
      <x:c r="CP35" s="112"/>
      <x:c r="CQ35" s="112"/>
      <x:c r="CR35" s="112"/>
      <x:c r="CS35" s="112"/>
      <x:c r="CT35" s="112"/>
      <x:c r="CU35" s="112"/>
      <x:c r="CV35" s="112"/>
      <x:c r="CW35" s="112"/>
      <x:c r="CX35" s="112"/>
      <x:c r="CY35" s="112"/>
      <x:c r="CZ35" s="112"/>
      <x:c r="DA35" s="112"/>
      <x:c r="DB35" s="112"/>
      <x:c r="DC35" s="114"/>
      <x:c r="DD35" s="114"/>
      <x:c r="DE35" s="112" t="s">
        <x:v>266</x:v>
      </x:c>
      <x:c r="DF35" s="112"/>
      <x:c r="DG35" s="112"/>
      <x:c r="DH35" s="112"/>
      <x:c r="DI35" s="112"/>
      <x:c r="DJ35" s="112"/>
      <x:c r="DK35" s="112"/>
      <x:c r="DL35" s="112"/>
      <x:c r="DM35" s="112"/>
      <x:c r="DN35" s="112"/>
      <x:c r="DO35" s="112"/>
      <x:c r="DP35" s="112"/>
      <x:c r="DQ35" s="114"/>
      <x:c r="DR35" s="112">
        <x:v>1</x:v>
      </x:c>
      <x:c r="DS35" s="116">
        <x:v>0</x:v>
      </x:c>
      <x:c r="DT35" s="120"/>
      <x:c r="DU35" s="116">
        <x:v>0.02</x:v>
      </x:c>
      <x:c r="DV35" s="116">
        <x:v>0.25</x:v>
      </x:c>
      <x:c r="DW35" s="118" t="str">
        <x:f>IF($A35="","",MAX('Setari model'!$B$71,MIN('Setari model'!$B$72,1+0.08*(IFERROR(AVERAGE($CM35:$CN35)/'Setari model'!$B$66,1)-1)+0.08*(IFERROR(AVERAGE($CO35:$CP35)/'Setari model'!$B$67,1)-1)+0.06*(IFERROR(AVERAGE($CQ35:$CR35)/'Setari model'!$B$68,1)-1)+0.04*(IFERROR(AVERAGE($CS35:$CT35)/'Setari model'!$B$69,1)-1)+0.04*(IFERROR(AVERAGE($CU35:$CV35)/'Setari model'!$B$70,1)-1)-'Setari model'!$B$73*IFERROR(AVERAGE($CW35:$CX35),0))))</x:f>
      </x:c>
      <x:c r="DX35" s="118" t="str">
        <x:f>IF($A35="","",1+'Setari model'!$B$62*MAX(IF(OR($CK35=1,$CL35=1),1,0),IF(AND($CJ35&lt;&gt;"",$CJ35&lt;=1),1,0))+'Setari model'!$B$63*IF(AND($CJ35&gt;1,$CJ35&lt;=3),1,0))</x:f>
      </x:c>
      <x:c r="DY35" s="118" t="str">
        <x:f>IF($A35="","",1+'Setari model'!$B$74*(IF($CY35="",0,IF($CY35=0,1,0))+IF($CZ35="",0,IF($CZ35=0,1,0)))+'Setari model'!$B$75*(IF($DA35="",0,IF($DA35=0,1,0))+IF($DB35="",0,IF($DB35=0,1,0))))</x:f>
      </x:c>
      <x:c r="DZ35" s="117" t="str">
        <x:f>IF($A35="","",MIN(0.6,MAX(0.002,(((1-'Setari model'!$B$34*MIN(1,($I35+$P35)/20))*$BT35+'Setari model'!$B$34*MIN(1,($I35+$P35)/20)*IF(COUNT($N35,$U35)=2,SQRT(MAX(0,1-$N35)*MAX(0,1-$U35)),$BT35))*(1-'Setari model'!$B$65*MIN(1,IF($AN35="",0,$AN35/'Setari model'!$B$64)))+'Setari model'!$B$65*MIN(1,IF($AN35="",0,$AN35/'Setari model'!$B$64))*IF($AM35="",$BT35,$AM35))*$DX35*$DY35/$DW35)))</x:f>
      </x:c>
      <x:c r="EA35" s="117" t="str">
        <x:f>IF($A35="","",MIN(1-$DZ35,IF(OR(MIN($I35,$P35)&lt;'Setari model'!$B$58,$CK35=1,$CL35=1,AND($CJ35&lt;&gt;"",$CJ35&lt;=1)),'Setari model'!$B$59,IF(AND($AU35=1,$AR35&gt;1,COUNT($CY35:$DB35)=4),'Setari model'!$B$61,'Setari model'!$B$60))))</x:f>
      </x:c>
      <x:c r="EB35" s="115" t="str">
        <x:f t="shared" si="13">IF($A35="","",1/$EA35)</x:f>
      </x:c>
      <x:c r="EC35" s="117" t="str">
        <x:f t="shared" si="14">IF($A35="","",IF($AR35&gt;1,IF($AS35&gt;1,(1/$AR35)/((1/$AR35)+(1/$AS35)),1/$AR35),""))</x:f>
      </x:c>
      <x:c r="ED35" s="117" t="str">
        <x:f t="shared" si="15">IF($A35="","",IF($EC35="","",$EA35-$EC35))</x:f>
      </x:c>
      <x:c r="EE35" s="117" t="str">
        <x:f t="shared" si="16">""</x:f>
      </x:c>
      <x:c r="EF35" s="119" t="str">
        <x:f>IF($A35="","",MAX(0,MIN(100,$CE35-200*MAX(0,$EG35-'Setari model'!$B$77)-IF($AU35&lt;&gt;1,10,0)-IF(COUNT($CY35:$DB35)&lt;4,4,0))))</x:f>
      </x:c>
      <x:c r="EG35" s="117" t="str">
        <x:f>IF($A35="","",'Setari model'!$B$77+IF(MIN($I35,$P35)&lt;'Setari model'!$B$58,0.03,0)+IF(OR($CK35=1,$CL35=1,AND($CJ35&lt;&gt;"",$CJ35&lt;=1)),0.03,0)+IF($AG35=0,0.02,0)+0.03*(1-MIN(1,COUNT($CM35:$CV35)/10))+0.03*(1-MIN(1,IF($AN35="",0,$AN35/'Setari model'!$B$64)))+IF($AR35&lt;=1,0.02,0))</x:f>
      </x:c>
      <x:c r="EH35" s="113" t="str">
        <x:f>IF($A35="","",IF(OR(MIN($I35,$P35)&lt;'Setari model'!$B$58,$CK35=1,$CL35=1,AND($CJ35&lt;&gt;"",$CJ35&lt;=1)),"92% – early/regim",IF(AND($AU35=1,$AR35&gt;1,COUNT($CY35:$DB35)=4),"94% – confirmat","93% – standard")))</x:f>
      </x:c>
      <x:c r="EI35" s="113" t="str">
        <x:f t="shared" si="17">IF($A35="","",IF(AND($EA35&gt;0.9,$AU35&lt;&gt;1),"WAIT XI – HIGH P",IF(AND($EA35&gt;0.9,COUNT($CY35:$DB35)&lt;4),"WAIT DATE CHEIE – HIGH P",IF($EP35&lt;&gt;"DA","NU – PORTOFOLIU","DA"))))</x:f>
      </x:c>
      <x:c r="EJ35" s="117" t="str">
        <x:f t="shared" si="18">IF($A35="","",IF($DE35&lt;&gt;"Live 20-30","",IF(SUM($DG35:$DH35)&gt;0,1,IF($EU35="","",1-MIN(0.95,MAX(0.001,EXP(-$EU35)*$DX35*$DY35/$DW35))))))</x:f>
      </x:c>
      <x:c r="EK35" s="117" t="str">
        <x:f t="shared" si="19">""</x:f>
      </x:c>
      <x:c r="EL35" s="113" t="str">
        <x:f>IF($A35="","",IF($DE35="Live 20-30",IF(SUM($DG35:$DH35)&gt;0,"EVENIMENT ÎNDEPLINIT",IF(OR($DF35="",COUNT($DI35:$DN35)&lt;4),"LIVE – WATCH",IF($EJ35&gt;=0.75,"LIVE – FEZABIL TEHNIC","LIVE – NO BET"))),IF($EI35&lt;&gt;"DA","WATCH / NO BET",IF(AND($EA35&gt;=INDEX('Setari model'!$B$35:$B$40,1),$EF35&gt;=100*'Setari model'!$B$76),"PARIU RECOMANDAT",IF(AND($EA35&gt;=INDEX('Setari model'!$B$35:$B$40,5),$EF35&gt;=100*'Setari model'!$B$40),"WATCH – APROAPE DE PRAG","PARIU EVITAT")))))</x:f>
      </x:c>
      <x:c r="EM35" s="113" t="str">
        <x:f t="shared" si="20">IF($A35="","",IF($DE35="Live 20-30",IF(SUM($DG35:$DH35)&gt;0,"Gol deja marcat.",IF($DF35="","Minut live lipsă.",IF(COUNT($DI35:$DN35)&lt;4,"Lipsesc xG/SOT/big chances live.",IF($EJ35&lt;0.75,"P live sub prag.","Semnal live tehnic complet; EV ignorat.")))),IF($EI35&lt;&gt;"DA",$EI35,IF($EF35&lt;75,"Confidence sub 75.",IF($EA35&lt;0.92,"P sub 92%.","G0/Zero-Mass + confidence trecute; EV ignorat.")))))</x:f>
      </x:c>
      <x:c r="EN35" s="117" t="str">
        <x:f>IF($A35="","",IF(OR($EL35="PARIU RECOMANDAT",$EL35="LIVE – FEZABIL"),MIN(IF($DU35&gt;0,$DU35,'Setari model'!$B$81)/MAX(1,$DR35),IF($DV35&gt;0,$DV35,'Setari model'!$B$80)*MAX(0,((IF($DE35="Live 20-30",$EJ35,$EA35)*IF($DE35="Live 20-30",$DQ35,$AR35)-1)/(IF($DE35="Live 20-30",$DQ35,$AR35)-1)))),0))</x:f>
      </x:c>
      <x:c r="EO35" s="121" t="str">
        <x:f t="shared" si="21">IF($A35="","",IF(AND($EN35&gt;0,$DT35&gt;0),$EN35*$DT35,""))</x:f>
      </x:c>
      <x:c r="EP35" s="113" t="str">
        <x:f>IF($A35="","",IF(OR($DR35&lt;1,$DR35&gt;'Setari model'!$B$78),"NU – 1–5 selecții",IF($DS35&gt;'Setari model'!$B$79,"NU – corelație", "DA")))</x:f>
      </x:c>
      <x:c r="EQ35" s="117" t="str">
        <x:f t="shared" si="22">IF($A35="","",IF(AND($DC35&gt;1,$DD35&gt;1),$DC35/$DD35-1,""))</x:f>
      </x:c>
      <x:c r="ER35" s="113" t="str">
        <x:f t="shared" si="23">IF($A35="","","P v2="&amp;TEXT($EA35,"0.0%")&amp;" ±"&amp;TEXT($EG35,"0.0%")&amp;"; P0 ZIP="&amp;TEXT($DZ35,"0.0%")&amp;"; Confidence="&amp;TEXT($EF35,"0")&amp;"/100; piață reală="&amp;IF($EC35="","NU","DA")&amp;"; EV="&amp;IF($EE35="","n/a",TEXT($EE35,"0.0%"))&amp;"; gate="&amp;$EI35&amp;"; verdict="&amp;$EL35&amp;". "&amp;$EM35)</x:f>
      </x:c>
      <x:c r="ES35" s="119" t="str">
        <x:f>IF($A35="","",'Setari model'!$B$82)</x:f>
      </x:c>
      <x:c r="ET35" s="118" t="str">
        <x:f>IF($A35="","",'Setari model'!$B$83)</x:f>
      </x:c>
      <x:c r="EU35" s="115" t="str">
        <x:f t="shared" si="24">IF(OR($A35="",$DE35&lt;&gt;"Live 20-30",$DF35="",$DF35&lt;$ES35,$DF35&gt;=90),"",MAX(0.05,MIN($BS35*$ET35,$BS35*(90-$DF35)/90+0.35*($DI35+$DJ35)+0.06*($DK35+$DL35)+0.15*($DM35+$DN35)+0.1*(MAX($DO35,$DP35)-MIN($DO35,$DP35)))))</x:f>
      </x:c>
      <x:c r="EV35" s="132"/>
      <x:c r="EW35" s="132"/>
      <x:c r="EX35" s="132"/>
      <x:c r="EY35" s="132"/>
      <x:c r="EZ35" s="132"/>
      <x:c r="FA35" s="132"/>
      <x:c r="FB35" s="247"/>
      <x:c r="FC35" s="134" t="str">
        <x:f t="shared" si="25">IF($A35="","",IF(OR($J35="",$L35="",$L35&lt;=0),"",MAX(0.5,MIN(1.5,$J35/$L35))))</x:f>
      </x:c>
      <x:c r="FD35" s="134" t="str">
        <x:f t="shared" si="26">IF($A35="","",IF(OR($Q35="",$S35="",$S35&lt;=0),"",MAX(0.5,MIN(1.5,$Q35/$S35))))</x:f>
      </x:c>
      <x:c r="FE35" s="134" t="str">
        <x:f>IF($A35="","",IF(COUNT($EV35:$EW35)&lt;2,"",SQRT($EV35*$EW35)/'Setari model'!$B$87))</x:f>
      </x:c>
      <x:c r="FF35" s="134" t="str">
        <x:f>IF($A35="","",IF(COUNT($O35,$V35,$EX35,$EY35)&lt;4,"",AVERAGE(SQRT($O35*$EY35),SQRT($V35*$EX35))/'Setari model'!$B$88))</x:f>
      </x:c>
      <x:c r="FG35" s="134" t="str">
        <x:f t="shared" si="27">IF($A35="","",IF(COUNT($FC35:$FD35)&lt;2,"",MAX(0,1-AVERAGE($FC35:$FD35))))</x:f>
      </x:c>
      <x:c r="FH35" s="134" t="str">
        <x:f>IF($A35="","",IF(COUNT($EZ35:$FA35)&lt;2,"",'Setari model'!$B$94*AVERAGE($EZ35:$FA35)/'Setari model'!$B$89))</x:f>
      </x:c>
      <x:c r="FI35" s="134" t="str">
        <x:f>IF($A35="","",IF(COUNT($FE35:$FH35)&lt;4,"",MAX('Setari model'!$B$97,MIN('Setari model'!$B$98,1+'Setari model'!$B$90*($FE35-1)+'Setari model'!$B$91*($FF35-1)+'Setari model'!$B$92*$FG35+'Setari model'!$B$93*($FH35-1)))))</x:f>
      </x:c>
      <x:c r="FJ35" s="133" t="str">
        <x:f>IF($A35="","",IF($FI35="","",MIN('Setari model'!$B$101,MAX(0.002,$DZ35*$FI35))))</x:f>
      </x:c>
      <x:c r="FK35" s="131" t="str">
        <x:f t="shared" si="28">IF($A35="","",IF(AND(COUNT($EV35:$FA35)=6,COUNT($O35,$V35,$FC35,$FD35)=4),"DA","NU"))</x:f>
      </x:c>
      <x:c r="FL35" s="131" t="str">
        <x:f>IF($A35="","",IF($FK35&lt;&gt;"DA","NEDETERMINAT",IF($FI35&lt;='Setari model'!$B$99,"SCĂZUT",IF($FI35&lt;='Setari model'!$B$100,"MEDIU","RIDICAT"))))</x:f>
      </x:c>
      <x:c r="FM35" s="131" t="str">
        <x:f>IF($A35="","",IF(AND($AR35&gt;1,$EC35&gt;='Setari model'!$B$106),"DA","NU"))</x:f>
      </x:c>
      <x:c r="FN35" s="131" t="str">
        <x:f t="shared" si="29">IF($A35="","",IF(AND($AU35=1,COUNT($CY35:$DB35)=4),"DA","NU"))</x:f>
      </x:c>
      <x:c r="FO35" s="133" t="str">
        <x:f>IF($A35="","",IF(OR($FK35&lt;&gt;"DA",$FL35="RIDICAT"),'Setari model'!$B$102,IF($FL35="MEDIU",'Setari model'!$B$103,IF(AND($FM35="DA",$FN35="DA"),'Setari model'!$B$105,'Setari model'!$B$104))))</x:f>
      </x:c>
      <x:c r="FP35" s="133" t="str">
        <x:f t="shared" si="30">IF($A35="","",IF($FJ35="","",MIN(1-$FJ35,$FO35)))</x:f>
      </x:c>
      <x:c r="FQ35" s="135" t="str">
        <x:f t="shared" si="31">IF($A35="","",IF($FP35="","",IF($FP35&gt;0,1/$FP35,"")))</x:f>
      </x:c>
      <x:c r="FR35" s="133" t="str">
        <x:f t="shared" si="32">IF($A35="","",IF($EC35="","",$FP35-$EC35))</x:f>
      </x:c>
      <x:c r="FS35" s="133" t="str">
        <x:f t="shared" si="33">IF($A35="","",IF($AR35&gt;1,$FP35*$AR35-1,""))</x:f>
      </x:c>
      <x:c r="FT35" s="136" t="str">
        <x:f>IF($A35="","",MAX(0,MIN(100,$EF35-IF($FK35&lt;&gt;"DA",'Setari model'!$B$107,0)-IF($FL35="MEDIU",'Setari model'!$B$108,0)-IF($FL35="RIDICAT",'Setari model'!$B$109,0))))</x:f>
      </x:c>
      <x:c r="FU35" s="131" t="str">
        <x:f t="shared" si="34">IF($A35="","",IF($AR35&lt;=1,"NU – LIPSEȘTE COTA REALĂ",IF($FK35&lt;&gt;"DA","NU – ZERO-RISK INCOMPLET",IF($FL35&lt;&gt;"SCĂZUT","NU – RISC 0-0 "&amp;$FL35,IF($FN35&lt;&gt;"DA","NU – LINEUP NECONFIRMAT",IF($FM35&lt;&gt;"DA","NU – PIAȚĂ NECONFIRMATĂ",IF($EP35&lt;&gt;"DA","NU – PORTOFOLIU","DA")))))))</x:f>
      </x:c>
      <x:c r="FV35" s="131" t="str">
        <x:f>IF($A35="","",IF($FU35&lt;&gt;"DA","WATCH / NO BET",IF(AND($FP35&gt;='Setari model'!$B$35,$FT35&gt;=100*'Setari model'!$B$76,$FS35&gt;0),"PARIU RECOMANDAT",IF(AND($FP35&gt;='Setari model'!$B$39,$FT35&gt;=100*'Setari model'!$B$40,$FS35&gt;0),"WATCH – APROAPE DE PRAG","PARIU EVITAT"))))</x:f>
      </x:c>
      <x:c r="FW35" s="131" t="str">
        <x:f t="shared" si="35">IF($A35="","",IF($FU35&lt;&gt;"DA",$FU35,IF($FT35&lt;75,"Confidence v3 sub 75.",IF($FP35&lt;0.92,"P v3 sub 92%.",IF($FS35&lt;=0,"EV v3 nepozitiv.","P0 v3, lineup și piață confirmate.")))))</x:f>
      </x:c>
      <x:c r="FX35" s="131" t="str">
        <x:f t="shared" si="36">IF($A35="","","P v3="&amp;TEXT($FP35,"0.0%")&amp;"; P0 v3="&amp;TEXT($FJ35,"0.0%")&amp;"; factor zero="&amp;IF($FI35="","n/a",TEXT($FI35,"0.00x"))&amp;" ("&amp;$FL35&amp;"); cap="&amp;TEXT($FO35,"0.0%")&amp;"; Confidence="&amp;TEXT($FT35,"0")&amp;"/100; lineup="&amp;$FN35&amp;"; piață="&amp;$FM35&amp;"; EV="&amp;IF($FS35="","n/a",TEXT($FS35,"0.0%"))&amp;"; gate="&amp;$FU35&amp;"; verdict="&amp;$FV35&amp;". "&amp;$FW35)</x:f>
      </x:c>
      <x:c r="FY35" s="159"/>
      <x:c r="FZ35" s="159"/>
      <x:c r="GA35" s="157"/>
      <x:c r="GB35" s="157"/>
      <x:c r="GC35" s="161" t="str">
        <x:f t="shared" si="37">IF($A35="","",IF(OR($X35="",$Z35="",$Z35&lt;=0),"",MAX(0.5,MIN(1.5,$X35/$Z35))))</x:f>
      </x:c>
      <x:c r="GD35" s="161" t="str">
        <x:f t="shared" si="38">IF($A35="","",IF(OR($AC35="",$AE35="",$AE35&lt;=0),"",MAX(0.5,MIN(1.5,$AC35/$AE35))))</x:f>
      </x:c>
      <x:c r="GE35" s="162" t="str">
        <x:f t="shared" si="39">IF($A35="","",IF(COUNT($Z35,$AE35)&lt;2,"",AVERAGE($Z35,$AE35)))</x:f>
      </x:c>
      <x:c r="GF35" s="158" t="str">
        <x:f>IF($A35="","",IF(COUNT($FY35:$FZ35)&lt;2,"NEDETERMINAT",IF(AND($FY35&gt;='Setari model'!$B$113,$FZ35&gt;='Setari model'!$B$113),"DA","NU")))</x:f>
      </x:c>
      <x:c r="GG35" s="158" t="str">
        <x:f>IF($A35="","",IF(COUNT($FY35:$FZ35,$EX35:$EY35)&lt;4,"NEDETERMINAT",IF(OR(AND($FY35&gt;='Setari model'!$B$113,$EY35&gt;='Setari model'!$B$114),AND($FZ35&gt;='Setari model'!$B$113,$EX35&gt;='Setari model'!$B$114)),"DA","NU")))</x:f>
      </x:c>
      <x:c r="GH35" s="158" t="str">
        <x:f>IF($A35="","",IF(COUNT($BJ35:$BN35,$GC35:$GE35)&lt;8,"NEDETERMINAT",IF(AND((($BJ35*INDEX('Setari model'!$B$5:$B$11,MATCH($E35,'Setari model'!$A$5:$A$11,0))+$BK35*INDEX('Setari model'!$C$5:$C$11,MATCH($E35,'Setari model'!$A$5:$A$11,0))+$BL35*INDEX('Setari model'!$D$5:$D$11,MATCH($E35,'Setari model'!$A$5:$A$11,0))+$BM35*INDEX('Setari model'!$E$5:$E$11,MATCH($E35,'Setari model'!$A$5:$A$11,0))+$BN35*INDEX('Setari model'!$F$5:$F$11,MATCH($E35,'Setari model'!$A$5:$A$11,0)))/(INDEX('Setari model'!$B$5:$B$11,MATCH($E35,'Setari model'!$A$5:$A$11,0))+INDEX('Setari model'!$C$5:$C$11,MATCH($E35,'Setari model'!$A$5:$A$11,0))+INDEX('Setari model'!$D$5:$D$11,MATCH($E35,'Setari model'!$A$5:$A$11,0))+INDEX('Setari model'!$E$5:$E$11,MATCH($E35,'Setari model'!$A$5:$A$11,0))+INDEX('Setari model'!$F$5:$F$11,MATCH($E35,'Setari model'!$A$5:$A$11,0))))*$BR35&gt;='Setari model'!$B$115,(($BJ35*INDEX('Setari model'!$B$5:$B$11,MATCH($E35,'Setari model'!$A$5:$A$11,0))+$BK35*INDEX('Setari model'!$C$5:$C$11,MATCH($E35,'Setari model'!$A$5:$A$11,0))+$BL35*INDEX('Setari model'!$D$5:$D$11,MATCH($E35,'Setari model'!$A$5:$A$11,0))+$BM35*INDEX('Setari model'!$E$5:$E$11,MATCH($E35,'Setari model'!$A$5:$A$11,0))+$BN35*INDEX('Setari model'!$F$5:$F$11,MATCH($E35,'Setari model'!$A$5:$A$11,0)))/(INDEX('Setari model'!$B$5:$B$11,MATCH($E35,'Setari model'!$A$5:$A$11,0))+INDEX('Setari model'!$C$5:$C$11,MATCH($E35,'Setari model'!$A$5:$A$11,0))+INDEX('Setari model'!$D$5:$D$11,MATCH($E35,'Setari model'!$A$5:$A$11,0))+INDEX('Setari model'!$E$5:$E$11,MATCH($E35,'Setari model'!$A$5:$A$11,0))+INDEX('Setari model'!$F$5:$F$11,MATCH($E35,'Setari model'!$A$5:$A$11,0))))*$BR35&lt;='Setari model'!$B$116,AVERAGE($GC35:$GD35)&lt;='Setari model'!$B$117,$GE35&gt;='Setari model'!$B$118),"DA","NU")))</x:f>
      </x:c>
      <x:c r="GI35" s="158" t="str">
        <x:f>IF($A35="","",IF(COUNT($W35,$AB35,$GA35:$GB35)&lt;4,"NEDETERMINAT",IF(AND($W35&gt;='Setari model'!$B$120,$AB35&gt;='Setari model'!$B$120,OR(IFERROR($GA35/$W35,0)&gt;='Setari model'!$B$119,IFERROR($GB35/$AB35,0)&gt;='Setari model'!$B$119)),"DA","NU")))</x:f>
      </x:c>
      <x:c r="GJ35" s="160" t="str">
        <x:f>IF($A35="","",IF(COUNT($FY35:$GB35)&lt;4,"",IF($GH35&lt;&gt;"DA",0,'Setari model'!$B$121*IF($GF35="DA",1,0)+'Setari model'!$B$122*IF($GG35="DA",1,0)+'Setari model'!$B$123+'Setari model'!$B$124*IF($GI35="DA",1,0))))</x:f>
      </x:c>
      <x:c r="GK35" s="161" t="str">
        <x:f>IF($A35="","",IF(COUNT($GJ35)=0,"",1+'Setari model'!$B$125*$GJ35))</x:f>
      </x:c>
      <x:c r="GL35" s="160" t="str">
        <x:f>IF($A35="","",IF($GM35&lt;&gt;"DA",$FJ35,MIN('Setari model'!$B$101,MAX(0.002,$FJ35*$GK35))))</x:f>
      </x:c>
      <x:c r="GM35" s="158" t="str">
        <x:f>IF($A35="","",IF(AND($FK35="DA",COUNT($FY35:$GB35)=4,COUNT($I35,$P35,$W35,$AB35,$Z35,$AE35,$EX35,$EY35,$GC35,$GD35)=10,COUNT($BJ35:$BN35)=5),"DA","NU"))</x:f>
      </x:c>
      <x:c r="GN35" s="158" t="str">
        <x:f>IF($A35="","",IF($GM35&lt;&gt;"DA","NEDETERMINAT",IF($FI35*$GK35&lt;='Setari model'!$B$99,"SCĂZUT",IF($FI35*$GK35&lt;='Setari model'!$B$100,"MEDIU","RIDICAT"))))</x:f>
      </x:c>
      <x:c r="GO35" s="160" t="str">
        <x:f>IF($A35="","",IF(OR($GM35&lt;&gt;"DA",$GN35="RIDICAT"),'Setari model'!$B$102,IF($GN35="MEDIU",'Setari model'!$B$103,IF(AND($FM35="DA",$FN35="DA"),'Setari model'!$B$105,'Setari model'!$B$104))))</x:f>
      </x:c>
      <x:c r="GP35" s="160" t="str">
        <x:f t="shared" si="40">IF($A35="","",IF($GL35="","",MIN(1-$GL35,$GO35)))</x:f>
      </x:c>
      <x:c r="GQ35" s="162" t="str">
        <x:f t="shared" si="41">IF($A35="","",IF($GP35="","",IF($GP35&gt;0,1/$GP35,"")))</x:f>
      </x:c>
      <x:c r="GR35" s="160" t="str">
        <x:f t="shared" si="42">IF($A35="","",IF($EC35="","",$GP35-$EC35))</x:f>
      </x:c>
      <x:c r="GS35" s="160" t="str">
        <x:f t="shared" si="43">IF($A35="","",IF($AR35&gt;1,$GP35*$AR35-1,""))</x:f>
      </x:c>
      <x:c r="GT35" s="163" t="str">
        <x:f>IF($A35="","",MAX(0,MIN(100,$FT35-IF(AND($GM35&lt;&gt;"DA",$FK35="DA"),'Setari model'!$B$107,0)-'Setari model'!$B$126*IF($GJ35="",0,$GJ35))))</x:f>
      </x:c>
      <x:c r="GU35" s="158" t="str">
        <x:f t="shared" si="44">IF($A35="","",IF($AR35&lt;=1,"NU – LIPSEȘTE COTA REALĂ",IF($GM35&lt;&gt;"DA","NU – DATE LOW-CONVERSION INCOMPLETE",IF($GN35&lt;&gt;"SCĂZUT","NU – RISC 0-0 "&amp;$GN35,IF($FN35&lt;&gt;"DA","NU – LINEUP NECONFIRMAT",IF($FM35&lt;&gt;"DA","NU – PIAȚĂ NECONFIRMATĂ",IF($EP35&lt;&gt;"DA","NU – PORTOFOLIU","DA")))))))</x:f>
      </x:c>
      <x:c r="GV35" s="158" t="str">
        <x:f>IF($A35="","",IF($GU35&lt;&gt;"DA","WATCH / NO BET",IF(AND($GP35&gt;='Setari model'!$B$35,$GT35&gt;=100*'Setari model'!$B$76,$GS35&gt;0),"PARIU RECOMANDAT",IF(AND($GP35&gt;='Setari model'!$B$39,$GT35&gt;=100*'Setari model'!$B$40,$GS35&gt;0),"WATCH – APROAPE DE PRAG","PARIU EVITAT"))))</x:f>
      </x:c>
      <x:c r="GW35" s="158" t="str">
        <x:f t="shared" si="45">IF($A35="","",IF($GU35&lt;&gt;"DA",$GU35,IF($GT35&lt;75,"Confidence v5 sub 75.",IF($GP35&lt;0.92,"P v5 sub 92%.",IF($GS35&lt;=0,"EV v5 nepozitiv.",IF($GJ35&gt;0,"Low-conversion absorbit în P0; toate porțile rămân trecute.","Toate porțile v5 sunt trecute."))))))</x:f>
      </x:c>
      <x:c r="GX35" s="158" t="str">
        <x:f t="shared" si="46">IF($A35="","","P v5="&amp;TEXT($GP35,"0.0%")&amp;"; P0 v5="&amp;TEXT($GL35,"0.0%")&amp;"; low-conv="&amp;IF(COUNT($GJ35)=0,"n/a",TEXT($GJ35,"0%"))&amp;"; mult.P0="&amp;IF(COUNT($GK35)=0,"n/a",TEXT($GK35,"0.00"))&amp;"; clasă="&amp;$GN35&amp;"; cap="&amp;TEXT($GO35,"0.0%")&amp;"; Confidence="&amp;TEXT($GT35,"0")&amp;"/100; lineup="&amp;$FN35&amp;"; piață="&amp;$FM35&amp;"; EV="&amp;IF($GS35="","n/a",TEXT($GS35,"0.0%"))&amp;"; gate="&amp;$GU35&amp;"; verdict="&amp;$GV35&amp;". "&amp;$GW35)</x:f>
      </x:c>
      <x:c r="GY35" s="174" t="str">
        <x:f>IF($A35="","",IF($GM35&lt;&gt;"DA","SOURCING INCOMPLETE – REVIEW REQUIRED",IF(MIN($I35,$P35,$W35,$AB35)&lt;'Setari model'!$B$58,"SMALL SAMPLE + PRIOR / SHRINKAGE","VERIFIED / PRIOR / SHRINKAGE")))</x:f>
      </x:c>
      <x:c r="GZ35" s="175" t="str">
        <x:f t="shared" si="47">IF($A35="","",MAX(0,MIN(100,100*(1-AVERAGE(IF($GM35="DA",1,0),MIN(1,$AT35/5))))))</x:f>
      </x:c>
      <x:c r="HA35" s="175" t="str">
        <x:f>IF($A35="","",IF($GM35&lt;&gt;"DA","",MAX(0,MIN(100,100*(($FI35*$GK35)-'Setari model'!$B$97)/('Setari model'!$B$98-'Setari model'!$B$97)))))</x:f>
      </x:c>
      <x:c r="HB35" s="175" t="str">
        <x:f>IF($A35="","",MAX(0,MIN(100,100*(ABS($BR35-1)/MAX(1-'Setari model'!$B$53,'Setari model'!$B$54-1)+MIN(1,$BG35/2))/2)))</x:f>
      </x:c>
      <x:c r="HC35" s="175" t="str">
        <x:f t="shared" si="48">IF($A35="","",MAX(0,MIN(100,100*(1-AVERAGE($CC35,MAX(0,1-(MAX($BJ35:$BN35)-MIN($BJ35:$BN35))/(AVERAGE($BJ35:$BN35)*'Setari model'!$B$45)))))))</x:f>
      </x:c>
      <x:c r="HD35" s="175" t="str">
        <x:f t="shared" si="49">IF($A35="","",MAX(0,MIN(100,100*MAX(IF($GJ35="",0,$GJ35),MIN(1,$BG35/2)))))</x:f>
      </x:c>
      <x:c r="HE35" s="175" t="str">
        <x:f>IF($A35="","",IF(COUNT($GZ35:$HD35)&lt;5,"",$GZ35*Risk_Classification!$E$28+$HA35*Risk_Classification!$E$29+$HB35*Risk_Classification!$E$30+$HC35*Risk_Classification!$E$31+$HD35*Risk_Classification!$E$32))</x:f>
      </x:c>
      <x:c r="HF35" s="176" t="str">
        <x:f t="shared" si="50">IF($A35="","",IF($HE35="","",IF($HE35&lt;=20,1,IF($HE35&lt;=40,2,IF($HE35&lt;=60,3,IF($HE35&lt;=80,4,5))))))</x:f>
      </x:c>
      <x:c r="HG35" s="176" t="str">
        <x:f t="shared" si="51">IF($A35="","",IF($GM35="DA","PASS","FAIL – DATE CRITICE ZERO-MASS INCOMPLETE"))</x:f>
      </x:c>
      <x:c r="HH35" s="176" t="str">
        <x:f t="shared" si="52">IF($A35="","",IF($HG35&lt;&gt;"PASS",5,$HF35))</x:f>
      </x:c>
      <x:c r="HI35" s="174" t="str">
        <x:f t="shared" si="53">IF($A35="","",IF($HH35="","N/A",IF($HH35=1,"DEFENSIV",IF($HH35=2,"PRUDENT",IF($HH35=3,"MODERAT",IF($HH35=4,"RIDICAT","WATCH / NO BET"))))))</x:f>
      </x:c>
      <x:c r="HJ35" s="177" t="str">
        <x:f t="shared" si="54">IF($A35="","","Data="&amp;$GY35&amp;"; DQ="&amp;TEXT($GZ35,"0.0")&amp;"; ZM="&amp;IF($HA35="","n/a",TEXT($HA35,"0.0"))&amp;"; Context="&amp;TEXT($HB35,"0.0")&amp;"; Uncertainty="&amp;TEXT($HC35,"0.0")&amp;"; Compound="&amp;TEXT($HD35,"0.0")&amp;"; Risk Score="&amp;IF($HE35="","n/a",TEXT($HE35,"0.0"))&amp;"; Base="&amp;IF($HF35="","n/a",$HF35)&amp;"; G0="&amp;$HG35&amp;"; Final="&amp;$HH35&amp;". Cota, EV si lineup sunt informative si nu intra in recomandare.")</x:f>
      </x:c>
      <x:c r="HK35" s="174" t="str">
        <x:f t="shared" si="55">IF($A35="","",$HI35)</x:f>
      </x:c>
    </x:row>
    <x:row r="36" ht="24" customHeight="1">
      <x:c r="A36" s="58"/>
      <x:c r="B36" s="24"/>
      <x:c r="C36" s="59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18"/>
      <x:c r="O36" s="18"/>
      <x:c r="P36" s="24"/>
      <x:c r="Q36" s="24"/>
      <x:c r="R36" s="24"/>
      <x:c r="S36" s="24"/>
      <x:c r="T36" s="24"/>
      <x:c r="U36" s="18"/>
      <x:c r="V36" s="18"/>
      <x:c r="W36" s="24"/>
      <x:c r="X36" s="24"/>
      <x:c r="Y36" s="24"/>
      <x:c r="Z36" s="24"/>
      <x:c r="AA36" s="24"/>
      <x:c r="AB36" s="24"/>
      <x:c r="AC36" s="24"/>
      <x:c r="AD36" s="24"/>
      <x:c r="AE36" s="24"/>
      <x:c r="AF36" s="24"/>
      <x:c r="AG36" s="24"/>
      <x:c r="AH36" s="24"/>
      <x:c r="AI36" s="18"/>
      <x:c r="AJ36" s="24"/>
      <x:c r="AK36" s="24"/>
      <x:c r="AL36" s="24"/>
      <x:c r="AM36" s="18"/>
      <x:c r="AN36" s="24"/>
      <x:c r="AO36" s="60"/>
      <x:c r="AP36" s="60"/>
      <x:c r="AQ36" s="60"/>
      <x:c r="AR36" s="60"/>
      <x:c r="AS36" s="60"/>
      <x:c r="AT36" s="24"/>
      <x:c r="AU36" s="24"/>
      <x:c r="AV36" s="24"/>
      <x:c r="AW36" s="24"/>
      <x:c r="AX36" s="24"/>
      <x:c r="AY36" s="24"/>
      <x:c r="AZ36" s="24"/>
      <x:c r="BA36" s="24"/>
      <x:c r="BB36" s="24"/>
      <x:c r="BC36" s="24"/>
      <x:c r="BD36" s="24"/>
      <x:c r="BE36" s="24"/>
      <x:c r="BF36" s="24"/>
      <x:c r="BG36" s="24"/>
      <x:c r="BH36" s="61"/>
      <x:c r="BI36" s="61"/>
      <x:c r="BJ36" s="62" t="str">
        <x:f>IF($A36="","",SQRT((($I36*IF($J36="",$AJ36,$J36)+'Setari model'!$B$30*$AJ36)/($I36+'Setari model'!$B$30))*(($P36*IF($R36="",$AJ36,$R36)+'Setari model'!$B$30*$AJ36)/($P36+'Setari model'!$B$30)))+SQRT((($P36*IF($Q36="",$AK36,$Q36)+'Setari model'!$B$30*$AK36)/($P36+'Setari model'!$B$30))*(($I36*IF($K36="",$AK36,$K36)+'Setari model'!$B$30*$AK36)/($I36+'Setari model'!$B$30))))</x:f>
      </x:c>
      <x:c r="BK36" s="62" t="str">
        <x:f>IF($A36="","",SQRT((($I36*IF($L36="",IF($J36="",$AJ36,$J36),$L36)+'Setari model'!$B$30*$AJ36)/($I36+'Setari model'!$B$30))*(($P36*IF($T36="",IF($R36="",$AJ36,$R36),$T36)+'Setari model'!$B$30*$AJ36)/($P36+'Setari model'!$B$30)))+SQRT((($P36*IF($S36="",IF($Q36="",$AK36,$Q36),$S36)+'Setari model'!$B$30*$AK36)/($P36+'Setari model'!$B$30))*(($I36*IF($M36="",IF($K36="",$AK36,$K36),$M36)+'Setari model'!$B$30*$AK36)/($I36+'Setari model'!$B$30))))</x:f>
      </x:c>
      <x:c r="BL36" s="62" t="str">
        <x:f>IF($A36="","",SQRT((($W36*IF($X36="",$AL36/2,$X36)+'Setari model'!$B$31*$AL36/2)/($W36+'Setari model'!$B$31))*(($AB36*IF($AD36="",$AL36/2,$AD36)+'Setari model'!$B$31*$AL36/2)/($AB36+'Setari model'!$B$31)))+SQRT((($AB36*IF($AC36="",$AL36/2,$AC36)+'Setari model'!$B$31*$AL36/2)/($AB36+'Setari model'!$B$31))*(($W36*IF($Y36="",$AL36/2,$Y36)+'Setari model'!$B$31*$AL36/2)/($W36+'Setari model'!$B$31))))</x:f>
      </x:c>
      <x:c r="BM36" s="62" t="str">
        <x:f>IF($A36="","",SQRT((($W36*IF($Z36="",IF($X36="",$AL36/2,$X36),$Z36)+'Setari model'!$B$31*$AL36/2)/($W36+'Setari model'!$B$31))*(($AB36*IF($AF36="",IF($AD36="",$AL36/2,$AD36),$AF36)+'Setari model'!$B$31*$AL36/2)/($AB36+'Setari model'!$B$31)))+SQRT((($AB36*IF($AE36="",IF($AC36="",$AL36/2,$AC36),$AE36)+'Setari model'!$B$31*$AL36/2)/($AB36+'Setari model'!$B$31))*(($W36*IF($AA36="",IF($Y36="",$AL36/2,$Y36),$AA36)+'Setari model'!$B$31*$AL36/2)/($W36+'Setari model'!$B$31))))</x:f>
      </x:c>
      <x:c r="BN36" s="62" t="str">
        <x:f t="shared" ref="BN36:BN67" si="56">IF($A36="","",IF($AG36&gt;0,($AG36*IF($AH36="",$AL36,$AH36)+5*$AL36)/($AG36+5),$AL36))</x:f>
      </x:c>
      <x:c r="BO36" s="63" t="str">
        <x:f>IF($A36="","",IF($AR36&gt;1,IF($AS36&gt;1,(1/$AR36)/((1/$AR36+1/$AS36)),MIN(0.995,(1/$AR36)/(1+'Setari model'!$B$32))),1-EXP(-$AL36)))</x:f>
      </x:c>
      <x:c r="BP36" s="62" t="str">
        <x:f t="shared" ref="BP36:BP67" si="57">IF($A36="","",-LN(1-$BO36))</x:f>
      </x:c>
      <x:c r="BQ36" s="62" t="str">
        <x:f>IF($A36="","",$BJ36*INDEX('Setari model'!$B$5:$B$11,MATCH($E36,'Setari model'!$A$5:$A$11,0))+$BK36*INDEX('Setari model'!$C$5:$C$11,MATCH($E36,'Setari model'!$A$5:$A$11,0))+$BL36*INDEX('Setari model'!$D$5:$D$11,MATCH($E36,'Setari model'!$A$5:$A$11,0))+$BM36*INDEX('Setari model'!$E$5:$E$11,MATCH($E36,'Setari model'!$A$5:$A$11,0))+$BN36*INDEX('Setari model'!$F$5:$F$11,MATCH($E36,'Setari model'!$A$5:$A$11,0))+$BP36*INDEX('Setari model'!$G$5:$G$11,MATCH($E36,'Setari model'!$A$5:$A$11,0)))</x:f>
      </x:c>
      <x:c r="BR36" s="64" t="str">
        <x:f>IF($A36="","",MAX('Setari model'!$B$53,MIN('Setari model'!$B$54,1+($AV36*'Setari model'!$B$15+$AW36*'Setari model'!$B$16+$AX36*'Setari model'!$B$17+$AY36*'Setari model'!$B$18+$AZ36*'Setari model'!$B$19+$BA36*'Setari model'!$B$20+$BB36*'Setari model'!$B$21+$BC36*'Setari model'!$B$22+$BD36*'Setari model'!$B$23+$BE36*'Setari model'!$B$24+$BF36*'Setari model'!$B$25)*INDEX('Setari model'!$H$5:$H$11,MATCH($E36,'Setari model'!$A$5:$A$11,0)))))</x:f>
      </x:c>
      <x:c r="BS36" s="62" t="str">
        <x:f t="shared" ref="BS36:BS67" si="58">IF($A36="","",$BQ36*$BR36)</x:f>
      </x:c>
      <x:c r="BT36" s="63" t="str">
        <x:f t="shared" ref="BT36:BT67" si="59">IF($A36="","",EXP(-$BS36))</x:f>
      </x:c>
      <x:c r="BU36" s="65" t="str">
        <x:f>IF($A36="","",IF(OR($AM36="",$AN36=""),1,1+MIN('Setari model'!$B$33,$AN36/100*'Setari model'!$B$33)*($AM36/EXP(-$AL36)-1)))</x:f>
      </x:c>
      <x:c r="BV36" s="63" t="str">
        <x:f>IF($A36="","",MIN(0.45,MAX(0.005,(1-'Setari model'!$B$34*MIN(1,($I36+$P36)/20))*MIN(0.45,$BT36*$BU36)+'Setari model'!$B$34*MIN(1,($I36+$P36)/20)*IF(COUNT($N36,$U36)=2,SQRT(MAX(0,1-$N36)*MAX(0,1-$U36)),IF($AM36="",EXP(-$AL36),$AM36)))))</x:f>
      </x:c>
      <x:c r="BW36" s="63" t="str">
        <x:f t="shared" ref="BW36:BW67" si="60">IF($A36="","",1-$BV36)</x:f>
      </x:c>
      <x:c r="BX36" s="62" t="str">
        <x:f t="shared" ref="BX36:BX67" si="61">IF($A36="","",1/$BW36)</x:f>
      </x:c>
      <x:c r="BY36" s="63" t="str">
        <x:f t="shared" ref="BY36:BY67" si="62">IF($A36="","",$BO36)</x:f>
      </x:c>
      <x:c r="BZ36" s="63" t="str">
        <x:f t="shared" ref="BZ36:BZ67" si="63">IF($A36="","",$BW36-$BY36)</x:f>
      </x:c>
      <x:c r="CA36" s="63" t="str">
        <x:f t="shared" ref="CA36:CA67" si="64">IF($A36="","",IF($AR36&gt;1,$BW36*$AR36-1,""))</x:f>
      </x:c>
      <x:c r="CB36" s="63" t="str">
        <x:f>IF($A36="","",MIN(1,COUNT($I36:$AN36,$AR36:$BG36)/'Setari model'!$B$46))</x:f>
      </x:c>
      <x:c r="CC36" s="63" t="str">
        <x:f t="shared" ref="CC36:CC67" si="65">IF($A36="","",0.25*MIN(1,$I36/10)+0.25*MIN(1,$P36/10)+0.15*MIN(1,$W36/5)+0.15*MIN(1,$AB36/5)+0.1*MIN(1,$AG36/5)+0.1*MIN(1,$AN36/100))</x:f>
      </x:c>
      <x:c r="CD36" s="63" t="str">
        <x:f>IF($A36="","",MAX(0,1-(MAX($BJ36:$BN36,$BP36)-MIN($BJ36:$BN36,$BP36))/(AVERAGE($BJ36:$BN36,$BP36)*'Setari model'!$B$45)))</x:f>
      </x:c>
      <x:c r="CE36" s="66" t="str">
        <x:f>IF($A36="","",MAX(0,MIN(100,100*INDEX('Setari model'!$I$5:$I$11,MATCH($E36,'Setari model'!$A$5:$A$11,0))*('Setari model'!$B$47*$CB36+'Setari model'!$B$48*$CC36+'Setari model'!$B$49*$CD36+'Setari model'!$B$50*$AT36/5+'Setari model'!$B$51*$AU36)-100*'Setari model'!$B$52*$BG36)))</x:f>
      </x:c>
      <x:c r="CF36" s="65" t="str">
        <x:f t="shared" ref="CF36:CF67" si="66">IF($A36="","",IF(OR($AT36&lt;3,$BG36&gt;=2,$CB36&lt;0.55,$CC36&lt;0.4),"RIDICAT",IF(OR($AU36=0,$CD36&lt;0.45,$BR36&lt;0.9),"MEDIU","SCĂZUT")))</x:f>
      </x:c>
      <x:c r="CG36" s="65" t="str">
        <x:f>IF($A36="","",IF($AR36&gt;1,IF(AND($BW36&gt;= 'Setari model'!$B$35,$CE36&gt;=100*'Setari model'!$B$36,$BZ36&gt;= 'Setari model'!$B$37,$CA36&gt;= 'Setari model'!$B$38,$CF36&lt;&gt;"RIDICAT"),"PARIU RECOMANDAT",IF(AND($BW36&gt;= 'Setari model'!$B$39,$CE36&gt;=100*'Setari model'!$B$40,$BZ36&gt;= 'Setari model'!$B$41,$CA36&gt;=0,$CF36&lt;&gt;"RIDICAT"),"RECOMANDAT CU PRUDENȚĂ",IF(AND($BW36&gt;= 'Setari model'!$B$42,$CE36&gt;=100*'Setari model'!$B$43),"ANALIZĂ NECONCLUDENTĂ","PARIU EVITAT"))),IF(AND($BW36&gt;= 'Setari model'!$B$35,$CE36&gt;=100*'Setari model'!$B$36,$CF36&lt;&gt;"RIDICAT"),"FAVORABIL STATISTIC – VERIFICĂ COTA",IF(AND($BW36&gt;= 'Setari model'!$B$42,$CE36&gt;=100*'Setari model'!$B$43),"ANALIZĂ NECONCLUDENTĂ","PARIU EVITAT"))))</x:f>
      </x:c>
      <x:c r="CH36" s="67" t="str">
        <x:f t="shared" ref="CH36:CH67" si="67">IF($A36="","","P(O0,5)="&amp;TEXT($BW36,"0.0%")&amp;"; λ ajustat="&amp;TEXT($BS36,"0.00")&amp;"; Confidence="&amp;TEXT($CE36,"0")&amp;"/100; Edge="&amp;TEXT($BZ36,"0.0%")&amp;"; risc="&amp;$CF36&amp;". "&amp;$BH36)</x:f>
      </x:c>
      <x:c r="CI36" s="68" t="str">
        <x:f t="shared" ref="CI36:CI67" si="68">IF($A36="","",$BI36)</x:f>
      </x:c>
      <x:c r="CJ36" s="112"/>
      <x:c r="CK36" s="112"/>
      <x:c r="CL36" s="112"/>
      <x:c r="CM36" s="112"/>
      <x:c r="CN36" s="112"/>
      <x:c r="CO36" s="112"/>
      <x:c r="CP36" s="112"/>
      <x:c r="CQ36" s="112"/>
      <x:c r="CR36" s="112"/>
      <x:c r="CS36" s="112"/>
      <x:c r="CT36" s="112"/>
      <x:c r="CU36" s="112"/>
      <x:c r="CV36" s="112"/>
      <x:c r="CW36" s="112"/>
      <x:c r="CX36" s="112"/>
      <x:c r="CY36" s="112"/>
      <x:c r="CZ36" s="112"/>
      <x:c r="DA36" s="112"/>
      <x:c r="DB36" s="112"/>
      <x:c r="DC36" s="114"/>
      <x:c r="DD36" s="114"/>
      <x:c r="DE36" s="112" t="s">
        <x:v>266</x:v>
      </x:c>
      <x:c r="DF36" s="112"/>
      <x:c r="DG36" s="112"/>
      <x:c r="DH36" s="112"/>
      <x:c r="DI36" s="112"/>
      <x:c r="DJ36" s="112"/>
      <x:c r="DK36" s="112"/>
      <x:c r="DL36" s="112"/>
      <x:c r="DM36" s="112"/>
      <x:c r="DN36" s="112"/>
      <x:c r="DO36" s="112"/>
      <x:c r="DP36" s="112"/>
      <x:c r="DQ36" s="114"/>
      <x:c r="DR36" s="112">
        <x:v>1</x:v>
      </x:c>
      <x:c r="DS36" s="116">
        <x:v>0</x:v>
      </x:c>
      <x:c r="DT36" s="120"/>
      <x:c r="DU36" s="116">
        <x:v>0.02</x:v>
      </x:c>
      <x:c r="DV36" s="116">
        <x:v>0.25</x:v>
      </x:c>
      <x:c r="DW36" s="118" t="str">
        <x:f>IF($A36="","",MAX('Setari model'!$B$71,MIN('Setari model'!$B$72,1+0.08*(IFERROR(AVERAGE($CM36:$CN36)/'Setari model'!$B$66,1)-1)+0.08*(IFERROR(AVERAGE($CO36:$CP36)/'Setari model'!$B$67,1)-1)+0.06*(IFERROR(AVERAGE($CQ36:$CR36)/'Setari model'!$B$68,1)-1)+0.04*(IFERROR(AVERAGE($CS36:$CT36)/'Setari model'!$B$69,1)-1)+0.04*(IFERROR(AVERAGE($CU36:$CV36)/'Setari model'!$B$70,1)-1)-'Setari model'!$B$73*IFERROR(AVERAGE($CW36:$CX36),0))))</x:f>
      </x:c>
      <x:c r="DX36" s="118" t="str">
        <x:f>IF($A36="","",1+'Setari model'!$B$62*MAX(IF(OR($CK36=1,$CL36=1),1,0),IF(AND($CJ36&lt;&gt;"",$CJ36&lt;=1),1,0))+'Setari model'!$B$63*IF(AND($CJ36&gt;1,$CJ36&lt;=3),1,0))</x:f>
      </x:c>
      <x:c r="DY36" s="118" t="str">
        <x:f>IF($A36="","",1+'Setari model'!$B$74*(IF($CY36="",0,IF($CY36=0,1,0))+IF($CZ36="",0,IF($CZ36=0,1,0)))+'Setari model'!$B$75*(IF($DA36="",0,IF($DA36=0,1,0))+IF($DB36="",0,IF($DB36=0,1,0))))</x:f>
      </x:c>
      <x:c r="DZ36" s="117" t="str">
        <x:f>IF($A36="","",MIN(0.6,MAX(0.002,(((1-'Setari model'!$B$34*MIN(1,($I36+$P36)/20))*$BT36+'Setari model'!$B$34*MIN(1,($I36+$P36)/20)*IF(COUNT($N36,$U36)=2,SQRT(MAX(0,1-$N36)*MAX(0,1-$U36)),$BT36))*(1-'Setari model'!$B$65*MIN(1,IF($AN36="",0,$AN36/'Setari model'!$B$64)))+'Setari model'!$B$65*MIN(1,IF($AN36="",0,$AN36/'Setari model'!$B$64))*IF($AM36="",$BT36,$AM36))*$DX36*$DY36/$DW36)))</x:f>
      </x:c>
      <x:c r="EA36" s="117" t="str">
        <x:f>IF($A36="","",MIN(1-$DZ36,IF(OR(MIN($I36,$P36)&lt;'Setari model'!$B$58,$CK36=1,$CL36=1,AND($CJ36&lt;&gt;"",$CJ36&lt;=1)),'Setari model'!$B$59,IF(AND($AU36=1,$AR36&gt;1,COUNT($CY36:$DB36)=4),'Setari model'!$B$61,'Setari model'!$B$60))))</x:f>
      </x:c>
      <x:c r="EB36" s="115" t="str">
        <x:f t="shared" ref="EB36:EB67" si="69">IF($A36="","",1/$EA36)</x:f>
      </x:c>
      <x:c r="EC36" s="117" t="str">
        <x:f t="shared" ref="EC36:EC67" si="70">IF($A36="","",IF($AR36&gt;1,IF($AS36&gt;1,(1/$AR36)/((1/$AR36)+(1/$AS36)),1/$AR36),""))</x:f>
      </x:c>
      <x:c r="ED36" s="117" t="str">
        <x:f t="shared" ref="ED36:ED67" si="71">IF($A36="","",IF($EC36="","",$EA36-$EC36))</x:f>
      </x:c>
      <x:c r="EE36" s="117" t="str">
        <x:f t="shared" ref="EE36:EE67" si="72">""</x:f>
      </x:c>
      <x:c r="EF36" s="119" t="str">
        <x:f>IF($A36="","",MAX(0,MIN(100,$CE36-200*MAX(0,$EG36-'Setari model'!$B$77)-IF($AU36&lt;&gt;1,10,0)-IF(COUNT($CY36:$DB36)&lt;4,4,0))))</x:f>
      </x:c>
      <x:c r="EG36" s="117" t="str">
        <x:f>IF($A36="","",'Setari model'!$B$77+IF(MIN($I36,$P36)&lt;'Setari model'!$B$58,0.03,0)+IF(OR($CK36=1,$CL36=1,AND($CJ36&lt;&gt;"",$CJ36&lt;=1)),0.03,0)+IF($AG36=0,0.02,0)+0.03*(1-MIN(1,COUNT($CM36:$CV36)/10))+0.03*(1-MIN(1,IF($AN36="",0,$AN36/'Setari model'!$B$64)))+IF($AR36&lt;=1,0.02,0))</x:f>
      </x:c>
      <x:c r="EH36" s="113" t="str">
        <x:f>IF($A36="","",IF(OR(MIN($I36,$P36)&lt;'Setari model'!$B$58,$CK36=1,$CL36=1,AND($CJ36&lt;&gt;"",$CJ36&lt;=1)),"92% – early/regim",IF(AND($AU36=1,$AR36&gt;1,COUNT($CY36:$DB36)=4),"94% – confirmat","93% – standard")))</x:f>
      </x:c>
      <x:c r="EI36" s="113" t="str">
        <x:f t="shared" ref="EI36:EI67" si="73">IF($A36="","",IF(AND($EA36&gt;0.9,$AU36&lt;&gt;1),"WAIT XI – HIGH P",IF(AND($EA36&gt;0.9,COUNT($CY36:$DB36)&lt;4),"WAIT DATE CHEIE – HIGH P",IF($EP36&lt;&gt;"DA","NU – PORTOFOLIU","DA"))))</x:f>
      </x:c>
      <x:c r="EJ36" s="117" t="str">
        <x:f t="shared" ref="EJ36:EJ67" si="74">IF($A36="","",IF($DE36&lt;&gt;"Live 20-30","",IF(SUM($DG36:$DH36)&gt;0,1,IF($EU36="","",1-MIN(0.95,MAX(0.001,EXP(-$EU36)*$DX36*$DY36/$DW36))))))</x:f>
      </x:c>
      <x:c r="EK36" s="117" t="str">
        <x:f t="shared" ref="EK36:EK67" si="75">""</x:f>
      </x:c>
      <x:c r="EL36" s="113" t="str">
        <x:f>IF($A36="","",IF($DE36="Live 20-30",IF(SUM($DG36:$DH36)&gt;0,"EVENIMENT ÎNDEPLINIT",IF(OR($DF36="",COUNT($DI36:$DN36)&lt;4),"LIVE – WATCH",IF($EJ36&gt;=0.75,"LIVE – FEZABIL TEHNIC","LIVE – NO BET"))),IF($EI36&lt;&gt;"DA","WATCH / NO BET",IF(AND($EA36&gt;=INDEX('Setari model'!$B$35:$B$40,1),$EF36&gt;=100*'Setari model'!$B$76),"PARIU RECOMANDAT",IF(AND($EA36&gt;=INDEX('Setari model'!$B$35:$B$40,5),$EF36&gt;=100*'Setari model'!$B$40),"WATCH – APROAPE DE PRAG","PARIU EVITAT")))))</x:f>
      </x:c>
      <x:c r="EM36" s="113" t="str">
        <x:f t="shared" ref="EM36:EM67" si="76">IF($A36="","",IF($DE36="Live 20-30",IF(SUM($DG36:$DH36)&gt;0,"Gol deja marcat.",IF($DF36="","Minut live lipsă.",IF(COUNT($DI36:$DN36)&lt;4,"Lipsesc xG/SOT/big chances live.",IF($EJ36&lt;0.75,"P live sub prag.","Semnal live tehnic complet; EV ignorat.")))),IF($EI36&lt;&gt;"DA",$EI36,IF($EF36&lt;75,"Confidence sub 75.",IF($EA36&lt;0.92,"P sub 92%.","G0/Zero-Mass + confidence trecute; EV ignorat.")))))</x:f>
      </x:c>
      <x:c r="EN36" s="117" t="str">
        <x:f>IF($A36="","",IF(OR($EL36="PARIU RECOMANDAT",$EL36="LIVE – FEZABIL"),MIN(IF($DU36&gt;0,$DU36,'Setari model'!$B$81)/MAX(1,$DR36),IF($DV36&gt;0,$DV36,'Setari model'!$B$80)*MAX(0,((IF($DE36="Live 20-30",$EJ36,$EA36)*IF($DE36="Live 20-30",$DQ36,$AR36)-1)/(IF($DE36="Live 20-30",$DQ36,$AR36)-1)))),0))</x:f>
      </x:c>
      <x:c r="EO36" s="121" t="str">
        <x:f t="shared" ref="EO36:EO67" si="77">IF($A36="","",IF(AND($EN36&gt;0,$DT36&gt;0),$EN36*$DT36,""))</x:f>
      </x:c>
      <x:c r="EP36" s="113" t="str">
        <x:f>IF($A36="","",IF(OR($DR36&lt;1,$DR36&gt;'Setari model'!$B$78),"NU – 1–5 selecții",IF($DS36&gt;'Setari model'!$B$79,"NU – corelație", "DA")))</x:f>
      </x:c>
      <x:c r="EQ36" s="117" t="str">
        <x:f t="shared" ref="EQ36:EQ67" si="78">IF($A36="","",IF(AND($DC36&gt;1,$DD36&gt;1),$DC36/$DD36-1,""))</x:f>
      </x:c>
      <x:c r="ER36" s="113" t="str">
        <x:f t="shared" ref="ER36:ER67" si="79">IF($A36="","","P v2="&amp;TEXT($EA36,"0.0%")&amp;" ±"&amp;TEXT($EG36,"0.0%")&amp;"; P0 ZIP="&amp;TEXT($DZ36,"0.0%")&amp;"; Confidence="&amp;TEXT($EF36,"0")&amp;"/100; piață reală="&amp;IF($EC36="","NU","DA")&amp;"; EV="&amp;IF($EE36="","n/a",TEXT($EE36,"0.0%"))&amp;"; gate="&amp;$EI36&amp;"; verdict="&amp;$EL36&amp;". "&amp;$EM36)</x:f>
      </x:c>
      <x:c r="ES36" s="119" t="str">
        <x:f>IF($A36="","",'Setari model'!$B$82)</x:f>
      </x:c>
      <x:c r="ET36" s="118" t="str">
        <x:f>IF($A36="","",'Setari model'!$B$83)</x:f>
      </x:c>
      <x:c r="EU36" s="115" t="str">
        <x:f t="shared" ref="EU36:EU67" si="80">IF(OR($A36="",$DE36&lt;&gt;"Live 20-30",$DF36="",$DF36&lt;$ES36,$DF36&gt;=90),"",MAX(0.05,MIN($BS36*$ET36,$BS36*(90-$DF36)/90+0.35*($DI36+$DJ36)+0.06*($DK36+$DL36)+0.15*($DM36+$DN36)+0.1*(MAX($DO36,$DP36)-MIN($DO36,$DP36)))))</x:f>
      </x:c>
      <x:c r="EV36" s="132"/>
      <x:c r="EW36" s="132"/>
      <x:c r="EX36" s="132"/>
      <x:c r="EY36" s="132"/>
      <x:c r="EZ36" s="132"/>
      <x:c r="FA36" s="132"/>
      <x:c r="FB36" s="247"/>
      <x:c r="FC36" s="134" t="str">
        <x:f t="shared" ref="FC36:FC67" si="81">IF($A36="","",IF(OR($J36="",$L36="",$L36&lt;=0),"",MAX(0.5,MIN(1.5,$J36/$L36))))</x:f>
      </x:c>
      <x:c r="FD36" s="134" t="str">
        <x:f t="shared" ref="FD36:FD67" si="82">IF($A36="","",IF(OR($Q36="",$S36="",$S36&lt;=0),"",MAX(0.5,MIN(1.5,$Q36/$S36))))</x:f>
      </x:c>
      <x:c r="FE36" s="134" t="str">
        <x:f>IF($A36="","",IF(COUNT($EV36:$EW36)&lt;2,"",SQRT($EV36*$EW36)/'Setari model'!$B$87))</x:f>
      </x:c>
      <x:c r="FF36" s="134" t="str">
        <x:f>IF($A36="","",IF(COUNT($O36,$V36,$EX36,$EY36)&lt;4,"",AVERAGE(SQRT($O36*$EY36),SQRT($V36*$EX36))/'Setari model'!$B$88))</x:f>
      </x:c>
      <x:c r="FG36" s="134" t="str">
        <x:f t="shared" ref="FG36:FG67" si="83">IF($A36="","",IF(COUNT($FC36:$FD36)&lt;2,"",MAX(0,1-AVERAGE($FC36:$FD36))))</x:f>
      </x:c>
      <x:c r="FH36" s="134" t="str">
        <x:f>IF($A36="","",IF(COUNT($EZ36:$FA36)&lt;2,"",'Setari model'!$B$94*AVERAGE($EZ36:$FA36)/'Setari model'!$B$89))</x:f>
      </x:c>
      <x:c r="FI36" s="134" t="str">
        <x:f>IF($A36="","",IF(COUNT($FE36:$FH36)&lt;4,"",MAX('Setari model'!$B$97,MIN('Setari model'!$B$98,1+'Setari model'!$B$90*($FE36-1)+'Setari model'!$B$91*($FF36-1)+'Setari model'!$B$92*$FG36+'Setari model'!$B$93*($FH36-1)))))</x:f>
      </x:c>
      <x:c r="FJ36" s="133" t="str">
        <x:f>IF($A36="","",IF($FI36="","",MIN('Setari model'!$B$101,MAX(0.002,$DZ36*$FI36))))</x:f>
      </x:c>
      <x:c r="FK36" s="131" t="str">
        <x:f t="shared" ref="FK36:FK67" si="84">IF($A36="","",IF(AND(COUNT($EV36:$FA36)=6,COUNT($O36,$V36,$FC36,$FD36)=4),"DA","NU"))</x:f>
      </x:c>
      <x:c r="FL36" s="131" t="str">
        <x:f>IF($A36="","",IF($FK36&lt;&gt;"DA","NEDETERMINAT",IF($FI36&lt;='Setari model'!$B$99,"SCĂZUT",IF($FI36&lt;='Setari model'!$B$100,"MEDIU","RIDICAT"))))</x:f>
      </x:c>
      <x:c r="FM36" s="131" t="str">
        <x:f>IF($A36="","",IF(AND($AR36&gt;1,$EC36&gt;='Setari model'!$B$106),"DA","NU"))</x:f>
      </x:c>
      <x:c r="FN36" s="131" t="str">
        <x:f t="shared" ref="FN36:FN67" si="85">IF($A36="","",IF(AND($AU36=1,COUNT($CY36:$DB36)=4),"DA","NU"))</x:f>
      </x:c>
      <x:c r="FO36" s="133" t="str">
        <x:f>IF($A36="","",IF(OR($FK36&lt;&gt;"DA",$FL36="RIDICAT"),'Setari model'!$B$102,IF($FL36="MEDIU",'Setari model'!$B$103,IF(AND($FM36="DA",$FN36="DA"),'Setari model'!$B$105,'Setari model'!$B$104))))</x:f>
      </x:c>
      <x:c r="FP36" s="133" t="str">
        <x:f t="shared" ref="FP36:FP67" si="86">IF($A36="","",IF($FJ36="","",MIN(1-$FJ36,$FO36)))</x:f>
      </x:c>
      <x:c r="FQ36" s="135" t="str">
        <x:f t="shared" ref="FQ36:FQ67" si="87">IF($A36="","",IF($FP36="","",IF($FP36&gt;0,1/$FP36,"")))</x:f>
      </x:c>
      <x:c r="FR36" s="133" t="str">
        <x:f t="shared" ref="FR36:FR67" si="88">IF($A36="","",IF($EC36="","",$FP36-$EC36))</x:f>
      </x:c>
      <x:c r="FS36" s="133" t="str">
        <x:f t="shared" ref="FS36:FS67" si="89">IF($A36="","",IF($AR36&gt;1,$FP36*$AR36-1,""))</x:f>
      </x:c>
      <x:c r="FT36" s="136" t="str">
        <x:f>IF($A36="","",MAX(0,MIN(100,$EF36-IF($FK36&lt;&gt;"DA",'Setari model'!$B$107,0)-IF($FL36="MEDIU",'Setari model'!$B$108,0)-IF($FL36="RIDICAT",'Setari model'!$B$109,0))))</x:f>
      </x:c>
      <x:c r="FU36" s="131" t="str">
        <x:f t="shared" ref="FU36:FU67" si="90">IF($A36="","",IF($AR36&lt;=1,"NU – LIPSEȘTE COTA REALĂ",IF($FK36&lt;&gt;"DA","NU – ZERO-RISK INCOMPLET",IF($FL36&lt;&gt;"SCĂZUT","NU – RISC 0-0 "&amp;$FL36,IF($FN36&lt;&gt;"DA","NU – LINEUP NECONFIRMAT",IF($FM36&lt;&gt;"DA","NU – PIAȚĂ NECONFIRMATĂ",IF($EP36&lt;&gt;"DA","NU – PORTOFOLIU","DA")))))))</x:f>
      </x:c>
      <x:c r="FV36" s="131" t="str">
        <x:f>IF($A36="","",IF($FU36&lt;&gt;"DA","WATCH / NO BET",IF(AND($FP36&gt;='Setari model'!$B$35,$FT36&gt;=100*'Setari model'!$B$76,$FS36&gt;0),"PARIU RECOMANDAT",IF(AND($FP36&gt;='Setari model'!$B$39,$FT36&gt;=100*'Setari model'!$B$40,$FS36&gt;0),"WATCH – APROAPE DE PRAG","PARIU EVITAT"))))</x:f>
      </x:c>
      <x:c r="FW36" s="131" t="str">
        <x:f t="shared" ref="FW36:FW67" si="91">IF($A36="","",IF($FU36&lt;&gt;"DA",$FU36,IF($FT36&lt;75,"Confidence v3 sub 75.",IF($FP36&lt;0.92,"P v3 sub 92%.",IF($FS36&lt;=0,"EV v3 nepozitiv.","P0 v3, lineup și piață confirmate.")))))</x:f>
      </x:c>
      <x:c r="FX36" s="131" t="str">
        <x:f t="shared" ref="FX36:FX67" si="92">IF($A36="","","P v3="&amp;TEXT($FP36,"0.0%")&amp;"; P0 v3="&amp;TEXT($FJ36,"0.0%")&amp;"; factor zero="&amp;IF($FI36="","n/a",TEXT($FI36,"0.00x"))&amp;" ("&amp;$FL36&amp;"); cap="&amp;TEXT($FO36,"0.0%")&amp;"; Confidence="&amp;TEXT($FT36,"0")&amp;"/100; lineup="&amp;$FN36&amp;"; piață="&amp;$FM36&amp;"; EV="&amp;IF($FS36="","n/a",TEXT($FS36,"0.0%"))&amp;"; gate="&amp;$FU36&amp;"; verdict="&amp;$FV36&amp;". "&amp;$FW36)</x:f>
      </x:c>
      <x:c r="FY36" s="159"/>
      <x:c r="FZ36" s="159"/>
      <x:c r="GA36" s="157"/>
      <x:c r="GB36" s="157"/>
      <x:c r="GC36" s="161" t="str">
        <x:f t="shared" ref="GC36:GC67" si="93">IF($A36="","",IF(OR($X36="",$Z36="",$Z36&lt;=0),"",MAX(0.5,MIN(1.5,$X36/$Z36))))</x:f>
      </x:c>
      <x:c r="GD36" s="161" t="str">
        <x:f t="shared" ref="GD36:GD67" si="94">IF($A36="","",IF(OR($AC36="",$AE36="",$AE36&lt;=0),"",MAX(0.5,MIN(1.5,$AC36/$AE36))))</x:f>
      </x:c>
      <x:c r="GE36" s="162" t="str">
        <x:f t="shared" ref="GE36:GE67" si="95">IF($A36="","",IF(COUNT($Z36,$AE36)&lt;2,"",AVERAGE($Z36,$AE36)))</x:f>
      </x:c>
      <x:c r="GF36" s="158" t="str">
        <x:f>IF($A36="","",IF(COUNT($FY36:$FZ36)&lt;2,"NEDETERMINAT",IF(AND($FY36&gt;='Setari model'!$B$113,$FZ36&gt;='Setari model'!$B$113),"DA","NU")))</x:f>
      </x:c>
      <x:c r="GG36" s="158" t="str">
        <x:f>IF($A36="","",IF(COUNT($FY36:$FZ36,$EX36:$EY36)&lt;4,"NEDETERMINAT",IF(OR(AND($FY36&gt;='Setari model'!$B$113,$EY36&gt;='Setari model'!$B$114),AND($FZ36&gt;='Setari model'!$B$113,$EX36&gt;='Setari model'!$B$114)),"DA","NU")))</x:f>
      </x:c>
      <x:c r="GH36" s="158" t="str">
        <x:f>IF($A36="","",IF(COUNT($BJ36:$BN36,$GC36:$GE36)&lt;8,"NEDETERMINAT",IF(AND((($BJ36*INDEX('Setari model'!$B$5:$B$11,MATCH($E36,'Setari model'!$A$5:$A$11,0))+$BK36*INDEX('Setari model'!$C$5:$C$11,MATCH($E36,'Setari model'!$A$5:$A$11,0))+$BL36*INDEX('Setari model'!$D$5:$D$11,MATCH($E36,'Setari model'!$A$5:$A$11,0))+$BM36*INDEX('Setari model'!$E$5:$E$11,MATCH($E36,'Setari model'!$A$5:$A$11,0))+$BN36*INDEX('Setari model'!$F$5:$F$11,MATCH($E36,'Setari model'!$A$5:$A$11,0)))/(INDEX('Setari model'!$B$5:$B$11,MATCH($E36,'Setari model'!$A$5:$A$11,0))+INDEX('Setari model'!$C$5:$C$11,MATCH($E36,'Setari model'!$A$5:$A$11,0))+INDEX('Setari model'!$D$5:$D$11,MATCH($E36,'Setari model'!$A$5:$A$11,0))+INDEX('Setari model'!$E$5:$E$11,MATCH($E36,'Setari model'!$A$5:$A$11,0))+INDEX('Setari model'!$F$5:$F$11,MATCH($E36,'Setari model'!$A$5:$A$11,0))))*$BR36&gt;='Setari model'!$B$115,(($BJ36*INDEX('Setari model'!$B$5:$B$11,MATCH($E36,'Setari model'!$A$5:$A$11,0))+$BK36*INDEX('Setari model'!$C$5:$C$11,MATCH($E36,'Setari model'!$A$5:$A$11,0))+$BL36*INDEX('Setari model'!$D$5:$D$11,MATCH($E36,'Setari model'!$A$5:$A$11,0))+$BM36*INDEX('Setari model'!$E$5:$E$11,MATCH($E36,'Setari model'!$A$5:$A$11,0))+$BN36*INDEX('Setari model'!$F$5:$F$11,MATCH($E36,'Setari model'!$A$5:$A$11,0)))/(INDEX('Setari model'!$B$5:$B$11,MATCH($E36,'Setari model'!$A$5:$A$11,0))+INDEX('Setari model'!$C$5:$C$11,MATCH($E36,'Setari model'!$A$5:$A$11,0))+INDEX('Setari model'!$D$5:$D$11,MATCH($E36,'Setari model'!$A$5:$A$11,0))+INDEX('Setari model'!$E$5:$E$11,MATCH($E36,'Setari model'!$A$5:$A$11,0))+INDEX('Setari model'!$F$5:$F$11,MATCH($E36,'Setari model'!$A$5:$A$11,0))))*$BR36&lt;='Setari model'!$B$116,AVERAGE($GC36:$GD36)&lt;='Setari model'!$B$117,$GE36&gt;='Setari model'!$B$118),"DA","NU")))</x:f>
      </x:c>
      <x:c r="GI36" s="158" t="str">
        <x:f>IF($A36="","",IF(COUNT($W36,$AB36,$GA36:$GB36)&lt;4,"NEDETERMINAT",IF(AND($W36&gt;='Setari model'!$B$120,$AB36&gt;='Setari model'!$B$120,OR(IFERROR($GA36/$W36,0)&gt;='Setari model'!$B$119,IFERROR($GB36/$AB36,0)&gt;='Setari model'!$B$119)),"DA","NU")))</x:f>
      </x:c>
      <x:c r="GJ36" s="160" t="str">
        <x:f>IF($A36="","",IF(COUNT($FY36:$GB36)&lt;4,"",IF($GH36&lt;&gt;"DA",0,'Setari model'!$B$121*IF($GF36="DA",1,0)+'Setari model'!$B$122*IF($GG36="DA",1,0)+'Setari model'!$B$123+'Setari model'!$B$124*IF($GI36="DA",1,0))))</x:f>
      </x:c>
      <x:c r="GK36" s="161" t="str">
        <x:f>IF($A36="","",IF(COUNT($GJ36)=0,"",1+'Setari model'!$B$125*$GJ36))</x:f>
      </x:c>
      <x:c r="GL36" s="160" t="str">
        <x:f>IF($A36="","",IF($GM36&lt;&gt;"DA",$FJ36,MIN('Setari model'!$B$101,MAX(0.002,$FJ36*$GK36))))</x:f>
      </x:c>
      <x:c r="GM36" s="158" t="str">
        <x:f>IF($A36="","",IF(AND($FK36="DA",COUNT($FY36:$GB36)=4,COUNT($I36,$P36,$W36,$AB36,$Z36,$AE36,$EX36,$EY36,$GC36,$GD36)=10,COUNT($BJ36:$BN36)=5),"DA","NU"))</x:f>
      </x:c>
      <x:c r="GN36" s="158" t="str">
        <x:f>IF($A36="","",IF($GM36&lt;&gt;"DA","NEDETERMINAT",IF($FI36*$GK36&lt;='Setari model'!$B$99,"SCĂZUT",IF($FI36*$GK36&lt;='Setari model'!$B$100,"MEDIU","RIDICAT"))))</x:f>
      </x:c>
      <x:c r="GO36" s="160" t="str">
        <x:f>IF($A36="","",IF(OR($GM36&lt;&gt;"DA",$GN36="RIDICAT"),'Setari model'!$B$102,IF($GN36="MEDIU",'Setari model'!$B$103,IF(AND($FM36="DA",$FN36="DA"),'Setari model'!$B$105,'Setari model'!$B$104))))</x:f>
      </x:c>
      <x:c r="GP36" s="160" t="str">
        <x:f t="shared" ref="GP36:GP67" si="96">IF($A36="","",IF($GL36="","",MIN(1-$GL36,$GO36)))</x:f>
      </x:c>
      <x:c r="GQ36" s="162" t="str">
        <x:f t="shared" ref="GQ36:GQ67" si="97">IF($A36="","",IF($GP36="","",IF($GP36&gt;0,1/$GP36,"")))</x:f>
      </x:c>
      <x:c r="GR36" s="160" t="str">
        <x:f t="shared" ref="GR36:GR67" si="98">IF($A36="","",IF($EC36="","",$GP36-$EC36))</x:f>
      </x:c>
      <x:c r="GS36" s="160" t="str">
        <x:f t="shared" ref="GS36:GS67" si="99">IF($A36="","",IF($AR36&gt;1,$GP36*$AR36-1,""))</x:f>
      </x:c>
      <x:c r="GT36" s="163" t="str">
        <x:f>IF($A36="","",MAX(0,MIN(100,$FT36-IF(AND($GM36&lt;&gt;"DA",$FK36="DA"),'Setari model'!$B$107,0)-'Setari model'!$B$126*IF($GJ36="",0,$GJ36))))</x:f>
      </x:c>
      <x:c r="GU36" s="158" t="str">
        <x:f t="shared" ref="GU36:GU67" si="100">IF($A36="","",IF($AR36&lt;=1,"NU – LIPSEȘTE COTA REALĂ",IF($GM36&lt;&gt;"DA","NU – DATE LOW-CONVERSION INCOMPLETE",IF($GN36&lt;&gt;"SCĂZUT","NU – RISC 0-0 "&amp;$GN36,IF($FN36&lt;&gt;"DA","NU – LINEUP NECONFIRMAT",IF($FM36&lt;&gt;"DA","NU – PIAȚĂ NECONFIRMATĂ",IF($EP36&lt;&gt;"DA","NU – PORTOFOLIU","DA")))))))</x:f>
      </x:c>
      <x:c r="GV36" s="158" t="str">
        <x:f>IF($A36="","",IF($GU36&lt;&gt;"DA","WATCH / NO BET",IF(AND($GP36&gt;='Setari model'!$B$35,$GT36&gt;=100*'Setari model'!$B$76,$GS36&gt;0),"PARIU RECOMANDAT",IF(AND($GP36&gt;='Setari model'!$B$39,$GT36&gt;=100*'Setari model'!$B$40,$GS36&gt;0),"WATCH – APROAPE DE PRAG","PARIU EVITAT"))))</x:f>
      </x:c>
      <x:c r="GW36" s="158" t="str">
        <x:f t="shared" ref="GW36:GW67" si="101">IF($A36="","",IF($GU36&lt;&gt;"DA",$GU36,IF($GT36&lt;75,"Confidence v5 sub 75.",IF($GP36&lt;0.92,"P v5 sub 92%.",IF($GS36&lt;=0,"EV v5 nepozitiv.",IF($GJ36&gt;0,"Low-conversion absorbit în P0; toate porțile rămân trecute.","Toate porțile v5 sunt trecute."))))))</x:f>
      </x:c>
      <x:c r="GX36" s="158" t="str">
        <x:f t="shared" ref="GX36:GX67" si="102">IF($A36="","","P v5="&amp;TEXT($GP36,"0.0%")&amp;"; P0 v5="&amp;TEXT($GL36,"0.0%")&amp;"; low-conv="&amp;IF(COUNT($GJ36)=0,"n/a",TEXT($GJ36,"0%"))&amp;"; mult.P0="&amp;IF(COUNT($GK36)=0,"n/a",TEXT($GK36,"0.00"))&amp;"; clasă="&amp;$GN36&amp;"; cap="&amp;TEXT($GO36,"0.0%")&amp;"; Confidence="&amp;TEXT($GT36,"0")&amp;"/100; lineup="&amp;$FN36&amp;"; piață="&amp;$FM36&amp;"; EV="&amp;IF($GS36="","n/a",TEXT($GS36,"0.0%"))&amp;"; gate="&amp;$GU36&amp;"; verdict="&amp;$GV36&amp;". "&amp;$GW36)</x:f>
      </x:c>
      <x:c r="GY36" s="174" t="str">
        <x:f>IF($A36="","",IF($GM36&lt;&gt;"DA","SOURCING INCOMPLETE – REVIEW REQUIRED",IF(MIN($I36,$P36,$W36,$AB36)&lt;'Setari model'!$B$58,"SMALL SAMPLE + PRIOR / SHRINKAGE","VERIFIED / PRIOR / SHRINKAGE")))</x:f>
      </x:c>
      <x:c r="GZ36" s="175" t="str">
        <x:f t="shared" ref="GZ36:GZ67" si="103">IF($A36="","",MAX(0,MIN(100,100*(1-AVERAGE(IF($GM36="DA",1,0),MIN(1,$AT36/5))))))</x:f>
      </x:c>
      <x:c r="HA36" s="175" t="str">
        <x:f>IF($A36="","",IF($GM36&lt;&gt;"DA","",MAX(0,MIN(100,100*(($FI36*$GK36)-'Setari model'!$B$97)/('Setari model'!$B$98-'Setari model'!$B$97)))))</x:f>
      </x:c>
      <x:c r="HB36" s="175" t="str">
        <x:f>IF($A36="","",MAX(0,MIN(100,100*(ABS($BR36-1)/MAX(1-'Setari model'!$B$53,'Setari model'!$B$54-1)+MIN(1,$BG36/2))/2)))</x:f>
      </x:c>
      <x:c r="HC36" s="175" t="str">
        <x:f t="shared" ref="HC36:HC67" si="104">IF($A36="","",MAX(0,MIN(100,100*(1-AVERAGE($CC36,MAX(0,1-(MAX($BJ36:$BN36)-MIN($BJ36:$BN36))/(AVERAGE($BJ36:$BN36)*'Setari model'!$B$45)))))))</x:f>
      </x:c>
      <x:c r="HD36" s="175" t="str">
        <x:f t="shared" ref="HD36:HD67" si="105">IF($A36="","",MAX(0,MIN(100,100*MAX(IF($GJ36="",0,$GJ36),MIN(1,$BG36/2)))))</x:f>
      </x:c>
      <x:c r="HE36" s="175" t="str">
        <x:f>IF($A36="","",IF(COUNT($GZ36:$HD36)&lt;5,"",$GZ36*Risk_Classification!$E$28+$HA36*Risk_Classification!$E$29+$HB36*Risk_Classification!$E$30+$HC36*Risk_Classification!$E$31+$HD36*Risk_Classification!$E$32))</x:f>
      </x:c>
      <x:c r="HF36" s="176" t="str">
        <x:f t="shared" ref="HF36:HF67" si="106">IF($A36="","",IF($HE36="","",IF($HE36&lt;=20,1,IF($HE36&lt;=40,2,IF($HE36&lt;=60,3,IF($HE36&lt;=80,4,5))))))</x:f>
      </x:c>
      <x:c r="HG36" s="176" t="str">
        <x:f t="shared" ref="HG36:HG67" si="107">IF($A36="","",IF($GM36="DA","PASS","FAIL – DATE CRITICE ZERO-MASS INCOMPLETE"))</x:f>
      </x:c>
      <x:c r="HH36" s="176" t="str">
        <x:f t="shared" ref="HH36:HH67" si="108">IF($A36="","",IF($HG36&lt;&gt;"PASS",5,$HF36))</x:f>
      </x:c>
      <x:c r="HI36" s="174" t="str">
        <x:f t="shared" ref="HI36:HI67" si="109">IF($A36="","",IF($HH36="","N/A",IF($HH36=1,"DEFENSIV",IF($HH36=2,"PRUDENT",IF($HH36=3,"MODERAT",IF($HH36=4,"RIDICAT","WATCH / NO BET"))))))</x:f>
      </x:c>
      <x:c r="HJ36" s="177" t="str">
        <x:f t="shared" ref="HJ36:HJ67" si="110">IF($A36="","","Data="&amp;$GY36&amp;"; DQ="&amp;TEXT($GZ36,"0.0")&amp;"; ZM="&amp;IF($HA36="","n/a",TEXT($HA36,"0.0"))&amp;"; Context="&amp;TEXT($HB36,"0.0")&amp;"; Uncertainty="&amp;TEXT($HC36,"0.0")&amp;"; Compound="&amp;TEXT($HD36,"0.0")&amp;"; Risk Score="&amp;IF($HE36="","n/a",TEXT($HE36,"0.0"))&amp;"; Base="&amp;IF($HF36="","n/a",$HF36)&amp;"; G0="&amp;$HG36&amp;"; Final="&amp;$HH36&amp;". Cota, EV si lineup sunt informative si nu intra in recomandare.")</x:f>
      </x:c>
      <x:c r="HK36" s="174" t="str">
        <x:f t="shared" ref="HK36:HK67" si="111">IF($A36="","",$HI36)</x:f>
      </x:c>
    </x:row>
    <x:row r="37" ht="24" customHeight="1">
      <x:c r="A37" s="58"/>
      <x:c r="B37" s="24"/>
      <x:c r="C37" s="59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18"/>
      <x:c r="O37" s="18"/>
      <x:c r="P37" s="24"/>
      <x:c r="Q37" s="24"/>
      <x:c r="R37" s="24"/>
      <x:c r="S37" s="24"/>
      <x:c r="T37" s="24"/>
      <x:c r="U37" s="18"/>
      <x:c r="V37" s="18"/>
      <x:c r="W37" s="24"/>
      <x:c r="X37" s="24"/>
      <x:c r="Y37" s="24"/>
      <x:c r="Z37" s="24"/>
      <x:c r="AA37" s="24"/>
      <x:c r="AB37" s="24"/>
      <x:c r="AC37" s="24"/>
      <x:c r="AD37" s="24"/>
      <x:c r="AE37" s="24"/>
      <x:c r="AF37" s="24"/>
      <x:c r="AG37" s="24"/>
      <x:c r="AH37" s="24"/>
      <x:c r="AI37" s="18"/>
      <x:c r="AJ37" s="24"/>
      <x:c r="AK37" s="24"/>
      <x:c r="AL37" s="24"/>
      <x:c r="AM37" s="18"/>
      <x:c r="AN37" s="24"/>
      <x:c r="AO37" s="60"/>
      <x:c r="AP37" s="60"/>
      <x:c r="AQ37" s="60"/>
      <x:c r="AR37" s="60"/>
      <x:c r="AS37" s="60"/>
      <x:c r="AT37" s="24"/>
      <x:c r="AU37" s="24"/>
      <x:c r="AV37" s="24"/>
      <x:c r="AW37" s="24"/>
      <x:c r="AX37" s="24"/>
      <x:c r="AY37" s="24"/>
      <x:c r="AZ37" s="24"/>
      <x:c r="BA37" s="24"/>
      <x:c r="BB37" s="24"/>
      <x:c r="BC37" s="24"/>
      <x:c r="BD37" s="24"/>
      <x:c r="BE37" s="24"/>
      <x:c r="BF37" s="24"/>
      <x:c r="BG37" s="24"/>
      <x:c r="BH37" s="61"/>
      <x:c r="BI37" s="61"/>
      <x:c r="BJ37" s="62" t="str">
        <x:f>IF($A37="","",SQRT((($I37*IF($J37="",$AJ37,$J37)+'Setari model'!$B$30*$AJ37)/($I37+'Setari model'!$B$30))*(($P37*IF($R37="",$AJ37,$R37)+'Setari model'!$B$30*$AJ37)/($P37+'Setari model'!$B$30)))+SQRT((($P37*IF($Q37="",$AK37,$Q37)+'Setari model'!$B$30*$AK37)/($P37+'Setari model'!$B$30))*(($I37*IF($K37="",$AK37,$K37)+'Setari model'!$B$30*$AK37)/($I37+'Setari model'!$B$30))))</x:f>
      </x:c>
      <x:c r="BK37" s="62" t="str">
        <x:f>IF($A37="","",SQRT((($I37*IF($L37="",IF($J37="",$AJ37,$J37),$L37)+'Setari model'!$B$30*$AJ37)/($I37+'Setari model'!$B$30))*(($P37*IF($T37="",IF($R37="",$AJ37,$R37),$T37)+'Setari model'!$B$30*$AJ37)/($P37+'Setari model'!$B$30)))+SQRT((($P37*IF($S37="",IF($Q37="",$AK37,$Q37),$S37)+'Setari model'!$B$30*$AK37)/($P37+'Setari model'!$B$30))*(($I37*IF($M37="",IF($K37="",$AK37,$K37),$M37)+'Setari model'!$B$30*$AK37)/($I37+'Setari model'!$B$30))))</x:f>
      </x:c>
      <x:c r="BL37" s="62" t="str">
        <x:f>IF($A37="","",SQRT((($W37*IF($X37="",$AL37/2,$X37)+'Setari model'!$B$31*$AL37/2)/($W37+'Setari model'!$B$31))*(($AB37*IF($AD37="",$AL37/2,$AD37)+'Setari model'!$B$31*$AL37/2)/($AB37+'Setari model'!$B$31)))+SQRT((($AB37*IF($AC37="",$AL37/2,$AC37)+'Setari model'!$B$31*$AL37/2)/($AB37+'Setari model'!$B$31))*(($W37*IF($Y37="",$AL37/2,$Y37)+'Setari model'!$B$31*$AL37/2)/($W37+'Setari model'!$B$31))))</x:f>
      </x:c>
      <x:c r="BM37" s="62" t="str">
        <x:f>IF($A37="","",SQRT((($W37*IF($Z37="",IF($X37="",$AL37/2,$X37),$Z37)+'Setari model'!$B$31*$AL37/2)/($W37+'Setari model'!$B$31))*(($AB37*IF($AF37="",IF($AD37="",$AL37/2,$AD37),$AF37)+'Setari model'!$B$31*$AL37/2)/($AB37+'Setari model'!$B$31)))+SQRT((($AB37*IF($AE37="",IF($AC37="",$AL37/2,$AC37),$AE37)+'Setari model'!$B$31*$AL37/2)/($AB37+'Setari model'!$B$31))*(($W37*IF($AA37="",IF($Y37="",$AL37/2,$Y37),$AA37)+'Setari model'!$B$31*$AL37/2)/($W37+'Setari model'!$B$31))))</x:f>
      </x:c>
      <x:c r="BN37" s="62" t="str">
        <x:f t="shared" si="56">IF($A37="","",IF($AG37&gt;0,($AG37*IF($AH37="",$AL37,$AH37)+5*$AL37)/($AG37+5),$AL37))</x:f>
      </x:c>
      <x:c r="BO37" s="63" t="str">
        <x:f>IF($A37="","",IF($AR37&gt;1,IF($AS37&gt;1,(1/$AR37)/((1/$AR37+1/$AS37)),MIN(0.995,(1/$AR37)/(1+'Setari model'!$B$32))),1-EXP(-$AL37)))</x:f>
      </x:c>
      <x:c r="BP37" s="62" t="str">
        <x:f t="shared" si="57">IF($A37="","",-LN(1-$BO37))</x:f>
      </x:c>
      <x:c r="BQ37" s="62" t="str">
        <x:f>IF($A37="","",$BJ37*INDEX('Setari model'!$B$5:$B$11,MATCH($E37,'Setari model'!$A$5:$A$11,0))+$BK37*INDEX('Setari model'!$C$5:$C$11,MATCH($E37,'Setari model'!$A$5:$A$11,0))+$BL37*INDEX('Setari model'!$D$5:$D$11,MATCH($E37,'Setari model'!$A$5:$A$11,0))+$BM37*INDEX('Setari model'!$E$5:$E$11,MATCH($E37,'Setari model'!$A$5:$A$11,0))+$BN37*INDEX('Setari model'!$F$5:$F$11,MATCH($E37,'Setari model'!$A$5:$A$11,0))+$BP37*INDEX('Setari model'!$G$5:$G$11,MATCH($E37,'Setari model'!$A$5:$A$11,0)))</x:f>
      </x:c>
      <x:c r="BR37" s="64" t="str">
        <x:f>IF($A37="","",MAX('Setari model'!$B$53,MIN('Setari model'!$B$54,1+($AV37*'Setari model'!$B$15+$AW37*'Setari model'!$B$16+$AX37*'Setari model'!$B$17+$AY37*'Setari model'!$B$18+$AZ37*'Setari model'!$B$19+$BA37*'Setari model'!$B$20+$BB37*'Setari model'!$B$21+$BC37*'Setari model'!$B$22+$BD37*'Setari model'!$B$23+$BE37*'Setari model'!$B$24+$BF37*'Setari model'!$B$25)*INDEX('Setari model'!$H$5:$H$11,MATCH($E37,'Setari model'!$A$5:$A$11,0)))))</x:f>
      </x:c>
      <x:c r="BS37" s="62" t="str">
        <x:f t="shared" si="58">IF($A37="","",$BQ37*$BR37)</x:f>
      </x:c>
      <x:c r="BT37" s="63" t="str">
        <x:f t="shared" si="59">IF($A37="","",EXP(-$BS37))</x:f>
      </x:c>
      <x:c r="BU37" s="65" t="str">
        <x:f>IF($A37="","",IF(OR($AM37="",$AN37=""),1,1+MIN('Setari model'!$B$33,$AN37/100*'Setari model'!$B$33)*($AM37/EXP(-$AL37)-1)))</x:f>
      </x:c>
      <x:c r="BV37" s="63" t="str">
        <x:f>IF($A37="","",MIN(0.45,MAX(0.005,(1-'Setari model'!$B$34*MIN(1,($I37+$P37)/20))*MIN(0.45,$BT37*$BU37)+'Setari model'!$B$34*MIN(1,($I37+$P37)/20)*IF(COUNT($N37,$U37)=2,SQRT(MAX(0,1-$N37)*MAX(0,1-$U37)),IF($AM37="",EXP(-$AL37),$AM37)))))</x:f>
      </x:c>
      <x:c r="BW37" s="63" t="str">
        <x:f t="shared" si="60">IF($A37="","",1-$BV37)</x:f>
      </x:c>
      <x:c r="BX37" s="62" t="str">
        <x:f t="shared" si="61">IF($A37="","",1/$BW37)</x:f>
      </x:c>
      <x:c r="BY37" s="63" t="str">
        <x:f t="shared" si="62">IF($A37="","",$BO37)</x:f>
      </x:c>
      <x:c r="BZ37" s="63" t="str">
        <x:f t="shared" si="63">IF($A37="","",$BW37-$BY37)</x:f>
      </x:c>
      <x:c r="CA37" s="63" t="str">
        <x:f t="shared" si="64">IF($A37="","",IF($AR37&gt;1,$BW37*$AR37-1,""))</x:f>
      </x:c>
      <x:c r="CB37" s="63" t="str">
        <x:f>IF($A37="","",MIN(1,COUNT($I37:$AN37,$AR37:$BG37)/'Setari model'!$B$46))</x:f>
      </x:c>
      <x:c r="CC37" s="63" t="str">
        <x:f t="shared" si="65">IF($A37="","",0.25*MIN(1,$I37/10)+0.25*MIN(1,$P37/10)+0.15*MIN(1,$W37/5)+0.15*MIN(1,$AB37/5)+0.1*MIN(1,$AG37/5)+0.1*MIN(1,$AN37/100))</x:f>
      </x:c>
      <x:c r="CD37" s="63" t="str">
        <x:f>IF($A37="","",MAX(0,1-(MAX($BJ37:$BN37,$BP37)-MIN($BJ37:$BN37,$BP37))/(AVERAGE($BJ37:$BN37,$BP37)*'Setari model'!$B$45)))</x:f>
      </x:c>
      <x:c r="CE37" s="66" t="str">
        <x:f>IF($A37="","",MAX(0,MIN(100,100*INDEX('Setari model'!$I$5:$I$11,MATCH($E37,'Setari model'!$A$5:$A$11,0))*('Setari model'!$B$47*$CB37+'Setari model'!$B$48*$CC37+'Setari model'!$B$49*$CD37+'Setari model'!$B$50*$AT37/5+'Setari model'!$B$51*$AU37)-100*'Setari model'!$B$52*$BG37)))</x:f>
      </x:c>
      <x:c r="CF37" s="65" t="str">
        <x:f t="shared" si="66">IF($A37="","",IF(OR($AT37&lt;3,$BG37&gt;=2,$CB37&lt;0.55,$CC37&lt;0.4),"RIDICAT",IF(OR($AU37=0,$CD37&lt;0.45,$BR37&lt;0.9),"MEDIU","SCĂZUT")))</x:f>
      </x:c>
      <x:c r="CG37" s="65" t="str">
        <x:f>IF($A37="","",IF($AR37&gt;1,IF(AND($BW37&gt;= 'Setari model'!$B$35,$CE37&gt;=100*'Setari model'!$B$36,$BZ37&gt;= 'Setari model'!$B$37,$CA37&gt;= 'Setari model'!$B$38,$CF37&lt;&gt;"RIDICAT"),"PARIU RECOMANDAT",IF(AND($BW37&gt;= 'Setari model'!$B$39,$CE37&gt;=100*'Setari model'!$B$40,$BZ37&gt;= 'Setari model'!$B$41,$CA37&gt;=0,$CF37&lt;&gt;"RIDICAT"),"RECOMANDAT CU PRUDENȚĂ",IF(AND($BW37&gt;= 'Setari model'!$B$42,$CE37&gt;=100*'Setari model'!$B$43),"ANALIZĂ NECONCLUDENTĂ","PARIU EVITAT"))),IF(AND($BW37&gt;= 'Setari model'!$B$35,$CE37&gt;=100*'Setari model'!$B$36,$CF37&lt;&gt;"RIDICAT"),"FAVORABIL STATISTIC – VERIFICĂ COTA",IF(AND($BW37&gt;= 'Setari model'!$B$42,$CE37&gt;=100*'Setari model'!$B$43),"ANALIZĂ NECONCLUDENTĂ","PARIU EVITAT"))))</x:f>
      </x:c>
      <x:c r="CH37" s="67" t="str">
        <x:f t="shared" si="67">IF($A37="","","P(O0,5)="&amp;TEXT($BW37,"0.0%")&amp;"; λ ajustat="&amp;TEXT($BS37,"0.00")&amp;"; Confidence="&amp;TEXT($CE37,"0")&amp;"/100; Edge="&amp;TEXT($BZ37,"0.0%")&amp;"; risc="&amp;$CF37&amp;". "&amp;$BH37)</x:f>
      </x:c>
      <x:c r="CI37" s="68" t="str">
        <x:f t="shared" si="68">IF($A37="","",$BI37)</x:f>
      </x:c>
      <x:c r="CJ37" s="112"/>
      <x:c r="CK37" s="112"/>
      <x:c r="CL37" s="112"/>
      <x:c r="CM37" s="112"/>
      <x:c r="CN37" s="112"/>
      <x:c r="CO37" s="112"/>
      <x:c r="CP37" s="112"/>
      <x:c r="CQ37" s="112"/>
      <x:c r="CR37" s="112"/>
      <x:c r="CS37" s="112"/>
      <x:c r="CT37" s="112"/>
      <x:c r="CU37" s="112"/>
      <x:c r="CV37" s="112"/>
      <x:c r="CW37" s="112"/>
      <x:c r="CX37" s="112"/>
      <x:c r="CY37" s="112"/>
      <x:c r="CZ37" s="112"/>
      <x:c r="DA37" s="112"/>
      <x:c r="DB37" s="112"/>
      <x:c r="DC37" s="114"/>
      <x:c r="DD37" s="114"/>
      <x:c r="DE37" s="112" t="s">
        <x:v>266</x:v>
      </x:c>
      <x:c r="DF37" s="112"/>
      <x:c r="DG37" s="112"/>
      <x:c r="DH37" s="112"/>
      <x:c r="DI37" s="112"/>
      <x:c r="DJ37" s="112"/>
      <x:c r="DK37" s="112"/>
      <x:c r="DL37" s="112"/>
      <x:c r="DM37" s="112"/>
      <x:c r="DN37" s="112"/>
      <x:c r="DO37" s="112"/>
      <x:c r="DP37" s="112"/>
      <x:c r="DQ37" s="114"/>
      <x:c r="DR37" s="112">
        <x:v>1</x:v>
      </x:c>
      <x:c r="DS37" s="116">
        <x:v>0</x:v>
      </x:c>
      <x:c r="DT37" s="120"/>
      <x:c r="DU37" s="116">
        <x:v>0.02</x:v>
      </x:c>
      <x:c r="DV37" s="116">
        <x:v>0.25</x:v>
      </x:c>
      <x:c r="DW37" s="118" t="str">
        <x:f>IF($A37="","",MAX('Setari model'!$B$71,MIN('Setari model'!$B$72,1+0.08*(IFERROR(AVERAGE($CM37:$CN37)/'Setari model'!$B$66,1)-1)+0.08*(IFERROR(AVERAGE($CO37:$CP37)/'Setari model'!$B$67,1)-1)+0.06*(IFERROR(AVERAGE($CQ37:$CR37)/'Setari model'!$B$68,1)-1)+0.04*(IFERROR(AVERAGE($CS37:$CT37)/'Setari model'!$B$69,1)-1)+0.04*(IFERROR(AVERAGE($CU37:$CV37)/'Setari model'!$B$70,1)-1)-'Setari model'!$B$73*IFERROR(AVERAGE($CW37:$CX37),0))))</x:f>
      </x:c>
      <x:c r="DX37" s="118" t="str">
        <x:f>IF($A37="","",1+'Setari model'!$B$62*MAX(IF(OR($CK37=1,$CL37=1),1,0),IF(AND($CJ37&lt;&gt;"",$CJ37&lt;=1),1,0))+'Setari model'!$B$63*IF(AND($CJ37&gt;1,$CJ37&lt;=3),1,0))</x:f>
      </x:c>
      <x:c r="DY37" s="118" t="str">
        <x:f>IF($A37="","",1+'Setari model'!$B$74*(IF($CY37="",0,IF($CY37=0,1,0))+IF($CZ37="",0,IF($CZ37=0,1,0)))+'Setari model'!$B$75*(IF($DA37="",0,IF($DA37=0,1,0))+IF($DB37="",0,IF($DB37=0,1,0))))</x:f>
      </x:c>
      <x:c r="DZ37" s="117" t="str">
        <x:f>IF($A37="","",MIN(0.6,MAX(0.002,(((1-'Setari model'!$B$34*MIN(1,($I37+$P37)/20))*$BT37+'Setari model'!$B$34*MIN(1,($I37+$P37)/20)*IF(COUNT($N37,$U37)=2,SQRT(MAX(0,1-$N37)*MAX(0,1-$U37)),$BT37))*(1-'Setari model'!$B$65*MIN(1,IF($AN37="",0,$AN37/'Setari model'!$B$64)))+'Setari model'!$B$65*MIN(1,IF($AN37="",0,$AN37/'Setari model'!$B$64))*IF($AM37="",$BT37,$AM37))*$DX37*$DY37/$DW37)))</x:f>
      </x:c>
      <x:c r="EA37" s="117" t="str">
        <x:f>IF($A37="","",MIN(1-$DZ37,IF(OR(MIN($I37,$P37)&lt;'Setari model'!$B$58,$CK37=1,$CL37=1,AND($CJ37&lt;&gt;"",$CJ37&lt;=1)),'Setari model'!$B$59,IF(AND($AU37=1,$AR37&gt;1,COUNT($CY37:$DB37)=4),'Setari model'!$B$61,'Setari model'!$B$60))))</x:f>
      </x:c>
      <x:c r="EB37" s="115" t="str">
        <x:f t="shared" si="69">IF($A37="","",1/$EA37)</x:f>
      </x:c>
      <x:c r="EC37" s="117" t="str">
        <x:f t="shared" si="70">IF($A37="","",IF($AR37&gt;1,IF($AS37&gt;1,(1/$AR37)/((1/$AR37)+(1/$AS37)),1/$AR37),""))</x:f>
      </x:c>
      <x:c r="ED37" s="117" t="str">
        <x:f t="shared" si="71">IF($A37="","",IF($EC37="","",$EA37-$EC37))</x:f>
      </x:c>
      <x:c r="EE37" s="117" t="str">
        <x:f t="shared" si="72">""</x:f>
      </x:c>
      <x:c r="EF37" s="119" t="str">
        <x:f>IF($A37="","",MAX(0,MIN(100,$CE37-200*MAX(0,$EG37-'Setari model'!$B$77)-IF($AU37&lt;&gt;1,10,0)-IF(COUNT($CY37:$DB37)&lt;4,4,0))))</x:f>
      </x:c>
      <x:c r="EG37" s="117" t="str">
        <x:f>IF($A37="","",'Setari model'!$B$77+IF(MIN($I37,$P37)&lt;'Setari model'!$B$58,0.03,0)+IF(OR($CK37=1,$CL37=1,AND($CJ37&lt;&gt;"",$CJ37&lt;=1)),0.03,0)+IF($AG37=0,0.02,0)+0.03*(1-MIN(1,COUNT($CM37:$CV37)/10))+0.03*(1-MIN(1,IF($AN37="",0,$AN37/'Setari model'!$B$64)))+IF($AR37&lt;=1,0.02,0))</x:f>
      </x:c>
      <x:c r="EH37" s="113" t="str">
        <x:f>IF($A37="","",IF(OR(MIN($I37,$P37)&lt;'Setari model'!$B$58,$CK37=1,$CL37=1,AND($CJ37&lt;&gt;"",$CJ37&lt;=1)),"92% – early/regim",IF(AND($AU37=1,$AR37&gt;1,COUNT($CY37:$DB37)=4),"94% – confirmat","93% – standard")))</x:f>
      </x:c>
      <x:c r="EI37" s="113" t="str">
        <x:f t="shared" si="73">IF($A37="","",IF(AND($EA37&gt;0.9,$AU37&lt;&gt;1),"WAIT XI – HIGH P",IF(AND($EA37&gt;0.9,COUNT($CY37:$DB37)&lt;4),"WAIT DATE CHEIE – HIGH P",IF($EP37&lt;&gt;"DA","NU – PORTOFOLIU","DA"))))</x:f>
      </x:c>
      <x:c r="EJ37" s="117" t="str">
        <x:f t="shared" si="74">IF($A37="","",IF($DE37&lt;&gt;"Live 20-30","",IF(SUM($DG37:$DH37)&gt;0,1,IF($EU37="","",1-MIN(0.95,MAX(0.001,EXP(-$EU37)*$DX37*$DY37/$DW37))))))</x:f>
      </x:c>
      <x:c r="EK37" s="117" t="str">
        <x:f t="shared" si="75">""</x:f>
      </x:c>
      <x:c r="EL37" s="113" t="str">
        <x:f>IF($A37="","",IF($DE37="Live 20-30",IF(SUM($DG37:$DH37)&gt;0,"EVENIMENT ÎNDEPLINIT",IF(OR($DF37="",COUNT($DI37:$DN37)&lt;4),"LIVE – WATCH",IF($EJ37&gt;=0.75,"LIVE – FEZABIL TEHNIC","LIVE – NO BET"))),IF($EI37&lt;&gt;"DA","WATCH / NO BET",IF(AND($EA37&gt;=INDEX('Setari model'!$B$35:$B$40,1),$EF37&gt;=100*'Setari model'!$B$76),"PARIU RECOMANDAT",IF(AND($EA37&gt;=INDEX('Setari model'!$B$35:$B$40,5),$EF37&gt;=100*'Setari model'!$B$40),"WATCH – APROAPE DE PRAG","PARIU EVITAT")))))</x:f>
      </x:c>
      <x:c r="EM37" s="113" t="str">
        <x:f t="shared" si="76">IF($A37="","",IF($DE37="Live 20-30",IF(SUM($DG37:$DH37)&gt;0,"Gol deja marcat.",IF($DF37="","Minut live lipsă.",IF(COUNT($DI37:$DN37)&lt;4,"Lipsesc xG/SOT/big chances live.",IF($EJ37&lt;0.75,"P live sub prag.","Semnal live tehnic complet; EV ignorat.")))),IF($EI37&lt;&gt;"DA",$EI37,IF($EF37&lt;75,"Confidence sub 75.",IF($EA37&lt;0.92,"P sub 92%.","G0/Zero-Mass + confidence trecute; EV ignorat.")))))</x:f>
      </x:c>
      <x:c r="EN37" s="117" t="str">
        <x:f>IF($A37="","",IF(OR($EL37="PARIU RECOMANDAT",$EL37="LIVE – FEZABIL"),MIN(IF($DU37&gt;0,$DU37,'Setari model'!$B$81)/MAX(1,$DR37),IF($DV37&gt;0,$DV37,'Setari model'!$B$80)*MAX(0,((IF($DE37="Live 20-30",$EJ37,$EA37)*IF($DE37="Live 20-30",$DQ37,$AR37)-1)/(IF($DE37="Live 20-30",$DQ37,$AR37)-1)))),0))</x:f>
      </x:c>
      <x:c r="EO37" s="121" t="str">
        <x:f t="shared" si="77">IF($A37="","",IF(AND($EN37&gt;0,$DT37&gt;0),$EN37*$DT37,""))</x:f>
      </x:c>
      <x:c r="EP37" s="113" t="str">
        <x:f>IF($A37="","",IF(OR($DR37&lt;1,$DR37&gt;'Setari model'!$B$78),"NU – 1–5 selecții",IF($DS37&gt;'Setari model'!$B$79,"NU – corelație", "DA")))</x:f>
      </x:c>
      <x:c r="EQ37" s="117" t="str">
        <x:f t="shared" si="78">IF($A37="","",IF(AND($DC37&gt;1,$DD37&gt;1),$DC37/$DD37-1,""))</x:f>
      </x:c>
      <x:c r="ER37" s="113" t="str">
        <x:f t="shared" si="79">IF($A37="","","P v2="&amp;TEXT($EA37,"0.0%")&amp;" ±"&amp;TEXT($EG37,"0.0%")&amp;"; P0 ZIP="&amp;TEXT($DZ37,"0.0%")&amp;"; Confidence="&amp;TEXT($EF37,"0")&amp;"/100; piață reală="&amp;IF($EC37="","NU","DA")&amp;"; EV="&amp;IF($EE37="","n/a",TEXT($EE37,"0.0%"))&amp;"; gate="&amp;$EI37&amp;"; verdict="&amp;$EL37&amp;". "&amp;$EM37)</x:f>
      </x:c>
      <x:c r="ES37" s="119" t="str">
        <x:f>IF($A37="","",'Setari model'!$B$82)</x:f>
      </x:c>
      <x:c r="ET37" s="118" t="str">
        <x:f>IF($A37="","",'Setari model'!$B$83)</x:f>
      </x:c>
      <x:c r="EU37" s="115" t="str">
        <x:f t="shared" si="80">IF(OR($A37="",$DE37&lt;&gt;"Live 20-30",$DF37="",$DF37&lt;$ES37,$DF37&gt;=90),"",MAX(0.05,MIN($BS37*$ET37,$BS37*(90-$DF37)/90+0.35*($DI37+$DJ37)+0.06*($DK37+$DL37)+0.15*($DM37+$DN37)+0.1*(MAX($DO37,$DP37)-MIN($DO37,$DP37)))))</x:f>
      </x:c>
      <x:c r="EV37" s="132"/>
      <x:c r="EW37" s="132"/>
      <x:c r="EX37" s="132"/>
      <x:c r="EY37" s="132"/>
      <x:c r="EZ37" s="132"/>
      <x:c r="FA37" s="132"/>
      <x:c r="FB37" s="247"/>
      <x:c r="FC37" s="134" t="str">
        <x:f t="shared" si="81">IF($A37="","",IF(OR($J37="",$L37="",$L37&lt;=0),"",MAX(0.5,MIN(1.5,$J37/$L37))))</x:f>
      </x:c>
      <x:c r="FD37" s="134" t="str">
        <x:f t="shared" si="82">IF($A37="","",IF(OR($Q37="",$S37="",$S37&lt;=0),"",MAX(0.5,MIN(1.5,$Q37/$S37))))</x:f>
      </x:c>
      <x:c r="FE37" s="134" t="str">
        <x:f>IF($A37="","",IF(COUNT($EV37:$EW37)&lt;2,"",SQRT($EV37*$EW37)/'Setari model'!$B$87))</x:f>
      </x:c>
      <x:c r="FF37" s="134" t="str">
        <x:f>IF($A37="","",IF(COUNT($O37,$V37,$EX37,$EY37)&lt;4,"",AVERAGE(SQRT($O37*$EY37),SQRT($V37*$EX37))/'Setari model'!$B$88))</x:f>
      </x:c>
      <x:c r="FG37" s="134" t="str">
        <x:f t="shared" si="83">IF($A37="","",IF(COUNT($FC37:$FD37)&lt;2,"",MAX(0,1-AVERAGE($FC37:$FD37))))</x:f>
      </x:c>
      <x:c r="FH37" s="134" t="str">
        <x:f>IF($A37="","",IF(COUNT($EZ37:$FA37)&lt;2,"",'Setari model'!$B$94*AVERAGE($EZ37:$FA37)/'Setari model'!$B$89))</x:f>
      </x:c>
      <x:c r="FI37" s="134" t="str">
        <x:f>IF($A37="","",IF(COUNT($FE37:$FH37)&lt;4,"",MAX('Setari model'!$B$97,MIN('Setari model'!$B$98,1+'Setari model'!$B$90*($FE37-1)+'Setari model'!$B$91*($FF37-1)+'Setari model'!$B$92*$FG37+'Setari model'!$B$93*($FH37-1)))))</x:f>
      </x:c>
      <x:c r="FJ37" s="133" t="str">
        <x:f>IF($A37="","",IF($FI37="","",MIN('Setari model'!$B$101,MAX(0.002,$DZ37*$FI37))))</x:f>
      </x:c>
      <x:c r="FK37" s="131" t="str">
        <x:f t="shared" si="84">IF($A37="","",IF(AND(COUNT($EV37:$FA37)=6,COUNT($O37,$V37,$FC37,$FD37)=4),"DA","NU"))</x:f>
      </x:c>
      <x:c r="FL37" s="131" t="str">
        <x:f>IF($A37="","",IF($FK37&lt;&gt;"DA","NEDETERMINAT",IF($FI37&lt;='Setari model'!$B$99,"SCĂZUT",IF($FI37&lt;='Setari model'!$B$100,"MEDIU","RIDICAT"))))</x:f>
      </x:c>
      <x:c r="FM37" s="131" t="str">
        <x:f>IF($A37="","",IF(AND($AR37&gt;1,$EC37&gt;='Setari model'!$B$106),"DA","NU"))</x:f>
      </x:c>
      <x:c r="FN37" s="131" t="str">
        <x:f t="shared" si="85">IF($A37="","",IF(AND($AU37=1,COUNT($CY37:$DB37)=4),"DA","NU"))</x:f>
      </x:c>
      <x:c r="FO37" s="133" t="str">
        <x:f>IF($A37="","",IF(OR($FK37&lt;&gt;"DA",$FL37="RIDICAT"),'Setari model'!$B$102,IF($FL37="MEDIU",'Setari model'!$B$103,IF(AND($FM37="DA",$FN37="DA"),'Setari model'!$B$105,'Setari model'!$B$104))))</x:f>
      </x:c>
      <x:c r="FP37" s="133" t="str">
        <x:f t="shared" si="86">IF($A37="","",IF($FJ37="","",MIN(1-$FJ37,$FO37)))</x:f>
      </x:c>
      <x:c r="FQ37" s="135" t="str">
        <x:f t="shared" si="87">IF($A37="","",IF($FP37="","",IF($FP37&gt;0,1/$FP37,"")))</x:f>
      </x:c>
      <x:c r="FR37" s="133" t="str">
        <x:f t="shared" si="88">IF($A37="","",IF($EC37="","",$FP37-$EC37))</x:f>
      </x:c>
      <x:c r="FS37" s="133" t="str">
        <x:f t="shared" si="89">IF($A37="","",IF($AR37&gt;1,$FP37*$AR37-1,""))</x:f>
      </x:c>
      <x:c r="FT37" s="136" t="str">
        <x:f>IF($A37="","",MAX(0,MIN(100,$EF37-IF($FK37&lt;&gt;"DA",'Setari model'!$B$107,0)-IF($FL37="MEDIU",'Setari model'!$B$108,0)-IF($FL37="RIDICAT",'Setari model'!$B$109,0))))</x:f>
      </x:c>
      <x:c r="FU37" s="131" t="str">
        <x:f t="shared" si="90">IF($A37="","",IF($AR37&lt;=1,"NU – LIPSEȘTE COTA REALĂ",IF($FK37&lt;&gt;"DA","NU – ZERO-RISK INCOMPLET",IF($FL37&lt;&gt;"SCĂZUT","NU – RISC 0-0 "&amp;$FL37,IF($FN37&lt;&gt;"DA","NU – LINEUP NECONFIRMAT",IF($FM37&lt;&gt;"DA","NU – PIAȚĂ NECONFIRMATĂ",IF($EP37&lt;&gt;"DA","NU – PORTOFOLIU","DA")))))))</x:f>
      </x:c>
      <x:c r="FV37" s="131" t="str">
        <x:f>IF($A37="","",IF($FU37&lt;&gt;"DA","WATCH / NO BET",IF(AND($FP37&gt;='Setari model'!$B$35,$FT37&gt;=100*'Setari model'!$B$76,$FS37&gt;0),"PARIU RECOMANDAT",IF(AND($FP37&gt;='Setari model'!$B$39,$FT37&gt;=100*'Setari model'!$B$40,$FS37&gt;0),"WATCH – APROAPE DE PRAG","PARIU EVITAT"))))</x:f>
      </x:c>
      <x:c r="FW37" s="131" t="str">
        <x:f t="shared" si="91">IF($A37="","",IF($FU37&lt;&gt;"DA",$FU37,IF($FT37&lt;75,"Confidence v3 sub 75.",IF($FP37&lt;0.92,"P v3 sub 92%.",IF($FS37&lt;=0,"EV v3 nepozitiv.","P0 v3, lineup și piață confirmate.")))))</x:f>
      </x:c>
      <x:c r="FX37" s="131" t="str">
        <x:f t="shared" si="92">IF($A37="","","P v3="&amp;TEXT($FP37,"0.0%")&amp;"; P0 v3="&amp;TEXT($FJ37,"0.0%")&amp;"; factor zero="&amp;IF($FI37="","n/a",TEXT($FI37,"0.00x"))&amp;" ("&amp;$FL37&amp;"); cap="&amp;TEXT($FO37,"0.0%")&amp;"; Confidence="&amp;TEXT($FT37,"0")&amp;"/100; lineup="&amp;$FN37&amp;"; piață="&amp;$FM37&amp;"; EV="&amp;IF($FS37="","n/a",TEXT($FS37,"0.0%"))&amp;"; gate="&amp;$FU37&amp;"; verdict="&amp;$FV37&amp;". "&amp;$FW37)</x:f>
      </x:c>
      <x:c r="FY37" s="159"/>
      <x:c r="FZ37" s="159"/>
      <x:c r="GA37" s="157"/>
      <x:c r="GB37" s="157"/>
      <x:c r="GC37" s="161" t="str">
        <x:f t="shared" si="93">IF($A37="","",IF(OR($X37="",$Z37="",$Z37&lt;=0),"",MAX(0.5,MIN(1.5,$X37/$Z37))))</x:f>
      </x:c>
      <x:c r="GD37" s="161" t="str">
        <x:f t="shared" si="94">IF($A37="","",IF(OR($AC37="",$AE37="",$AE37&lt;=0),"",MAX(0.5,MIN(1.5,$AC37/$AE37))))</x:f>
      </x:c>
      <x:c r="GE37" s="162" t="str">
        <x:f t="shared" si="95">IF($A37="","",IF(COUNT($Z37,$AE37)&lt;2,"",AVERAGE($Z37,$AE37)))</x:f>
      </x:c>
      <x:c r="GF37" s="158" t="str">
        <x:f>IF($A37="","",IF(COUNT($FY37:$FZ37)&lt;2,"NEDETERMINAT",IF(AND($FY37&gt;='Setari model'!$B$113,$FZ37&gt;='Setari model'!$B$113),"DA","NU")))</x:f>
      </x:c>
      <x:c r="GG37" s="158" t="str">
        <x:f>IF($A37="","",IF(COUNT($FY37:$FZ37,$EX37:$EY37)&lt;4,"NEDETERMINAT",IF(OR(AND($FY37&gt;='Setari model'!$B$113,$EY37&gt;='Setari model'!$B$114),AND($FZ37&gt;='Setari model'!$B$113,$EX37&gt;='Setari model'!$B$114)),"DA","NU")))</x:f>
      </x:c>
      <x:c r="GH37" s="158" t="str">
        <x:f>IF($A37="","",IF(COUNT($BJ37:$BN37,$GC37:$GE37)&lt;8,"NEDETERMINAT",IF(AND((($BJ37*INDEX('Setari model'!$B$5:$B$11,MATCH($E37,'Setari model'!$A$5:$A$11,0))+$BK37*INDEX('Setari model'!$C$5:$C$11,MATCH($E37,'Setari model'!$A$5:$A$11,0))+$BL37*INDEX('Setari model'!$D$5:$D$11,MATCH($E37,'Setari model'!$A$5:$A$11,0))+$BM37*INDEX('Setari model'!$E$5:$E$11,MATCH($E37,'Setari model'!$A$5:$A$11,0))+$BN37*INDEX('Setari model'!$F$5:$F$11,MATCH($E37,'Setari model'!$A$5:$A$11,0)))/(INDEX('Setari model'!$B$5:$B$11,MATCH($E37,'Setari model'!$A$5:$A$11,0))+INDEX('Setari model'!$C$5:$C$11,MATCH($E37,'Setari model'!$A$5:$A$11,0))+INDEX('Setari model'!$D$5:$D$11,MATCH($E37,'Setari model'!$A$5:$A$11,0))+INDEX('Setari model'!$E$5:$E$11,MATCH($E37,'Setari model'!$A$5:$A$11,0))+INDEX('Setari model'!$F$5:$F$11,MATCH($E37,'Setari model'!$A$5:$A$11,0))))*$BR37&gt;='Setari model'!$B$115,(($BJ37*INDEX('Setari model'!$B$5:$B$11,MATCH($E37,'Setari model'!$A$5:$A$11,0))+$BK37*INDEX('Setari model'!$C$5:$C$11,MATCH($E37,'Setari model'!$A$5:$A$11,0))+$BL37*INDEX('Setari model'!$D$5:$D$11,MATCH($E37,'Setari model'!$A$5:$A$11,0))+$BM37*INDEX('Setari model'!$E$5:$E$11,MATCH($E37,'Setari model'!$A$5:$A$11,0))+$BN37*INDEX('Setari model'!$F$5:$F$11,MATCH($E37,'Setari model'!$A$5:$A$11,0)))/(INDEX('Setari model'!$B$5:$B$11,MATCH($E37,'Setari model'!$A$5:$A$11,0))+INDEX('Setari model'!$C$5:$C$11,MATCH($E37,'Setari model'!$A$5:$A$11,0))+INDEX('Setari model'!$D$5:$D$11,MATCH($E37,'Setari model'!$A$5:$A$11,0))+INDEX('Setari model'!$E$5:$E$11,MATCH($E37,'Setari model'!$A$5:$A$11,0))+INDEX('Setari model'!$F$5:$F$11,MATCH($E37,'Setari model'!$A$5:$A$11,0))))*$BR37&lt;='Setari model'!$B$116,AVERAGE($GC37:$GD37)&lt;='Setari model'!$B$117,$GE37&gt;='Setari model'!$B$118),"DA","NU")))</x:f>
      </x:c>
      <x:c r="GI37" s="158" t="str">
        <x:f>IF($A37="","",IF(COUNT($W37,$AB37,$GA37:$GB37)&lt;4,"NEDETERMINAT",IF(AND($W37&gt;='Setari model'!$B$120,$AB37&gt;='Setari model'!$B$120,OR(IFERROR($GA37/$W37,0)&gt;='Setari model'!$B$119,IFERROR($GB37/$AB37,0)&gt;='Setari model'!$B$119)),"DA","NU")))</x:f>
      </x:c>
      <x:c r="GJ37" s="160" t="str">
        <x:f>IF($A37="","",IF(COUNT($FY37:$GB37)&lt;4,"",IF($GH37&lt;&gt;"DA",0,'Setari model'!$B$121*IF($GF37="DA",1,0)+'Setari model'!$B$122*IF($GG37="DA",1,0)+'Setari model'!$B$123+'Setari model'!$B$124*IF($GI37="DA",1,0))))</x:f>
      </x:c>
      <x:c r="GK37" s="161" t="str">
        <x:f>IF($A37="","",IF(COUNT($GJ37)=0,"",1+'Setari model'!$B$125*$GJ37))</x:f>
      </x:c>
      <x:c r="GL37" s="160" t="str">
        <x:f>IF($A37="","",IF($GM37&lt;&gt;"DA",$FJ37,MIN('Setari model'!$B$101,MAX(0.002,$FJ37*$GK37))))</x:f>
      </x:c>
      <x:c r="GM37" s="158" t="str">
        <x:f>IF($A37="","",IF(AND($FK37="DA",COUNT($FY37:$GB37)=4,COUNT($I37,$P37,$W37,$AB37,$Z37,$AE37,$EX37,$EY37,$GC37,$GD37)=10,COUNT($BJ37:$BN37)=5),"DA","NU"))</x:f>
      </x:c>
      <x:c r="GN37" s="158" t="str">
        <x:f>IF($A37="","",IF($GM37&lt;&gt;"DA","NEDETERMINAT",IF($FI37*$GK37&lt;='Setari model'!$B$99,"SCĂZUT",IF($FI37*$GK37&lt;='Setari model'!$B$100,"MEDIU","RIDICAT"))))</x:f>
      </x:c>
      <x:c r="GO37" s="160" t="str">
        <x:f>IF($A37="","",IF(OR($GM37&lt;&gt;"DA",$GN37="RIDICAT"),'Setari model'!$B$102,IF($GN37="MEDIU",'Setari model'!$B$103,IF(AND($FM37="DA",$FN37="DA"),'Setari model'!$B$105,'Setari model'!$B$104))))</x:f>
      </x:c>
      <x:c r="GP37" s="160" t="str">
        <x:f t="shared" si="96">IF($A37="","",IF($GL37="","",MIN(1-$GL37,$GO37)))</x:f>
      </x:c>
      <x:c r="GQ37" s="162" t="str">
        <x:f t="shared" si="97">IF($A37="","",IF($GP37="","",IF($GP37&gt;0,1/$GP37,"")))</x:f>
      </x:c>
      <x:c r="GR37" s="160" t="str">
        <x:f t="shared" si="98">IF($A37="","",IF($EC37="","",$GP37-$EC37))</x:f>
      </x:c>
      <x:c r="GS37" s="160" t="str">
        <x:f t="shared" si="99">IF($A37="","",IF($AR37&gt;1,$GP37*$AR37-1,""))</x:f>
      </x:c>
      <x:c r="GT37" s="163" t="str">
        <x:f>IF($A37="","",MAX(0,MIN(100,$FT37-IF(AND($GM37&lt;&gt;"DA",$FK37="DA"),'Setari model'!$B$107,0)-'Setari model'!$B$126*IF($GJ37="",0,$GJ37))))</x:f>
      </x:c>
      <x:c r="GU37" s="158" t="str">
        <x:f t="shared" si="100">IF($A37="","",IF($AR37&lt;=1,"NU – LIPSEȘTE COTA REALĂ",IF($GM37&lt;&gt;"DA","NU – DATE LOW-CONVERSION INCOMPLETE",IF($GN37&lt;&gt;"SCĂZUT","NU – RISC 0-0 "&amp;$GN37,IF($FN37&lt;&gt;"DA","NU – LINEUP NECONFIRMAT",IF($FM37&lt;&gt;"DA","NU – PIAȚĂ NECONFIRMATĂ",IF($EP37&lt;&gt;"DA","NU – PORTOFOLIU","DA")))))))</x:f>
      </x:c>
      <x:c r="GV37" s="158" t="str">
        <x:f>IF($A37="","",IF($GU37&lt;&gt;"DA","WATCH / NO BET",IF(AND($GP37&gt;='Setari model'!$B$35,$GT37&gt;=100*'Setari model'!$B$76,$GS37&gt;0),"PARIU RECOMANDAT",IF(AND($GP37&gt;='Setari model'!$B$39,$GT37&gt;=100*'Setari model'!$B$40,$GS37&gt;0),"WATCH – APROAPE DE PRAG","PARIU EVITAT"))))</x:f>
      </x:c>
      <x:c r="GW37" s="158" t="str">
        <x:f t="shared" si="101">IF($A37="","",IF($GU37&lt;&gt;"DA",$GU37,IF($GT37&lt;75,"Confidence v5 sub 75.",IF($GP37&lt;0.92,"P v5 sub 92%.",IF($GS37&lt;=0,"EV v5 nepozitiv.",IF($GJ37&gt;0,"Low-conversion absorbit în P0; toate porțile rămân trecute.","Toate porțile v5 sunt trecute."))))))</x:f>
      </x:c>
      <x:c r="GX37" s="158" t="str">
        <x:f t="shared" si="102">IF($A37="","","P v5="&amp;TEXT($GP37,"0.0%")&amp;"; P0 v5="&amp;TEXT($GL37,"0.0%")&amp;"; low-conv="&amp;IF(COUNT($GJ37)=0,"n/a",TEXT($GJ37,"0%"))&amp;"; mult.P0="&amp;IF(COUNT($GK37)=0,"n/a",TEXT($GK37,"0.00"))&amp;"; clasă="&amp;$GN37&amp;"; cap="&amp;TEXT($GO37,"0.0%")&amp;"; Confidence="&amp;TEXT($GT37,"0")&amp;"/100; lineup="&amp;$FN37&amp;"; piață="&amp;$FM37&amp;"; EV="&amp;IF($GS37="","n/a",TEXT($GS37,"0.0%"))&amp;"; gate="&amp;$GU37&amp;"; verdict="&amp;$GV37&amp;". "&amp;$GW37)</x:f>
      </x:c>
      <x:c r="GY37" s="174" t="str">
        <x:f>IF($A37="","",IF($GM37&lt;&gt;"DA","SOURCING INCOMPLETE – REVIEW REQUIRED",IF(MIN($I37,$P37,$W37,$AB37)&lt;'Setari model'!$B$58,"SMALL SAMPLE + PRIOR / SHRINKAGE","VERIFIED / PRIOR / SHRINKAGE")))</x:f>
      </x:c>
      <x:c r="GZ37" s="175" t="str">
        <x:f t="shared" si="103">IF($A37="","",MAX(0,MIN(100,100*(1-AVERAGE(IF($GM37="DA",1,0),MIN(1,$AT37/5))))))</x:f>
      </x:c>
      <x:c r="HA37" s="175" t="str">
        <x:f>IF($A37="","",IF($GM37&lt;&gt;"DA","",MAX(0,MIN(100,100*(($FI37*$GK37)-'Setari model'!$B$97)/('Setari model'!$B$98-'Setari model'!$B$97)))))</x:f>
      </x:c>
      <x:c r="HB37" s="175" t="str">
        <x:f>IF($A37="","",MAX(0,MIN(100,100*(ABS($BR37-1)/MAX(1-'Setari model'!$B$53,'Setari model'!$B$54-1)+MIN(1,$BG37/2))/2)))</x:f>
      </x:c>
      <x:c r="HC37" s="175" t="str">
        <x:f t="shared" si="104">IF($A37="","",MAX(0,MIN(100,100*(1-AVERAGE($CC37,MAX(0,1-(MAX($BJ37:$BN37)-MIN($BJ37:$BN37))/(AVERAGE($BJ37:$BN37)*'Setari model'!$B$45)))))))</x:f>
      </x:c>
      <x:c r="HD37" s="175" t="str">
        <x:f t="shared" si="105">IF($A37="","",MAX(0,MIN(100,100*MAX(IF($GJ37="",0,$GJ37),MIN(1,$BG37/2)))))</x:f>
      </x:c>
      <x:c r="HE37" s="175" t="str">
        <x:f>IF($A37="","",IF(COUNT($GZ37:$HD37)&lt;5,"",$GZ37*Risk_Classification!$E$28+$HA37*Risk_Classification!$E$29+$HB37*Risk_Classification!$E$30+$HC37*Risk_Classification!$E$31+$HD37*Risk_Classification!$E$32))</x:f>
      </x:c>
      <x:c r="HF37" s="176" t="str">
        <x:f t="shared" si="106">IF($A37="","",IF($HE37="","",IF($HE37&lt;=20,1,IF($HE37&lt;=40,2,IF($HE37&lt;=60,3,IF($HE37&lt;=80,4,5))))))</x:f>
      </x:c>
      <x:c r="HG37" s="176" t="str">
        <x:f t="shared" si="107">IF($A37="","",IF($GM37="DA","PASS","FAIL – DATE CRITICE ZERO-MASS INCOMPLETE"))</x:f>
      </x:c>
      <x:c r="HH37" s="176" t="str">
        <x:f t="shared" si="108">IF($A37="","",IF($HG37&lt;&gt;"PASS",5,$HF37))</x:f>
      </x:c>
      <x:c r="HI37" s="174" t="str">
        <x:f t="shared" si="109">IF($A37="","",IF($HH37="","N/A",IF($HH37=1,"DEFENSIV",IF($HH37=2,"PRUDENT",IF($HH37=3,"MODERAT",IF($HH37=4,"RIDICAT","WATCH / NO BET"))))))</x:f>
      </x:c>
      <x:c r="HJ37" s="177" t="str">
        <x:f t="shared" si="110">IF($A37="","","Data="&amp;$GY37&amp;"; DQ="&amp;TEXT($GZ37,"0.0")&amp;"; ZM="&amp;IF($HA37="","n/a",TEXT($HA37,"0.0"))&amp;"; Context="&amp;TEXT($HB37,"0.0")&amp;"; Uncertainty="&amp;TEXT($HC37,"0.0")&amp;"; Compound="&amp;TEXT($HD37,"0.0")&amp;"; Risk Score="&amp;IF($HE37="","n/a",TEXT($HE37,"0.0"))&amp;"; Base="&amp;IF($HF37="","n/a",$HF37)&amp;"; G0="&amp;$HG37&amp;"; Final="&amp;$HH37&amp;". Cota, EV si lineup sunt informative si nu intra in recomandare.")</x:f>
      </x:c>
      <x:c r="HK37" s="174" t="str">
        <x:f t="shared" si="111">IF($A37="","",$HI37)</x:f>
      </x:c>
    </x:row>
    <x:row r="38" ht="24" customHeight="1">
      <x:c r="A38" s="58"/>
      <x:c r="B38" s="24"/>
      <x:c r="C38" s="59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18"/>
      <x:c r="O38" s="18"/>
      <x:c r="P38" s="24"/>
      <x:c r="Q38" s="24"/>
      <x:c r="R38" s="24"/>
      <x:c r="S38" s="24"/>
      <x:c r="T38" s="24"/>
      <x:c r="U38" s="18"/>
      <x:c r="V38" s="18"/>
      <x:c r="W38" s="24"/>
      <x:c r="X38" s="24"/>
      <x:c r="Y38" s="24"/>
      <x:c r="Z38" s="24"/>
      <x:c r="AA38" s="24"/>
      <x:c r="AB38" s="24"/>
      <x:c r="AC38" s="24"/>
      <x:c r="AD38" s="24"/>
      <x:c r="AE38" s="24"/>
      <x:c r="AF38" s="24"/>
      <x:c r="AG38" s="24"/>
      <x:c r="AH38" s="24"/>
      <x:c r="AI38" s="18"/>
      <x:c r="AJ38" s="24"/>
      <x:c r="AK38" s="24"/>
      <x:c r="AL38" s="24"/>
      <x:c r="AM38" s="18"/>
      <x:c r="AN38" s="24"/>
      <x:c r="AO38" s="60"/>
      <x:c r="AP38" s="60"/>
      <x:c r="AQ38" s="60"/>
      <x:c r="AR38" s="60"/>
      <x:c r="AS38" s="60"/>
      <x:c r="AT38" s="24"/>
      <x:c r="AU38" s="24"/>
      <x:c r="AV38" s="24"/>
      <x:c r="AW38" s="24"/>
      <x:c r="AX38" s="24"/>
      <x:c r="AY38" s="24"/>
      <x:c r="AZ38" s="24"/>
      <x:c r="BA38" s="24"/>
      <x:c r="BB38" s="24"/>
      <x:c r="BC38" s="24"/>
      <x:c r="BD38" s="24"/>
      <x:c r="BE38" s="24"/>
      <x:c r="BF38" s="24"/>
      <x:c r="BG38" s="24"/>
      <x:c r="BH38" s="61"/>
      <x:c r="BI38" s="61"/>
      <x:c r="BJ38" s="62" t="str">
        <x:f>IF($A38="","",SQRT((($I38*IF($J38="",$AJ38,$J38)+'Setari model'!$B$30*$AJ38)/($I38+'Setari model'!$B$30))*(($P38*IF($R38="",$AJ38,$R38)+'Setari model'!$B$30*$AJ38)/($P38+'Setari model'!$B$30)))+SQRT((($P38*IF($Q38="",$AK38,$Q38)+'Setari model'!$B$30*$AK38)/($P38+'Setari model'!$B$30))*(($I38*IF($K38="",$AK38,$K38)+'Setari model'!$B$30*$AK38)/($I38+'Setari model'!$B$30))))</x:f>
      </x:c>
      <x:c r="BK38" s="62" t="str">
        <x:f>IF($A38="","",SQRT((($I38*IF($L38="",IF($J38="",$AJ38,$J38),$L38)+'Setari model'!$B$30*$AJ38)/($I38+'Setari model'!$B$30))*(($P38*IF($T38="",IF($R38="",$AJ38,$R38),$T38)+'Setari model'!$B$30*$AJ38)/($P38+'Setari model'!$B$30)))+SQRT((($P38*IF($S38="",IF($Q38="",$AK38,$Q38),$S38)+'Setari model'!$B$30*$AK38)/($P38+'Setari model'!$B$30))*(($I38*IF($M38="",IF($K38="",$AK38,$K38),$M38)+'Setari model'!$B$30*$AK38)/($I38+'Setari model'!$B$30))))</x:f>
      </x:c>
      <x:c r="BL38" s="62" t="str">
        <x:f>IF($A38="","",SQRT((($W38*IF($X38="",$AL38/2,$X38)+'Setari model'!$B$31*$AL38/2)/($W38+'Setari model'!$B$31))*(($AB38*IF($AD38="",$AL38/2,$AD38)+'Setari model'!$B$31*$AL38/2)/($AB38+'Setari model'!$B$31)))+SQRT((($AB38*IF($AC38="",$AL38/2,$AC38)+'Setari model'!$B$31*$AL38/2)/($AB38+'Setari model'!$B$31))*(($W38*IF($Y38="",$AL38/2,$Y38)+'Setari model'!$B$31*$AL38/2)/($W38+'Setari model'!$B$31))))</x:f>
      </x:c>
      <x:c r="BM38" s="62" t="str">
        <x:f>IF($A38="","",SQRT((($W38*IF($Z38="",IF($X38="",$AL38/2,$X38),$Z38)+'Setari model'!$B$31*$AL38/2)/($W38+'Setari model'!$B$31))*(($AB38*IF($AF38="",IF($AD38="",$AL38/2,$AD38),$AF38)+'Setari model'!$B$31*$AL38/2)/($AB38+'Setari model'!$B$31)))+SQRT((($AB38*IF($AE38="",IF($AC38="",$AL38/2,$AC38),$AE38)+'Setari model'!$B$31*$AL38/2)/($AB38+'Setari model'!$B$31))*(($W38*IF($AA38="",IF($Y38="",$AL38/2,$Y38),$AA38)+'Setari model'!$B$31*$AL38/2)/($W38+'Setari model'!$B$31))))</x:f>
      </x:c>
      <x:c r="BN38" s="62" t="str">
        <x:f t="shared" si="56">IF($A38="","",IF($AG38&gt;0,($AG38*IF($AH38="",$AL38,$AH38)+5*$AL38)/($AG38+5),$AL38))</x:f>
      </x:c>
      <x:c r="BO38" s="63" t="str">
        <x:f>IF($A38="","",IF($AR38&gt;1,IF($AS38&gt;1,(1/$AR38)/((1/$AR38+1/$AS38)),MIN(0.995,(1/$AR38)/(1+'Setari model'!$B$32))),1-EXP(-$AL38)))</x:f>
      </x:c>
      <x:c r="BP38" s="62" t="str">
        <x:f t="shared" si="57">IF($A38="","",-LN(1-$BO38))</x:f>
      </x:c>
      <x:c r="BQ38" s="62" t="str">
        <x:f>IF($A38="","",$BJ38*INDEX('Setari model'!$B$5:$B$11,MATCH($E38,'Setari model'!$A$5:$A$11,0))+$BK38*INDEX('Setari model'!$C$5:$C$11,MATCH($E38,'Setari model'!$A$5:$A$11,0))+$BL38*INDEX('Setari model'!$D$5:$D$11,MATCH($E38,'Setari model'!$A$5:$A$11,0))+$BM38*INDEX('Setari model'!$E$5:$E$11,MATCH($E38,'Setari model'!$A$5:$A$11,0))+$BN38*INDEX('Setari model'!$F$5:$F$11,MATCH($E38,'Setari model'!$A$5:$A$11,0))+$BP38*INDEX('Setari model'!$G$5:$G$11,MATCH($E38,'Setari model'!$A$5:$A$11,0)))</x:f>
      </x:c>
      <x:c r="BR38" s="64" t="str">
        <x:f>IF($A38="","",MAX('Setari model'!$B$53,MIN('Setari model'!$B$54,1+($AV38*'Setari model'!$B$15+$AW38*'Setari model'!$B$16+$AX38*'Setari model'!$B$17+$AY38*'Setari model'!$B$18+$AZ38*'Setari model'!$B$19+$BA38*'Setari model'!$B$20+$BB38*'Setari model'!$B$21+$BC38*'Setari model'!$B$22+$BD38*'Setari model'!$B$23+$BE38*'Setari model'!$B$24+$BF38*'Setari model'!$B$25)*INDEX('Setari model'!$H$5:$H$11,MATCH($E38,'Setari model'!$A$5:$A$11,0)))))</x:f>
      </x:c>
      <x:c r="BS38" s="62" t="str">
        <x:f t="shared" si="58">IF($A38="","",$BQ38*$BR38)</x:f>
      </x:c>
      <x:c r="BT38" s="63" t="str">
        <x:f t="shared" si="59">IF($A38="","",EXP(-$BS38))</x:f>
      </x:c>
      <x:c r="BU38" s="65" t="str">
        <x:f>IF($A38="","",IF(OR($AM38="",$AN38=""),1,1+MIN('Setari model'!$B$33,$AN38/100*'Setari model'!$B$33)*($AM38/EXP(-$AL38)-1)))</x:f>
      </x:c>
      <x:c r="BV38" s="63" t="str">
        <x:f>IF($A38="","",MIN(0.45,MAX(0.005,(1-'Setari model'!$B$34*MIN(1,($I38+$P38)/20))*MIN(0.45,$BT38*$BU38)+'Setari model'!$B$34*MIN(1,($I38+$P38)/20)*IF(COUNT($N38,$U38)=2,SQRT(MAX(0,1-$N38)*MAX(0,1-$U38)),IF($AM38="",EXP(-$AL38),$AM38)))))</x:f>
      </x:c>
      <x:c r="BW38" s="63" t="str">
        <x:f t="shared" si="60">IF($A38="","",1-$BV38)</x:f>
      </x:c>
      <x:c r="BX38" s="62" t="str">
        <x:f t="shared" si="61">IF($A38="","",1/$BW38)</x:f>
      </x:c>
      <x:c r="BY38" s="63" t="str">
        <x:f t="shared" si="62">IF($A38="","",$BO38)</x:f>
      </x:c>
      <x:c r="BZ38" s="63" t="str">
        <x:f t="shared" si="63">IF($A38="","",$BW38-$BY38)</x:f>
      </x:c>
      <x:c r="CA38" s="63" t="str">
        <x:f t="shared" si="64">IF($A38="","",IF($AR38&gt;1,$BW38*$AR38-1,""))</x:f>
      </x:c>
      <x:c r="CB38" s="63" t="str">
        <x:f>IF($A38="","",MIN(1,COUNT($I38:$AN38,$AR38:$BG38)/'Setari model'!$B$46))</x:f>
      </x:c>
      <x:c r="CC38" s="63" t="str">
        <x:f t="shared" si="65">IF($A38="","",0.25*MIN(1,$I38/10)+0.25*MIN(1,$P38/10)+0.15*MIN(1,$W38/5)+0.15*MIN(1,$AB38/5)+0.1*MIN(1,$AG38/5)+0.1*MIN(1,$AN38/100))</x:f>
      </x:c>
      <x:c r="CD38" s="63" t="str">
        <x:f>IF($A38="","",MAX(0,1-(MAX($BJ38:$BN38,$BP38)-MIN($BJ38:$BN38,$BP38))/(AVERAGE($BJ38:$BN38,$BP38)*'Setari model'!$B$45)))</x:f>
      </x:c>
      <x:c r="CE38" s="66" t="str">
        <x:f>IF($A38="","",MAX(0,MIN(100,100*INDEX('Setari model'!$I$5:$I$11,MATCH($E38,'Setari model'!$A$5:$A$11,0))*('Setari model'!$B$47*$CB38+'Setari model'!$B$48*$CC38+'Setari model'!$B$49*$CD38+'Setari model'!$B$50*$AT38/5+'Setari model'!$B$51*$AU38)-100*'Setari model'!$B$52*$BG38)))</x:f>
      </x:c>
      <x:c r="CF38" s="65" t="str">
        <x:f t="shared" si="66">IF($A38="","",IF(OR($AT38&lt;3,$BG38&gt;=2,$CB38&lt;0.55,$CC38&lt;0.4),"RIDICAT",IF(OR($AU38=0,$CD38&lt;0.45,$BR38&lt;0.9),"MEDIU","SCĂZUT")))</x:f>
      </x:c>
      <x:c r="CG38" s="65" t="str">
        <x:f>IF($A38="","",IF($AR38&gt;1,IF(AND($BW38&gt;= 'Setari model'!$B$35,$CE38&gt;=100*'Setari model'!$B$36,$BZ38&gt;= 'Setari model'!$B$37,$CA38&gt;= 'Setari model'!$B$38,$CF38&lt;&gt;"RIDICAT"),"PARIU RECOMANDAT",IF(AND($BW38&gt;= 'Setari model'!$B$39,$CE38&gt;=100*'Setari model'!$B$40,$BZ38&gt;= 'Setari model'!$B$41,$CA38&gt;=0,$CF38&lt;&gt;"RIDICAT"),"RECOMANDAT CU PRUDENȚĂ",IF(AND($BW38&gt;= 'Setari model'!$B$42,$CE38&gt;=100*'Setari model'!$B$43),"ANALIZĂ NECONCLUDENTĂ","PARIU EVITAT"))),IF(AND($BW38&gt;= 'Setari model'!$B$35,$CE38&gt;=100*'Setari model'!$B$36,$CF38&lt;&gt;"RIDICAT"),"FAVORABIL STATISTIC – VERIFICĂ COTA",IF(AND($BW38&gt;= 'Setari model'!$B$42,$CE38&gt;=100*'Setari model'!$B$43),"ANALIZĂ NECONCLUDENTĂ","PARIU EVITAT"))))</x:f>
      </x:c>
      <x:c r="CH38" s="67" t="str">
        <x:f t="shared" si="67">IF($A38="","","P(O0,5)="&amp;TEXT($BW38,"0.0%")&amp;"; λ ajustat="&amp;TEXT($BS38,"0.00")&amp;"; Confidence="&amp;TEXT($CE38,"0")&amp;"/100; Edge="&amp;TEXT($BZ38,"0.0%")&amp;"; risc="&amp;$CF38&amp;". "&amp;$BH38)</x:f>
      </x:c>
      <x:c r="CI38" s="68" t="str">
        <x:f t="shared" si="68">IF($A38="","",$BI38)</x:f>
      </x:c>
      <x:c r="CJ38" s="112"/>
      <x:c r="CK38" s="112"/>
      <x:c r="CL38" s="112"/>
      <x:c r="CM38" s="112"/>
      <x:c r="CN38" s="112"/>
      <x:c r="CO38" s="112"/>
      <x:c r="CP38" s="112"/>
      <x:c r="CQ38" s="112"/>
      <x:c r="CR38" s="112"/>
      <x:c r="CS38" s="112"/>
      <x:c r="CT38" s="112"/>
      <x:c r="CU38" s="112"/>
      <x:c r="CV38" s="112"/>
      <x:c r="CW38" s="112"/>
      <x:c r="CX38" s="112"/>
      <x:c r="CY38" s="112"/>
      <x:c r="CZ38" s="112"/>
      <x:c r="DA38" s="112"/>
      <x:c r="DB38" s="112"/>
      <x:c r="DC38" s="114"/>
      <x:c r="DD38" s="114"/>
      <x:c r="DE38" s="112" t="s">
        <x:v>266</x:v>
      </x:c>
      <x:c r="DF38" s="112"/>
      <x:c r="DG38" s="112"/>
      <x:c r="DH38" s="112"/>
      <x:c r="DI38" s="112"/>
      <x:c r="DJ38" s="112"/>
      <x:c r="DK38" s="112"/>
      <x:c r="DL38" s="112"/>
      <x:c r="DM38" s="112"/>
      <x:c r="DN38" s="112"/>
      <x:c r="DO38" s="112"/>
      <x:c r="DP38" s="112"/>
      <x:c r="DQ38" s="114"/>
      <x:c r="DR38" s="112">
        <x:v>1</x:v>
      </x:c>
      <x:c r="DS38" s="116">
        <x:v>0</x:v>
      </x:c>
      <x:c r="DT38" s="120"/>
      <x:c r="DU38" s="116">
        <x:v>0.02</x:v>
      </x:c>
      <x:c r="DV38" s="116">
        <x:v>0.25</x:v>
      </x:c>
      <x:c r="DW38" s="118" t="str">
        <x:f>IF($A38="","",MAX('Setari model'!$B$71,MIN('Setari model'!$B$72,1+0.08*(IFERROR(AVERAGE($CM38:$CN38)/'Setari model'!$B$66,1)-1)+0.08*(IFERROR(AVERAGE($CO38:$CP38)/'Setari model'!$B$67,1)-1)+0.06*(IFERROR(AVERAGE($CQ38:$CR38)/'Setari model'!$B$68,1)-1)+0.04*(IFERROR(AVERAGE($CS38:$CT38)/'Setari model'!$B$69,1)-1)+0.04*(IFERROR(AVERAGE($CU38:$CV38)/'Setari model'!$B$70,1)-1)-'Setari model'!$B$73*IFERROR(AVERAGE($CW38:$CX38),0))))</x:f>
      </x:c>
      <x:c r="DX38" s="118" t="str">
        <x:f>IF($A38="","",1+'Setari model'!$B$62*MAX(IF(OR($CK38=1,$CL38=1),1,0),IF(AND($CJ38&lt;&gt;"",$CJ38&lt;=1),1,0))+'Setari model'!$B$63*IF(AND($CJ38&gt;1,$CJ38&lt;=3),1,0))</x:f>
      </x:c>
      <x:c r="DY38" s="118" t="str">
        <x:f>IF($A38="","",1+'Setari model'!$B$74*(IF($CY38="",0,IF($CY38=0,1,0))+IF($CZ38="",0,IF($CZ38=0,1,0)))+'Setari model'!$B$75*(IF($DA38="",0,IF($DA38=0,1,0))+IF($DB38="",0,IF($DB38=0,1,0))))</x:f>
      </x:c>
      <x:c r="DZ38" s="117" t="str">
        <x:f>IF($A38="","",MIN(0.6,MAX(0.002,(((1-'Setari model'!$B$34*MIN(1,($I38+$P38)/20))*$BT38+'Setari model'!$B$34*MIN(1,($I38+$P38)/20)*IF(COUNT($N38,$U38)=2,SQRT(MAX(0,1-$N38)*MAX(0,1-$U38)),$BT38))*(1-'Setari model'!$B$65*MIN(1,IF($AN38="",0,$AN38/'Setari model'!$B$64)))+'Setari model'!$B$65*MIN(1,IF($AN38="",0,$AN38/'Setari model'!$B$64))*IF($AM38="",$BT38,$AM38))*$DX38*$DY38/$DW38)))</x:f>
      </x:c>
      <x:c r="EA38" s="117" t="str">
        <x:f>IF($A38="","",MIN(1-$DZ38,IF(OR(MIN($I38,$P38)&lt;'Setari model'!$B$58,$CK38=1,$CL38=1,AND($CJ38&lt;&gt;"",$CJ38&lt;=1)),'Setari model'!$B$59,IF(AND($AU38=1,$AR38&gt;1,COUNT($CY38:$DB38)=4),'Setari model'!$B$61,'Setari model'!$B$60))))</x:f>
      </x:c>
      <x:c r="EB38" s="115" t="str">
        <x:f t="shared" si="69">IF($A38="","",1/$EA38)</x:f>
      </x:c>
      <x:c r="EC38" s="117" t="str">
        <x:f t="shared" si="70">IF($A38="","",IF($AR38&gt;1,IF($AS38&gt;1,(1/$AR38)/((1/$AR38)+(1/$AS38)),1/$AR38),""))</x:f>
      </x:c>
      <x:c r="ED38" s="117" t="str">
        <x:f t="shared" si="71">IF($A38="","",IF($EC38="","",$EA38-$EC38))</x:f>
      </x:c>
      <x:c r="EE38" s="117" t="str">
        <x:f t="shared" si="72">""</x:f>
      </x:c>
      <x:c r="EF38" s="119" t="str">
        <x:f>IF($A38="","",MAX(0,MIN(100,$CE38-200*MAX(0,$EG38-'Setari model'!$B$77)-IF($AU38&lt;&gt;1,10,0)-IF(COUNT($CY38:$DB38)&lt;4,4,0))))</x:f>
      </x:c>
      <x:c r="EG38" s="117" t="str">
        <x:f>IF($A38="","",'Setari model'!$B$77+IF(MIN($I38,$P38)&lt;'Setari model'!$B$58,0.03,0)+IF(OR($CK38=1,$CL38=1,AND($CJ38&lt;&gt;"",$CJ38&lt;=1)),0.03,0)+IF($AG38=0,0.02,0)+0.03*(1-MIN(1,COUNT($CM38:$CV38)/10))+0.03*(1-MIN(1,IF($AN38="",0,$AN38/'Setari model'!$B$64)))+IF($AR38&lt;=1,0.02,0))</x:f>
      </x:c>
      <x:c r="EH38" s="113" t="str">
        <x:f>IF($A38="","",IF(OR(MIN($I38,$P38)&lt;'Setari model'!$B$58,$CK38=1,$CL38=1,AND($CJ38&lt;&gt;"",$CJ38&lt;=1)),"92% – early/regim",IF(AND($AU38=1,$AR38&gt;1,COUNT($CY38:$DB38)=4),"94% – confirmat","93% – standard")))</x:f>
      </x:c>
      <x:c r="EI38" s="113" t="str">
        <x:f t="shared" si="73">IF($A38="","",IF(AND($EA38&gt;0.9,$AU38&lt;&gt;1),"WAIT XI – HIGH P",IF(AND($EA38&gt;0.9,COUNT($CY38:$DB38)&lt;4),"WAIT DATE CHEIE – HIGH P",IF($EP38&lt;&gt;"DA","NU – PORTOFOLIU","DA"))))</x:f>
      </x:c>
      <x:c r="EJ38" s="117" t="str">
        <x:f t="shared" si="74">IF($A38="","",IF($DE38&lt;&gt;"Live 20-30","",IF(SUM($DG38:$DH38)&gt;0,1,IF($EU38="","",1-MIN(0.95,MAX(0.001,EXP(-$EU38)*$DX38*$DY38/$DW38))))))</x:f>
      </x:c>
      <x:c r="EK38" s="117" t="str">
        <x:f t="shared" si="75">""</x:f>
      </x:c>
      <x:c r="EL38" s="113" t="str">
        <x:f>IF($A38="","",IF($DE38="Live 20-30",IF(SUM($DG38:$DH38)&gt;0,"EVENIMENT ÎNDEPLINIT",IF(OR($DF38="",COUNT($DI38:$DN38)&lt;4),"LIVE – WATCH",IF($EJ38&gt;=0.75,"LIVE – FEZABIL TEHNIC","LIVE – NO BET"))),IF($EI38&lt;&gt;"DA","WATCH / NO BET",IF(AND($EA38&gt;=INDEX('Setari model'!$B$35:$B$40,1),$EF38&gt;=100*'Setari model'!$B$76),"PARIU RECOMANDAT",IF(AND($EA38&gt;=INDEX('Setari model'!$B$35:$B$40,5),$EF38&gt;=100*'Setari model'!$B$40),"WATCH – APROAPE DE PRAG","PARIU EVITAT")))))</x:f>
      </x:c>
      <x:c r="EM38" s="113" t="str">
        <x:f t="shared" si="76">IF($A38="","",IF($DE38="Live 20-30",IF(SUM($DG38:$DH38)&gt;0,"Gol deja marcat.",IF($DF38="","Minut live lipsă.",IF(COUNT($DI38:$DN38)&lt;4,"Lipsesc xG/SOT/big chances live.",IF($EJ38&lt;0.75,"P live sub prag.","Semnal live tehnic complet; EV ignorat.")))),IF($EI38&lt;&gt;"DA",$EI38,IF($EF38&lt;75,"Confidence sub 75.",IF($EA38&lt;0.92,"P sub 92%.","G0/Zero-Mass + confidence trecute; EV ignorat.")))))</x:f>
      </x:c>
      <x:c r="EN38" s="117" t="str">
        <x:f>IF($A38="","",IF(OR($EL38="PARIU RECOMANDAT",$EL38="LIVE – FEZABIL"),MIN(IF($DU38&gt;0,$DU38,'Setari model'!$B$81)/MAX(1,$DR38),IF($DV38&gt;0,$DV38,'Setari model'!$B$80)*MAX(0,((IF($DE38="Live 20-30",$EJ38,$EA38)*IF($DE38="Live 20-30",$DQ38,$AR38)-1)/(IF($DE38="Live 20-30",$DQ38,$AR38)-1)))),0))</x:f>
      </x:c>
      <x:c r="EO38" s="121" t="str">
        <x:f t="shared" si="77">IF($A38="","",IF(AND($EN38&gt;0,$DT38&gt;0),$EN38*$DT38,""))</x:f>
      </x:c>
      <x:c r="EP38" s="113" t="str">
        <x:f>IF($A38="","",IF(OR($DR38&lt;1,$DR38&gt;'Setari model'!$B$78),"NU – 1–5 selecții",IF($DS38&gt;'Setari model'!$B$79,"NU – corelație", "DA")))</x:f>
      </x:c>
      <x:c r="EQ38" s="117" t="str">
        <x:f t="shared" si="78">IF($A38="","",IF(AND($DC38&gt;1,$DD38&gt;1),$DC38/$DD38-1,""))</x:f>
      </x:c>
      <x:c r="ER38" s="113" t="str">
        <x:f t="shared" si="79">IF($A38="","","P v2="&amp;TEXT($EA38,"0.0%")&amp;" ±"&amp;TEXT($EG38,"0.0%")&amp;"; P0 ZIP="&amp;TEXT($DZ38,"0.0%")&amp;"; Confidence="&amp;TEXT($EF38,"0")&amp;"/100; piață reală="&amp;IF($EC38="","NU","DA")&amp;"; EV="&amp;IF($EE38="","n/a",TEXT($EE38,"0.0%"))&amp;"; gate="&amp;$EI38&amp;"; verdict="&amp;$EL38&amp;". "&amp;$EM38)</x:f>
      </x:c>
      <x:c r="ES38" s="119" t="str">
        <x:f>IF($A38="","",'Setari model'!$B$82)</x:f>
      </x:c>
      <x:c r="ET38" s="118" t="str">
        <x:f>IF($A38="","",'Setari model'!$B$83)</x:f>
      </x:c>
      <x:c r="EU38" s="115" t="str">
        <x:f t="shared" si="80">IF(OR($A38="",$DE38&lt;&gt;"Live 20-30",$DF38="",$DF38&lt;$ES38,$DF38&gt;=90),"",MAX(0.05,MIN($BS38*$ET38,$BS38*(90-$DF38)/90+0.35*($DI38+$DJ38)+0.06*($DK38+$DL38)+0.15*($DM38+$DN38)+0.1*(MAX($DO38,$DP38)-MIN($DO38,$DP38)))))</x:f>
      </x:c>
      <x:c r="EV38" s="132"/>
      <x:c r="EW38" s="132"/>
      <x:c r="EX38" s="132"/>
      <x:c r="EY38" s="132"/>
      <x:c r="EZ38" s="132"/>
      <x:c r="FA38" s="132"/>
      <x:c r="FB38" s="247"/>
      <x:c r="FC38" s="134" t="str">
        <x:f t="shared" si="81">IF($A38="","",IF(OR($J38="",$L38="",$L38&lt;=0),"",MAX(0.5,MIN(1.5,$J38/$L38))))</x:f>
      </x:c>
      <x:c r="FD38" s="134" t="str">
        <x:f t="shared" si="82">IF($A38="","",IF(OR($Q38="",$S38="",$S38&lt;=0),"",MAX(0.5,MIN(1.5,$Q38/$S38))))</x:f>
      </x:c>
      <x:c r="FE38" s="134" t="str">
        <x:f>IF($A38="","",IF(COUNT($EV38:$EW38)&lt;2,"",SQRT($EV38*$EW38)/'Setari model'!$B$87))</x:f>
      </x:c>
      <x:c r="FF38" s="134" t="str">
        <x:f>IF($A38="","",IF(COUNT($O38,$V38,$EX38,$EY38)&lt;4,"",AVERAGE(SQRT($O38*$EY38),SQRT($V38*$EX38))/'Setari model'!$B$88))</x:f>
      </x:c>
      <x:c r="FG38" s="134" t="str">
        <x:f t="shared" si="83">IF($A38="","",IF(COUNT($FC38:$FD38)&lt;2,"",MAX(0,1-AVERAGE($FC38:$FD38))))</x:f>
      </x:c>
      <x:c r="FH38" s="134" t="str">
        <x:f>IF($A38="","",IF(COUNT($EZ38:$FA38)&lt;2,"",'Setari model'!$B$94*AVERAGE($EZ38:$FA38)/'Setari model'!$B$89))</x:f>
      </x:c>
      <x:c r="FI38" s="134" t="str">
        <x:f>IF($A38="","",IF(COUNT($FE38:$FH38)&lt;4,"",MAX('Setari model'!$B$97,MIN('Setari model'!$B$98,1+'Setari model'!$B$90*($FE38-1)+'Setari model'!$B$91*($FF38-1)+'Setari model'!$B$92*$FG38+'Setari model'!$B$93*($FH38-1)))))</x:f>
      </x:c>
      <x:c r="FJ38" s="133" t="str">
        <x:f>IF($A38="","",IF($FI38="","",MIN('Setari model'!$B$101,MAX(0.002,$DZ38*$FI38))))</x:f>
      </x:c>
      <x:c r="FK38" s="131" t="str">
        <x:f t="shared" si="84">IF($A38="","",IF(AND(COUNT($EV38:$FA38)=6,COUNT($O38,$V38,$FC38,$FD38)=4),"DA","NU"))</x:f>
      </x:c>
      <x:c r="FL38" s="131" t="str">
        <x:f>IF($A38="","",IF($FK38&lt;&gt;"DA","NEDETERMINAT",IF($FI38&lt;='Setari model'!$B$99,"SCĂZUT",IF($FI38&lt;='Setari model'!$B$100,"MEDIU","RIDICAT"))))</x:f>
      </x:c>
      <x:c r="FM38" s="131" t="str">
        <x:f>IF($A38="","",IF(AND($AR38&gt;1,$EC38&gt;='Setari model'!$B$106),"DA","NU"))</x:f>
      </x:c>
      <x:c r="FN38" s="131" t="str">
        <x:f t="shared" si="85">IF($A38="","",IF(AND($AU38=1,COUNT($CY38:$DB38)=4),"DA","NU"))</x:f>
      </x:c>
      <x:c r="FO38" s="133" t="str">
        <x:f>IF($A38="","",IF(OR($FK38&lt;&gt;"DA",$FL38="RIDICAT"),'Setari model'!$B$102,IF($FL38="MEDIU",'Setari model'!$B$103,IF(AND($FM38="DA",$FN38="DA"),'Setari model'!$B$105,'Setari model'!$B$104))))</x:f>
      </x:c>
      <x:c r="FP38" s="133" t="str">
        <x:f t="shared" si="86">IF($A38="","",IF($FJ38="","",MIN(1-$FJ38,$FO38)))</x:f>
      </x:c>
      <x:c r="FQ38" s="135" t="str">
        <x:f t="shared" si="87">IF($A38="","",IF($FP38="","",IF($FP38&gt;0,1/$FP38,"")))</x:f>
      </x:c>
      <x:c r="FR38" s="133" t="str">
        <x:f t="shared" si="88">IF($A38="","",IF($EC38="","",$FP38-$EC38))</x:f>
      </x:c>
      <x:c r="FS38" s="133" t="str">
        <x:f t="shared" si="89">IF($A38="","",IF($AR38&gt;1,$FP38*$AR38-1,""))</x:f>
      </x:c>
      <x:c r="FT38" s="136" t="str">
        <x:f>IF($A38="","",MAX(0,MIN(100,$EF38-IF($FK38&lt;&gt;"DA",'Setari model'!$B$107,0)-IF($FL38="MEDIU",'Setari model'!$B$108,0)-IF($FL38="RIDICAT",'Setari model'!$B$109,0))))</x:f>
      </x:c>
      <x:c r="FU38" s="131" t="str">
        <x:f t="shared" si="90">IF($A38="","",IF($AR38&lt;=1,"NU – LIPSEȘTE COTA REALĂ",IF($FK38&lt;&gt;"DA","NU – ZERO-RISK INCOMPLET",IF($FL38&lt;&gt;"SCĂZUT","NU – RISC 0-0 "&amp;$FL38,IF($FN38&lt;&gt;"DA","NU – LINEUP NECONFIRMAT",IF($FM38&lt;&gt;"DA","NU – PIAȚĂ NECONFIRMATĂ",IF($EP38&lt;&gt;"DA","NU – PORTOFOLIU","DA")))))))</x:f>
      </x:c>
      <x:c r="FV38" s="131" t="str">
        <x:f>IF($A38="","",IF($FU38&lt;&gt;"DA","WATCH / NO BET",IF(AND($FP38&gt;='Setari model'!$B$35,$FT38&gt;=100*'Setari model'!$B$76,$FS38&gt;0),"PARIU RECOMANDAT",IF(AND($FP38&gt;='Setari model'!$B$39,$FT38&gt;=100*'Setari model'!$B$40,$FS38&gt;0),"WATCH – APROAPE DE PRAG","PARIU EVITAT"))))</x:f>
      </x:c>
      <x:c r="FW38" s="131" t="str">
        <x:f t="shared" si="91">IF($A38="","",IF($FU38&lt;&gt;"DA",$FU38,IF($FT38&lt;75,"Confidence v3 sub 75.",IF($FP38&lt;0.92,"P v3 sub 92%.",IF($FS38&lt;=0,"EV v3 nepozitiv.","P0 v3, lineup și piață confirmate.")))))</x:f>
      </x:c>
      <x:c r="FX38" s="131" t="str">
        <x:f t="shared" si="92">IF($A38="","","P v3="&amp;TEXT($FP38,"0.0%")&amp;"; P0 v3="&amp;TEXT($FJ38,"0.0%")&amp;"; factor zero="&amp;IF($FI38="","n/a",TEXT($FI38,"0.00x"))&amp;" ("&amp;$FL38&amp;"); cap="&amp;TEXT($FO38,"0.0%")&amp;"; Confidence="&amp;TEXT($FT38,"0")&amp;"/100; lineup="&amp;$FN38&amp;"; piață="&amp;$FM38&amp;"; EV="&amp;IF($FS38="","n/a",TEXT($FS38,"0.0%"))&amp;"; gate="&amp;$FU38&amp;"; verdict="&amp;$FV38&amp;". "&amp;$FW38)</x:f>
      </x:c>
      <x:c r="FY38" s="159"/>
      <x:c r="FZ38" s="159"/>
      <x:c r="GA38" s="157"/>
      <x:c r="GB38" s="157"/>
      <x:c r="GC38" s="161" t="str">
        <x:f t="shared" si="93">IF($A38="","",IF(OR($X38="",$Z38="",$Z38&lt;=0),"",MAX(0.5,MIN(1.5,$X38/$Z38))))</x:f>
      </x:c>
      <x:c r="GD38" s="161" t="str">
        <x:f t="shared" si="94">IF($A38="","",IF(OR($AC38="",$AE38="",$AE38&lt;=0),"",MAX(0.5,MIN(1.5,$AC38/$AE38))))</x:f>
      </x:c>
      <x:c r="GE38" s="162" t="str">
        <x:f t="shared" si="95">IF($A38="","",IF(COUNT($Z38,$AE38)&lt;2,"",AVERAGE($Z38,$AE38)))</x:f>
      </x:c>
      <x:c r="GF38" s="158" t="str">
        <x:f>IF($A38="","",IF(COUNT($FY38:$FZ38)&lt;2,"NEDETERMINAT",IF(AND($FY38&gt;='Setari model'!$B$113,$FZ38&gt;='Setari model'!$B$113),"DA","NU")))</x:f>
      </x:c>
      <x:c r="GG38" s="158" t="str">
        <x:f>IF($A38="","",IF(COUNT($FY38:$FZ38,$EX38:$EY38)&lt;4,"NEDETERMINAT",IF(OR(AND($FY38&gt;='Setari model'!$B$113,$EY38&gt;='Setari model'!$B$114),AND($FZ38&gt;='Setari model'!$B$113,$EX38&gt;='Setari model'!$B$114)),"DA","NU")))</x:f>
      </x:c>
      <x:c r="GH38" s="158" t="str">
        <x:f>IF($A38="","",IF(COUNT($BJ38:$BN38,$GC38:$GE38)&lt;8,"NEDETERMINAT",IF(AND((($BJ38*INDEX('Setari model'!$B$5:$B$11,MATCH($E38,'Setari model'!$A$5:$A$11,0))+$BK38*INDEX('Setari model'!$C$5:$C$11,MATCH($E38,'Setari model'!$A$5:$A$11,0))+$BL38*INDEX('Setari model'!$D$5:$D$11,MATCH($E38,'Setari model'!$A$5:$A$11,0))+$BM38*INDEX('Setari model'!$E$5:$E$11,MATCH($E38,'Setari model'!$A$5:$A$11,0))+$BN38*INDEX('Setari model'!$F$5:$F$11,MATCH($E38,'Setari model'!$A$5:$A$11,0)))/(INDEX('Setari model'!$B$5:$B$11,MATCH($E38,'Setari model'!$A$5:$A$11,0))+INDEX('Setari model'!$C$5:$C$11,MATCH($E38,'Setari model'!$A$5:$A$11,0))+INDEX('Setari model'!$D$5:$D$11,MATCH($E38,'Setari model'!$A$5:$A$11,0))+INDEX('Setari model'!$E$5:$E$11,MATCH($E38,'Setari model'!$A$5:$A$11,0))+INDEX('Setari model'!$F$5:$F$11,MATCH($E38,'Setari model'!$A$5:$A$11,0))))*$BR38&gt;='Setari model'!$B$115,(($BJ38*INDEX('Setari model'!$B$5:$B$11,MATCH($E38,'Setari model'!$A$5:$A$11,0))+$BK38*INDEX('Setari model'!$C$5:$C$11,MATCH($E38,'Setari model'!$A$5:$A$11,0))+$BL38*INDEX('Setari model'!$D$5:$D$11,MATCH($E38,'Setari model'!$A$5:$A$11,0))+$BM38*INDEX('Setari model'!$E$5:$E$11,MATCH($E38,'Setari model'!$A$5:$A$11,0))+$BN38*INDEX('Setari model'!$F$5:$F$11,MATCH($E38,'Setari model'!$A$5:$A$11,0)))/(INDEX('Setari model'!$B$5:$B$11,MATCH($E38,'Setari model'!$A$5:$A$11,0))+INDEX('Setari model'!$C$5:$C$11,MATCH($E38,'Setari model'!$A$5:$A$11,0))+INDEX('Setari model'!$D$5:$D$11,MATCH($E38,'Setari model'!$A$5:$A$11,0))+INDEX('Setari model'!$E$5:$E$11,MATCH($E38,'Setari model'!$A$5:$A$11,0))+INDEX('Setari model'!$F$5:$F$11,MATCH($E38,'Setari model'!$A$5:$A$11,0))))*$BR38&lt;='Setari model'!$B$116,AVERAGE($GC38:$GD38)&lt;='Setari model'!$B$117,$GE38&gt;='Setari model'!$B$118),"DA","NU")))</x:f>
      </x:c>
      <x:c r="GI38" s="158" t="str">
        <x:f>IF($A38="","",IF(COUNT($W38,$AB38,$GA38:$GB38)&lt;4,"NEDETERMINAT",IF(AND($W38&gt;='Setari model'!$B$120,$AB38&gt;='Setari model'!$B$120,OR(IFERROR($GA38/$W38,0)&gt;='Setari model'!$B$119,IFERROR($GB38/$AB38,0)&gt;='Setari model'!$B$119)),"DA","NU")))</x:f>
      </x:c>
      <x:c r="GJ38" s="160" t="str">
        <x:f>IF($A38="","",IF(COUNT($FY38:$GB38)&lt;4,"",IF($GH38&lt;&gt;"DA",0,'Setari model'!$B$121*IF($GF38="DA",1,0)+'Setari model'!$B$122*IF($GG38="DA",1,0)+'Setari model'!$B$123+'Setari model'!$B$124*IF($GI38="DA",1,0))))</x:f>
      </x:c>
      <x:c r="GK38" s="161" t="str">
        <x:f>IF($A38="","",IF(COUNT($GJ38)=0,"",1+'Setari model'!$B$125*$GJ38))</x:f>
      </x:c>
      <x:c r="GL38" s="160" t="str">
        <x:f>IF($A38="","",IF($GM38&lt;&gt;"DA",$FJ38,MIN('Setari model'!$B$101,MAX(0.002,$FJ38*$GK38))))</x:f>
      </x:c>
      <x:c r="GM38" s="158" t="str">
        <x:f>IF($A38="","",IF(AND($FK38="DA",COUNT($FY38:$GB38)=4,COUNT($I38,$P38,$W38,$AB38,$Z38,$AE38,$EX38,$EY38,$GC38,$GD38)=10,COUNT($BJ38:$BN38)=5),"DA","NU"))</x:f>
      </x:c>
      <x:c r="GN38" s="158" t="str">
        <x:f>IF($A38="","",IF($GM38&lt;&gt;"DA","NEDETERMINAT",IF($FI38*$GK38&lt;='Setari model'!$B$99,"SCĂZUT",IF($FI38*$GK38&lt;='Setari model'!$B$100,"MEDIU","RIDICAT"))))</x:f>
      </x:c>
      <x:c r="GO38" s="160" t="str">
        <x:f>IF($A38="","",IF(OR($GM38&lt;&gt;"DA",$GN38="RIDICAT"),'Setari model'!$B$102,IF($GN38="MEDIU",'Setari model'!$B$103,IF(AND($FM38="DA",$FN38="DA"),'Setari model'!$B$105,'Setari model'!$B$104))))</x:f>
      </x:c>
      <x:c r="GP38" s="160" t="str">
        <x:f t="shared" si="96">IF($A38="","",IF($GL38="","",MIN(1-$GL38,$GO38)))</x:f>
      </x:c>
      <x:c r="GQ38" s="162" t="str">
        <x:f t="shared" si="97">IF($A38="","",IF($GP38="","",IF($GP38&gt;0,1/$GP38,"")))</x:f>
      </x:c>
      <x:c r="GR38" s="160" t="str">
        <x:f t="shared" si="98">IF($A38="","",IF($EC38="","",$GP38-$EC38))</x:f>
      </x:c>
      <x:c r="GS38" s="160" t="str">
        <x:f t="shared" si="99">IF($A38="","",IF($AR38&gt;1,$GP38*$AR38-1,""))</x:f>
      </x:c>
      <x:c r="GT38" s="163" t="str">
        <x:f>IF($A38="","",MAX(0,MIN(100,$FT38-IF(AND($GM38&lt;&gt;"DA",$FK38="DA"),'Setari model'!$B$107,0)-'Setari model'!$B$126*IF($GJ38="",0,$GJ38))))</x:f>
      </x:c>
      <x:c r="GU38" s="158" t="str">
        <x:f t="shared" si="100">IF($A38="","",IF($AR38&lt;=1,"NU – LIPSEȘTE COTA REALĂ",IF($GM38&lt;&gt;"DA","NU – DATE LOW-CONVERSION INCOMPLETE",IF($GN38&lt;&gt;"SCĂZUT","NU – RISC 0-0 "&amp;$GN38,IF($FN38&lt;&gt;"DA","NU – LINEUP NECONFIRMAT",IF($FM38&lt;&gt;"DA","NU – PIAȚĂ NECONFIRMATĂ",IF($EP38&lt;&gt;"DA","NU – PORTOFOLIU","DA")))))))</x:f>
      </x:c>
      <x:c r="GV38" s="158" t="str">
        <x:f>IF($A38="","",IF($GU38&lt;&gt;"DA","WATCH / NO BET",IF(AND($GP38&gt;='Setari model'!$B$35,$GT38&gt;=100*'Setari model'!$B$76,$GS38&gt;0),"PARIU RECOMANDAT",IF(AND($GP38&gt;='Setari model'!$B$39,$GT38&gt;=100*'Setari model'!$B$40,$GS38&gt;0),"WATCH – APROAPE DE PRAG","PARIU EVITAT"))))</x:f>
      </x:c>
      <x:c r="GW38" s="158" t="str">
        <x:f t="shared" si="101">IF($A38="","",IF($GU38&lt;&gt;"DA",$GU38,IF($GT38&lt;75,"Confidence v5 sub 75.",IF($GP38&lt;0.92,"P v5 sub 92%.",IF($GS38&lt;=0,"EV v5 nepozitiv.",IF($GJ38&gt;0,"Low-conversion absorbit în P0; toate porțile rămân trecute.","Toate porțile v5 sunt trecute."))))))</x:f>
      </x:c>
      <x:c r="GX38" s="158" t="str">
        <x:f t="shared" si="102">IF($A38="","","P v5="&amp;TEXT($GP38,"0.0%")&amp;"; P0 v5="&amp;TEXT($GL38,"0.0%")&amp;"; low-conv="&amp;IF(COUNT($GJ38)=0,"n/a",TEXT($GJ38,"0%"))&amp;"; mult.P0="&amp;IF(COUNT($GK38)=0,"n/a",TEXT($GK38,"0.00"))&amp;"; clasă="&amp;$GN38&amp;"; cap="&amp;TEXT($GO38,"0.0%")&amp;"; Confidence="&amp;TEXT($GT38,"0")&amp;"/100; lineup="&amp;$FN38&amp;"; piață="&amp;$FM38&amp;"; EV="&amp;IF($GS38="","n/a",TEXT($GS38,"0.0%"))&amp;"; gate="&amp;$GU38&amp;"; verdict="&amp;$GV38&amp;". "&amp;$GW38)</x:f>
      </x:c>
      <x:c r="GY38" s="174" t="str">
        <x:f>IF($A38="","",IF($GM38&lt;&gt;"DA","SOURCING INCOMPLETE – REVIEW REQUIRED",IF(MIN($I38,$P38,$W38,$AB38)&lt;'Setari model'!$B$58,"SMALL SAMPLE + PRIOR / SHRINKAGE","VERIFIED / PRIOR / SHRINKAGE")))</x:f>
      </x:c>
      <x:c r="GZ38" s="175" t="str">
        <x:f t="shared" si="103">IF($A38="","",MAX(0,MIN(100,100*(1-AVERAGE(IF($GM38="DA",1,0),MIN(1,$AT38/5))))))</x:f>
      </x:c>
      <x:c r="HA38" s="175" t="str">
        <x:f>IF($A38="","",IF($GM38&lt;&gt;"DA","",MAX(0,MIN(100,100*(($FI38*$GK38)-'Setari model'!$B$97)/('Setari model'!$B$98-'Setari model'!$B$97)))))</x:f>
      </x:c>
      <x:c r="HB38" s="175" t="str">
        <x:f>IF($A38="","",MAX(0,MIN(100,100*(ABS($BR38-1)/MAX(1-'Setari model'!$B$53,'Setari model'!$B$54-1)+MIN(1,$BG38/2))/2)))</x:f>
      </x:c>
      <x:c r="HC38" s="175" t="str">
        <x:f t="shared" si="104">IF($A38="","",MAX(0,MIN(100,100*(1-AVERAGE($CC38,MAX(0,1-(MAX($BJ38:$BN38)-MIN($BJ38:$BN38))/(AVERAGE($BJ38:$BN38)*'Setari model'!$B$45)))))))</x:f>
      </x:c>
      <x:c r="HD38" s="175" t="str">
        <x:f t="shared" si="105">IF($A38="","",MAX(0,MIN(100,100*MAX(IF($GJ38="",0,$GJ38),MIN(1,$BG38/2)))))</x:f>
      </x:c>
      <x:c r="HE38" s="175" t="str">
        <x:f>IF($A38="","",IF(COUNT($GZ38:$HD38)&lt;5,"",$GZ38*Risk_Classification!$E$28+$HA38*Risk_Classification!$E$29+$HB38*Risk_Classification!$E$30+$HC38*Risk_Classification!$E$31+$HD38*Risk_Classification!$E$32))</x:f>
      </x:c>
      <x:c r="HF38" s="176" t="str">
        <x:f t="shared" si="106">IF($A38="","",IF($HE38="","",IF($HE38&lt;=20,1,IF($HE38&lt;=40,2,IF($HE38&lt;=60,3,IF($HE38&lt;=80,4,5))))))</x:f>
      </x:c>
      <x:c r="HG38" s="176" t="str">
        <x:f t="shared" si="107">IF($A38="","",IF($GM38="DA","PASS","FAIL – DATE CRITICE ZERO-MASS INCOMPLETE"))</x:f>
      </x:c>
      <x:c r="HH38" s="176" t="str">
        <x:f t="shared" si="108">IF($A38="","",IF($HG38&lt;&gt;"PASS",5,$HF38))</x:f>
      </x:c>
      <x:c r="HI38" s="174" t="str">
        <x:f t="shared" si="109">IF($A38="","",IF($HH38="","N/A",IF($HH38=1,"DEFENSIV",IF($HH38=2,"PRUDENT",IF($HH38=3,"MODERAT",IF($HH38=4,"RIDICAT","WATCH / NO BET"))))))</x:f>
      </x:c>
      <x:c r="HJ38" s="177" t="str">
        <x:f t="shared" si="110">IF($A38="","","Data="&amp;$GY38&amp;"; DQ="&amp;TEXT($GZ38,"0.0")&amp;"; ZM="&amp;IF($HA38="","n/a",TEXT($HA38,"0.0"))&amp;"; Context="&amp;TEXT($HB38,"0.0")&amp;"; Uncertainty="&amp;TEXT($HC38,"0.0")&amp;"; Compound="&amp;TEXT($HD38,"0.0")&amp;"; Risk Score="&amp;IF($HE38="","n/a",TEXT($HE38,"0.0"))&amp;"; Base="&amp;IF($HF38="","n/a",$HF38)&amp;"; G0="&amp;$HG38&amp;"; Final="&amp;$HH38&amp;". Cota, EV si lineup sunt informative si nu intra in recomandare.")</x:f>
      </x:c>
      <x:c r="HK38" s="174" t="str">
        <x:f t="shared" si="111">IF($A38="","",$HI38)</x:f>
      </x:c>
    </x:row>
    <x:row r="39" ht="24" customHeight="1">
      <x:c r="A39" s="58"/>
      <x:c r="B39" s="24"/>
      <x:c r="C39" s="59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18"/>
      <x:c r="O39" s="18"/>
      <x:c r="P39" s="24"/>
      <x:c r="Q39" s="24"/>
      <x:c r="R39" s="24"/>
      <x:c r="S39" s="24"/>
      <x:c r="T39" s="24"/>
      <x:c r="U39" s="18"/>
      <x:c r="V39" s="18"/>
      <x:c r="W39" s="24"/>
      <x:c r="X39" s="24"/>
      <x:c r="Y39" s="24"/>
      <x:c r="Z39" s="24"/>
      <x:c r="AA39" s="24"/>
      <x:c r="AB39" s="24"/>
      <x:c r="AC39" s="24"/>
      <x:c r="AD39" s="24"/>
      <x:c r="AE39" s="24"/>
      <x:c r="AF39" s="24"/>
      <x:c r="AG39" s="24"/>
      <x:c r="AH39" s="24"/>
      <x:c r="AI39" s="18"/>
      <x:c r="AJ39" s="24"/>
      <x:c r="AK39" s="24"/>
      <x:c r="AL39" s="24"/>
      <x:c r="AM39" s="18"/>
      <x:c r="AN39" s="24"/>
      <x:c r="AO39" s="60"/>
      <x:c r="AP39" s="60"/>
      <x:c r="AQ39" s="60"/>
      <x:c r="AR39" s="60"/>
      <x:c r="AS39" s="60"/>
      <x:c r="AT39" s="24"/>
      <x:c r="AU39" s="24"/>
      <x:c r="AV39" s="24"/>
      <x:c r="AW39" s="24"/>
      <x:c r="AX39" s="24"/>
      <x:c r="AY39" s="24"/>
      <x:c r="AZ39" s="24"/>
      <x:c r="BA39" s="24"/>
      <x:c r="BB39" s="24"/>
      <x:c r="BC39" s="24"/>
      <x:c r="BD39" s="24"/>
      <x:c r="BE39" s="24"/>
      <x:c r="BF39" s="24"/>
      <x:c r="BG39" s="24"/>
      <x:c r="BH39" s="61"/>
      <x:c r="BI39" s="61"/>
      <x:c r="BJ39" s="62" t="str">
        <x:f>IF($A39="","",SQRT((($I39*IF($J39="",$AJ39,$J39)+'Setari model'!$B$30*$AJ39)/($I39+'Setari model'!$B$30))*(($P39*IF($R39="",$AJ39,$R39)+'Setari model'!$B$30*$AJ39)/($P39+'Setari model'!$B$30)))+SQRT((($P39*IF($Q39="",$AK39,$Q39)+'Setari model'!$B$30*$AK39)/($P39+'Setari model'!$B$30))*(($I39*IF($K39="",$AK39,$K39)+'Setari model'!$B$30*$AK39)/($I39+'Setari model'!$B$30))))</x:f>
      </x:c>
      <x:c r="BK39" s="62" t="str">
        <x:f>IF($A39="","",SQRT((($I39*IF($L39="",IF($J39="",$AJ39,$J39),$L39)+'Setari model'!$B$30*$AJ39)/($I39+'Setari model'!$B$30))*(($P39*IF($T39="",IF($R39="",$AJ39,$R39),$T39)+'Setari model'!$B$30*$AJ39)/($P39+'Setari model'!$B$30)))+SQRT((($P39*IF($S39="",IF($Q39="",$AK39,$Q39),$S39)+'Setari model'!$B$30*$AK39)/($P39+'Setari model'!$B$30))*(($I39*IF($M39="",IF($K39="",$AK39,$K39),$M39)+'Setari model'!$B$30*$AK39)/($I39+'Setari model'!$B$30))))</x:f>
      </x:c>
      <x:c r="BL39" s="62" t="str">
        <x:f>IF($A39="","",SQRT((($W39*IF($X39="",$AL39/2,$X39)+'Setari model'!$B$31*$AL39/2)/($W39+'Setari model'!$B$31))*(($AB39*IF($AD39="",$AL39/2,$AD39)+'Setari model'!$B$31*$AL39/2)/($AB39+'Setari model'!$B$31)))+SQRT((($AB39*IF($AC39="",$AL39/2,$AC39)+'Setari model'!$B$31*$AL39/2)/($AB39+'Setari model'!$B$31))*(($W39*IF($Y39="",$AL39/2,$Y39)+'Setari model'!$B$31*$AL39/2)/($W39+'Setari model'!$B$31))))</x:f>
      </x:c>
      <x:c r="BM39" s="62" t="str">
        <x:f>IF($A39="","",SQRT((($W39*IF($Z39="",IF($X39="",$AL39/2,$X39),$Z39)+'Setari model'!$B$31*$AL39/2)/($W39+'Setari model'!$B$31))*(($AB39*IF($AF39="",IF($AD39="",$AL39/2,$AD39),$AF39)+'Setari model'!$B$31*$AL39/2)/($AB39+'Setari model'!$B$31)))+SQRT((($AB39*IF($AE39="",IF($AC39="",$AL39/2,$AC39),$AE39)+'Setari model'!$B$31*$AL39/2)/($AB39+'Setari model'!$B$31))*(($W39*IF($AA39="",IF($Y39="",$AL39/2,$Y39),$AA39)+'Setari model'!$B$31*$AL39/2)/($W39+'Setari model'!$B$31))))</x:f>
      </x:c>
      <x:c r="BN39" s="62" t="str">
        <x:f t="shared" si="56">IF($A39="","",IF($AG39&gt;0,($AG39*IF($AH39="",$AL39,$AH39)+5*$AL39)/($AG39+5),$AL39))</x:f>
      </x:c>
      <x:c r="BO39" s="63" t="str">
        <x:f>IF($A39="","",IF($AR39&gt;1,IF($AS39&gt;1,(1/$AR39)/((1/$AR39+1/$AS39)),MIN(0.995,(1/$AR39)/(1+'Setari model'!$B$32))),1-EXP(-$AL39)))</x:f>
      </x:c>
      <x:c r="BP39" s="62" t="str">
        <x:f t="shared" si="57">IF($A39="","",-LN(1-$BO39))</x:f>
      </x:c>
      <x:c r="BQ39" s="62" t="str">
        <x:f>IF($A39="","",$BJ39*INDEX('Setari model'!$B$5:$B$11,MATCH($E39,'Setari model'!$A$5:$A$11,0))+$BK39*INDEX('Setari model'!$C$5:$C$11,MATCH($E39,'Setari model'!$A$5:$A$11,0))+$BL39*INDEX('Setari model'!$D$5:$D$11,MATCH($E39,'Setari model'!$A$5:$A$11,0))+$BM39*INDEX('Setari model'!$E$5:$E$11,MATCH($E39,'Setari model'!$A$5:$A$11,0))+$BN39*INDEX('Setari model'!$F$5:$F$11,MATCH($E39,'Setari model'!$A$5:$A$11,0))+$BP39*INDEX('Setari model'!$G$5:$G$11,MATCH($E39,'Setari model'!$A$5:$A$11,0)))</x:f>
      </x:c>
      <x:c r="BR39" s="64" t="str">
        <x:f>IF($A39="","",MAX('Setari model'!$B$53,MIN('Setari model'!$B$54,1+($AV39*'Setari model'!$B$15+$AW39*'Setari model'!$B$16+$AX39*'Setari model'!$B$17+$AY39*'Setari model'!$B$18+$AZ39*'Setari model'!$B$19+$BA39*'Setari model'!$B$20+$BB39*'Setari model'!$B$21+$BC39*'Setari model'!$B$22+$BD39*'Setari model'!$B$23+$BE39*'Setari model'!$B$24+$BF39*'Setari model'!$B$25)*INDEX('Setari model'!$H$5:$H$11,MATCH($E39,'Setari model'!$A$5:$A$11,0)))))</x:f>
      </x:c>
      <x:c r="BS39" s="62" t="str">
        <x:f t="shared" si="58">IF($A39="","",$BQ39*$BR39)</x:f>
      </x:c>
      <x:c r="BT39" s="63" t="str">
        <x:f t="shared" si="59">IF($A39="","",EXP(-$BS39))</x:f>
      </x:c>
      <x:c r="BU39" s="65" t="str">
        <x:f>IF($A39="","",IF(OR($AM39="",$AN39=""),1,1+MIN('Setari model'!$B$33,$AN39/100*'Setari model'!$B$33)*($AM39/EXP(-$AL39)-1)))</x:f>
      </x:c>
      <x:c r="BV39" s="63" t="str">
        <x:f>IF($A39="","",MIN(0.45,MAX(0.005,(1-'Setari model'!$B$34*MIN(1,($I39+$P39)/20))*MIN(0.45,$BT39*$BU39)+'Setari model'!$B$34*MIN(1,($I39+$P39)/20)*IF(COUNT($N39,$U39)=2,SQRT(MAX(0,1-$N39)*MAX(0,1-$U39)),IF($AM39="",EXP(-$AL39),$AM39)))))</x:f>
      </x:c>
      <x:c r="BW39" s="63" t="str">
        <x:f t="shared" si="60">IF($A39="","",1-$BV39)</x:f>
      </x:c>
      <x:c r="BX39" s="62" t="str">
        <x:f t="shared" si="61">IF($A39="","",1/$BW39)</x:f>
      </x:c>
      <x:c r="BY39" s="63" t="str">
        <x:f t="shared" si="62">IF($A39="","",$BO39)</x:f>
      </x:c>
      <x:c r="BZ39" s="63" t="str">
        <x:f t="shared" si="63">IF($A39="","",$BW39-$BY39)</x:f>
      </x:c>
      <x:c r="CA39" s="63" t="str">
        <x:f t="shared" si="64">IF($A39="","",IF($AR39&gt;1,$BW39*$AR39-1,""))</x:f>
      </x:c>
      <x:c r="CB39" s="63" t="str">
        <x:f>IF($A39="","",MIN(1,COUNT($I39:$AN39,$AR39:$BG39)/'Setari model'!$B$46))</x:f>
      </x:c>
      <x:c r="CC39" s="63" t="str">
        <x:f t="shared" si="65">IF($A39="","",0.25*MIN(1,$I39/10)+0.25*MIN(1,$P39/10)+0.15*MIN(1,$W39/5)+0.15*MIN(1,$AB39/5)+0.1*MIN(1,$AG39/5)+0.1*MIN(1,$AN39/100))</x:f>
      </x:c>
      <x:c r="CD39" s="63" t="str">
        <x:f>IF($A39="","",MAX(0,1-(MAX($BJ39:$BN39,$BP39)-MIN($BJ39:$BN39,$BP39))/(AVERAGE($BJ39:$BN39,$BP39)*'Setari model'!$B$45)))</x:f>
      </x:c>
      <x:c r="CE39" s="66" t="str">
        <x:f>IF($A39="","",MAX(0,MIN(100,100*INDEX('Setari model'!$I$5:$I$11,MATCH($E39,'Setari model'!$A$5:$A$11,0))*('Setari model'!$B$47*$CB39+'Setari model'!$B$48*$CC39+'Setari model'!$B$49*$CD39+'Setari model'!$B$50*$AT39/5+'Setari model'!$B$51*$AU39)-100*'Setari model'!$B$52*$BG39)))</x:f>
      </x:c>
      <x:c r="CF39" s="65" t="str">
        <x:f t="shared" si="66">IF($A39="","",IF(OR($AT39&lt;3,$BG39&gt;=2,$CB39&lt;0.55,$CC39&lt;0.4),"RIDICAT",IF(OR($AU39=0,$CD39&lt;0.45,$BR39&lt;0.9),"MEDIU","SCĂZUT")))</x:f>
      </x:c>
      <x:c r="CG39" s="65" t="str">
        <x:f>IF($A39="","",IF($AR39&gt;1,IF(AND($BW39&gt;= 'Setari model'!$B$35,$CE39&gt;=100*'Setari model'!$B$36,$BZ39&gt;= 'Setari model'!$B$37,$CA39&gt;= 'Setari model'!$B$38,$CF39&lt;&gt;"RIDICAT"),"PARIU RECOMANDAT",IF(AND($BW39&gt;= 'Setari model'!$B$39,$CE39&gt;=100*'Setari model'!$B$40,$BZ39&gt;= 'Setari model'!$B$41,$CA39&gt;=0,$CF39&lt;&gt;"RIDICAT"),"RECOMANDAT CU PRUDENȚĂ",IF(AND($BW39&gt;= 'Setari model'!$B$42,$CE39&gt;=100*'Setari model'!$B$43),"ANALIZĂ NECONCLUDENTĂ","PARIU EVITAT"))),IF(AND($BW39&gt;= 'Setari model'!$B$35,$CE39&gt;=100*'Setari model'!$B$36,$CF39&lt;&gt;"RIDICAT"),"FAVORABIL STATISTIC – VERIFICĂ COTA",IF(AND($BW39&gt;= 'Setari model'!$B$42,$CE39&gt;=100*'Setari model'!$B$43),"ANALIZĂ NECONCLUDENTĂ","PARIU EVITAT"))))</x:f>
      </x:c>
      <x:c r="CH39" s="67" t="str">
        <x:f t="shared" si="67">IF($A39="","","P(O0,5)="&amp;TEXT($BW39,"0.0%")&amp;"; λ ajustat="&amp;TEXT($BS39,"0.00")&amp;"; Confidence="&amp;TEXT($CE39,"0")&amp;"/100; Edge="&amp;TEXT($BZ39,"0.0%")&amp;"; risc="&amp;$CF39&amp;". "&amp;$BH39)</x:f>
      </x:c>
      <x:c r="CI39" s="68" t="str">
        <x:f t="shared" si="68">IF($A39="","",$BI39)</x:f>
      </x:c>
      <x:c r="CJ39" s="112"/>
      <x:c r="CK39" s="112"/>
      <x:c r="CL39" s="112"/>
      <x:c r="CM39" s="112"/>
      <x:c r="CN39" s="112"/>
      <x:c r="CO39" s="112"/>
      <x:c r="CP39" s="112"/>
      <x:c r="CQ39" s="112"/>
      <x:c r="CR39" s="112"/>
      <x:c r="CS39" s="112"/>
      <x:c r="CT39" s="112"/>
      <x:c r="CU39" s="112"/>
      <x:c r="CV39" s="112"/>
      <x:c r="CW39" s="112"/>
      <x:c r="CX39" s="112"/>
      <x:c r="CY39" s="112"/>
      <x:c r="CZ39" s="112"/>
      <x:c r="DA39" s="112"/>
      <x:c r="DB39" s="112"/>
      <x:c r="DC39" s="114"/>
      <x:c r="DD39" s="114"/>
      <x:c r="DE39" s="112" t="s">
        <x:v>266</x:v>
      </x:c>
      <x:c r="DF39" s="112"/>
      <x:c r="DG39" s="112"/>
      <x:c r="DH39" s="112"/>
      <x:c r="DI39" s="112"/>
      <x:c r="DJ39" s="112"/>
      <x:c r="DK39" s="112"/>
      <x:c r="DL39" s="112"/>
      <x:c r="DM39" s="112"/>
      <x:c r="DN39" s="112"/>
      <x:c r="DO39" s="112"/>
      <x:c r="DP39" s="112"/>
      <x:c r="DQ39" s="114"/>
      <x:c r="DR39" s="112">
        <x:v>1</x:v>
      </x:c>
      <x:c r="DS39" s="116">
        <x:v>0</x:v>
      </x:c>
      <x:c r="DT39" s="120"/>
      <x:c r="DU39" s="116">
        <x:v>0.02</x:v>
      </x:c>
      <x:c r="DV39" s="116">
        <x:v>0.25</x:v>
      </x:c>
      <x:c r="DW39" s="118" t="str">
        <x:f>IF($A39="","",MAX('Setari model'!$B$71,MIN('Setari model'!$B$72,1+0.08*(IFERROR(AVERAGE($CM39:$CN39)/'Setari model'!$B$66,1)-1)+0.08*(IFERROR(AVERAGE($CO39:$CP39)/'Setari model'!$B$67,1)-1)+0.06*(IFERROR(AVERAGE($CQ39:$CR39)/'Setari model'!$B$68,1)-1)+0.04*(IFERROR(AVERAGE($CS39:$CT39)/'Setari model'!$B$69,1)-1)+0.04*(IFERROR(AVERAGE($CU39:$CV39)/'Setari model'!$B$70,1)-1)-'Setari model'!$B$73*IFERROR(AVERAGE($CW39:$CX39),0))))</x:f>
      </x:c>
      <x:c r="DX39" s="118" t="str">
        <x:f>IF($A39="","",1+'Setari model'!$B$62*MAX(IF(OR($CK39=1,$CL39=1),1,0),IF(AND($CJ39&lt;&gt;"",$CJ39&lt;=1),1,0))+'Setari model'!$B$63*IF(AND($CJ39&gt;1,$CJ39&lt;=3),1,0))</x:f>
      </x:c>
      <x:c r="DY39" s="118" t="str">
        <x:f>IF($A39="","",1+'Setari model'!$B$74*(IF($CY39="",0,IF($CY39=0,1,0))+IF($CZ39="",0,IF($CZ39=0,1,0)))+'Setari model'!$B$75*(IF($DA39="",0,IF($DA39=0,1,0))+IF($DB39="",0,IF($DB39=0,1,0))))</x:f>
      </x:c>
      <x:c r="DZ39" s="117" t="str">
        <x:f>IF($A39="","",MIN(0.6,MAX(0.002,(((1-'Setari model'!$B$34*MIN(1,($I39+$P39)/20))*$BT39+'Setari model'!$B$34*MIN(1,($I39+$P39)/20)*IF(COUNT($N39,$U39)=2,SQRT(MAX(0,1-$N39)*MAX(0,1-$U39)),$BT39))*(1-'Setari model'!$B$65*MIN(1,IF($AN39="",0,$AN39/'Setari model'!$B$64)))+'Setari model'!$B$65*MIN(1,IF($AN39="",0,$AN39/'Setari model'!$B$64))*IF($AM39="",$BT39,$AM39))*$DX39*$DY39/$DW39)))</x:f>
      </x:c>
      <x:c r="EA39" s="117" t="str">
        <x:f>IF($A39="","",MIN(1-$DZ39,IF(OR(MIN($I39,$P39)&lt;'Setari model'!$B$58,$CK39=1,$CL39=1,AND($CJ39&lt;&gt;"",$CJ39&lt;=1)),'Setari model'!$B$59,IF(AND($AU39=1,$AR39&gt;1,COUNT($CY39:$DB39)=4),'Setari model'!$B$61,'Setari model'!$B$60))))</x:f>
      </x:c>
      <x:c r="EB39" s="115" t="str">
        <x:f t="shared" si="69">IF($A39="","",1/$EA39)</x:f>
      </x:c>
      <x:c r="EC39" s="117" t="str">
        <x:f t="shared" si="70">IF($A39="","",IF($AR39&gt;1,IF($AS39&gt;1,(1/$AR39)/((1/$AR39)+(1/$AS39)),1/$AR39),""))</x:f>
      </x:c>
      <x:c r="ED39" s="117" t="str">
        <x:f t="shared" si="71">IF($A39="","",IF($EC39="","",$EA39-$EC39))</x:f>
      </x:c>
      <x:c r="EE39" s="117" t="str">
        <x:f t="shared" si="72">""</x:f>
      </x:c>
      <x:c r="EF39" s="119" t="str">
        <x:f>IF($A39="","",MAX(0,MIN(100,$CE39-200*MAX(0,$EG39-'Setari model'!$B$77)-IF($AU39&lt;&gt;1,10,0)-IF(COUNT($CY39:$DB39)&lt;4,4,0))))</x:f>
      </x:c>
      <x:c r="EG39" s="117" t="str">
        <x:f>IF($A39="","",'Setari model'!$B$77+IF(MIN($I39,$P39)&lt;'Setari model'!$B$58,0.03,0)+IF(OR($CK39=1,$CL39=1,AND($CJ39&lt;&gt;"",$CJ39&lt;=1)),0.03,0)+IF($AG39=0,0.02,0)+0.03*(1-MIN(1,COUNT($CM39:$CV39)/10))+0.03*(1-MIN(1,IF($AN39="",0,$AN39/'Setari model'!$B$64)))+IF($AR39&lt;=1,0.02,0))</x:f>
      </x:c>
      <x:c r="EH39" s="113" t="str">
        <x:f>IF($A39="","",IF(OR(MIN($I39,$P39)&lt;'Setari model'!$B$58,$CK39=1,$CL39=1,AND($CJ39&lt;&gt;"",$CJ39&lt;=1)),"92% – early/regim",IF(AND($AU39=1,$AR39&gt;1,COUNT($CY39:$DB39)=4),"94% – confirmat","93% – standard")))</x:f>
      </x:c>
      <x:c r="EI39" s="113" t="str">
        <x:f t="shared" si="73">IF($A39="","",IF(AND($EA39&gt;0.9,$AU39&lt;&gt;1),"WAIT XI – HIGH P",IF(AND($EA39&gt;0.9,COUNT($CY39:$DB39)&lt;4),"WAIT DATE CHEIE – HIGH P",IF($EP39&lt;&gt;"DA","NU – PORTOFOLIU","DA"))))</x:f>
      </x:c>
      <x:c r="EJ39" s="117" t="str">
        <x:f t="shared" si="74">IF($A39="","",IF($DE39&lt;&gt;"Live 20-30","",IF(SUM($DG39:$DH39)&gt;0,1,IF($EU39="","",1-MIN(0.95,MAX(0.001,EXP(-$EU39)*$DX39*$DY39/$DW39))))))</x:f>
      </x:c>
      <x:c r="EK39" s="117" t="str">
        <x:f t="shared" si="75">""</x:f>
      </x:c>
      <x:c r="EL39" s="113" t="str">
        <x:f>IF($A39="","",IF($DE39="Live 20-30",IF(SUM($DG39:$DH39)&gt;0,"EVENIMENT ÎNDEPLINIT",IF(OR($DF39="",COUNT($DI39:$DN39)&lt;4),"LIVE – WATCH",IF($EJ39&gt;=0.75,"LIVE – FEZABIL TEHNIC","LIVE – NO BET"))),IF($EI39&lt;&gt;"DA","WATCH / NO BET",IF(AND($EA39&gt;=INDEX('Setari model'!$B$35:$B$40,1),$EF39&gt;=100*'Setari model'!$B$76),"PARIU RECOMANDAT",IF(AND($EA39&gt;=INDEX('Setari model'!$B$35:$B$40,5),$EF39&gt;=100*'Setari model'!$B$40),"WATCH – APROAPE DE PRAG","PARIU EVITAT")))))</x:f>
      </x:c>
      <x:c r="EM39" s="113" t="str">
        <x:f t="shared" si="76">IF($A39="","",IF($DE39="Live 20-30",IF(SUM($DG39:$DH39)&gt;0,"Gol deja marcat.",IF($DF39="","Minut live lipsă.",IF(COUNT($DI39:$DN39)&lt;4,"Lipsesc xG/SOT/big chances live.",IF($EJ39&lt;0.75,"P live sub prag.","Semnal live tehnic complet; EV ignorat.")))),IF($EI39&lt;&gt;"DA",$EI39,IF($EF39&lt;75,"Confidence sub 75.",IF($EA39&lt;0.92,"P sub 92%.","G0/Zero-Mass + confidence trecute; EV ignorat.")))))</x:f>
      </x:c>
      <x:c r="EN39" s="117" t="str">
        <x:f>IF($A39="","",IF(OR($EL39="PARIU RECOMANDAT",$EL39="LIVE – FEZABIL"),MIN(IF($DU39&gt;0,$DU39,'Setari model'!$B$81)/MAX(1,$DR39),IF($DV39&gt;0,$DV39,'Setari model'!$B$80)*MAX(0,((IF($DE39="Live 20-30",$EJ39,$EA39)*IF($DE39="Live 20-30",$DQ39,$AR39)-1)/(IF($DE39="Live 20-30",$DQ39,$AR39)-1)))),0))</x:f>
      </x:c>
      <x:c r="EO39" s="121" t="str">
        <x:f t="shared" si="77">IF($A39="","",IF(AND($EN39&gt;0,$DT39&gt;0),$EN39*$DT39,""))</x:f>
      </x:c>
      <x:c r="EP39" s="113" t="str">
        <x:f>IF($A39="","",IF(OR($DR39&lt;1,$DR39&gt;'Setari model'!$B$78),"NU – 1–5 selecții",IF($DS39&gt;'Setari model'!$B$79,"NU – corelație", "DA")))</x:f>
      </x:c>
      <x:c r="EQ39" s="117" t="str">
        <x:f t="shared" si="78">IF($A39="","",IF(AND($DC39&gt;1,$DD39&gt;1),$DC39/$DD39-1,""))</x:f>
      </x:c>
      <x:c r="ER39" s="113" t="str">
        <x:f t="shared" si="79">IF($A39="","","P v2="&amp;TEXT($EA39,"0.0%")&amp;" ±"&amp;TEXT($EG39,"0.0%")&amp;"; P0 ZIP="&amp;TEXT($DZ39,"0.0%")&amp;"; Confidence="&amp;TEXT($EF39,"0")&amp;"/100; piață reală="&amp;IF($EC39="","NU","DA")&amp;"; EV="&amp;IF($EE39="","n/a",TEXT($EE39,"0.0%"))&amp;"; gate="&amp;$EI39&amp;"; verdict="&amp;$EL39&amp;". "&amp;$EM39)</x:f>
      </x:c>
      <x:c r="ES39" s="119" t="str">
        <x:f>IF($A39="","",'Setari model'!$B$82)</x:f>
      </x:c>
      <x:c r="ET39" s="118" t="str">
        <x:f>IF($A39="","",'Setari model'!$B$83)</x:f>
      </x:c>
      <x:c r="EU39" s="115" t="str">
        <x:f t="shared" si="80">IF(OR($A39="",$DE39&lt;&gt;"Live 20-30",$DF39="",$DF39&lt;$ES39,$DF39&gt;=90),"",MAX(0.05,MIN($BS39*$ET39,$BS39*(90-$DF39)/90+0.35*($DI39+$DJ39)+0.06*($DK39+$DL39)+0.15*($DM39+$DN39)+0.1*(MAX($DO39,$DP39)-MIN($DO39,$DP39)))))</x:f>
      </x:c>
      <x:c r="EV39" s="132"/>
      <x:c r="EW39" s="132"/>
      <x:c r="EX39" s="132"/>
      <x:c r="EY39" s="132"/>
      <x:c r="EZ39" s="132"/>
      <x:c r="FA39" s="132"/>
      <x:c r="FB39" s="247"/>
      <x:c r="FC39" s="134" t="str">
        <x:f t="shared" si="81">IF($A39="","",IF(OR($J39="",$L39="",$L39&lt;=0),"",MAX(0.5,MIN(1.5,$J39/$L39))))</x:f>
      </x:c>
      <x:c r="FD39" s="134" t="str">
        <x:f t="shared" si="82">IF($A39="","",IF(OR($Q39="",$S39="",$S39&lt;=0),"",MAX(0.5,MIN(1.5,$Q39/$S39))))</x:f>
      </x:c>
      <x:c r="FE39" s="134" t="str">
        <x:f>IF($A39="","",IF(COUNT($EV39:$EW39)&lt;2,"",SQRT($EV39*$EW39)/'Setari model'!$B$87))</x:f>
      </x:c>
      <x:c r="FF39" s="134" t="str">
        <x:f>IF($A39="","",IF(COUNT($O39,$V39,$EX39,$EY39)&lt;4,"",AVERAGE(SQRT($O39*$EY39),SQRT($V39*$EX39))/'Setari model'!$B$88))</x:f>
      </x:c>
      <x:c r="FG39" s="134" t="str">
        <x:f t="shared" si="83">IF($A39="","",IF(COUNT($FC39:$FD39)&lt;2,"",MAX(0,1-AVERAGE($FC39:$FD39))))</x:f>
      </x:c>
      <x:c r="FH39" s="134" t="str">
        <x:f>IF($A39="","",IF(COUNT($EZ39:$FA39)&lt;2,"",'Setari model'!$B$94*AVERAGE($EZ39:$FA39)/'Setari model'!$B$89))</x:f>
      </x:c>
      <x:c r="FI39" s="134" t="str">
        <x:f>IF($A39="","",IF(COUNT($FE39:$FH39)&lt;4,"",MAX('Setari model'!$B$97,MIN('Setari model'!$B$98,1+'Setari model'!$B$90*($FE39-1)+'Setari model'!$B$91*($FF39-1)+'Setari model'!$B$92*$FG39+'Setari model'!$B$93*($FH39-1)))))</x:f>
      </x:c>
      <x:c r="FJ39" s="133" t="str">
        <x:f>IF($A39="","",IF($FI39="","",MIN('Setari model'!$B$101,MAX(0.002,$DZ39*$FI39))))</x:f>
      </x:c>
      <x:c r="FK39" s="131" t="str">
        <x:f t="shared" si="84">IF($A39="","",IF(AND(COUNT($EV39:$FA39)=6,COUNT($O39,$V39,$FC39,$FD39)=4),"DA","NU"))</x:f>
      </x:c>
      <x:c r="FL39" s="131" t="str">
        <x:f>IF($A39="","",IF($FK39&lt;&gt;"DA","NEDETERMINAT",IF($FI39&lt;='Setari model'!$B$99,"SCĂZUT",IF($FI39&lt;='Setari model'!$B$100,"MEDIU","RIDICAT"))))</x:f>
      </x:c>
      <x:c r="FM39" s="131" t="str">
        <x:f>IF($A39="","",IF(AND($AR39&gt;1,$EC39&gt;='Setari model'!$B$106),"DA","NU"))</x:f>
      </x:c>
      <x:c r="FN39" s="131" t="str">
        <x:f t="shared" si="85">IF($A39="","",IF(AND($AU39=1,COUNT($CY39:$DB39)=4),"DA","NU"))</x:f>
      </x:c>
      <x:c r="FO39" s="133" t="str">
        <x:f>IF($A39="","",IF(OR($FK39&lt;&gt;"DA",$FL39="RIDICAT"),'Setari model'!$B$102,IF($FL39="MEDIU",'Setari model'!$B$103,IF(AND($FM39="DA",$FN39="DA"),'Setari model'!$B$105,'Setari model'!$B$104))))</x:f>
      </x:c>
      <x:c r="FP39" s="133" t="str">
        <x:f t="shared" si="86">IF($A39="","",IF($FJ39="","",MIN(1-$FJ39,$FO39)))</x:f>
      </x:c>
      <x:c r="FQ39" s="135" t="str">
        <x:f t="shared" si="87">IF($A39="","",IF($FP39="","",IF($FP39&gt;0,1/$FP39,"")))</x:f>
      </x:c>
      <x:c r="FR39" s="133" t="str">
        <x:f t="shared" si="88">IF($A39="","",IF($EC39="","",$FP39-$EC39))</x:f>
      </x:c>
      <x:c r="FS39" s="133" t="str">
        <x:f t="shared" si="89">IF($A39="","",IF($AR39&gt;1,$FP39*$AR39-1,""))</x:f>
      </x:c>
      <x:c r="FT39" s="136" t="str">
        <x:f>IF($A39="","",MAX(0,MIN(100,$EF39-IF($FK39&lt;&gt;"DA",'Setari model'!$B$107,0)-IF($FL39="MEDIU",'Setari model'!$B$108,0)-IF($FL39="RIDICAT",'Setari model'!$B$109,0))))</x:f>
      </x:c>
      <x:c r="FU39" s="131" t="str">
        <x:f t="shared" si="90">IF($A39="","",IF($AR39&lt;=1,"NU – LIPSEȘTE COTA REALĂ",IF($FK39&lt;&gt;"DA","NU – ZERO-RISK INCOMPLET",IF($FL39&lt;&gt;"SCĂZUT","NU – RISC 0-0 "&amp;$FL39,IF($FN39&lt;&gt;"DA","NU – LINEUP NECONFIRMAT",IF($FM39&lt;&gt;"DA","NU – PIAȚĂ NECONFIRMATĂ",IF($EP39&lt;&gt;"DA","NU – PORTOFOLIU","DA")))))))</x:f>
      </x:c>
      <x:c r="FV39" s="131" t="str">
        <x:f>IF($A39="","",IF($FU39&lt;&gt;"DA","WATCH / NO BET",IF(AND($FP39&gt;='Setari model'!$B$35,$FT39&gt;=100*'Setari model'!$B$76,$FS39&gt;0),"PARIU RECOMANDAT",IF(AND($FP39&gt;='Setari model'!$B$39,$FT39&gt;=100*'Setari model'!$B$40,$FS39&gt;0),"WATCH – APROAPE DE PRAG","PARIU EVITAT"))))</x:f>
      </x:c>
      <x:c r="FW39" s="131" t="str">
        <x:f t="shared" si="91">IF($A39="","",IF($FU39&lt;&gt;"DA",$FU39,IF($FT39&lt;75,"Confidence v3 sub 75.",IF($FP39&lt;0.92,"P v3 sub 92%.",IF($FS39&lt;=0,"EV v3 nepozitiv.","P0 v3, lineup și piață confirmate.")))))</x:f>
      </x:c>
      <x:c r="FX39" s="131" t="str">
        <x:f t="shared" si="92">IF($A39="","","P v3="&amp;TEXT($FP39,"0.0%")&amp;"; P0 v3="&amp;TEXT($FJ39,"0.0%")&amp;"; factor zero="&amp;IF($FI39="","n/a",TEXT($FI39,"0.00x"))&amp;" ("&amp;$FL39&amp;"); cap="&amp;TEXT($FO39,"0.0%")&amp;"; Confidence="&amp;TEXT($FT39,"0")&amp;"/100; lineup="&amp;$FN39&amp;"; piață="&amp;$FM39&amp;"; EV="&amp;IF($FS39="","n/a",TEXT($FS39,"0.0%"))&amp;"; gate="&amp;$FU39&amp;"; verdict="&amp;$FV39&amp;". "&amp;$FW39)</x:f>
      </x:c>
      <x:c r="FY39" s="159"/>
      <x:c r="FZ39" s="159"/>
      <x:c r="GA39" s="157"/>
      <x:c r="GB39" s="157"/>
      <x:c r="GC39" s="161" t="str">
        <x:f t="shared" si="93">IF($A39="","",IF(OR($X39="",$Z39="",$Z39&lt;=0),"",MAX(0.5,MIN(1.5,$X39/$Z39))))</x:f>
      </x:c>
      <x:c r="GD39" s="161" t="str">
        <x:f t="shared" si="94">IF($A39="","",IF(OR($AC39="",$AE39="",$AE39&lt;=0),"",MAX(0.5,MIN(1.5,$AC39/$AE39))))</x:f>
      </x:c>
      <x:c r="GE39" s="162" t="str">
        <x:f t="shared" si="95">IF($A39="","",IF(COUNT($Z39,$AE39)&lt;2,"",AVERAGE($Z39,$AE39)))</x:f>
      </x:c>
      <x:c r="GF39" s="158" t="str">
        <x:f>IF($A39="","",IF(COUNT($FY39:$FZ39)&lt;2,"NEDETERMINAT",IF(AND($FY39&gt;='Setari model'!$B$113,$FZ39&gt;='Setari model'!$B$113),"DA","NU")))</x:f>
      </x:c>
      <x:c r="GG39" s="158" t="str">
        <x:f>IF($A39="","",IF(COUNT($FY39:$FZ39,$EX39:$EY39)&lt;4,"NEDETERMINAT",IF(OR(AND($FY39&gt;='Setari model'!$B$113,$EY39&gt;='Setari model'!$B$114),AND($FZ39&gt;='Setari model'!$B$113,$EX39&gt;='Setari model'!$B$114)),"DA","NU")))</x:f>
      </x:c>
      <x:c r="GH39" s="158" t="str">
        <x:f>IF($A39="","",IF(COUNT($BJ39:$BN39,$GC39:$GE39)&lt;8,"NEDETERMINAT",IF(AND((($BJ39*INDEX('Setari model'!$B$5:$B$11,MATCH($E39,'Setari model'!$A$5:$A$11,0))+$BK39*INDEX('Setari model'!$C$5:$C$11,MATCH($E39,'Setari model'!$A$5:$A$11,0))+$BL39*INDEX('Setari model'!$D$5:$D$11,MATCH($E39,'Setari model'!$A$5:$A$11,0))+$BM39*INDEX('Setari model'!$E$5:$E$11,MATCH($E39,'Setari model'!$A$5:$A$11,0))+$BN39*INDEX('Setari model'!$F$5:$F$11,MATCH($E39,'Setari model'!$A$5:$A$11,0)))/(INDEX('Setari model'!$B$5:$B$11,MATCH($E39,'Setari model'!$A$5:$A$11,0))+INDEX('Setari model'!$C$5:$C$11,MATCH($E39,'Setari model'!$A$5:$A$11,0))+INDEX('Setari model'!$D$5:$D$11,MATCH($E39,'Setari model'!$A$5:$A$11,0))+INDEX('Setari model'!$E$5:$E$11,MATCH($E39,'Setari model'!$A$5:$A$11,0))+INDEX('Setari model'!$F$5:$F$11,MATCH($E39,'Setari model'!$A$5:$A$11,0))))*$BR39&gt;='Setari model'!$B$115,(($BJ39*INDEX('Setari model'!$B$5:$B$11,MATCH($E39,'Setari model'!$A$5:$A$11,0))+$BK39*INDEX('Setari model'!$C$5:$C$11,MATCH($E39,'Setari model'!$A$5:$A$11,0))+$BL39*INDEX('Setari model'!$D$5:$D$11,MATCH($E39,'Setari model'!$A$5:$A$11,0))+$BM39*INDEX('Setari model'!$E$5:$E$11,MATCH($E39,'Setari model'!$A$5:$A$11,0))+$BN39*INDEX('Setari model'!$F$5:$F$11,MATCH($E39,'Setari model'!$A$5:$A$11,0)))/(INDEX('Setari model'!$B$5:$B$11,MATCH($E39,'Setari model'!$A$5:$A$11,0))+INDEX('Setari model'!$C$5:$C$11,MATCH($E39,'Setari model'!$A$5:$A$11,0))+INDEX('Setari model'!$D$5:$D$11,MATCH($E39,'Setari model'!$A$5:$A$11,0))+INDEX('Setari model'!$E$5:$E$11,MATCH($E39,'Setari model'!$A$5:$A$11,0))+INDEX('Setari model'!$F$5:$F$11,MATCH($E39,'Setari model'!$A$5:$A$11,0))))*$BR39&lt;='Setari model'!$B$116,AVERAGE($GC39:$GD39)&lt;='Setari model'!$B$117,$GE39&gt;='Setari model'!$B$118),"DA","NU")))</x:f>
      </x:c>
      <x:c r="GI39" s="158" t="str">
        <x:f>IF($A39="","",IF(COUNT($W39,$AB39,$GA39:$GB39)&lt;4,"NEDETERMINAT",IF(AND($W39&gt;='Setari model'!$B$120,$AB39&gt;='Setari model'!$B$120,OR(IFERROR($GA39/$W39,0)&gt;='Setari model'!$B$119,IFERROR($GB39/$AB39,0)&gt;='Setari model'!$B$119)),"DA","NU")))</x:f>
      </x:c>
      <x:c r="GJ39" s="160" t="str">
        <x:f>IF($A39="","",IF(COUNT($FY39:$GB39)&lt;4,"",IF($GH39&lt;&gt;"DA",0,'Setari model'!$B$121*IF($GF39="DA",1,0)+'Setari model'!$B$122*IF($GG39="DA",1,0)+'Setari model'!$B$123+'Setari model'!$B$124*IF($GI39="DA",1,0))))</x:f>
      </x:c>
      <x:c r="GK39" s="161" t="str">
        <x:f>IF($A39="","",IF(COUNT($GJ39)=0,"",1+'Setari model'!$B$125*$GJ39))</x:f>
      </x:c>
      <x:c r="GL39" s="160" t="str">
        <x:f>IF($A39="","",IF($GM39&lt;&gt;"DA",$FJ39,MIN('Setari model'!$B$101,MAX(0.002,$FJ39*$GK39))))</x:f>
      </x:c>
      <x:c r="GM39" s="158" t="str">
        <x:f>IF($A39="","",IF(AND($FK39="DA",COUNT($FY39:$GB39)=4,COUNT($I39,$P39,$W39,$AB39,$Z39,$AE39,$EX39,$EY39,$GC39,$GD39)=10,COUNT($BJ39:$BN39)=5),"DA","NU"))</x:f>
      </x:c>
      <x:c r="GN39" s="158" t="str">
        <x:f>IF($A39="","",IF($GM39&lt;&gt;"DA","NEDETERMINAT",IF($FI39*$GK39&lt;='Setari model'!$B$99,"SCĂZUT",IF($FI39*$GK39&lt;='Setari model'!$B$100,"MEDIU","RIDICAT"))))</x:f>
      </x:c>
      <x:c r="GO39" s="160" t="str">
        <x:f>IF($A39="","",IF(OR($GM39&lt;&gt;"DA",$GN39="RIDICAT"),'Setari model'!$B$102,IF($GN39="MEDIU",'Setari model'!$B$103,IF(AND($FM39="DA",$FN39="DA"),'Setari model'!$B$105,'Setari model'!$B$104))))</x:f>
      </x:c>
      <x:c r="GP39" s="160" t="str">
        <x:f t="shared" si="96">IF($A39="","",IF($GL39="","",MIN(1-$GL39,$GO39)))</x:f>
      </x:c>
      <x:c r="GQ39" s="162" t="str">
        <x:f t="shared" si="97">IF($A39="","",IF($GP39="","",IF($GP39&gt;0,1/$GP39,"")))</x:f>
      </x:c>
      <x:c r="GR39" s="160" t="str">
        <x:f t="shared" si="98">IF($A39="","",IF($EC39="","",$GP39-$EC39))</x:f>
      </x:c>
      <x:c r="GS39" s="160" t="str">
        <x:f t="shared" si="99">IF($A39="","",IF($AR39&gt;1,$GP39*$AR39-1,""))</x:f>
      </x:c>
      <x:c r="GT39" s="163" t="str">
        <x:f>IF($A39="","",MAX(0,MIN(100,$FT39-IF(AND($GM39&lt;&gt;"DA",$FK39="DA"),'Setari model'!$B$107,0)-'Setari model'!$B$126*IF($GJ39="",0,$GJ39))))</x:f>
      </x:c>
      <x:c r="GU39" s="158" t="str">
        <x:f t="shared" si="100">IF($A39="","",IF($AR39&lt;=1,"NU – LIPSEȘTE COTA REALĂ",IF($GM39&lt;&gt;"DA","NU – DATE LOW-CONVERSION INCOMPLETE",IF($GN39&lt;&gt;"SCĂZUT","NU – RISC 0-0 "&amp;$GN39,IF($FN39&lt;&gt;"DA","NU – LINEUP NECONFIRMAT",IF($FM39&lt;&gt;"DA","NU – PIAȚĂ NECONFIRMATĂ",IF($EP39&lt;&gt;"DA","NU – PORTOFOLIU","DA")))))))</x:f>
      </x:c>
      <x:c r="GV39" s="158" t="str">
        <x:f>IF($A39="","",IF($GU39&lt;&gt;"DA","WATCH / NO BET",IF(AND($GP39&gt;='Setari model'!$B$35,$GT39&gt;=100*'Setari model'!$B$76,$GS39&gt;0),"PARIU RECOMANDAT",IF(AND($GP39&gt;='Setari model'!$B$39,$GT39&gt;=100*'Setari model'!$B$40,$GS39&gt;0),"WATCH – APROAPE DE PRAG","PARIU EVITAT"))))</x:f>
      </x:c>
      <x:c r="GW39" s="158" t="str">
        <x:f t="shared" si="101">IF($A39="","",IF($GU39&lt;&gt;"DA",$GU39,IF($GT39&lt;75,"Confidence v5 sub 75.",IF($GP39&lt;0.92,"P v5 sub 92%.",IF($GS39&lt;=0,"EV v5 nepozitiv.",IF($GJ39&gt;0,"Low-conversion absorbit în P0; toate porțile rămân trecute.","Toate porțile v5 sunt trecute."))))))</x:f>
      </x:c>
      <x:c r="GX39" s="158" t="str">
        <x:f t="shared" si="102">IF($A39="","","P v5="&amp;TEXT($GP39,"0.0%")&amp;"; P0 v5="&amp;TEXT($GL39,"0.0%")&amp;"; low-conv="&amp;IF(COUNT($GJ39)=0,"n/a",TEXT($GJ39,"0%"))&amp;"; mult.P0="&amp;IF(COUNT($GK39)=0,"n/a",TEXT($GK39,"0.00"))&amp;"; clasă="&amp;$GN39&amp;"; cap="&amp;TEXT($GO39,"0.0%")&amp;"; Confidence="&amp;TEXT($GT39,"0")&amp;"/100; lineup="&amp;$FN39&amp;"; piață="&amp;$FM39&amp;"; EV="&amp;IF($GS39="","n/a",TEXT($GS39,"0.0%"))&amp;"; gate="&amp;$GU39&amp;"; verdict="&amp;$GV39&amp;". "&amp;$GW39)</x:f>
      </x:c>
      <x:c r="GY39" s="174" t="str">
        <x:f>IF($A39="","",IF($GM39&lt;&gt;"DA","SOURCING INCOMPLETE – REVIEW REQUIRED",IF(MIN($I39,$P39,$W39,$AB39)&lt;'Setari model'!$B$58,"SMALL SAMPLE + PRIOR / SHRINKAGE","VERIFIED / PRIOR / SHRINKAGE")))</x:f>
      </x:c>
      <x:c r="GZ39" s="175" t="str">
        <x:f t="shared" si="103">IF($A39="","",MAX(0,MIN(100,100*(1-AVERAGE(IF($GM39="DA",1,0),MIN(1,$AT39/5))))))</x:f>
      </x:c>
      <x:c r="HA39" s="175" t="str">
        <x:f>IF($A39="","",IF($GM39&lt;&gt;"DA","",MAX(0,MIN(100,100*(($FI39*$GK39)-'Setari model'!$B$97)/('Setari model'!$B$98-'Setari model'!$B$97)))))</x:f>
      </x:c>
      <x:c r="HB39" s="175" t="str">
        <x:f>IF($A39="","",MAX(0,MIN(100,100*(ABS($BR39-1)/MAX(1-'Setari model'!$B$53,'Setari model'!$B$54-1)+MIN(1,$BG39/2))/2)))</x:f>
      </x:c>
      <x:c r="HC39" s="175" t="str">
        <x:f t="shared" si="104">IF($A39="","",MAX(0,MIN(100,100*(1-AVERAGE($CC39,MAX(0,1-(MAX($BJ39:$BN39)-MIN($BJ39:$BN39))/(AVERAGE($BJ39:$BN39)*'Setari model'!$B$45)))))))</x:f>
      </x:c>
      <x:c r="HD39" s="175" t="str">
        <x:f t="shared" si="105">IF($A39="","",MAX(0,MIN(100,100*MAX(IF($GJ39="",0,$GJ39),MIN(1,$BG39/2)))))</x:f>
      </x:c>
      <x:c r="HE39" s="175" t="str">
        <x:f>IF($A39="","",IF(COUNT($GZ39:$HD39)&lt;5,"",$GZ39*Risk_Classification!$E$28+$HA39*Risk_Classification!$E$29+$HB39*Risk_Classification!$E$30+$HC39*Risk_Classification!$E$31+$HD39*Risk_Classification!$E$32))</x:f>
      </x:c>
      <x:c r="HF39" s="176" t="str">
        <x:f t="shared" si="106">IF($A39="","",IF($HE39="","",IF($HE39&lt;=20,1,IF($HE39&lt;=40,2,IF($HE39&lt;=60,3,IF($HE39&lt;=80,4,5))))))</x:f>
      </x:c>
      <x:c r="HG39" s="176" t="str">
        <x:f t="shared" si="107">IF($A39="","",IF($GM39="DA","PASS","FAIL – DATE CRITICE ZERO-MASS INCOMPLETE"))</x:f>
      </x:c>
      <x:c r="HH39" s="176" t="str">
        <x:f t="shared" si="108">IF($A39="","",IF($HG39&lt;&gt;"PASS",5,$HF39))</x:f>
      </x:c>
      <x:c r="HI39" s="174" t="str">
        <x:f t="shared" si="109">IF($A39="","",IF($HH39="","N/A",IF($HH39=1,"DEFENSIV",IF($HH39=2,"PRUDENT",IF($HH39=3,"MODERAT",IF($HH39=4,"RIDICAT","WATCH / NO BET"))))))</x:f>
      </x:c>
      <x:c r="HJ39" s="177" t="str">
        <x:f t="shared" si="110">IF($A39="","","Data="&amp;$GY39&amp;"; DQ="&amp;TEXT($GZ39,"0.0")&amp;"; ZM="&amp;IF($HA39="","n/a",TEXT($HA39,"0.0"))&amp;"; Context="&amp;TEXT($HB39,"0.0")&amp;"; Uncertainty="&amp;TEXT($HC39,"0.0")&amp;"; Compound="&amp;TEXT($HD39,"0.0")&amp;"; Risk Score="&amp;IF($HE39="","n/a",TEXT($HE39,"0.0"))&amp;"; Base="&amp;IF($HF39="","n/a",$HF39)&amp;"; G0="&amp;$HG39&amp;"; Final="&amp;$HH39&amp;". Cota, EV si lineup sunt informative si nu intra in recomandare.")</x:f>
      </x:c>
      <x:c r="HK39" s="174" t="str">
        <x:f t="shared" si="111">IF($A39="","",$HI39)</x:f>
      </x:c>
    </x:row>
    <x:row r="40" ht="24" customHeight="1">
      <x:c r="A40" s="58"/>
      <x:c r="B40" s="24"/>
      <x:c r="C40" s="59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18"/>
      <x:c r="O40" s="18"/>
      <x:c r="P40" s="24"/>
      <x:c r="Q40" s="24"/>
      <x:c r="R40" s="24"/>
      <x:c r="S40" s="24"/>
      <x:c r="T40" s="24"/>
      <x:c r="U40" s="18"/>
      <x:c r="V40" s="18"/>
      <x:c r="W40" s="24"/>
      <x:c r="X40" s="24"/>
      <x:c r="Y40" s="24"/>
      <x:c r="Z40" s="24"/>
      <x:c r="AA40" s="24"/>
      <x:c r="AB40" s="24"/>
      <x:c r="AC40" s="24"/>
      <x:c r="AD40" s="24"/>
      <x:c r="AE40" s="24"/>
      <x:c r="AF40" s="24"/>
      <x:c r="AG40" s="24"/>
      <x:c r="AH40" s="24"/>
      <x:c r="AI40" s="18"/>
      <x:c r="AJ40" s="24"/>
      <x:c r="AK40" s="24"/>
      <x:c r="AL40" s="24"/>
      <x:c r="AM40" s="18"/>
      <x:c r="AN40" s="24"/>
      <x:c r="AO40" s="60"/>
      <x:c r="AP40" s="60"/>
      <x:c r="AQ40" s="60"/>
      <x:c r="AR40" s="60"/>
      <x:c r="AS40" s="60"/>
      <x:c r="AT40" s="24"/>
      <x:c r="AU40" s="24"/>
      <x:c r="AV40" s="24"/>
      <x:c r="AW40" s="24"/>
      <x:c r="AX40" s="24"/>
      <x:c r="AY40" s="24"/>
      <x:c r="AZ40" s="24"/>
      <x:c r="BA40" s="24"/>
      <x:c r="BB40" s="24"/>
      <x:c r="BC40" s="24"/>
      <x:c r="BD40" s="24"/>
      <x:c r="BE40" s="24"/>
      <x:c r="BF40" s="24"/>
      <x:c r="BG40" s="24"/>
      <x:c r="BH40" s="61"/>
      <x:c r="BI40" s="61"/>
      <x:c r="BJ40" s="62" t="str">
        <x:f>IF($A40="","",SQRT((($I40*IF($J40="",$AJ40,$J40)+'Setari model'!$B$30*$AJ40)/($I40+'Setari model'!$B$30))*(($P40*IF($R40="",$AJ40,$R40)+'Setari model'!$B$30*$AJ40)/($P40+'Setari model'!$B$30)))+SQRT((($P40*IF($Q40="",$AK40,$Q40)+'Setari model'!$B$30*$AK40)/($P40+'Setari model'!$B$30))*(($I40*IF($K40="",$AK40,$K40)+'Setari model'!$B$30*$AK40)/($I40+'Setari model'!$B$30))))</x:f>
      </x:c>
      <x:c r="BK40" s="62" t="str">
        <x:f>IF($A40="","",SQRT((($I40*IF($L40="",IF($J40="",$AJ40,$J40),$L40)+'Setari model'!$B$30*$AJ40)/($I40+'Setari model'!$B$30))*(($P40*IF($T40="",IF($R40="",$AJ40,$R40),$T40)+'Setari model'!$B$30*$AJ40)/($P40+'Setari model'!$B$30)))+SQRT((($P40*IF($S40="",IF($Q40="",$AK40,$Q40),$S40)+'Setari model'!$B$30*$AK40)/($P40+'Setari model'!$B$30))*(($I40*IF($M40="",IF($K40="",$AK40,$K40),$M40)+'Setari model'!$B$30*$AK40)/($I40+'Setari model'!$B$30))))</x:f>
      </x:c>
      <x:c r="BL40" s="62" t="str">
        <x:f>IF($A40="","",SQRT((($W40*IF($X40="",$AL40/2,$X40)+'Setari model'!$B$31*$AL40/2)/($W40+'Setari model'!$B$31))*(($AB40*IF($AD40="",$AL40/2,$AD40)+'Setari model'!$B$31*$AL40/2)/($AB40+'Setari model'!$B$31)))+SQRT((($AB40*IF($AC40="",$AL40/2,$AC40)+'Setari model'!$B$31*$AL40/2)/($AB40+'Setari model'!$B$31))*(($W40*IF($Y40="",$AL40/2,$Y40)+'Setari model'!$B$31*$AL40/2)/($W40+'Setari model'!$B$31))))</x:f>
      </x:c>
      <x:c r="BM40" s="62" t="str">
        <x:f>IF($A40="","",SQRT((($W40*IF($Z40="",IF($X40="",$AL40/2,$X40),$Z40)+'Setari model'!$B$31*$AL40/2)/($W40+'Setari model'!$B$31))*(($AB40*IF($AF40="",IF($AD40="",$AL40/2,$AD40),$AF40)+'Setari model'!$B$31*$AL40/2)/($AB40+'Setari model'!$B$31)))+SQRT((($AB40*IF($AE40="",IF($AC40="",$AL40/2,$AC40),$AE40)+'Setari model'!$B$31*$AL40/2)/($AB40+'Setari model'!$B$31))*(($W40*IF($AA40="",IF($Y40="",$AL40/2,$Y40),$AA40)+'Setari model'!$B$31*$AL40/2)/($W40+'Setari model'!$B$31))))</x:f>
      </x:c>
      <x:c r="BN40" s="62" t="str">
        <x:f t="shared" si="56">IF($A40="","",IF($AG40&gt;0,($AG40*IF($AH40="",$AL40,$AH40)+5*$AL40)/($AG40+5),$AL40))</x:f>
      </x:c>
      <x:c r="BO40" s="63" t="str">
        <x:f>IF($A40="","",IF($AR40&gt;1,IF($AS40&gt;1,(1/$AR40)/((1/$AR40+1/$AS40)),MIN(0.995,(1/$AR40)/(1+'Setari model'!$B$32))),1-EXP(-$AL40)))</x:f>
      </x:c>
      <x:c r="BP40" s="62" t="str">
        <x:f t="shared" si="57">IF($A40="","",-LN(1-$BO40))</x:f>
      </x:c>
      <x:c r="BQ40" s="62" t="str">
        <x:f>IF($A40="","",$BJ40*INDEX('Setari model'!$B$5:$B$11,MATCH($E40,'Setari model'!$A$5:$A$11,0))+$BK40*INDEX('Setari model'!$C$5:$C$11,MATCH($E40,'Setari model'!$A$5:$A$11,0))+$BL40*INDEX('Setari model'!$D$5:$D$11,MATCH($E40,'Setari model'!$A$5:$A$11,0))+$BM40*INDEX('Setari model'!$E$5:$E$11,MATCH($E40,'Setari model'!$A$5:$A$11,0))+$BN40*INDEX('Setari model'!$F$5:$F$11,MATCH($E40,'Setari model'!$A$5:$A$11,0))+$BP40*INDEX('Setari model'!$G$5:$G$11,MATCH($E40,'Setari model'!$A$5:$A$11,0)))</x:f>
      </x:c>
      <x:c r="BR40" s="64" t="str">
        <x:f>IF($A40="","",MAX('Setari model'!$B$53,MIN('Setari model'!$B$54,1+($AV40*'Setari model'!$B$15+$AW40*'Setari model'!$B$16+$AX40*'Setari model'!$B$17+$AY40*'Setari model'!$B$18+$AZ40*'Setari model'!$B$19+$BA40*'Setari model'!$B$20+$BB40*'Setari model'!$B$21+$BC40*'Setari model'!$B$22+$BD40*'Setari model'!$B$23+$BE40*'Setari model'!$B$24+$BF40*'Setari model'!$B$25)*INDEX('Setari model'!$H$5:$H$11,MATCH($E40,'Setari model'!$A$5:$A$11,0)))))</x:f>
      </x:c>
      <x:c r="BS40" s="62" t="str">
        <x:f t="shared" si="58">IF($A40="","",$BQ40*$BR40)</x:f>
      </x:c>
      <x:c r="BT40" s="63" t="str">
        <x:f t="shared" si="59">IF($A40="","",EXP(-$BS40))</x:f>
      </x:c>
      <x:c r="BU40" s="65" t="str">
        <x:f>IF($A40="","",IF(OR($AM40="",$AN40=""),1,1+MIN('Setari model'!$B$33,$AN40/100*'Setari model'!$B$33)*($AM40/EXP(-$AL40)-1)))</x:f>
      </x:c>
      <x:c r="BV40" s="63" t="str">
        <x:f>IF($A40="","",MIN(0.45,MAX(0.005,(1-'Setari model'!$B$34*MIN(1,($I40+$P40)/20))*MIN(0.45,$BT40*$BU40)+'Setari model'!$B$34*MIN(1,($I40+$P40)/20)*IF(COUNT($N40,$U40)=2,SQRT(MAX(0,1-$N40)*MAX(0,1-$U40)),IF($AM40="",EXP(-$AL40),$AM40)))))</x:f>
      </x:c>
      <x:c r="BW40" s="63" t="str">
        <x:f t="shared" si="60">IF($A40="","",1-$BV40)</x:f>
      </x:c>
      <x:c r="BX40" s="62" t="str">
        <x:f t="shared" si="61">IF($A40="","",1/$BW40)</x:f>
      </x:c>
      <x:c r="BY40" s="63" t="str">
        <x:f t="shared" si="62">IF($A40="","",$BO40)</x:f>
      </x:c>
      <x:c r="BZ40" s="63" t="str">
        <x:f t="shared" si="63">IF($A40="","",$BW40-$BY40)</x:f>
      </x:c>
      <x:c r="CA40" s="63" t="str">
        <x:f t="shared" si="64">IF($A40="","",IF($AR40&gt;1,$BW40*$AR40-1,""))</x:f>
      </x:c>
      <x:c r="CB40" s="63" t="str">
        <x:f>IF($A40="","",MIN(1,COUNT($I40:$AN40,$AR40:$BG40)/'Setari model'!$B$46))</x:f>
      </x:c>
      <x:c r="CC40" s="63" t="str">
        <x:f t="shared" si="65">IF($A40="","",0.25*MIN(1,$I40/10)+0.25*MIN(1,$P40/10)+0.15*MIN(1,$W40/5)+0.15*MIN(1,$AB40/5)+0.1*MIN(1,$AG40/5)+0.1*MIN(1,$AN40/100))</x:f>
      </x:c>
      <x:c r="CD40" s="63" t="str">
        <x:f>IF($A40="","",MAX(0,1-(MAX($BJ40:$BN40,$BP40)-MIN($BJ40:$BN40,$BP40))/(AVERAGE($BJ40:$BN40,$BP40)*'Setari model'!$B$45)))</x:f>
      </x:c>
      <x:c r="CE40" s="66" t="str">
        <x:f>IF($A40="","",MAX(0,MIN(100,100*INDEX('Setari model'!$I$5:$I$11,MATCH($E40,'Setari model'!$A$5:$A$11,0))*('Setari model'!$B$47*$CB40+'Setari model'!$B$48*$CC40+'Setari model'!$B$49*$CD40+'Setari model'!$B$50*$AT40/5+'Setari model'!$B$51*$AU40)-100*'Setari model'!$B$52*$BG40)))</x:f>
      </x:c>
      <x:c r="CF40" s="65" t="str">
        <x:f t="shared" si="66">IF($A40="","",IF(OR($AT40&lt;3,$BG40&gt;=2,$CB40&lt;0.55,$CC40&lt;0.4),"RIDICAT",IF(OR($AU40=0,$CD40&lt;0.45,$BR40&lt;0.9),"MEDIU","SCĂZUT")))</x:f>
      </x:c>
      <x:c r="CG40" s="65" t="str">
        <x:f>IF($A40="","",IF($AR40&gt;1,IF(AND($BW40&gt;= 'Setari model'!$B$35,$CE40&gt;=100*'Setari model'!$B$36,$BZ40&gt;= 'Setari model'!$B$37,$CA40&gt;= 'Setari model'!$B$38,$CF40&lt;&gt;"RIDICAT"),"PARIU RECOMANDAT",IF(AND($BW40&gt;= 'Setari model'!$B$39,$CE40&gt;=100*'Setari model'!$B$40,$BZ40&gt;= 'Setari model'!$B$41,$CA40&gt;=0,$CF40&lt;&gt;"RIDICAT"),"RECOMANDAT CU PRUDENȚĂ",IF(AND($BW40&gt;= 'Setari model'!$B$42,$CE40&gt;=100*'Setari model'!$B$43),"ANALIZĂ NECONCLUDENTĂ","PARIU EVITAT"))),IF(AND($BW40&gt;= 'Setari model'!$B$35,$CE40&gt;=100*'Setari model'!$B$36,$CF40&lt;&gt;"RIDICAT"),"FAVORABIL STATISTIC – VERIFICĂ COTA",IF(AND($BW40&gt;= 'Setari model'!$B$42,$CE40&gt;=100*'Setari model'!$B$43),"ANALIZĂ NECONCLUDENTĂ","PARIU EVITAT"))))</x:f>
      </x:c>
      <x:c r="CH40" s="67" t="str">
        <x:f t="shared" si="67">IF($A40="","","P(O0,5)="&amp;TEXT($BW40,"0.0%")&amp;"; λ ajustat="&amp;TEXT($BS40,"0.00")&amp;"; Confidence="&amp;TEXT($CE40,"0")&amp;"/100; Edge="&amp;TEXT($BZ40,"0.0%")&amp;"; risc="&amp;$CF40&amp;". "&amp;$BH40)</x:f>
      </x:c>
      <x:c r="CI40" s="68" t="str">
        <x:f t="shared" si="68">IF($A40="","",$BI40)</x:f>
      </x:c>
      <x:c r="CJ40" s="112"/>
      <x:c r="CK40" s="112"/>
      <x:c r="CL40" s="112"/>
      <x:c r="CM40" s="112"/>
      <x:c r="CN40" s="112"/>
      <x:c r="CO40" s="112"/>
      <x:c r="CP40" s="112"/>
      <x:c r="CQ40" s="112"/>
      <x:c r="CR40" s="112"/>
      <x:c r="CS40" s="112"/>
      <x:c r="CT40" s="112"/>
      <x:c r="CU40" s="112"/>
      <x:c r="CV40" s="112"/>
      <x:c r="CW40" s="112"/>
      <x:c r="CX40" s="112"/>
      <x:c r="CY40" s="112"/>
      <x:c r="CZ40" s="112"/>
      <x:c r="DA40" s="112"/>
      <x:c r="DB40" s="112"/>
      <x:c r="DC40" s="114"/>
      <x:c r="DD40" s="114"/>
      <x:c r="DE40" s="112" t="s">
        <x:v>266</x:v>
      </x:c>
      <x:c r="DF40" s="112"/>
      <x:c r="DG40" s="112"/>
      <x:c r="DH40" s="112"/>
      <x:c r="DI40" s="112"/>
      <x:c r="DJ40" s="112"/>
      <x:c r="DK40" s="112"/>
      <x:c r="DL40" s="112"/>
      <x:c r="DM40" s="112"/>
      <x:c r="DN40" s="112"/>
      <x:c r="DO40" s="112"/>
      <x:c r="DP40" s="112"/>
      <x:c r="DQ40" s="114"/>
      <x:c r="DR40" s="112">
        <x:v>1</x:v>
      </x:c>
      <x:c r="DS40" s="116">
        <x:v>0</x:v>
      </x:c>
      <x:c r="DT40" s="120"/>
      <x:c r="DU40" s="116">
        <x:v>0.02</x:v>
      </x:c>
      <x:c r="DV40" s="116">
        <x:v>0.25</x:v>
      </x:c>
      <x:c r="DW40" s="118" t="str">
        <x:f>IF($A40="","",MAX('Setari model'!$B$71,MIN('Setari model'!$B$72,1+0.08*(IFERROR(AVERAGE($CM40:$CN40)/'Setari model'!$B$66,1)-1)+0.08*(IFERROR(AVERAGE($CO40:$CP40)/'Setari model'!$B$67,1)-1)+0.06*(IFERROR(AVERAGE($CQ40:$CR40)/'Setari model'!$B$68,1)-1)+0.04*(IFERROR(AVERAGE($CS40:$CT40)/'Setari model'!$B$69,1)-1)+0.04*(IFERROR(AVERAGE($CU40:$CV40)/'Setari model'!$B$70,1)-1)-'Setari model'!$B$73*IFERROR(AVERAGE($CW40:$CX40),0))))</x:f>
      </x:c>
      <x:c r="DX40" s="118" t="str">
        <x:f>IF($A40="","",1+'Setari model'!$B$62*MAX(IF(OR($CK40=1,$CL40=1),1,0),IF(AND($CJ40&lt;&gt;"",$CJ40&lt;=1),1,0))+'Setari model'!$B$63*IF(AND($CJ40&gt;1,$CJ40&lt;=3),1,0))</x:f>
      </x:c>
      <x:c r="DY40" s="118" t="str">
        <x:f>IF($A40="","",1+'Setari model'!$B$74*(IF($CY40="",0,IF($CY40=0,1,0))+IF($CZ40="",0,IF($CZ40=0,1,0)))+'Setari model'!$B$75*(IF($DA40="",0,IF($DA40=0,1,0))+IF($DB40="",0,IF($DB40=0,1,0))))</x:f>
      </x:c>
      <x:c r="DZ40" s="117" t="str">
        <x:f>IF($A40="","",MIN(0.6,MAX(0.002,(((1-'Setari model'!$B$34*MIN(1,($I40+$P40)/20))*$BT40+'Setari model'!$B$34*MIN(1,($I40+$P40)/20)*IF(COUNT($N40,$U40)=2,SQRT(MAX(0,1-$N40)*MAX(0,1-$U40)),$BT40))*(1-'Setari model'!$B$65*MIN(1,IF($AN40="",0,$AN40/'Setari model'!$B$64)))+'Setari model'!$B$65*MIN(1,IF($AN40="",0,$AN40/'Setari model'!$B$64))*IF($AM40="",$BT40,$AM40))*$DX40*$DY40/$DW40)))</x:f>
      </x:c>
      <x:c r="EA40" s="117" t="str">
        <x:f>IF($A40="","",MIN(1-$DZ40,IF(OR(MIN($I40,$P40)&lt;'Setari model'!$B$58,$CK40=1,$CL40=1,AND($CJ40&lt;&gt;"",$CJ40&lt;=1)),'Setari model'!$B$59,IF(AND($AU40=1,$AR40&gt;1,COUNT($CY40:$DB40)=4),'Setari model'!$B$61,'Setari model'!$B$60))))</x:f>
      </x:c>
      <x:c r="EB40" s="115" t="str">
        <x:f t="shared" si="69">IF($A40="","",1/$EA40)</x:f>
      </x:c>
      <x:c r="EC40" s="117" t="str">
        <x:f t="shared" si="70">IF($A40="","",IF($AR40&gt;1,IF($AS40&gt;1,(1/$AR40)/((1/$AR40)+(1/$AS40)),1/$AR40),""))</x:f>
      </x:c>
      <x:c r="ED40" s="117" t="str">
        <x:f t="shared" si="71">IF($A40="","",IF($EC40="","",$EA40-$EC40))</x:f>
      </x:c>
      <x:c r="EE40" s="117" t="str">
        <x:f t="shared" si="72">""</x:f>
      </x:c>
      <x:c r="EF40" s="119" t="str">
        <x:f>IF($A40="","",MAX(0,MIN(100,$CE40-200*MAX(0,$EG40-'Setari model'!$B$77)-IF($AU40&lt;&gt;1,10,0)-IF(COUNT($CY40:$DB40)&lt;4,4,0))))</x:f>
      </x:c>
      <x:c r="EG40" s="117" t="str">
        <x:f>IF($A40="","",'Setari model'!$B$77+IF(MIN($I40,$P40)&lt;'Setari model'!$B$58,0.03,0)+IF(OR($CK40=1,$CL40=1,AND($CJ40&lt;&gt;"",$CJ40&lt;=1)),0.03,0)+IF($AG40=0,0.02,0)+0.03*(1-MIN(1,COUNT($CM40:$CV40)/10))+0.03*(1-MIN(1,IF($AN40="",0,$AN40/'Setari model'!$B$64)))+IF($AR40&lt;=1,0.02,0))</x:f>
      </x:c>
      <x:c r="EH40" s="113" t="str">
        <x:f>IF($A40="","",IF(OR(MIN($I40,$P40)&lt;'Setari model'!$B$58,$CK40=1,$CL40=1,AND($CJ40&lt;&gt;"",$CJ40&lt;=1)),"92% – early/regim",IF(AND($AU40=1,$AR40&gt;1,COUNT($CY40:$DB40)=4),"94% – confirmat","93% – standard")))</x:f>
      </x:c>
      <x:c r="EI40" s="113" t="str">
        <x:f t="shared" si="73">IF($A40="","",IF(AND($EA40&gt;0.9,$AU40&lt;&gt;1),"WAIT XI – HIGH P",IF(AND($EA40&gt;0.9,COUNT($CY40:$DB40)&lt;4),"WAIT DATE CHEIE – HIGH P",IF($EP40&lt;&gt;"DA","NU – PORTOFOLIU","DA"))))</x:f>
      </x:c>
      <x:c r="EJ40" s="117" t="str">
        <x:f t="shared" si="74">IF($A40="","",IF($DE40&lt;&gt;"Live 20-30","",IF(SUM($DG40:$DH40)&gt;0,1,IF($EU40="","",1-MIN(0.95,MAX(0.001,EXP(-$EU40)*$DX40*$DY40/$DW40))))))</x:f>
      </x:c>
      <x:c r="EK40" s="117" t="str">
        <x:f t="shared" si="75">""</x:f>
      </x:c>
      <x:c r="EL40" s="113" t="str">
        <x:f>IF($A40="","",IF($DE40="Live 20-30",IF(SUM($DG40:$DH40)&gt;0,"EVENIMENT ÎNDEPLINIT",IF(OR($DF40="",COUNT($DI40:$DN40)&lt;4),"LIVE – WATCH",IF($EJ40&gt;=0.75,"LIVE – FEZABIL TEHNIC","LIVE – NO BET"))),IF($EI40&lt;&gt;"DA","WATCH / NO BET",IF(AND($EA40&gt;=INDEX('Setari model'!$B$35:$B$40,1),$EF40&gt;=100*'Setari model'!$B$76),"PARIU RECOMANDAT",IF(AND($EA40&gt;=INDEX('Setari model'!$B$35:$B$40,5),$EF40&gt;=100*'Setari model'!$B$40),"WATCH – APROAPE DE PRAG","PARIU EVITAT")))))</x:f>
      </x:c>
      <x:c r="EM40" s="113" t="str">
        <x:f t="shared" si="76">IF($A40="","",IF($DE40="Live 20-30",IF(SUM($DG40:$DH40)&gt;0,"Gol deja marcat.",IF($DF40="","Minut live lipsă.",IF(COUNT($DI40:$DN40)&lt;4,"Lipsesc xG/SOT/big chances live.",IF($EJ40&lt;0.75,"P live sub prag.","Semnal live tehnic complet; EV ignorat.")))),IF($EI40&lt;&gt;"DA",$EI40,IF($EF40&lt;75,"Confidence sub 75.",IF($EA40&lt;0.92,"P sub 92%.","G0/Zero-Mass + confidence trecute; EV ignorat.")))))</x:f>
      </x:c>
      <x:c r="EN40" s="117" t="str">
        <x:f>IF($A40="","",IF(OR($EL40="PARIU RECOMANDAT",$EL40="LIVE – FEZABIL"),MIN(IF($DU40&gt;0,$DU40,'Setari model'!$B$81)/MAX(1,$DR40),IF($DV40&gt;0,$DV40,'Setari model'!$B$80)*MAX(0,((IF($DE40="Live 20-30",$EJ40,$EA40)*IF($DE40="Live 20-30",$DQ40,$AR40)-1)/(IF($DE40="Live 20-30",$DQ40,$AR40)-1)))),0))</x:f>
      </x:c>
      <x:c r="EO40" s="121" t="str">
        <x:f t="shared" si="77">IF($A40="","",IF(AND($EN40&gt;0,$DT40&gt;0),$EN40*$DT40,""))</x:f>
      </x:c>
      <x:c r="EP40" s="113" t="str">
        <x:f>IF($A40="","",IF(OR($DR40&lt;1,$DR40&gt;'Setari model'!$B$78),"NU – 1–5 selecții",IF($DS40&gt;'Setari model'!$B$79,"NU – corelație", "DA")))</x:f>
      </x:c>
      <x:c r="EQ40" s="117" t="str">
        <x:f t="shared" si="78">IF($A40="","",IF(AND($DC40&gt;1,$DD40&gt;1),$DC40/$DD40-1,""))</x:f>
      </x:c>
      <x:c r="ER40" s="113" t="str">
        <x:f t="shared" si="79">IF($A40="","","P v2="&amp;TEXT($EA40,"0.0%")&amp;" ±"&amp;TEXT($EG40,"0.0%")&amp;"; P0 ZIP="&amp;TEXT($DZ40,"0.0%")&amp;"; Confidence="&amp;TEXT($EF40,"0")&amp;"/100; piață reală="&amp;IF($EC40="","NU","DA")&amp;"; EV="&amp;IF($EE40="","n/a",TEXT($EE40,"0.0%"))&amp;"; gate="&amp;$EI40&amp;"; verdict="&amp;$EL40&amp;". "&amp;$EM40)</x:f>
      </x:c>
      <x:c r="ES40" s="119" t="str">
        <x:f>IF($A40="","",'Setari model'!$B$82)</x:f>
      </x:c>
      <x:c r="ET40" s="118" t="str">
        <x:f>IF($A40="","",'Setari model'!$B$83)</x:f>
      </x:c>
      <x:c r="EU40" s="115" t="str">
        <x:f t="shared" si="80">IF(OR($A40="",$DE40&lt;&gt;"Live 20-30",$DF40="",$DF40&lt;$ES40,$DF40&gt;=90),"",MAX(0.05,MIN($BS40*$ET40,$BS40*(90-$DF40)/90+0.35*($DI40+$DJ40)+0.06*($DK40+$DL40)+0.15*($DM40+$DN40)+0.1*(MAX($DO40,$DP40)-MIN($DO40,$DP40)))))</x:f>
      </x:c>
      <x:c r="EV40" s="132"/>
      <x:c r="EW40" s="132"/>
      <x:c r="EX40" s="132"/>
      <x:c r="EY40" s="132"/>
      <x:c r="EZ40" s="132"/>
      <x:c r="FA40" s="132"/>
      <x:c r="FB40" s="247"/>
      <x:c r="FC40" s="134" t="str">
        <x:f t="shared" si="81">IF($A40="","",IF(OR($J40="",$L40="",$L40&lt;=0),"",MAX(0.5,MIN(1.5,$J40/$L40))))</x:f>
      </x:c>
      <x:c r="FD40" s="134" t="str">
        <x:f t="shared" si="82">IF($A40="","",IF(OR($Q40="",$S40="",$S40&lt;=0),"",MAX(0.5,MIN(1.5,$Q40/$S40))))</x:f>
      </x:c>
      <x:c r="FE40" s="134" t="str">
        <x:f>IF($A40="","",IF(COUNT($EV40:$EW40)&lt;2,"",SQRT($EV40*$EW40)/'Setari model'!$B$87))</x:f>
      </x:c>
      <x:c r="FF40" s="134" t="str">
        <x:f>IF($A40="","",IF(COUNT($O40,$V40,$EX40,$EY40)&lt;4,"",AVERAGE(SQRT($O40*$EY40),SQRT($V40*$EX40))/'Setari model'!$B$88))</x:f>
      </x:c>
      <x:c r="FG40" s="134" t="str">
        <x:f t="shared" si="83">IF($A40="","",IF(COUNT($FC40:$FD40)&lt;2,"",MAX(0,1-AVERAGE($FC40:$FD40))))</x:f>
      </x:c>
      <x:c r="FH40" s="134" t="str">
        <x:f>IF($A40="","",IF(COUNT($EZ40:$FA40)&lt;2,"",'Setari model'!$B$94*AVERAGE($EZ40:$FA40)/'Setari model'!$B$89))</x:f>
      </x:c>
      <x:c r="FI40" s="134" t="str">
        <x:f>IF($A40="","",IF(COUNT($FE40:$FH40)&lt;4,"",MAX('Setari model'!$B$97,MIN('Setari model'!$B$98,1+'Setari model'!$B$90*($FE40-1)+'Setari model'!$B$91*($FF40-1)+'Setari model'!$B$92*$FG40+'Setari model'!$B$93*($FH40-1)))))</x:f>
      </x:c>
      <x:c r="FJ40" s="133" t="str">
        <x:f>IF($A40="","",IF($FI40="","",MIN('Setari model'!$B$101,MAX(0.002,$DZ40*$FI40))))</x:f>
      </x:c>
      <x:c r="FK40" s="131" t="str">
        <x:f t="shared" si="84">IF($A40="","",IF(AND(COUNT($EV40:$FA40)=6,COUNT($O40,$V40,$FC40,$FD40)=4),"DA","NU"))</x:f>
      </x:c>
      <x:c r="FL40" s="131" t="str">
        <x:f>IF($A40="","",IF($FK40&lt;&gt;"DA","NEDETERMINAT",IF($FI40&lt;='Setari model'!$B$99,"SCĂZUT",IF($FI40&lt;='Setari model'!$B$100,"MEDIU","RIDICAT"))))</x:f>
      </x:c>
      <x:c r="FM40" s="131" t="str">
        <x:f>IF($A40="","",IF(AND($AR40&gt;1,$EC40&gt;='Setari model'!$B$106),"DA","NU"))</x:f>
      </x:c>
      <x:c r="FN40" s="131" t="str">
        <x:f t="shared" si="85">IF($A40="","",IF(AND($AU40=1,COUNT($CY40:$DB40)=4),"DA","NU"))</x:f>
      </x:c>
      <x:c r="FO40" s="133" t="str">
        <x:f>IF($A40="","",IF(OR($FK40&lt;&gt;"DA",$FL40="RIDICAT"),'Setari model'!$B$102,IF($FL40="MEDIU",'Setari model'!$B$103,IF(AND($FM40="DA",$FN40="DA"),'Setari model'!$B$105,'Setari model'!$B$104))))</x:f>
      </x:c>
      <x:c r="FP40" s="133" t="str">
        <x:f t="shared" si="86">IF($A40="","",IF($FJ40="","",MIN(1-$FJ40,$FO40)))</x:f>
      </x:c>
      <x:c r="FQ40" s="135" t="str">
        <x:f t="shared" si="87">IF($A40="","",IF($FP40="","",IF($FP40&gt;0,1/$FP40,"")))</x:f>
      </x:c>
      <x:c r="FR40" s="133" t="str">
        <x:f t="shared" si="88">IF($A40="","",IF($EC40="","",$FP40-$EC40))</x:f>
      </x:c>
      <x:c r="FS40" s="133" t="str">
        <x:f t="shared" si="89">IF($A40="","",IF($AR40&gt;1,$FP40*$AR40-1,""))</x:f>
      </x:c>
      <x:c r="FT40" s="136" t="str">
        <x:f>IF($A40="","",MAX(0,MIN(100,$EF40-IF($FK40&lt;&gt;"DA",'Setari model'!$B$107,0)-IF($FL40="MEDIU",'Setari model'!$B$108,0)-IF($FL40="RIDICAT",'Setari model'!$B$109,0))))</x:f>
      </x:c>
      <x:c r="FU40" s="131" t="str">
        <x:f t="shared" si="90">IF($A40="","",IF($AR40&lt;=1,"NU – LIPSEȘTE COTA REALĂ",IF($FK40&lt;&gt;"DA","NU – ZERO-RISK INCOMPLET",IF($FL40&lt;&gt;"SCĂZUT","NU – RISC 0-0 "&amp;$FL40,IF($FN40&lt;&gt;"DA","NU – LINEUP NECONFIRMAT",IF($FM40&lt;&gt;"DA","NU – PIAȚĂ NECONFIRMATĂ",IF($EP40&lt;&gt;"DA","NU – PORTOFOLIU","DA")))))))</x:f>
      </x:c>
      <x:c r="FV40" s="131" t="str">
        <x:f>IF($A40="","",IF($FU40&lt;&gt;"DA","WATCH / NO BET",IF(AND($FP40&gt;='Setari model'!$B$35,$FT40&gt;=100*'Setari model'!$B$76,$FS40&gt;0),"PARIU RECOMANDAT",IF(AND($FP40&gt;='Setari model'!$B$39,$FT40&gt;=100*'Setari model'!$B$40,$FS40&gt;0),"WATCH – APROAPE DE PRAG","PARIU EVITAT"))))</x:f>
      </x:c>
      <x:c r="FW40" s="131" t="str">
        <x:f t="shared" si="91">IF($A40="","",IF($FU40&lt;&gt;"DA",$FU40,IF($FT40&lt;75,"Confidence v3 sub 75.",IF($FP40&lt;0.92,"P v3 sub 92%.",IF($FS40&lt;=0,"EV v3 nepozitiv.","P0 v3, lineup și piață confirmate.")))))</x:f>
      </x:c>
      <x:c r="FX40" s="131" t="str">
        <x:f t="shared" si="92">IF($A40="","","P v3="&amp;TEXT($FP40,"0.0%")&amp;"; P0 v3="&amp;TEXT($FJ40,"0.0%")&amp;"; factor zero="&amp;IF($FI40="","n/a",TEXT($FI40,"0.00x"))&amp;" ("&amp;$FL40&amp;"); cap="&amp;TEXT($FO40,"0.0%")&amp;"; Confidence="&amp;TEXT($FT40,"0")&amp;"/100; lineup="&amp;$FN40&amp;"; piață="&amp;$FM40&amp;"; EV="&amp;IF($FS40="","n/a",TEXT($FS40,"0.0%"))&amp;"; gate="&amp;$FU40&amp;"; verdict="&amp;$FV40&amp;". "&amp;$FW40)</x:f>
      </x:c>
      <x:c r="FY40" s="159"/>
      <x:c r="FZ40" s="159"/>
      <x:c r="GA40" s="157"/>
      <x:c r="GB40" s="157"/>
      <x:c r="GC40" s="161" t="str">
        <x:f t="shared" si="93">IF($A40="","",IF(OR($X40="",$Z40="",$Z40&lt;=0),"",MAX(0.5,MIN(1.5,$X40/$Z40))))</x:f>
      </x:c>
      <x:c r="GD40" s="161" t="str">
        <x:f t="shared" si="94">IF($A40="","",IF(OR($AC40="",$AE40="",$AE40&lt;=0),"",MAX(0.5,MIN(1.5,$AC40/$AE40))))</x:f>
      </x:c>
      <x:c r="GE40" s="162" t="str">
        <x:f t="shared" si="95">IF($A40="","",IF(COUNT($Z40,$AE40)&lt;2,"",AVERAGE($Z40,$AE40)))</x:f>
      </x:c>
      <x:c r="GF40" s="158" t="str">
        <x:f>IF($A40="","",IF(COUNT($FY40:$FZ40)&lt;2,"NEDETERMINAT",IF(AND($FY40&gt;='Setari model'!$B$113,$FZ40&gt;='Setari model'!$B$113),"DA","NU")))</x:f>
      </x:c>
      <x:c r="GG40" s="158" t="str">
        <x:f>IF($A40="","",IF(COUNT($FY40:$FZ40,$EX40:$EY40)&lt;4,"NEDETERMINAT",IF(OR(AND($FY40&gt;='Setari model'!$B$113,$EY40&gt;='Setari model'!$B$114),AND($FZ40&gt;='Setari model'!$B$113,$EX40&gt;='Setari model'!$B$114)),"DA","NU")))</x:f>
      </x:c>
      <x:c r="GH40" s="158" t="str">
        <x:f>IF($A40="","",IF(COUNT($BJ40:$BN40,$GC40:$GE40)&lt;8,"NEDETERMINAT",IF(AND((($BJ40*INDEX('Setari model'!$B$5:$B$11,MATCH($E40,'Setari model'!$A$5:$A$11,0))+$BK40*INDEX('Setari model'!$C$5:$C$11,MATCH($E40,'Setari model'!$A$5:$A$11,0))+$BL40*INDEX('Setari model'!$D$5:$D$11,MATCH($E40,'Setari model'!$A$5:$A$11,0))+$BM40*INDEX('Setari model'!$E$5:$E$11,MATCH($E40,'Setari model'!$A$5:$A$11,0))+$BN40*INDEX('Setari model'!$F$5:$F$11,MATCH($E40,'Setari model'!$A$5:$A$11,0)))/(INDEX('Setari model'!$B$5:$B$11,MATCH($E40,'Setari model'!$A$5:$A$11,0))+INDEX('Setari model'!$C$5:$C$11,MATCH($E40,'Setari model'!$A$5:$A$11,0))+INDEX('Setari model'!$D$5:$D$11,MATCH($E40,'Setari model'!$A$5:$A$11,0))+INDEX('Setari model'!$E$5:$E$11,MATCH($E40,'Setari model'!$A$5:$A$11,0))+INDEX('Setari model'!$F$5:$F$11,MATCH($E40,'Setari model'!$A$5:$A$11,0))))*$BR40&gt;='Setari model'!$B$115,(($BJ40*INDEX('Setari model'!$B$5:$B$11,MATCH($E40,'Setari model'!$A$5:$A$11,0))+$BK40*INDEX('Setari model'!$C$5:$C$11,MATCH($E40,'Setari model'!$A$5:$A$11,0))+$BL40*INDEX('Setari model'!$D$5:$D$11,MATCH($E40,'Setari model'!$A$5:$A$11,0))+$BM40*INDEX('Setari model'!$E$5:$E$11,MATCH($E40,'Setari model'!$A$5:$A$11,0))+$BN40*INDEX('Setari model'!$F$5:$F$11,MATCH($E40,'Setari model'!$A$5:$A$11,0)))/(INDEX('Setari model'!$B$5:$B$11,MATCH($E40,'Setari model'!$A$5:$A$11,0))+INDEX('Setari model'!$C$5:$C$11,MATCH($E40,'Setari model'!$A$5:$A$11,0))+INDEX('Setari model'!$D$5:$D$11,MATCH($E40,'Setari model'!$A$5:$A$11,0))+INDEX('Setari model'!$E$5:$E$11,MATCH($E40,'Setari model'!$A$5:$A$11,0))+INDEX('Setari model'!$F$5:$F$11,MATCH($E40,'Setari model'!$A$5:$A$11,0))))*$BR40&lt;='Setari model'!$B$116,AVERAGE($GC40:$GD40)&lt;='Setari model'!$B$117,$GE40&gt;='Setari model'!$B$118),"DA","NU")))</x:f>
      </x:c>
      <x:c r="GI40" s="158" t="str">
        <x:f>IF($A40="","",IF(COUNT($W40,$AB40,$GA40:$GB40)&lt;4,"NEDETERMINAT",IF(AND($W40&gt;='Setari model'!$B$120,$AB40&gt;='Setari model'!$B$120,OR(IFERROR($GA40/$W40,0)&gt;='Setari model'!$B$119,IFERROR($GB40/$AB40,0)&gt;='Setari model'!$B$119)),"DA","NU")))</x:f>
      </x:c>
      <x:c r="GJ40" s="160" t="str">
        <x:f>IF($A40="","",IF(COUNT($FY40:$GB40)&lt;4,"",IF($GH40&lt;&gt;"DA",0,'Setari model'!$B$121*IF($GF40="DA",1,0)+'Setari model'!$B$122*IF($GG40="DA",1,0)+'Setari model'!$B$123+'Setari model'!$B$124*IF($GI40="DA",1,0))))</x:f>
      </x:c>
      <x:c r="GK40" s="161" t="str">
        <x:f>IF($A40="","",IF(COUNT($GJ40)=0,"",1+'Setari model'!$B$125*$GJ40))</x:f>
      </x:c>
      <x:c r="GL40" s="160" t="str">
        <x:f>IF($A40="","",IF($GM40&lt;&gt;"DA",$FJ40,MIN('Setari model'!$B$101,MAX(0.002,$FJ40*$GK40))))</x:f>
      </x:c>
      <x:c r="GM40" s="158" t="str">
        <x:f>IF($A40="","",IF(AND($FK40="DA",COUNT($FY40:$GB40)=4,COUNT($I40,$P40,$W40,$AB40,$Z40,$AE40,$EX40,$EY40,$GC40,$GD40)=10,COUNT($BJ40:$BN40)=5),"DA","NU"))</x:f>
      </x:c>
      <x:c r="GN40" s="158" t="str">
        <x:f>IF($A40="","",IF($GM40&lt;&gt;"DA","NEDETERMINAT",IF($FI40*$GK40&lt;='Setari model'!$B$99,"SCĂZUT",IF($FI40*$GK40&lt;='Setari model'!$B$100,"MEDIU","RIDICAT"))))</x:f>
      </x:c>
      <x:c r="GO40" s="160" t="str">
        <x:f>IF($A40="","",IF(OR($GM40&lt;&gt;"DA",$GN40="RIDICAT"),'Setari model'!$B$102,IF($GN40="MEDIU",'Setari model'!$B$103,IF(AND($FM40="DA",$FN40="DA"),'Setari model'!$B$105,'Setari model'!$B$104))))</x:f>
      </x:c>
      <x:c r="GP40" s="160" t="str">
        <x:f t="shared" si="96">IF($A40="","",IF($GL40="","",MIN(1-$GL40,$GO40)))</x:f>
      </x:c>
      <x:c r="GQ40" s="162" t="str">
        <x:f t="shared" si="97">IF($A40="","",IF($GP40="","",IF($GP40&gt;0,1/$GP40,"")))</x:f>
      </x:c>
      <x:c r="GR40" s="160" t="str">
        <x:f t="shared" si="98">IF($A40="","",IF($EC40="","",$GP40-$EC40))</x:f>
      </x:c>
      <x:c r="GS40" s="160" t="str">
        <x:f t="shared" si="99">IF($A40="","",IF($AR40&gt;1,$GP40*$AR40-1,""))</x:f>
      </x:c>
      <x:c r="GT40" s="163" t="str">
        <x:f>IF($A40="","",MAX(0,MIN(100,$FT40-IF(AND($GM40&lt;&gt;"DA",$FK40="DA"),'Setari model'!$B$107,0)-'Setari model'!$B$126*IF($GJ40="",0,$GJ40))))</x:f>
      </x:c>
      <x:c r="GU40" s="158" t="str">
        <x:f t="shared" si="100">IF($A40="","",IF($AR40&lt;=1,"NU – LIPSEȘTE COTA REALĂ",IF($GM40&lt;&gt;"DA","NU – DATE LOW-CONVERSION INCOMPLETE",IF($GN40&lt;&gt;"SCĂZUT","NU – RISC 0-0 "&amp;$GN40,IF($FN40&lt;&gt;"DA","NU – LINEUP NECONFIRMAT",IF($FM40&lt;&gt;"DA","NU – PIAȚĂ NECONFIRMATĂ",IF($EP40&lt;&gt;"DA","NU – PORTOFOLIU","DA")))))))</x:f>
      </x:c>
      <x:c r="GV40" s="158" t="str">
        <x:f>IF($A40="","",IF($GU40&lt;&gt;"DA","WATCH / NO BET",IF(AND($GP40&gt;='Setari model'!$B$35,$GT40&gt;=100*'Setari model'!$B$76,$GS40&gt;0),"PARIU RECOMANDAT",IF(AND($GP40&gt;='Setari model'!$B$39,$GT40&gt;=100*'Setari model'!$B$40,$GS40&gt;0),"WATCH – APROAPE DE PRAG","PARIU EVITAT"))))</x:f>
      </x:c>
      <x:c r="GW40" s="158" t="str">
        <x:f t="shared" si="101">IF($A40="","",IF($GU40&lt;&gt;"DA",$GU40,IF($GT40&lt;75,"Confidence v5 sub 75.",IF($GP40&lt;0.92,"P v5 sub 92%.",IF($GS40&lt;=0,"EV v5 nepozitiv.",IF($GJ40&gt;0,"Low-conversion absorbit în P0; toate porțile rămân trecute.","Toate porțile v5 sunt trecute."))))))</x:f>
      </x:c>
      <x:c r="GX40" s="158" t="str">
        <x:f t="shared" si="102">IF($A40="","","P v5="&amp;TEXT($GP40,"0.0%")&amp;"; P0 v5="&amp;TEXT($GL40,"0.0%")&amp;"; low-conv="&amp;IF(COUNT($GJ40)=0,"n/a",TEXT($GJ40,"0%"))&amp;"; mult.P0="&amp;IF(COUNT($GK40)=0,"n/a",TEXT($GK40,"0.00"))&amp;"; clasă="&amp;$GN40&amp;"; cap="&amp;TEXT($GO40,"0.0%")&amp;"; Confidence="&amp;TEXT($GT40,"0")&amp;"/100; lineup="&amp;$FN40&amp;"; piață="&amp;$FM40&amp;"; EV="&amp;IF($GS40="","n/a",TEXT($GS40,"0.0%"))&amp;"; gate="&amp;$GU40&amp;"; verdict="&amp;$GV40&amp;". "&amp;$GW40)</x:f>
      </x:c>
      <x:c r="GY40" s="174" t="str">
        <x:f>IF($A40="","",IF($GM40&lt;&gt;"DA","SOURCING INCOMPLETE – REVIEW REQUIRED",IF(MIN($I40,$P40,$W40,$AB40)&lt;'Setari model'!$B$58,"SMALL SAMPLE + PRIOR / SHRINKAGE","VERIFIED / PRIOR / SHRINKAGE")))</x:f>
      </x:c>
      <x:c r="GZ40" s="175" t="str">
        <x:f t="shared" si="103">IF($A40="","",MAX(0,MIN(100,100*(1-AVERAGE(IF($GM40="DA",1,0),MIN(1,$AT40/5))))))</x:f>
      </x:c>
      <x:c r="HA40" s="175" t="str">
        <x:f>IF($A40="","",IF($GM40&lt;&gt;"DA","",MAX(0,MIN(100,100*(($FI40*$GK40)-'Setari model'!$B$97)/('Setari model'!$B$98-'Setari model'!$B$97)))))</x:f>
      </x:c>
      <x:c r="HB40" s="175" t="str">
        <x:f>IF($A40="","",MAX(0,MIN(100,100*(ABS($BR40-1)/MAX(1-'Setari model'!$B$53,'Setari model'!$B$54-1)+MIN(1,$BG40/2))/2)))</x:f>
      </x:c>
      <x:c r="HC40" s="175" t="str">
        <x:f t="shared" si="104">IF($A40="","",MAX(0,MIN(100,100*(1-AVERAGE($CC40,MAX(0,1-(MAX($BJ40:$BN40)-MIN($BJ40:$BN40))/(AVERAGE($BJ40:$BN40)*'Setari model'!$B$45)))))))</x:f>
      </x:c>
      <x:c r="HD40" s="175" t="str">
        <x:f t="shared" si="105">IF($A40="","",MAX(0,MIN(100,100*MAX(IF($GJ40="",0,$GJ40),MIN(1,$BG40/2)))))</x:f>
      </x:c>
      <x:c r="HE40" s="175" t="str">
        <x:f>IF($A40="","",IF(COUNT($GZ40:$HD40)&lt;5,"",$GZ40*Risk_Classification!$E$28+$HA40*Risk_Classification!$E$29+$HB40*Risk_Classification!$E$30+$HC40*Risk_Classification!$E$31+$HD40*Risk_Classification!$E$32))</x:f>
      </x:c>
      <x:c r="HF40" s="176" t="str">
        <x:f t="shared" si="106">IF($A40="","",IF($HE40="","",IF($HE40&lt;=20,1,IF($HE40&lt;=40,2,IF($HE40&lt;=60,3,IF($HE40&lt;=80,4,5))))))</x:f>
      </x:c>
      <x:c r="HG40" s="176" t="str">
        <x:f t="shared" si="107">IF($A40="","",IF($GM40="DA","PASS","FAIL – DATE CRITICE ZERO-MASS INCOMPLETE"))</x:f>
      </x:c>
      <x:c r="HH40" s="176" t="str">
        <x:f t="shared" si="108">IF($A40="","",IF($HG40&lt;&gt;"PASS",5,$HF40))</x:f>
      </x:c>
      <x:c r="HI40" s="174" t="str">
        <x:f t="shared" si="109">IF($A40="","",IF($HH40="","N/A",IF($HH40=1,"DEFENSIV",IF($HH40=2,"PRUDENT",IF($HH40=3,"MODERAT",IF($HH40=4,"RIDICAT","WATCH / NO BET"))))))</x:f>
      </x:c>
      <x:c r="HJ40" s="177" t="str">
        <x:f t="shared" si="110">IF($A40="","","Data="&amp;$GY40&amp;"; DQ="&amp;TEXT($GZ40,"0.0")&amp;"; ZM="&amp;IF($HA40="","n/a",TEXT($HA40,"0.0"))&amp;"; Context="&amp;TEXT($HB40,"0.0")&amp;"; Uncertainty="&amp;TEXT($HC40,"0.0")&amp;"; Compound="&amp;TEXT($HD40,"0.0")&amp;"; Risk Score="&amp;IF($HE40="","n/a",TEXT($HE40,"0.0"))&amp;"; Base="&amp;IF($HF40="","n/a",$HF40)&amp;"; G0="&amp;$HG40&amp;"; Final="&amp;$HH40&amp;". Cota, EV si lineup sunt informative si nu intra in recomandare.")</x:f>
      </x:c>
      <x:c r="HK40" s="174" t="str">
        <x:f t="shared" si="111">IF($A40="","",$HI40)</x:f>
      </x:c>
    </x:row>
    <x:row r="41" ht="24" customHeight="1">
      <x:c r="A41" s="58"/>
      <x:c r="B41" s="24"/>
      <x:c r="C41" s="59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18"/>
      <x:c r="O41" s="18"/>
      <x:c r="P41" s="24"/>
      <x:c r="Q41" s="24"/>
      <x:c r="R41" s="24"/>
      <x:c r="S41" s="24"/>
      <x:c r="T41" s="24"/>
      <x:c r="U41" s="18"/>
      <x:c r="V41" s="18"/>
      <x:c r="W41" s="24"/>
      <x:c r="X41" s="24"/>
      <x:c r="Y41" s="24"/>
      <x:c r="Z41" s="24"/>
      <x:c r="AA41" s="24"/>
      <x:c r="AB41" s="24"/>
      <x:c r="AC41" s="24"/>
      <x:c r="AD41" s="24"/>
      <x:c r="AE41" s="24"/>
      <x:c r="AF41" s="24"/>
      <x:c r="AG41" s="24"/>
      <x:c r="AH41" s="24"/>
      <x:c r="AI41" s="18"/>
      <x:c r="AJ41" s="24"/>
      <x:c r="AK41" s="24"/>
      <x:c r="AL41" s="24"/>
      <x:c r="AM41" s="18"/>
      <x:c r="AN41" s="24"/>
      <x:c r="AO41" s="60"/>
      <x:c r="AP41" s="60"/>
      <x:c r="AQ41" s="60"/>
      <x:c r="AR41" s="60"/>
      <x:c r="AS41" s="60"/>
      <x:c r="AT41" s="24"/>
      <x:c r="AU41" s="24"/>
      <x:c r="AV41" s="24"/>
      <x:c r="AW41" s="24"/>
      <x:c r="AX41" s="24"/>
      <x:c r="AY41" s="24"/>
      <x:c r="AZ41" s="24"/>
      <x:c r="BA41" s="24"/>
      <x:c r="BB41" s="24"/>
      <x:c r="BC41" s="24"/>
      <x:c r="BD41" s="24"/>
      <x:c r="BE41" s="24"/>
      <x:c r="BF41" s="24"/>
      <x:c r="BG41" s="24"/>
      <x:c r="BH41" s="61"/>
      <x:c r="BI41" s="61"/>
      <x:c r="BJ41" s="62" t="str">
        <x:f>IF($A41="","",SQRT((($I41*IF($J41="",$AJ41,$J41)+'Setari model'!$B$30*$AJ41)/($I41+'Setari model'!$B$30))*(($P41*IF($R41="",$AJ41,$R41)+'Setari model'!$B$30*$AJ41)/($P41+'Setari model'!$B$30)))+SQRT((($P41*IF($Q41="",$AK41,$Q41)+'Setari model'!$B$30*$AK41)/($P41+'Setari model'!$B$30))*(($I41*IF($K41="",$AK41,$K41)+'Setari model'!$B$30*$AK41)/($I41+'Setari model'!$B$30))))</x:f>
      </x:c>
      <x:c r="BK41" s="62" t="str">
        <x:f>IF($A41="","",SQRT((($I41*IF($L41="",IF($J41="",$AJ41,$J41),$L41)+'Setari model'!$B$30*$AJ41)/($I41+'Setari model'!$B$30))*(($P41*IF($T41="",IF($R41="",$AJ41,$R41),$T41)+'Setari model'!$B$30*$AJ41)/($P41+'Setari model'!$B$30)))+SQRT((($P41*IF($S41="",IF($Q41="",$AK41,$Q41),$S41)+'Setari model'!$B$30*$AK41)/($P41+'Setari model'!$B$30))*(($I41*IF($M41="",IF($K41="",$AK41,$K41),$M41)+'Setari model'!$B$30*$AK41)/($I41+'Setari model'!$B$30))))</x:f>
      </x:c>
      <x:c r="BL41" s="62" t="str">
        <x:f>IF($A41="","",SQRT((($W41*IF($X41="",$AL41/2,$X41)+'Setari model'!$B$31*$AL41/2)/($W41+'Setari model'!$B$31))*(($AB41*IF($AD41="",$AL41/2,$AD41)+'Setari model'!$B$31*$AL41/2)/($AB41+'Setari model'!$B$31)))+SQRT((($AB41*IF($AC41="",$AL41/2,$AC41)+'Setari model'!$B$31*$AL41/2)/($AB41+'Setari model'!$B$31))*(($W41*IF($Y41="",$AL41/2,$Y41)+'Setari model'!$B$31*$AL41/2)/($W41+'Setari model'!$B$31))))</x:f>
      </x:c>
      <x:c r="BM41" s="62" t="str">
        <x:f>IF($A41="","",SQRT((($W41*IF($Z41="",IF($X41="",$AL41/2,$X41),$Z41)+'Setari model'!$B$31*$AL41/2)/($W41+'Setari model'!$B$31))*(($AB41*IF($AF41="",IF($AD41="",$AL41/2,$AD41),$AF41)+'Setari model'!$B$31*$AL41/2)/($AB41+'Setari model'!$B$31)))+SQRT((($AB41*IF($AE41="",IF($AC41="",$AL41/2,$AC41),$AE41)+'Setari model'!$B$31*$AL41/2)/($AB41+'Setari model'!$B$31))*(($W41*IF($AA41="",IF($Y41="",$AL41/2,$Y41),$AA41)+'Setari model'!$B$31*$AL41/2)/($W41+'Setari model'!$B$31))))</x:f>
      </x:c>
      <x:c r="BN41" s="62" t="str">
        <x:f t="shared" si="56">IF($A41="","",IF($AG41&gt;0,($AG41*IF($AH41="",$AL41,$AH41)+5*$AL41)/($AG41+5),$AL41))</x:f>
      </x:c>
      <x:c r="BO41" s="63" t="str">
        <x:f>IF($A41="","",IF($AR41&gt;1,IF($AS41&gt;1,(1/$AR41)/((1/$AR41+1/$AS41)),MIN(0.995,(1/$AR41)/(1+'Setari model'!$B$32))),1-EXP(-$AL41)))</x:f>
      </x:c>
      <x:c r="BP41" s="62" t="str">
        <x:f t="shared" si="57">IF($A41="","",-LN(1-$BO41))</x:f>
      </x:c>
      <x:c r="BQ41" s="62" t="str">
        <x:f>IF($A41="","",$BJ41*INDEX('Setari model'!$B$5:$B$11,MATCH($E41,'Setari model'!$A$5:$A$11,0))+$BK41*INDEX('Setari model'!$C$5:$C$11,MATCH($E41,'Setari model'!$A$5:$A$11,0))+$BL41*INDEX('Setari model'!$D$5:$D$11,MATCH($E41,'Setari model'!$A$5:$A$11,0))+$BM41*INDEX('Setari model'!$E$5:$E$11,MATCH($E41,'Setari model'!$A$5:$A$11,0))+$BN41*INDEX('Setari model'!$F$5:$F$11,MATCH($E41,'Setari model'!$A$5:$A$11,0))+$BP41*INDEX('Setari model'!$G$5:$G$11,MATCH($E41,'Setari model'!$A$5:$A$11,0)))</x:f>
      </x:c>
      <x:c r="BR41" s="64" t="str">
        <x:f>IF($A41="","",MAX('Setari model'!$B$53,MIN('Setari model'!$B$54,1+($AV41*'Setari model'!$B$15+$AW41*'Setari model'!$B$16+$AX41*'Setari model'!$B$17+$AY41*'Setari model'!$B$18+$AZ41*'Setari model'!$B$19+$BA41*'Setari model'!$B$20+$BB41*'Setari model'!$B$21+$BC41*'Setari model'!$B$22+$BD41*'Setari model'!$B$23+$BE41*'Setari model'!$B$24+$BF41*'Setari model'!$B$25)*INDEX('Setari model'!$H$5:$H$11,MATCH($E41,'Setari model'!$A$5:$A$11,0)))))</x:f>
      </x:c>
      <x:c r="BS41" s="62" t="str">
        <x:f t="shared" si="58">IF($A41="","",$BQ41*$BR41)</x:f>
      </x:c>
      <x:c r="BT41" s="63" t="str">
        <x:f t="shared" si="59">IF($A41="","",EXP(-$BS41))</x:f>
      </x:c>
      <x:c r="BU41" s="65" t="str">
        <x:f>IF($A41="","",IF(OR($AM41="",$AN41=""),1,1+MIN('Setari model'!$B$33,$AN41/100*'Setari model'!$B$33)*($AM41/EXP(-$AL41)-1)))</x:f>
      </x:c>
      <x:c r="BV41" s="63" t="str">
        <x:f>IF($A41="","",MIN(0.45,MAX(0.005,(1-'Setari model'!$B$34*MIN(1,($I41+$P41)/20))*MIN(0.45,$BT41*$BU41)+'Setari model'!$B$34*MIN(1,($I41+$P41)/20)*IF(COUNT($N41,$U41)=2,SQRT(MAX(0,1-$N41)*MAX(0,1-$U41)),IF($AM41="",EXP(-$AL41),$AM41)))))</x:f>
      </x:c>
      <x:c r="BW41" s="63" t="str">
        <x:f t="shared" si="60">IF($A41="","",1-$BV41)</x:f>
      </x:c>
      <x:c r="BX41" s="62" t="str">
        <x:f t="shared" si="61">IF($A41="","",1/$BW41)</x:f>
      </x:c>
      <x:c r="BY41" s="63" t="str">
        <x:f t="shared" si="62">IF($A41="","",$BO41)</x:f>
      </x:c>
      <x:c r="BZ41" s="63" t="str">
        <x:f t="shared" si="63">IF($A41="","",$BW41-$BY41)</x:f>
      </x:c>
      <x:c r="CA41" s="63" t="str">
        <x:f t="shared" si="64">IF($A41="","",IF($AR41&gt;1,$BW41*$AR41-1,""))</x:f>
      </x:c>
      <x:c r="CB41" s="63" t="str">
        <x:f>IF($A41="","",MIN(1,COUNT($I41:$AN41,$AR41:$BG41)/'Setari model'!$B$46))</x:f>
      </x:c>
      <x:c r="CC41" s="63" t="str">
        <x:f t="shared" si="65">IF($A41="","",0.25*MIN(1,$I41/10)+0.25*MIN(1,$P41/10)+0.15*MIN(1,$W41/5)+0.15*MIN(1,$AB41/5)+0.1*MIN(1,$AG41/5)+0.1*MIN(1,$AN41/100))</x:f>
      </x:c>
      <x:c r="CD41" s="63" t="str">
        <x:f>IF($A41="","",MAX(0,1-(MAX($BJ41:$BN41,$BP41)-MIN($BJ41:$BN41,$BP41))/(AVERAGE($BJ41:$BN41,$BP41)*'Setari model'!$B$45)))</x:f>
      </x:c>
      <x:c r="CE41" s="66" t="str">
        <x:f>IF($A41="","",MAX(0,MIN(100,100*INDEX('Setari model'!$I$5:$I$11,MATCH($E41,'Setari model'!$A$5:$A$11,0))*('Setari model'!$B$47*$CB41+'Setari model'!$B$48*$CC41+'Setari model'!$B$49*$CD41+'Setari model'!$B$50*$AT41/5+'Setari model'!$B$51*$AU41)-100*'Setari model'!$B$52*$BG41)))</x:f>
      </x:c>
      <x:c r="CF41" s="65" t="str">
        <x:f t="shared" si="66">IF($A41="","",IF(OR($AT41&lt;3,$BG41&gt;=2,$CB41&lt;0.55,$CC41&lt;0.4),"RIDICAT",IF(OR($AU41=0,$CD41&lt;0.45,$BR41&lt;0.9),"MEDIU","SCĂZUT")))</x:f>
      </x:c>
      <x:c r="CG41" s="65" t="str">
        <x:f>IF($A41="","",IF($AR41&gt;1,IF(AND($BW41&gt;= 'Setari model'!$B$35,$CE41&gt;=100*'Setari model'!$B$36,$BZ41&gt;= 'Setari model'!$B$37,$CA41&gt;= 'Setari model'!$B$38,$CF41&lt;&gt;"RIDICAT"),"PARIU RECOMANDAT",IF(AND($BW41&gt;= 'Setari model'!$B$39,$CE41&gt;=100*'Setari model'!$B$40,$BZ41&gt;= 'Setari model'!$B$41,$CA41&gt;=0,$CF41&lt;&gt;"RIDICAT"),"RECOMANDAT CU PRUDENȚĂ",IF(AND($BW41&gt;= 'Setari model'!$B$42,$CE41&gt;=100*'Setari model'!$B$43),"ANALIZĂ NECONCLUDENTĂ","PARIU EVITAT"))),IF(AND($BW41&gt;= 'Setari model'!$B$35,$CE41&gt;=100*'Setari model'!$B$36,$CF41&lt;&gt;"RIDICAT"),"FAVORABIL STATISTIC – VERIFICĂ COTA",IF(AND($BW41&gt;= 'Setari model'!$B$42,$CE41&gt;=100*'Setari model'!$B$43),"ANALIZĂ NECONCLUDENTĂ","PARIU EVITAT"))))</x:f>
      </x:c>
      <x:c r="CH41" s="67" t="str">
        <x:f t="shared" si="67">IF($A41="","","P(O0,5)="&amp;TEXT($BW41,"0.0%")&amp;"; λ ajustat="&amp;TEXT($BS41,"0.00")&amp;"; Confidence="&amp;TEXT($CE41,"0")&amp;"/100; Edge="&amp;TEXT($BZ41,"0.0%")&amp;"; risc="&amp;$CF41&amp;". "&amp;$BH41)</x:f>
      </x:c>
      <x:c r="CI41" s="68" t="str">
        <x:f t="shared" si="68">IF($A41="","",$BI41)</x:f>
      </x:c>
      <x:c r="CJ41" s="112"/>
      <x:c r="CK41" s="112"/>
      <x:c r="CL41" s="112"/>
      <x:c r="CM41" s="112"/>
      <x:c r="CN41" s="112"/>
      <x:c r="CO41" s="112"/>
      <x:c r="CP41" s="112"/>
      <x:c r="CQ41" s="112"/>
      <x:c r="CR41" s="112"/>
      <x:c r="CS41" s="112"/>
      <x:c r="CT41" s="112"/>
      <x:c r="CU41" s="112"/>
      <x:c r="CV41" s="112"/>
      <x:c r="CW41" s="112"/>
      <x:c r="CX41" s="112"/>
      <x:c r="CY41" s="112"/>
      <x:c r="CZ41" s="112"/>
      <x:c r="DA41" s="112"/>
      <x:c r="DB41" s="112"/>
      <x:c r="DC41" s="114"/>
      <x:c r="DD41" s="114"/>
      <x:c r="DE41" s="112" t="s">
        <x:v>266</x:v>
      </x:c>
      <x:c r="DF41" s="112"/>
      <x:c r="DG41" s="112"/>
      <x:c r="DH41" s="112"/>
      <x:c r="DI41" s="112"/>
      <x:c r="DJ41" s="112"/>
      <x:c r="DK41" s="112"/>
      <x:c r="DL41" s="112"/>
      <x:c r="DM41" s="112"/>
      <x:c r="DN41" s="112"/>
      <x:c r="DO41" s="112"/>
      <x:c r="DP41" s="112"/>
      <x:c r="DQ41" s="114"/>
      <x:c r="DR41" s="112">
        <x:v>1</x:v>
      </x:c>
      <x:c r="DS41" s="116">
        <x:v>0</x:v>
      </x:c>
      <x:c r="DT41" s="120"/>
      <x:c r="DU41" s="116">
        <x:v>0.02</x:v>
      </x:c>
      <x:c r="DV41" s="116">
        <x:v>0.25</x:v>
      </x:c>
      <x:c r="DW41" s="118" t="str">
        <x:f>IF($A41="","",MAX('Setari model'!$B$71,MIN('Setari model'!$B$72,1+0.08*(IFERROR(AVERAGE($CM41:$CN41)/'Setari model'!$B$66,1)-1)+0.08*(IFERROR(AVERAGE($CO41:$CP41)/'Setari model'!$B$67,1)-1)+0.06*(IFERROR(AVERAGE($CQ41:$CR41)/'Setari model'!$B$68,1)-1)+0.04*(IFERROR(AVERAGE($CS41:$CT41)/'Setari model'!$B$69,1)-1)+0.04*(IFERROR(AVERAGE($CU41:$CV41)/'Setari model'!$B$70,1)-1)-'Setari model'!$B$73*IFERROR(AVERAGE($CW41:$CX41),0))))</x:f>
      </x:c>
      <x:c r="DX41" s="118" t="str">
        <x:f>IF($A41="","",1+'Setari model'!$B$62*MAX(IF(OR($CK41=1,$CL41=1),1,0),IF(AND($CJ41&lt;&gt;"",$CJ41&lt;=1),1,0))+'Setari model'!$B$63*IF(AND($CJ41&gt;1,$CJ41&lt;=3),1,0))</x:f>
      </x:c>
      <x:c r="DY41" s="118" t="str">
        <x:f>IF($A41="","",1+'Setari model'!$B$74*(IF($CY41="",0,IF($CY41=0,1,0))+IF($CZ41="",0,IF($CZ41=0,1,0)))+'Setari model'!$B$75*(IF($DA41="",0,IF($DA41=0,1,0))+IF($DB41="",0,IF($DB41=0,1,0))))</x:f>
      </x:c>
      <x:c r="DZ41" s="117" t="str">
        <x:f>IF($A41="","",MIN(0.6,MAX(0.002,(((1-'Setari model'!$B$34*MIN(1,($I41+$P41)/20))*$BT41+'Setari model'!$B$34*MIN(1,($I41+$P41)/20)*IF(COUNT($N41,$U41)=2,SQRT(MAX(0,1-$N41)*MAX(0,1-$U41)),$BT41))*(1-'Setari model'!$B$65*MIN(1,IF($AN41="",0,$AN41/'Setari model'!$B$64)))+'Setari model'!$B$65*MIN(1,IF($AN41="",0,$AN41/'Setari model'!$B$64))*IF($AM41="",$BT41,$AM41))*$DX41*$DY41/$DW41)))</x:f>
      </x:c>
      <x:c r="EA41" s="117" t="str">
        <x:f>IF($A41="","",MIN(1-$DZ41,IF(OR(MIN($I41,$P41)&lt;'Setari model'!$B$58,$CK41=1,$CL41=1,AND($CJ41&lt;&gt;"",$CJ41&lt;=1)),'Setari model'!$B$59,IF(AND($AU41=1,$AR41&gt;1,COUNT($CY41:$DB41)=4),'Setari model'!$B$61,'Setari model'!$B$60))))</x:f>
      </x:c>
      <x:c r="EB41" s="115" t="str">
        <x:f t="shared" si="69">IF($A41="","",1/$EA41)</x:f>
      </x:c>
      <x:c r="EC41" s="117" t="str">
        <x:f t="shared" si="70">IF($A41="","",IF($AR41&gt;1,IF($AS41&gt;1,(1/$AR41)/((1/$AR41)+(1/$AS41)),1/$AR41),""))</x:f>
      </x:c>
      <x:c r="ED41" s="117" t="str">
        <x:f t="shared" si="71">IF($A41="","",IF($EC41="","",$EA41-$EC41))</x:f>
      </x:c>
      <x:c r="EE41" s="117" t="str">
        <x:f t="shared" si="72">""</x:f>
      </x:c>
      <x:c r="EF41" s="119" t="str">
        <x:f>IF($A41="","",MAX(0,MIN(100,$CE41-200*MAX(0,$EG41-'Setari model'!$B$77)-IF($AU41&lt;&gt;1,10,0)-IF(COUNT($CY41:$DB41)&lt;4,4,0))))</x:f>
      </x:c>
      <x:c r="EG41" s="117" t="str">
        <x:f>IF($A41="","",'Setari model'!$B$77+IF(MIN($I41,$P41)&lt;'Setari model'!$B$58,0.03,0)+IF(OR($CK41=1,$CL41=1,AND($CJ41&lt;&gt;"",$CJ41&lt;=1)),0.03,0)+IF($AG41=0,0.02,0)+0.03*(1-MIN(1,COUNT($CM41:$CV41)/10))+0.03*(1-MIN(1,IF($AN41="",0,$AN41/'Setari model'!$B$64)))+IF($AR41&lt;=1,0.02,0))</x:f>
      </x:c>
      <x:c r="EH41" s="113" t="str">
        <x:f>IF($A41="","",IF(OR(MIN($I41,$P41)&lt;'Setari model'!$B$58,$CK41=1,$CL41=1,AND($CJ41&lt;&gt;"",$CJ41&lt;=1)),"92% – early/regim",IF(AND($AU41=1,$AR41&gt;1,COUNT($CY41:$DB41)=4),"94% – confirmat","93% – standard")))</x:f>
      </x:c>
      <x:c r="EI41" s="113" t="str">
        <x:f t="shared" si="73">IF($A41="","",IF(AND($EA41&gt;0.9,$AU41&lt;&gt;1),"WAIT XI – HIGH P",IF(AND($EA41&gt;0.9,COUNT($CY41:$DB41)&lt;4),"WAIT DATE CHEIE – HIGH P",IF($EP41&lt;&gt;"DA","NU – PORTOFOLIU","DA"))))</x:f>
      </x:c>
      <x:c r="EJ41" s="117" t="str">
        <x:f t="shared" si="74">IF($A41="","",IF($DE41&lt;&gt;"Live 20-30","",IF(SUM($DG41:$DH41)&gt;0,1,IF($EU41="","",1-MIN(0.95,MAX(0.001,EXP(-$EU41)*$DX41*$DY41/$DW41))))))</x:f>
      </x:c>
      <x:c r="EK41" s="117" t="str">
        <x:f t="shared" si="75">""</x:f>
      </x:c>
      <x:c r="EL41" s="113" t="str">
        <x:f>IF($A41="","",IF($DE41="Live 20-30",IF(SUM($DG41:$DH41)&gt;0,"EVENIMENT ÎNDEPLINIT",IF(OR($DF41="",COUNT($DI41:$DN41)&lt;4),"LIVE – WATCH",IF($EJ41&gt;=0.75,"LIVE – FEZABIL TEHNIC","LIVE – NO BET"))),IF($EI41&lt;&gt;"DA","WATCH / NO BET",IF(AND($EA41&gt;=INDEX('Setari model'!$B$35:$B$40,1),$EF41&gt;=100*'Setari model'!$B$76),"PARIU RECOMANDAT",IF(AND($EA41&gt;=INDEX('Setari model'!$B$35:$B$40,5),$EF41&gt;=100*'Setari model'!$B$40),"WATCH – APROAPE DE PRAG","PARIU EVITAT")))))</x:f>
      </x:c>
      <x:c r="EM41" s="113" t="str">
        <x:f t="shared" si="76">IF($A41="","",IF($DE41="Live 20-30",IF(SUM($DG41:$DH41)&gt;0,"Gol deja marcat.",IF($DF41="","Minut live lipsă.",IF(COUNT($DI41:$DN41)&lt;4,"Lipsesc xG/SOT/big chances live.",IF($EJ41&lt;0.75,"P live sub prag.","Semnal live tehnic complet; EV ignorat.")))),IF($EI41&lt;&gt;"DA",$EI41,IF($EF41&lt;75,"Confidence sub 75.",IF($EA41&lt;0.92,"P sub 92%.","G0/Zero-Mass + confidence trecute; EV ignorat.")))))</x:f>
      </x:c>
      <x:c r="EN41" s="117" t="str">
        <x:f>IF($A41="","",IF(OR($EL41="PARIU RECOMANDAT",$EL41="LIVE – FEZABIL"),MIN(IF($DU41&gt;0,$DU41,'Setari model'!$B$81)/MAX(1,$DR41),IF($DV41&gt;0,$DV41,'Setari model'!$B$80)*MAX(0,((IF($DE41="Live 20-30",$EJ41,$EA41)*IF($DE41="Live 20-30",$DQ41,$AR41)-1)/(IF($DE41="Live 20-30",$DQ41,$AR41)-1)))),0))</x:f>
      </x:c>
      <x:c r="EO41" s="121" t="str">
        <x:f t="shared" si="77">IF($A41="","",IF(AND($EN41&gt;0,$DT41&gt;0),$EN41*$DT41,""))</x:f>
      </x:c>
      <x:c r="EP41" s="113" t="str">
        <x:f>IF($A41="","",IF(OR($DR41&lt;1,$DR41&gt;'Setari model'!$B$78),"NU – 1–5 selecții",IF($DS41&gt;'Setari model'!$B$79,"NU – corelație", "DA")))</x:f>
      </x:c>
      <x:c r="EQ41" s="117" t="str">
        <x:f t="shared" si="78">IF($A41="","",IF(AND($DC41&gt;1,$DD41&gt;1),$DC41/$DD41-1,""))</x:f>
      </x:c>
      <x:c r="ER41" s="113" t="str">
        <x:f t="shared" si="79">IF($A41="","","P v2="&amp;TEXT($EA41,"0.0%")&amp;" ±"&amp;TEXT($EG41,"0.0%")&amp;"; P0 ZIP="&amp;TEXT($DZ41,"0.0%")&amp;"; Confidence="&amp;TEXT($EF41,"0")&amp;"/100; piață reală="&amp;IF($EC41="","NU","DA")&amp;"; EV="&amp;IF($EE41="","n/a",TEXT($EE41,"0.0%"))&amp;"; gate="&amp;$EI41&amp;"; verdict="&amp;$EL41&amp;". "&amp;$EM41)</x:f>
      </x:c>
      <x:c r="ES41" s="119" t="str">
        <x:f>IF($A41="","",'Setari model'!$B$82)</x:f>
      </x:c>
      <x:c r="ET41" s="118" t="str">
        <x:f>IF($A41="","",'Setari model'!$B$83)</x:f>
      </x:c>
      <x:c r="EU41" s="115" t="str">
        <x:f t="shared" si="80">IF(OR($A41="",$DE41&lt;&gt;"Live 20-30",$DF41="",$DF41&lt;$ES41,$DF41&gt;=90),"",MAX(0.05,MIN($BS41*$ET41,$BS41*(90-$DF41)/90+0.35*($DI41+$DJ41)+0.06*($DK41+$DL41)+0.15*($DM41+$DN41)+0.1*(MAX($DO41,$DP41)-MIN($DO41,$DP41)))))</x:f>
      </x:c>
      <x:c r="EV41" s="132"/>
      <x:c r="EW41" s="132"/>
      <x:c r="EX41" s="132"/>
      <x:c r="EY41" s="132"/>
      <x:c r="EZ41" s="132"/>
      <x:c r="FA41" s="132"/>
      <x:c r="FB41" s="247"/>
      <x:c r="FC41" s="134" t="str">
        <x:f t="shared" si="81">IF($A41="","",IF(OR($J41="",$L41="",$L41&lt;=0),"",MAX(0.5,MIN(1.5,$J41/$L41))))</x:f>
      </x:c>
      <x:c r="FD41" s="134" t="str">
        <x:f t="shared" si="82">IF($A41="","",IF(OR($Q41="",$S41="",$S41&lt;=0),"",MAX(0.5,MIN(1.5,$Q41/$S41))))</x:f>
      </x:c>
      <x:c r="FE41" s="134" t="str">
        <x:f>IF($A41="","",IF(COUNT($EV41:$EW41)&lt;2,"",SQRT($EV41*$EW41)/'Setari model'!$B$87))</x:f>
      </x:c>
      <x:c r="FF41" s="134" t="str">
        <x:f>IF($A41="","",IF(COUNT($O41,$V41,$EX41,$EY41)&lt;4,"",AVERAGE(SQRT($O41*$EY41),SQRT($V41*$EX41))/'Setari model'!$B$88))</x:f>
      </x:c>
      <x:c r="FG41" s="134" t="str">
        <x:f t="shared" si="83">IF($A41="","",IF(COUNT($FC41:$FD41)&lt;2,"",MAX(0,1-AVERAGE($FC41:$FD41))))</x:f>
      </x:c>
      <x:c r="FH41" s="134" t="str">
        <x:f>IF($A41="","",IF(COUNT($EZ41:$FA41)&lt;2,"",'Setari model'!$B$94*AVERAGE($EZ41:$FA41)/'Setari model'!$B$89))</x:f>
      </x:c>
      <x:c r="FI41" s="134" t="str">
        <x:f>IF($A41="","",IF(COUNT($FE41:$FH41)&lt;4,"",MAX('Setari model'!$B$97,MIN('Setari model'!$B$98,1+'Setari model'!$B$90*($FE41-1)+'Setari model'!$B$91*($FF41-1)+'Setari model'!$B$92*$FG41+'Setari model'!$B$93*($FH41-1)))))</x:f>
      </x:c>
      <x:c r="FJ41" s="133" t="str">
        <x:f>IF($A41="","",IF($FI41="","",MIN('Setari model'!$B$101,MAX(0.002,$DZ41*$FI41))))</x:f>
      </x:c>
      <x:c r="FK41" s="131" t="str">
        <x:f t="shared" si="84">IF($A41="","",IF(AND(COUNT($EV41:$FA41)=6,COUNT($O41,$V41,$FC41,$FD41)=4),"DA","NU"))</x:f>
      </x:c>
      <x:c r="FL41" s="131" t="str">
        <x:f>IF($A41="","",IF($FK41&lt;&gt;"DA","NEDETERMINAT",IF($FI41&lt;='Setari model'!$B$99,"SCĂZUT",IF($FI41&lt;='Setari model'!$B$100,"MEDIU","RIDICAT"))))</x:f>
      </x:c>
      <x:c r="FM41" s="131" t="str">
        <x:f>IF($A41="","",IF(AND($AR41&gt;1,$EC41&gt;='Setari model'!$B$106),"DA","NU"))</x:f>
      </x:c>
      <x:c r="FN41" s="131" t="str">
        <x:f t="shared" si="85">IF($A41="","",IF(AND($AU41=1,COUNT($CY41:$DB41)=4),"DA","NU"))</x:f>
      </x:c>
      <x:c r="FO41" s="133" t="str">
        <x:f>IF($A41="","",IF(OR($FK41&lt;&gt;"DA",$FL41="RIDICAT"),'Setari model'!$B$102,IF($FL41="MEDIU",'Setari model'!$B$103,IF(AND($FM41="DA",$FN41="DA"),'Setari model'!$B$105,'Setari model'!$B$104))))</x:f>
      </x:c>
      <x:c r="FP41" s="133" t="str">
        <x:f t="shared" si="86">IF($A41="","",IF($FJ41="","",MIN(1-$FJ41,$FO41)))</x:f>
      </x:c>
      <x:c r="FQ41" s="135" t="str">
        <x:f t="shared" si="87">IF($A41="","",IF($FP41="","",IF($FP41&gt;0,1/$FP41,"")))</x:f>
      </x:c>
      <x:c r="FR41" s="133" t="str">
        <x:f t="shared" si="88">IF($A41="","",IF($EC41="","",$FP41-$EC41))</x:f>
      </x:c>
      <x:c r="FS41" s="133" t="str">
        <x:f t="shared" si="89">IF($A41="","",IF($AR41&gt;1,$FP41*$AR41-1,""))</x:f>
      </x:c>
      <x:c r="FT41" s="136" t="str">
        <x:f>IF($A41="","",MAX(0,MIN(100,$EF41-IF($FK41&lt;&gt;"DA",'Setari model'!$B$107,0)-IF($FL41="MEDIU",'Setari model'!$B$108,0)-IF($FL41="RIDICAT",'Setari model'!$B$109,0))))</x:f>
      </x:c>
      <x:c r="FU41" s="131" t="str">
        <x:f t="shared" si="90">IF($A41="","",IF($AR41&lt;=1,"NU – LIPSEȘTE COTA REALĂ",IF($FK41&lt;&gt;"DA","NU – ZERO-RISK INCOMPLET",IF($FL41&lt;&gt;"SCĂZUT","NU – RISC 0-0 "&amp;$FL41,IF($FN41&lt;&gt;"DA","NU – LINEUP NECONFIRMAT",IF($FM41&lt;&gt;"DA","NU – PIAȚĂ NECONFIRMATĂ",IF($EP41&lt;&gt;"DA","NU – PORTOFOLIU","DA")))))))</x:f>
      </x:c>
      <x:c r="FV41" s="131" t="str">
        <x:f>IF($A41="","",IF($FU41&lt;&gt;"DA","WATCH / NO BET",IF(AND($FP41&gt;='Setari model'!$B$35,$FT41&gt;=100*'Setari model'!$B$76,$FS41&gt;0),"PARIU RECOMANDAT",IF(AND($FP41&gt;='Setari model'!$B$39,$FT41&gt;=100*'Setari model'!$B$40,$FS41&gt;0),"WATCH – APROAPE DE PRAG","PARIU EVITAT"))))</x:f>
      </x:c>
      <x:c r="FW41" s="131" t="str">
        <x:f t="shared" si="91">IF($A41="","",IF($FU41&lt;&gt;"DA",$FU41,IF($FT41&lt;75,"Confidence v3 sub 75.",IF($FP41&lt;0.92,"P v3 sub 92%.",IF($FS41&lt;=0,"EV v3 nepozitiv.","P0 v3, lineup și piață confirmate.")))))</x:f>
      </x:c>
      <x:c r="FX41" s="131" t="str">
        <x:f t="shared" si="92">IF($A41="","","P v3="&amp;TEXT($FP41,"0.0%")&amp;"; P0 v3="&amp;TEXT($FJ41,"0.0%")&amp;"; factor zero="&amp;IF($FI41="","n/a",TEXT($FI41,"0.00x"))&amp;" ("&amp;$FL41&amp;"); cap="&amp;TEXT($FO41,"0.0%")&amp;"; Confidence="&amp;TEXT($FT41,"0")&amp;"/100; lineup="&amp;$FN41&amp;"; piață="&amp;$FM41&amp;"; EV="&amp;IF($FS41="","n/a",TEXT($FS41,"0.0%"))&amp;"; gate="&amp;$FU41&amp;"; verdict="&amp;$FV41&amp;". "&amp;$FW41)</x:f>
      </x:c>
      <x:c r="FY41" s="159"/>
      <x:c r="FZ41" s="159"/>
      <x:c r="GA41" s="157"/>
      <x:c r="GB41" s="157"/>
      <x:c r="GC41" s="161" t="str">
        <x:f t="shared" si="93">IF($A41="","",IF(OR($X41="",$Z41="",$Z41&lt;=0),"",MAX(0.5,MIN(1.5,$X41/$Z41))))</x:f>
      </x:c>
      <x:c r="GD41" s="161" t="str">
        <x:f t="shared" si="94">IF($A41="","",IF(OR($AC41="",$AE41="",$AE41&lt;=0),"",MAX(0.5,MIN(1.5,$AC41/$AE41))))</x:f>
      </x:c>
      <x:c r="GE41" s="162" t="str">
        <x:f t="shared" si="95">IF($A41="","",IF(COUNT($Z41,$AE41)&lt;2,"",AVERAGE($Z41,$AE41)))</x:f>
      </x:c>
      <x:c r="GF41" s="158" t="str">
        <x:f>IF($A41="","",IF(COUNT($FY41:$FZ41)&lt;2,"NEDETERMINAT",IF(AND($FY41&gt;='Setari model'!$B$113,$FZ41&gt;='Setari model'!$B$113),"DA","NU")))</x:f>
      </x:c>
      <x:c r="GG41" s="158" t="str">
        <x:f>IF($A41="","",IF(COUNT($FY41:$FZ41,$EX41:$EY41)&lt;4,"NEDETERMINAT",IF(OR(AND($FY41&gt;='Setari model'!$B$113,$EY41&gt;='Setari model'!$B$114),AND($FZ41&gt;='Setari model'!$B$113,$EX41&gt;='Setari model'!$B$114)),"DA","NU")))</x:f>
      </x:c>
      <x:c r="GH41" s="158" t="str">
        <x:f>IF($A41="","",IF(COUNT($BJ41:$BN41,$GC41:$GE41)&lt;8,"NEDETERMINAT",IF(AND((($BJ41*INDEX('Setari model'!$B$5:$B$11,MATCH($E41,'Setari model'!$A$5:$A$11,0))+$BK41*INDEX('Setari model'!$C$5:$C$11,MATCH($E41,'Setari model'!$A$5:$A$11,0))+$BL41*INDEX('Setari model'!$D$5:$D$11,MATCH($E41,'Setari model'!$A$5:$A$11,0))+$BM41*INDEX('Setari model'!$E$5:$E$11,MATCH($E41,'Setari model'!$A$5:$A$11,0))+$BN41*INDEX('Setari model'!$F$5:$F$11,MATCH($E41,'Setari model'!$A$5:$A$11,0)))/(INDEX('Setari model'!$B$5:$B$11,MATCH($E41,'Setari model'!$A$5:$A$11,0))+INDEX('Setari model'!$C$5:$C$11,MATCH($E41,'Setari model'!$A$5:$A$11,0))+INDEX('Setari model'!$D$5:$D$11,MATCH($E41,'Setari model'!$A$5:$A$11,0))+INDEX('Setari model'!$E$5:$E$11,MATCH($E41,'Setari model'!$A$5:$A$11,0))+INDEX('Setari model'!$F$5:$F$11,MATCH($E41,'Setari model'!$A$5:$A$11,0))))*$BR41&gt;='Setari model'!$B$115,(($BJ41*INDEX('Setari model'!$B$5:$B$11,MATCH($E41,'Setari model'!$A$5:$A$11,0))+$BK41*INDEX('Setari model'!$C$5:$C$11,MATCH($E41,'Setari model'!$A$5:$A$11,0))+$BL41*INDEX('Setari model'!$D$5:$D$11,MATCH($E41,'Setari model'!$A$5:$A$11,0))+$BM41*INDEX('Setari model'!$E$5:$E$11,MATCH($E41,'Setari model'!$A$5:$A$11,0))+$BN41*INDEX('Setari model'!$F$5:$F$11,MATCH($E41,'Setari model'!$A$5:$A$11,0)))/(INDEX('Setari model'!$B$5:$B$11,MATCH($E41,'Setari model'!$A$5:$A$11,0))+INDEX('Setari model'!$C$5:$C$11,MATCH($E41,'Setari model'!$A$5:$A$11,0))+INDEX('Setari model'!$D$5:$D$11,MATCH($E41,'Setari model'!$A$5:$A$11,0))+INDEX('Setari model'!$E$5:$E$11,MATCH($E41,'Setari model'!$A$5:$A$11,0))+INDEX('Setari model'!$F$5:$F$11,MATCH($E41,'Setari model'!$A$5:$A$11,0))))*$BR41&lt;='Setari model'!$B$116,AVERAGE($GC41:$GD41)&lt;='Setari model'!$B$117,$GE41&gt;='Setari model'!$B$118),"DA","NU")))</x:f>
      </x:c>
      <x:c r="GI41" s="158" t="str">
        <x:f>IF($A41="","",IF(COUNT($W41,$AB41,$GA41:$GB41)&lt;4,"NEDETERMINAT",IF(AND($W41&gt;='Setari model'!$B$120,$AB41&gt;='Setari model'!$B$120,OR(IFERROR($GA41/$W41,0)&gt;='Setari model'!$B$119,IFERROR($GB41/$AB41,0)&gt;='Setari model'!$B$119)),"DA","NU")))</x:f>
      </x:c>
      <x:c r="GJ41" s="160" t="str">
        <x:f>IF($A41="","",IF(COUNT($FY41:$GB41)&lt;4,"",IF($GH41&lt;&gt;"DA",0,'Setari model'!$B$121*IF($GF41="DA",1,0)+'Setari model'!$B$122*IF($GG41="DA",1,0)+'Setari model'!$B$123+'Setari model'!$B$124*IF($GI41="DA",1,0))))</x:f>
      </x:c>
      <x:c r="GK41" s="161" t="str">
        <x:f>IF($A41="","",IF(COUNT($GJ41)=0,"",1+'Setari model'!$B$125*$GJ41))</x:f>
      </x:c>
      <x:c r="GL41" s="160" t="str">
        <x:f>IF($A41="","",IF($GM41&lt;&gt;"DA",$FJ41,MIN('Setari model'!$B$101,MAX(0.002,$FJ41*$GK41))))</x:f>
      </x:c>
      <x:c r="GM41" s="158" t="str">
        <x:f>IF($A41="","",IF(AND($FK41="DA",COUNT($FY41:$GB41)=4,COUNT($I41,$P41,$W41,$AB41,$Z41,$AE41,$EX41,$EY41,$GC41,$GD41)=10,COUNT($BJ41:$BN41)=5),"DA","NU"))</x:f>
      </x:c>
      <x:c r="GN41" s="158" t="str">
        <x:f>IF($A41="","",IF($GM41&lt;&gt;"DA","NEDETERMINAT",IF($FI41*$GK41&lt;='Setari model'!$B$99,"SCĂZUT",IF($FI41*$GK41&lt;='Setari model'!$B$100,"MEDIU","RIDICAT"))))</x:f>
      </x:c>
      <x:c r="GO41" s="160" t="str">
        <x:f>IF($A41="","",IF(OR($GM41&lt;&gt;"DA",$GN41="RIDICAT"),'Setari model'!$B$102,IF($GN41="MEDIU",'Setari model'!$B$103,IF(AND($FM41="DA",$FN41="DA"),'Setari model'!$B$105,'Setari model'!$B$104))))</x:f>
      </x:c>
      <x:c r="GP41" s="160" t="str">
        <x:f t="shared" si="96">IF($A41="","",IF($GL41="","",MIN(1-$GL41,$GO41)))</x:f>
      </x:c>
      <x:c r="GQ41" s="162" t="str">
        <x:f t="shared" si="97">IF($A41="","",IF($GP41="","",IF($GP41&gt;0,1/$GP41,"")))</x:f>
      </x:c>
      <x:c r="GR41" s="160" t="str">
        <x:f t="shared" si="98">IF($A41="","",IF($EC41="","",$GP41-$EC41))</x:f>
      </x:c>
      <x:c r="GS41" s="160" t="str">
        <x:f t="shared" si="99">IF($A41="","",IF($AR41&gt;1,$GP41*$AR41-1,""))</x:f>
      </x:c>
      <x:c r="GT41" s="163" t="str">
        <x:f>IF($A41="","",MAX(0,MIN(100,$FT41-IF(AND($GM41&lt;&gt;"DA",$FK41="DA"),'Setari model'!$B$107,0)-'Setari model'!$B$126*IF($GJ41="",0,$GJ41))))</x:f>
      </x:c>
      <x:c r="GU41" s="158" t="str">
        <x:f t="shared" si="100">IF($A41="","",IF($AR41&lt;=1,"NU – LIPSEȘTE COTA REALĂ",IF($GM41&lt;&gt;"DA","NU – DATE LOW-CONVERSION INCOMPLETE",IF($GN41&lt;&gt;"SCĂZUT","NU – RISC 0-0 "&amp;$GN41,IF($FN41&lt;&gt;"DA","NU – LINEUP NECONFIRMAT",IF($FM41&lt;&gt;"DA","NU – PIAȚĂ NECONFIRMATĂ",IF($EP41&lt;&gt;"DA","NU – PORTOFOLIU","DA")))))))</x:f>
      </x:c>
      <x:c r="GV41" s="158" t="str">
        <x:f>IF($A41="","",IF($GU41&lt;&gt;"DA","WATCH / NO BET",IF(AND($GP41&gt;='Setari model'!$B$35,$GT41&gt;=100*'Setari model'!$B$76,$GS41&gt;0),"PARIU RECOMANDAT",IF(AND($GP41&gt;='Setari model'!$B$39,$GT41&gt;=100*'Setari model'!$B$40,$GS41&gt;0),"WATCH – APROAPE DE PRAG","PARIU EVITAT"))))</x:f>
      </x:c>
      <x:c r="GW41" s="158" t="str">
        <x:f t="shared" si="101">IF($A41="","",IF($GU41&lt;&gt;"DA",$GU41,IF($GT41&lt;75,"Confidence v5 sub 75.",IF($GP41&lt;0.92,"P v5 sub 92%.",IF($GS41&lt;=0,"EV v5 nepozitiv.",IF($GJ41&gt;0,"Low-conversion absorbit în P0; toate porțile rămân trecute.","Toate porțile v5 sunt trecute."))))))</x:f>
      </x:c>
      <x:c r="GX41" s="158" t="str">
        <x:f t="shared" si="102">IF($A41="","","P v5="&amp;TEXT($GP41,"0.0%")&amp;"; P0 v5="&amp;TEXT($GL41,"0.0%")&amp;"; low-conv="&amp;IF(COUNT($GJ41)=0,"n/a",TEXT($GJ41,"0%"))&amp;"; mult.P0="&amp;IF(COUNT($GK41)=0,"n/a",TEXT($GK41,"0.00"))&amp;"; clasă="&amp;$GN41&amp;"; cap="&amp;TEXT($GO41,"0.0%")&amp;"; Confidence="&amp;TEXT($GT41,"0")&amp;"/100; lineup="&amp;$FN41&amp;"; piață="&amp;$FM41&amp;"; EV="&amp;IF($GS41="","n/a",TEXT($GS41,"0.0%"))&amp;"; gate="&amp;$GU41&amp;"; verdict="&amp;$GV41&amp;". "&amp;$GW41)</x:f>
      </x:c>
      <x:c r="GY41" s="174" t="str">
        <x:f>IF($A41="","",IF($GM41&lt;&gt;"DA","SOURCING INCOMPLETE – REVIEW REQUIRED",IF(MIN($I41,$P41,$W41,$AB41)&lt;'Setari model'!$B$58,"SMALL SAMPLE + PRIOR / SHRINKAGE","VERIFIED / PRIOR / SHRINKAGE")))</x:f>
      </x:c>
      <x:c r="GZ41" s="175" t="str">
        <x:f t="shared" si="103">IF($A41="","",MAX(0,MIN(100,100*(1-AVERAGE(IF($GM41="DA",1,0),MIN(1,$AT41/5))))))</x:f>
      </x:c>
      <x:c r="HA41" s="175" t="str">
        <x:f>IF($A41="","",IF($GM41&lt;&gt;"DA","",MAX(0,MIN(100,100*(($FI41*$GK41)-'Setari model'!$B$97)/('Setari model'!$B$98-'Setari model'!$B$97)))))</x:f>
      </x:c>
      <x:c r="HB41" s="175" t="str">
        <x:f>IF($A41="","",MAX(0,MIN(100,100*(ABS($BR41-1)/MAX(1-'Setari model'!$B$53,'Setari model'!$B$54-1)+MIN(1,$BG41/2))/2)))</x:f>
      </x:c>
      <x:c r="HC41" s="175" t="str">
        <x:f t="shared" si="104">IF($A41="","",MAX(0,MIN(100,100*(1-AVERAGE($CC41,MAX(0,1-(MAX($BJ41:$BN41)-MIN($BJ41:$BN41))/(AVERAGE($BJ41:$BN41)*'Setari model'!$B$45)))))))</x:f>
      </x:c>
      <x:c r="HD41" s="175" t="str">
        <x:f t="shared" si="105">IF($A41="","",MAX(0,MIN(100,100*MAX(IF($GJ41="",0,$GJ41),MIN(1,$BG41/2)))))</x:f>
      </x:c>
      <x:c r="HE41" s="175" t="str">
        <x:f>IF($A41="","",IF(COUNT($GZ41:$HD41)&lt;5,"",$GZ41*Risk_Classification!$E$28+$HA41*Risk_Classification!$E$29+$HB41*Risk_Classification!$E$30+$HC41*Risk_Classification!$E$31+$HD41*Risk_Classification!$E$32))</x:f>
      </x:c>
      <x:c r="HF41" s="176" t="str">
        <x:f t="shared" si="106">IF($A41="","",IF($HE41="","",IF($HE41&lt;=20,1,IF($HE41&lt;=40,2,IF($HE41&lt;=60,3,IF($HE41&lt;=80,4,5))))))</x:f>
      </x:c>
      <x:c r="HG41" s="176" t="str">
        <x:f t="shared" si="107">IF($A41="","",IF($GM41="DA","PASS","FAIL – DATE CRITICE ZERO-MASS INCOMPLETE"))</x:f>
      </x:c>
      <x:c r="HH41" s="176" t="str">
        <x:f t="shared" si="108">IF($A41="","",IF($HG41&lt;&gt;"PASS",5,$HF41))</x:f>
      </x:c>
      <x:c r="HI41" s="174" t="str">
        <x:f t="shared" si="109">IF($A41="","",IF($HH41="","N/A",IF($HH41=1,"DEFENSIV",IF($HH41=2,"PRUDENT",IF($HH41=3,"MODERAT",IF($HH41=4,"RIDICAT","WATCH / NO BET"))))))</x:f>
      </x:c>
      <x:c r="HJ41" s="177" t="str">
        <x:f t="shared" si="110">IF($A41="","","Data="&amp;$GY41&amp;"; DQ="&amp;TEXT($GZ41,"0.0")&amp;"; ZM="&amp;IF($HA41="","n/a",TEXT($HA41,"0.0"))&amp;"; Context="&amp;TEXT($HB41,"0.0")&amp;"; Uncertainty="&amp;TEXT($HC41,"0.0")&amp;"; Compound="&amp;TEXT($HD41,"0.0")&amp;"; Risk Score="&amp;IF($HE41="","n/a",TEXT($HE41,"0.0"))&amp;"; Base="&amp;IF($HF41="","n/a",$HF41)&amp;"; G0="&amp;$HG41&amp;"; Final="&amp;$HH41&amp;". Cota, EV si lineup sunt informative si nu intra in recomandare.")</x:f>
      </x:c>
      <x:c r="HK41" s="174" t="str">
        <x:f t="shared" si="111">IF($A41="","",$HI41)</x:f>
      </x:c>
    </x:row>
    <x:row r="42" ht="24" customHeight="1">
      <x:c r="A42" s="58"/>
      <x:c r="B42" s="24"/>
      <x:c r="C42" s="59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18"/>
      <x:c r="O42" s="18"/>
      <x:c r="P42" s="24"/>
      <x:c r="Q42" s="24"/>
      <x:c r="R42" s="24"/>
      <x:c r="S42" s="24"/>
      <x:c r="T42" s="24"/>
      <x:c r="U42" s="18"/>
      <x:c r="V42" s="18"/>
      <x:c r="W42" s="24"/>
      <x:c r="X42" s="24"/>
      <x:c r="Y42" s="24"/>
      <x:c r="Z42" s="24"/>
      <x:c r="AA42" s="24"/>
      <x:c r="AB42" s="24"/>
      <x:c r="AC42" s="24"/>
      <x:c r="AD42" s="24"/>
      <x:c r="AE42" s="24"/>
      <x:c r="AF42" s="24"/>
      <x:c r="AG42" s="24"/>
      <x:c r="AH42" s="24"/>
      <x:c r="AI42" s="18"/>
      <x:c r="AJ42" s="24"/>
      <x:c r="AK42" s="24"/>
      <x:c r="AL42" s="24"/>
      <x:c r="AM42" s="18"/>
      <x:c r="AN42" s="24"/>
      <x:c r="AO42" s="60"/>
      <x:c r="AP42" s="60"/>
      <x:c r="AQ42" s="60"/>
      <x:c r="AR42" s="60"/>
      <x:c r="AS42" s="60"/>
      <x:c r="AT42" s="24"/>
      <x:c r="AU42" s="24"/>
      <x:c r="AV42" s="24"/>
      <x:c r="AW42" s="24"/>
      <x:c r="AX42" s="24"/>
      <x:c r="AY42" s="24"/>
      <x:c r="AZ42" s="24"/>
      <x:c r="BA42" s="24"/>
      <x:c r="BB42" s="24"/>
      <x:c r="BC42" s="24"/>
      <x:c r="BD42" s="24"/>
      <x:c r="BE42" s="24"/>
      <x:c r="BF42" s="24"/>
      <x:c r="BG42" s="24"/>
      <x:c r="BH42" s="61"/>
      <x:c r="BI42" s="61"/>
      <x:c r="BJ42" s="62" t="str">
        <x:f>IF($A42="","",SQRT((($I42*IF($J42="",$AJ42,$J42)+'Setari model'!$B$30*$AJ42)/($I42+'Setari model'!$B$30))*(($P42*IF($R42="",$AJ42,$R42)+'Setari model'!$B$30*$AJ42)/($P42+'Setari model'!$B$30)))+SQRT((($P42*IF($Q42="",$AK42,$Q42)+'Setari model'!$B$30*$AK42)/($P42+'Setari model'!$B$30))*(($I42*IF($K42="",$AK42,$K42)+'Setari model'!$B$30*$AK42)/($I42+'Setari model'!$B$30))))</x:f>
      </x:c>
      <x:c r="BK42" s="62" t="str">
        <x:f>IF($A42="","",SQRT((($I42*IF($L42="",IF($J42="",$AJ42,$J42),$L42)+'Setari model'!$B$30*$AJ42)/($I42+'Setari model'!$B$30))*(($P42*IF($T42="",IF($R42="",$AJ42,$R42),$T42)+'Setari model'!$B$30*$AJ42)/($P42+'Setari model'!$B$30)))+SQRT((($P42*IF($S42="",IF($Q42="",$AK42,$Q42),$S42)+'Setari model'!$B$30*$AK42)/($P42+'Setari model'!$B$30))*(($I42*IF($M42="",IF($K42="",$AK42,$K42),$M42)+'Setari model'!$B$30*$AK42)/($I42+'Setari model'!$B$30))))</x:f>
      </x:c>
      <x:c r="BL42" s="62" t="str">
        <x:f>IF($A42="","",SQRT((($W42*IF($X42="",$AL42/2,$X42)+'Setari model'!$B$31*$AL42/2)/($W42+'Setari model'!$B$31))*(($AB42*IF($AD42="",$AL42/2,$AD42)+'Setari model'!$B$31*$AL42/2)/($AB42+'Setari model'!$B$31)))+SQRT((($AB42*IF($AC42="",$AL42/2,$AC42)+'Setari model'!$B$31*$AL42/2)/($AB42+'Setari model'!$B$31))*(($W42*IF($Y42="",$AL42/2,$Y42)+'Setari model'!$B$31*$AL42/2)/($W42+'Setari model'!$B$31))))</x:f>
      </x:c>
      <x:c r="BM42" s="62" t="str">
        <x:f>IF($A42="","",SQRT((($W42*IF($Z42="",IF($X42="",$AL42/2,$X42),$Z42)+'Setari model'!$B$31*$AL42/2)/($W42+'Setari model'!$B$31))*(($AB42*IF($AF42="",IF($AD42="",$AL42/2,$AD42),$AF42)+'Setari model'!$B$31*$AL42/2)/($AB42+'Setari model'!$B$31)))+SQRT((($AB42*IF($AE42="",IF($AC42="",$AL42/2,$AC42),$AE42)+'Setari model'!$B$31*$AL42/2)/($AB42+'Setari model'!$B$31))*(($W42*IF($AA42="",IF($Y42="",$AL42/2,$Y42),$AA42)+'Setari model'!$B$31*$AL42/2)/($W42+'Setari model'!$B$31))))</x:f>
      </x:c>
      <x:c r="BN42" s="62" t="str">
        <x:f t="shared" si="56">IF($A42="","",IF($AG42&gt;0,($AG42*IF($AH42="",$AL42,$AH42)+5*$AL42)/($AG42+5),$AL42))</x:f>
      </x:c>
      <x:c r="BO42" s="63" t="str">
        <x:f>IF($A42="","",IF($AR42&gt;1,IF($AS42&gt;1,(1/$AR42)/((1/$AR42+1/$AS42)),MIN(0.995,(1/$AR42)/(1+'Setari model'!$B$32))),1-EXP(-$AL42)))</x:f>
      </x:c>
      <x:c r="BP42" s="62" t="str">
        <x:f t="shared" si="57">IF($A42="","",-LN(1-$BO42))</x:f>
      </x:c>
      <x:c r="BQ42" s="62" t="str">
        <x:f>IF($A42="","",$BJ42*INDEX('Setari model'!$B$5:$B$11,MATCH($E42,'Setari model'!$A$5:$A$11,0))+$BK42*INDEX('Setari model'!$C$5:$C$11,MATCH($E42,'Setari model'!$A$5:$A$11,0))+$BL42*INDEX('Setari model'!$D$5:$D$11,MATCH($E42,'Setari model'!$A$5:$A$11,0))+$BM42*INDEX('Setari model'!$E$5:$E$11,MATCH($E42,'Setari model'!$A$5:$A$11,0))+$BN42*INDEX('Setari model'!$F$5:$F$11,MATCH($E42,'Setari model'!$A$5:$A$11,0))+$BP42*INDEX('Setari model'!$G$5:$G$11,MATCH($E42,'Setari model'!$A$5:$A$11,0)))</x:f>
      </x:c>
      <x:c r="BR42" s="64" t="str">
        <x:f>IF($A42="","",MAX('Setari model'!$B$53,MIN('Setari model'!$B$54,1+($AV42*'Setari model'!$B$15+$AW42*'Setari model'!$B$16+$AX42*'Setari model'!$B$17+$AY42*'Setari model'!$B$18+$AZ42*'Setari model'!$B$19+$BA42*'Setari model'!$B$20+$BB42*'Setari model'!$B$21+$BC42*'Setari model'!$B$22+$BD42*'Setari model'!$B$23+$BE42*'Setari model'!$B$24+$BF42*'Setari model'!$B$25)*INDEX('Setari model'!$H$5:$H$11,MATCH($E42,'Setari model'!$A$5:$A$11,0)))))</x:f>
      </x:c>
      <x:c r="BS42" s="62" t="str">
        <x:f t="shared" si="58">IF($A42="","",$BQ42*$BR42)</x:f>
      </x:c>
      <x:c r="BT42" s="63" t="str">
        <x:f t="shared" si="59">IF($A42="","",EXP(-$BS42))</x:f>
      </x:c>
      <x:c r="BU42" s="65" t="str">
        <x:f>IF($A42="","",IF(OR($AM42="",$AN42=""),1,1+MIN('Setari model'!$B$33,$AN42/100*'Setari model'!$B$33)*($AM42/EXP(-$AL42)-1)))</x:f>
      </x:c>
      <x:c r="BV42" s="63" t="str">
        <x:f>IF($A42="","",MIN(0.45,MAX(0.005,(1-'Setari model'!$B$34*MIN(1,($I42+$P42)/20))*MIN(0.45,$BT42*$BU42)+'Setari model'!$B$34*MIN(1,($I42+$P42)/20)*IF(COUNT($N42,$U42)=2,SQRT(MAX(0,1-$N42)*MAX(0,1-$U42)),IF($AM42="",EXP(-$AL42),$AM42)))))</x:f>
      </x:c>
      <x:c r="BW42" s="63" t="str">
        <x:f t="shared" si="60">IF($A42="","",1-$BV42)</x:f>
      </x:c>
      <x:c r="BX42" s="62" t="str">
        <x:f t="shared" si="61">IF($A42="","",1/$BW42)</x:f>
      </x:c>
      <x:c r="BY42" s="63" t="str">
        <x:f t="shared" si="62">IF($A42="","",$BO42)</x:f>
      </x:c>
      <x:c r="BZ42" s="63" t="str">
        <x:f t="shared" si="63">IF($A42="","",$BW42-$BY42)</x:f>
      </x:c>
      <x:c r="CA42" s="63" t="str">
        <x:f t="shared" si="64">IF($A42="","",IF($AR42&gt;1,$BW42*$AR42-1,""))</x:f>
      </x:c>
      <x:c r="CB42" s="63" t="str">
        <x:f>IF($A42="","",MIN(1,COUNT($I42:$AN42,$AR42:$BG42)/'Setari model'!$B$46))</x:f>
      </x:c>
      <x:c r="CC42" s="63" t="str">
        <x:f t="shared" si="65">IF($A42="","",0.25*MIN(1,$I42/10)+0.25*MIN(1,$P42/10)+0.15*MIN(1,$W42/5)+0.15*MIN(1,$AB42/5)+0.1*MIN(1,$AG42/5)+0.1*MIN(1,$AN42/100))</x:f>
      </x:c>
      <x:c r="CD42" s="63" t="str">
        <x:f>IF($A42="","",MAX(0,1-(MAX($BJ42:$BN42,$BP42)-MIN($BJ42:$BN42,$BP42))/(AVERAGE($BJ42:$BN42,$BP42)*'Setari model'!$B$45)))</x:f>
      </x:c>
      <x:c r="CE42" s="66" t="str">
        <x:f>IF($A42="","",MAX(0,MIN(100,100*INDEX('Setari model'!$I$5:$I$11,MATCH($E42,'Setari model'!$A$5:$A$11,0))*('Setari model'!$B$47*$CB42+'Setari model'!$B$48*$CC42+'Setari model'!$B$49*$CD42+'Setari model'!$B$50*$AT42/5+'Setari model'!$B$51*$AU42)-100*'Setari model'!$B$52*$BG42)))</x:f>
      </x:c>
      <x:c r="CF42" s="65" t="str">
        <x:f t="shared" si="66">IF($A42="","",IF(OR($AT42&lt;3,$BG42&gt;=2,$CB42&lt;0.55,$CC42&lt;0.4),"RIDICAT",IF(OR($AU42=0,$CD42&lt;0.45,$BR42&lt;0.9),"MEDIU","SCĂZUT")))</x:f>
      </x:c>
      <x:c r="CG42" s="65" t="str">
        <x:f>IF($A42="","",IF($AR42&gt;1,IF(AND($BW42&gt;= 'Setari model'!$B$35,$CE42&gt;=100*'Setari model'!$B$36,$BZ42&gt;= 'Setari model'!$B$37,$CA42&gt;= 'Setari model'!$B$38,$CF42&lt;&gt;"RIDICAT"),"PARIU RECOMANDAT",IF(AND($BW42&gt;= 'Setari model'!$B$39,$CE42&gt;=100*'Setari model'!$B$40,$BZ42&gt;= 'Setari model'!$B$41,$CA42&gt;=0,$CF42&lt;&gt;"RIDICAT"),"RECOMANDAT CU PRUDENȚĂ",IF(AND($BW42&gt;= 'Setari model'!$B$42,$CE42&gt;=100*'Setari model'!$B$43),"ANALIZĂ NECONCLUDENTĂ","PARIU EVITAT"))),IF(AND($BW42&gt;= 'Setari model'!$B$35,$CE42&gt;=100*'Setari model'!$B$36,$CF42&lt;&gt;"RIDICAT"),"FAVORABIL STATISTIC – VERIFICĂ COTA",IF(AND($BW42&gt;= 'Setari model'!$B$42,$CE42&gt;=100*'Setari model'!$B$43),"ANALIZĂ NECONCLUDENTĂ","PARIU EVITAT"))))</x:f>
      </x:c>
      <x:c r="CH42" s="67" t="str">
        <x:f t="shared" si="67">IF($A42="","","P(O0,5)="&amp;TEXT($BW42,"0.0%")&amp;"; λ ajustat="&amp;TEXT($BS42,"0.00")&amp;"; Confidence="&amp;TEXT($CE42,"0")&amp;"/100; Edge="&amp;TEXT($BZ42,"0.0%")&amp;"; risc="&amp;$CF42&amp;". "&amp;$BH42)</x:f>
      </x:c>
      <x:c r="CI42" s="68" t="str">
        <x:f t="shared" si="68">IF($A42="","",$BI42)</x:f>
      </x:c>
      <x:c r="CJ42" s="112"/>
      <x:c r="CK42" s="112"/>
      <x:c r="CL42" s="112"/>
      <x:c r="CM42" s="112"/>
      <x:c r="CN42" s="112"/>
      <x:c r="CO42" s="112"/>
      <x:c r="CP42" s="112"/>
      <x:c r="CQ42" s="112"/>
      <x:c r="CR42" s="112"/>
      <x:c r="CS42" s="112"/>
      <x:c r="CT42" s="112"/>
      <x:c r="CU42" s="112"/>
      <x:c r="CV42" s="112"/>
      <x:c r="CW42" s="112"/>
      <x:c r="CX42" s="112"/>
      <x:c r="CY42" s="112"/>
      <x:c r="CZ42" s="112"/>
      <x:c r="DA42" s="112"/>
      <x:c r="DB42" s="112"/>
      <x:c r="DC42" s="114"/>
      <x:c r="DD42" s="114"/>
      <x:c r="DE42" s="112" t="s">
        <x:v>266</x:v>
      </x:c>
      <x:c r="DF42" s="112"/>
      <x:c r="DG42" s="112"/>
      <x:c r="DH42" s="112"/>
      <x:c r="DI42" s="112"/>
      <x:c r="DJ42" s="112"/>
      <x:c r="DK42" s="112"/>
      <x:c r="DL42" s="112"/>
      <x:c r="DM42" s="112"/>
      <x:c r="DN42" s="112"/>
      <x:c r="DO42" s="112"/>
      <x:c r="DP42" s="112"/>
      <x:c r="DQ42" s="114"/>
      <x:c r="DR42" s="112">
        <x:v>1</x:v>
      </x:c>
      <x:c r="DS42" s="116">
        <x:v>0</x:v>
      </x:c>
      <x:c r="DT42" s="120"/>
      <x:c r="DU42" s="116">
        <x:v>0.02</x:v>
      </x:c>
      <x:c r="DV42" s="116">
        <x:v>0.25</x:v>
      </x:c>
      <x:c r="DW42" s="118" t="str">
        <x:f>IF($A42="","",MAX('Setari model'!$B$71,MIN('Setari model'!$B$72,1+0.08*(IFERROR(AVERAGE($CM42:$CN42)/'Setari model'!$B$66,1)-1)+0.08*(IFERROR(AVERAGE($CO42:$CP42)/'Setari model'!$B$67,1)-1)+0.06*(IFERROR(AVERAGE($CQ42:$CR42)/'Setari model'!$B$68,1)-1)+0.04*(IFERROR(AVERAGE($CS42:$CT42)/'Setari model'!$B$69,1)-1)+0.04*(IFERROR(AVERAGE($CU42:$CV42)/'Setari model'!$B$70,1)-1)-'Setari model'!$B$73*IFERROR(AVERAGE($CW42:$CX42),0))))</x:f>
      </x:c>
      <x:c r="DX42" s="118" t="str">
        <x:f>IF($A42="","",1+'Setari model'!$B$62*MAX(IF(OR($CK42=1,$CL42=1),1,0),IF(AND($CJ42&lt;&gt;"",$CJ42&lt;=1),1,0))+'Setari model'!$B$63*IF(AND($CJ42&gt;1,$CJ42&lt;=3),1,0))</x:f>
      </x:c>
      <x:c r="DY42" s="118" t="str">
        <x:f>IF($A42="","",1+'Setari model'!$B$74*(IF($CY42="",0,IF($CY42=0,1,0))+IF($CZ42="",0,IF($CZ42=0,1,0)))+'Setari model'!$B$75*(IF($DA42="",0,IF($DA42=0,1,0))+IF($DB42="",0,IF($DB42=0,1,0))))</x:f>
      </x:c>
      <x:c r="DZ42" s="117" t="str">
        <x:f>IF($A42="","",MIN(0.6,MAX(0.002,(((1-'Setari model'!$B$34*MIN(1,($I42+$P42)/20))*$BT42+'Setari model'!$B$34*MIN(1,($I42+$P42)/20)*IF(COUNT($N42,$U42)=2,SQRT(MAX(0,1-$N42)*MAX(0,1-$U42)),$BT42))*(1-'Setari model'!$B$65*MIN(1,IF($AN42="",0,$AN42/'Setari model'!$B$64)))+'Setari model'!$B$65*MIN(1,IF($AN42="",0,$AN42/'Setari model'!$B$64))*IF($AM42="",$BT42,$AM42))*$DX42*$DY42/$DW42)))</x:f>
      </x:c>
      <x:c r="EA42" s="117" t="str">
        <x:f>IF($A42="","",MIN(1-$DZ42,IF(OR(MIN($I42,$P42)&lt;'Setari model'!$B$58,$CK42=1,$CL42=1,AND($CJ42&lt;&gt;"",$CJ42&lt;=1)),'Setari model'!$B$59,IF(AND($AU42=1,$AR42&gt;1,COUNT($CY42:$DB42)=4),'Setari model'!$B$61,'Setari model'!$B$60))))</x:f>
      </x:c>
      <x:c r="EB42" s="115" t="str">
        <x:f t="shared" si="69">IF($A42="","",1/$EA42)</x:f>
      </x:c>
      <x:c r="EC42" s="117" t="str">
        <x:f t="shared" si="70">IF($A42="","",IF($AR42&gt;1,IF($AS42&gt;1,(1/$AR42)/((1/$AR42)+(1/$AS42)),1/$AR42),""))</x:f>
      </x:c>
      <x:c r="ED42" s="117" t="str">
        <x:f t="shared" si="71">IF($A42="","",IF($EC42="","",$EA42-$EC42))</x:f>
      </x:c>
      <x:c r="EE42" s="117" t="str">
        <x:f t="shared" si="72">""</x:f>
      </x:c>
      <x:c r="EF42" s="119" t="str">
        <x:f>IF($A42="","",MAX(0,MIN(100,$CE42-200*MAX(0,$EG42-'Setari model'!$B$77)-IF($AU42&lt;&gt;1,10,0)-IF(COUNT($CY42:$DB42)&lt;4,4,0))))</x:f>
      </x:c>
      <x:c r="EG42" s="117" t="str">
        <x:f>IF($A42="","",'Setari model'!$B$77+IF(MIN($I42,$P42)&lt;'Setari model'!$B$58,0.03,0)+IF(OR($CK42=1,$CL42=1,AND($CJ42&lt;&gt;"",$CJ42&lt;=1)),0.03,0)+IF($AG42=0,0.02,0)+0.03*(1-MIN(1,COUNT($CM42:$CV42)/10))+0.03*(1-MIN(1,IF($AN42="",0,$AN42/'Setari model'!$B$64)))+IF($AR42&lt;=1,0.02,0))</x:f>
      </x:c>
      <x:c r="EH42" s="113" t="str">
        <x:f>IF($A42="","",IF(OR(MIN($I42,$P42)&lt;'Setari model'!$B$58,$CK42=1,$CL42=1,AND($CJ42&lt;&gt;"",$CJ42&lt;=1)),"92% – early/regim",IF(AND($AU42=1,$AR42&gt;1,COUNT($CY42:$DB42)=4),"94% – confirmat","93% – standard")))</x:f>
      </x:c>
      <x:c r="EI42" s="113" t="str">
        <x:f t="shared" si="73">IF($A42="","",IF(AND($EA42&gt;0.9,$AU42&lt;&gt;1),"WAIT XI – HIGH P",IF(AND($EA42&gt;0.9,COUNT($CY42:$DB42)&lt;4),"WAIT DATE CHEIE – HIGH P",IF($EP42&lt;&gt;"DA","NU – PORTOFOLIU","DA"))))</x:f>
      </x:c>
      <x:c r="EJ42" s="117" t="str">
        <x:f t="shared" si="74">IF($A42="","",IF($DE42&lt;&gt;"Live 20-30","",IF(SUM($DG42:$DH42)&gt;0,1,IF($EU42="","",1-MIN(0.95,MAX(0.001,EXP(-$EU42)*$DX42*$DY42/$DW42))))))</x:f>
      </x:c>
      <x:c r="EK42" s="117" t="str">
        <x:f t="shared" si="75">""</x:f>
      </x:c>
      <x:c r="EL42" s="113" t="str">
        <x:f>IF($A42="","",IF($DE42="Live 20-30",IF(SUM($DG42:$DH42)&gt;0,"EVENIMENT ÎNDEPLINIT",IF(OR($DF42="",COUNT($DI42:$DN42)&lt;4),"LIVE – WATCH",IF($EJ42&gt;=0.75,"LIVE – FEZABIL TEHNIC","LIVE – NO BET"))),IF($EI42&lt;&gt;"DA","WATCH / NO BET",IF(AND($EA42&gt;=INDEX('Setari model'!$B$35:$B$40,1),$EF42&gt;=100*'Setari model'!$B$76),"PARIU RECOMANDAT",IF(AND($EA42&gt;=INDEX('Setari model'!$B$35:$B$40,5),$EF42&gt;=100*'Setari model'!$B$40),"WATCH – APROAPE DE PRAG","PARIU EVITAT")))))</x:f>
      </x:c>
      <x:c r="EM42" s="113" t="str">
        <x:f t="shared" si="76">IF($A42="","",IF($DE42="Live 20-30",IF(SUM($DG42:$DH42)&gt;0,"Gol deja marcat.",IF($DF42="","Minut live lipsă.",IF(COUNT($DI42:$DN42)&lt;4,"Lipsesc xG/SOT/big chances live.",IF($EJ42&lt;0.75,"P live sub prag.","Semnal live tehnic complet; EV ignorat.")))),IF($EI42&lt;&gt;"DA",$EI42,IF($EF42&lt;75,"Confidence sub 75.",IF($EA42&lt;0.92,"P sub 92%.","G0/Zero-Mass + confidence trecute; EV ignorat.")))))</x:f>
      </x:c>
      <x:c r="EN42" s="117" t="str">
        <x:f>IF($A42="","",IF(OR($EL42="PARIU RECOMANDAT",$EL42="LIVE – FEZABIL"),MIN(IF($DU42&gt;0,$DU42,'Setari model'!$B$81)/MAX(1,$DR42),IF($DV42&gt;0,$DV42,'Setari model'!$B$80)*MAX(0,((IF($DE42="Live 20-30",$EJ42,$EA42)*IF($DE42="Live 20-30",$DQ42,$AR42)-1)/(IF($DE42="Live 20-30",$DQ42,$AR42)-1)))),0))</x:f>
      </x:c>
      <x:c r="EO42" s="121" t="str">
        <x:f t="shared" si="77">IF($A42="","",IF(AND($EN42&gt;0,$DT42&gt;0),$EN42*$DT42,""))</x:f>
      </x:c>
      <x:c r="EP42" s="113" t="str">
        <x:f>IF($A42="","",IF(OR($DR42&lt;1,$DR42&gt;'Setari model'!$B$78),"NU – 1–5 selecții",IF($DS42&gt;'Setari model'!$B$79,"NU – corelație", "DA")))</x:f>
      </x:c>
      <x:c r="EQ42" s="117" t="str">
        <x:f t="shared" si="78">IF($A42="","",IF(AND($DC42&gt;1,$DD42&gt;1),$DC42/$DD42-1,""))</x:f>
      </x:c>
      <x:c r="ER42" s="113" t="str">
        <x:f t="shared" si="79">IF($A42="","","P v2="&amp;TEXT($EA42,"0.0%")&amp;" ±"&amp;TEXT($EG42,"0.0%")&amp;"; P0 ZIP="&amp;TEXT($DZ42,"0.0%")&amp;"; Confidence="&amp;TEXT($EF42,"0")&amp;"/100; piață reală="&amp;IF($EC42="","NU","DA")&amp;"; EV="&amp;IF($EE42="","n/a",TEXT($EE42,"0.0%"))&amp;"; gate="&amp;$EI42&amp;"; verdict="&amp;$EL42&amp;". "&amp;$EM42)</x:f>
      </x:c>
      <x:c r="ES42" s="119" t="str">
        <x:f>IF($A42="","",'Setari model'!$B$82)</x:f>
      </x:c>
      <x:c r="ET42" s="118" t="str">
        <x:f>IF($A42="","",'Setari model'!$B$83)</x:f>
      </x:c>
      <x:c r="EU42" s="115" t="str">
        <x:f t="shared" si="80">IF(OR($A42="",$DE42&lt;&gt;"Live 20-30",$DF42="",$DF42&lt;$ES42,$DF42&gt;=90),"",MAX(0.05,MIN($BS42*$ET42,$BS42*(90-$DF42)/90+0.35*($DI42+$DJ42)+0.06*($DK42+$DL42)+0.15*($DM42+$DN42)+0.1*(MAX($DO42,$DP42)-MIN($DO42,$DP42)))))</x:f>
      </x:c>
      <x:c r="EV42" s="132"/>
      <x:c r="EW42" s="132"/>
      <x:c r="EX42" s="132"/>
      <x:c r="EY42" s="132"/>
      <x:c r="EZ42" s="132"/>
      <x:c r="FA42" s="132"/>
      <x:c r="FB42" s="247"/>
      <x:c r="FC42" s="134" t="str">
        <x:f t="shared" si="81">IF($A42="","",IF(OR($J42="",$L42="",$L42&lt;=0),"",MAX(0.5,MIN(1.5,$J42/$L42))))</x:f>
      </x:c>
      <x:c r="FD42" s="134" t="str">
        <x:f t="shared" si="82">IF($A42="","",IF(OR($Q42="",$S42="",$S42&lt;=0),"",MAX(0.5,MIN(1.5,$Q42/$S42))))</x:f>
      </x:c>
      <x:c r="FE42" s="134" t="str">
        <x:f>IF($A42="","",IF(COUNT($EV42:$EW42)&lt;2,"",SQRT($EV42*$EW42)/'Setari model'!$B$87))</x:f>
      </x:c>
      <x:c r="FF42" s="134" t="str">
        <x:f>IF($A42="","",IF(COUNT($O42,$V42,$EX42,$EY42)&lt;4,"",AVERAGE(SQRT($O42*$EY42),SQRT($V42*$EX42))/'Setari model'!$B$88))</x:f>
      </x:c>
      <x:c r="FG42" s="134" t="str">
        <x:f t="shared" si="83">IF($A42="","",IF(COUNT($FC42:$FD42)&lt;2,"",MAX(0,1-AVERAGE($FC42:$FD42))))</x:f>
      </x:c>
      <x:c r="FH42" s="134" t="str">
        <x:f>IF($A42="","",IF(COUNT($EZ42:$FA42)&lt;2,"",'Setari model'!$B$94*AVERAGE($EZ42:$FA42)/'Setari model'!$B$89))</x:f>
      </x:c>
      <x:c r="FI42" s="134" t="str">
        <x:f>IF($A42="","",IF(COUNT($FE42:$FH42)&lt;4,"",MAX('Setari model'!$B$97,MIN('Setari model'!$B$98,1+'Setari model'!$B$90*($FE42-1)+'Setari model'!$B$91*($FF42-1)+'Setari model'!$B$92*$FG42+'Setari model'!$B$93*($FH42-1)))))</x:f>
      </x:c>
      <x:c r="FJ42" s="133" t="str">
        <x:f>IF($A42="","",IF($FI42="","",MIN('Setari model'!$B$101,MAX(0.002,$DZ42*$FI42))))</x:f>
      </x:c>
      <x:c r="FK42" s="131" t="str">
        <x:f t="shared" si="84">IF($A42="","",IF(AND(COUNT($EV42:$FA42)=6,COUNT($O42,$V42,$FC42,$FD42)=4),"DA","NU"))</x:f>
      </x:c>
      <x:c r="FL42" s="131" t="str">
        <x:f>IF($A42="","",IF($FK42&lt;&gt;"DA","NEDETERMINAT",IF($FI42&lt;='Setari model'!$B$99,"SCĂZUT",IF($FI42&lt;='Setari model'!$B$100,"MEDIU","RIDICAT"))))</x:f>
      </x:c>
      <x:c r="FM42" s="131" t="str">
        <x:f>IF($A42="","",IF(AND($AR42&gt;1,$EC42&gt;='Setari model'!$B$106),"DA","NU"))</x:f>
      </x:c>
      <x:c r="FN42" s="131" t="str">
        <x:f t="shared" si="85">IF($A42="","",IF(AND($AU42=1,COUNT($CY42:$DB42)=4),"DA","NU"))</x:f>
      </x:c>
      <x:c r="FO42" s="133" t="str">
        <x:f>IF($A42="","",IF(OR($FK42&lt;&gt;"DA",$FL42="RIDICAT"),'Setari model'!$B$102,IF($FL42="MEDIU",'Setari model'!$B$103,IF(AND($FM42="DA",$FN42="DA"),'Setari model'!$B$105,'Setari model'!$B$104))))</x:f>
      </x:c>
      <x:c r="FP42" s="133" t="str">
        <x:f t="shared" si="86">IF($A42="","",IF($FJ42="","",MIN(1-$FJ42,$FO42)))</x:f>
      </x:c>
      <x:c r="FQ42" s="135" t="str">
        <x:f t="shared" si="87">IF($A42="","",IF($FP42="","",IF($FP42&gt;0,1/$FP42,"")))</x:f>
      </x:c>
      <x:c r="FR42" s="133" t="str">
        <x:f t="shared" si="88">IF($A42="","",IF($EC42="","",$FP42-$EC42))</x:f>
      </x:c>
      <x:c r="FS42" s="133" t="str">
        <x:f t="shared" si="89">IF($A42="","",IF($AR42&gt;1,$FP42*$AR42-1,""))</x:f>
      </x:c>
      <x:c r="FT42" s="136" t="str">
        <x:f>IF($A42="","",MAX(0,MIN(100,$EF42-IF($FK42&lt;&gt;"DA",'Setari model'!$B$107,0)-IF($FL42="MEDIU",'Setari model'!$B$108,0)-IF($FL42="RIDICAT",'Setari model'!$B$109,0))))</x:f>
      </x:c>
      <x:c r="FU42" s="131" t="str">
        <x:f t="shared" si="90">IF($A42="","",IF($AR42&lt;=1,"NU – LIPSEȘTE COTA REALĂ",IF($FK42&lt;&gt;"DA","NU – ZERO-RISK INCOMPLET",IF($FL42&lt;&gt;"SCĂZUT","NU – RISC 0-0 "&amp;$FL42,IF($FN42&lt;&gt;"DA","NU – LINEUP NECONFIRMAT",IF($FM42&lt;&gt;"DA","NU – PIAȚĂ NECONFIRMATĂ",IF($EP42&lt;&gt;"DA","NU – PORTOFOLIU","DA")))))))</x:f>
      </x:c>
      <x:c r="FV42" s="131" t="str">
        <x:f>IF($A42="","",IF($FU42&lt;&gt;"DA","WATCH / NO BET",IF(AND($FP42&gt;='Setari model'!$B$35,$FT42&gt;=100*'Setari model'!$B$76,$FS42&gt;0),"PARIU RECOMANDAT",IF(AND($FP42&gt;='Setari model'!$B$39,$FT42&gt;=100*'Setari model'!$B$40,$FS42&gt;0),"WATCH – APROAPE DE PRAG","PARIU EVITAT"))))</x:f>
      </x:c>
      <x:c r="FW42" s="131" t="str">
        <x:f t="shared" si="91">IF($A42="","",IF($FU42&lt;&gt;"DA",$FU42,IF($FT42&lt;75,"Confidence v3 sub 75.",IF($FP42&lt;0.92,"P v3 sub 92%.",IF($FS42&lt;=0,"EV v3 nepozitiv.","P0 v3, lineup și piață confirmate.")))))</x:f>
      </x:c>
      <x:c r="FX42" s="131" t="str">
        <x:f t="shared" si="92">IF($A42="","","P v3="&amp;TEXT($FP42,"0.0%")&amp;"; P0 v3="&amp;TEXT($FJ42,"0.0%")&amp;"; factor zero="&amp;IF($FI42="","n/a",TEXT($FI42,"0.00x"))&amp;" ("&amp;$FL42&amp;"); cap="&amp;TEXT($FO42,"0.0%")&amp;"; Confidence="&amp;TEXT($FT42,"0")&amp;"/100; lineup="&amp;$FN42&amp;"; piață="&amp;$FM42&amp;"; EV="&amp;IF($FS42="","n/a",TEXT($FS42,"0.0%"))&amp;"; gate="&amp;$FU42&amp;"; verdict="&amp;$FV42&amp;". "&amp;$FW42)</x:f>
      </x:c>
      <x:c r="FY42" s="159"/>
      <x:c r="FZ42" s="159"/>
      <x:c r="GA42" s="157"/>
      <x:c r="GB42" s="157"/>
      <x:c r="GC42" s="161" t="str">
        <x:f t="shared" si="93">IF($A42="","",IF(OR($X42="",$Z42="",$Z42&lt;=0),"",MAX(0.5,MIN(1.5,$X42/$Z42))))</x:f>
      </x:c>
      <x:c r="GD42" s="161" t="str">
        <x:f t="shared" si="94">IF($A42="","",IF(OR($AC42="",$AE42="",$AE42&lt;=0),"",MAX(0.5,MIN(1.5,$AC42/$AE42))))</x:f>
      </x:c>
      <x:c r="GE42" s="162" t="str">
        <x:f t="shared" si="95">IF($A42="","",IF(COUNT($Z42,$AE42)&lt;2,"",AVERAGE($Z42,$AE42)))</x:f>
      </x:c>
      <x:c r="GF42" s="158" t="str">
        <x:f>IF($A42="","",IF(COUNT($FY42:$FZ42)&lt;2,"NEDETERMINAT",IF(AND($FY42&gt;='Setari model'!$B$113,$FZ42&gt;='Setari model'!$B$113),"DA","NU")))</x:f>
      </x:c>
      <x:c r="GG42" s="158" t="str">
        <x:f>IF($A42="","",IF(COUNT($FY42:$FZ42,$EX42:$EY42)&lt;4,"NEDETERMINAT",IF(OR(AND($FY42&gt;='Setari model'!$B$113,$EY42&gt;='Setari model'!$B$114),AND($FZ42&gt;='Setari model'!$B$113,$EX42&gt;='Setari model'!$B$114)),"DA","NU")))</x:f>
      </x:c>
      <x:c r="GH42" s="158" t="str">
        <x:f>IF($A42="","",IF(COUNT($BJ42:$BN42,$GC42:$GE42)&lt;8,"NEDETERMINAT",IF(AND((($BJ42*INDEX('Setari model'!$B$5:$B$11,MATCH($E42,'Setari model'!$A$5:$A$11,0))+$BK42*INDEX('Setari model'!$C$5:$C$11,MATCH($E42,'Setari model'!$A$5:$A$11,0))+$BL42*INDEX('Setari model'!$D$5:$D$11,MATCH($E42,'Setari model'!$A$5:$A$11,0))+$BM42*INDEX('Setari model'!$E$5:$E$11,MATCH($E42,'Setari model'!$A$5:$A$11,0))+$BN42*INDEX('Setari model'!$F$5:$F$11,MATCH($E42,'Setari model'!$A$5:$A$11,0)))/(INDEX('Setari model'!$B$5:$B$11,MATCH($E42,'Setari model'!$A$5:$A$11,0))+INDEX('Setari model'!$C$5:$C$11,MATCH($E42,'Setari model'!$A$5:$A$11,0))+INDEX('Setari model'!$D$5:$D$11,MATCH($E42,'Setari model'!$A$5:$A$11,0))+INDEX('Setari model'!$E$5:$E$11,MATCH($E42,'Setari model'!$A$5:$A$11,0))+INDEX('Setari model'!$F$5:$F$11,MATCH($E42,'Setari model'!$A$5:$A$11,0))))*$BR42&gt;='Setari model'!$B$115,(($BJ42*INDEX('Setari model'!$B$5:$B$11,MATCH($E42,'Setari model'!$A$5:$A$11,0))+$BK42*INDEX('Setari model'!$C$5:$C$11,MATCH($E42,'Setari model'!$A$5:$A$11,0))+$BL42*INDEX('Setari model'!$D$5:$D$11,MATCH($E42,'Setari model'!$A$5:$A$11,0))+$BM42*INDEX('Setari model'!$E$5:$E$11,MATCH($E42,'Setari model'!$A$5:$A$11,0))+$BN42*INDEX('Setari model'!$F$5:$F$11,MATCH($E42,'Setari model'!$A$5:$A$11,0)))/(INDEX('Setari model'!$B$5:$B$11,MATCH($E42,'Setari model'!$A$5:$A$11,0))+INDEX('Setari model'!$C$5:$C$11,MATCH($E42,'Setari model'!$A$5:$A$11,0))+INDEX('Setari model'!$D$5:$D$11,MATCH($E42,'Setari model'!$A$5:$A$11,0))+INDEX('Setari model'!$E$5:$E$11,MATCH($E42,'Setari model'!$A$5:$A$11,0))+INDEX('Setari model'!$F$5:$F$11,MATCH($E42,'Setari model'!$A$5:$A$11,0))))*$BR42&lt;='Setari model'!$B$116,AVERAGE($GC42:$GD42)&lt;='Setari model'!$B$117,$GE42&gt;='Setari model'!$B$118),"DA","NU")))</x:f>
      </x:c>
      <x:c r="GI42" s="158" t="str">
        <x:f>IF($A42="","",IF(COUNT($W42,$AB42,$GA42:$GB42)&lt;4,"NEDETERMINAT",IF(AND($W42&gt;='Setari model'!$B$120,$AB42&gt;='Setari model'!$B$120,OR(IFERROR($GA42/$W42,0)&gt;='Setari model'!$B$119,IFERROR($GB42/$AB42,0)&gt;='Setari model'!$B$119)),"DA","NU")))</x:f>
      </x:c>
      <x:c r="GJ42" s="160" t="str">
        <x:f>IF($A42="","",IF(COUNT($FY42:$GB42)&lt;4,"",IF($GH42&lt;&gt;"DA",0,'Setari model'!$B$121*IF($GF42="DA",1,0)+'Setari model'!$B$122*IF($GG42="DA",1,0)+'Setari model'!$B$123+'Setari model'!$B$124*IF($GI42="DA",1,0))))</x:f>
      </x:c>
      <x:c r="GK42" s="161" t="str">
        <x:f>IF($A42="","",IF(COUNT($GJ42)=0,"",1+'Setari model'!$B$125*$GJ42))</x:f>
      </x:c>
      <x:c r="GL42" s="160" t="str">
        <x:f>IF($A42="","",IF($GM42&lt;&gt;"DA",$FJ42,MIN('Setari model'!$B$101,MAX(0.002,$FJ42*$GK42))))</x:f>
      </x:c>
      <x:c r="GM42" s="158" t="str">
        <x:f>IF($A42="","",IF(AND($FK42="DA",COUNT($FY42:$GB42)=4,COUNT($I42,$P42,$W42,$AB42,$Z42,$AE42,$EX42,$EY42,$GC42,$GD42)=10,COUNT($BJ42:$BN42)=5),"DA","NU"))</x:f>
      </x:c>
      <x:c r="GN42" s="158" t="str">
        <x:f>IF($A42="","",IF($GM42&lt;&gt;"DA","NEDETERMINAT",IF($FI42*$GK42&lt;='Setari model'!$B$99,"SCĂZUT",IF($FI42*$GK42&lt;='Setari model'!$B$100,"MEDIU","RIDICAT"))))</x:f>
      </x:c>
      <x:c r="GO42" s="160" t="str">
        <x:f>IF($A42="","",IF(OR($GM42&lt;&gt;"DA",$GN42="RIDICAT"),'Setari model'!$B$102,IF($GN42="MEDIU",'Setari model'!$B$103,IF(AND($FM42="DA",$FN42="DA"),'Setari model'!$B$105,'Setari model'!$B$104))))</x:f>
      </x:c>
      <x:c r="GP42" s="160" t="str">
        <x:f t="shared" si="96">IF($A42="","",IF($GL42="","",MIN(1-$GL42,$GO42)))</x:f>
      </x:c>
      <x:c r="GQ42" s="162" t="str">
        <x:f t="shared" si="97">IF($A42="","",IF($GP42="","",IF($GP42&gt;0,1/$GP42,"")))</x:f>
      </x:c>
      <x:c r="GR42" s="160" t="str">
        <x:f t="shared" si="98">IF($A42="","",IF($EC42="","",$GP42-$EC42))</x:f>
      </x:c>
      <x:c r="GS42" s="160" t="str">
        <x:f t="shared" si="99">IF($A42="","",IF($AR42&gt;1,$GP42*$AR42-1,""))</x:f>
      </x:c>
      <x:c r="GT42" s="163" t="str">
        <x:f>IF($A42="","",MAX(0,MIN(100,$FT42-IF(AND($GM42&lt;&gt;"DA",$FK42="DA"),'Setari model'!$B$107,0)-'Setari model'!$B$126*IF($GJ42="",0,$GJ42))))</x:f>
      </x:c>
      <x:c r="GU42" s="158" t="str">
        <x:f t="shared" si="100">IF($A42="","",IF($AR42&lt;=1,"NU – LIPSEȘTE COTA REALĂ",IF($GM42&lt;&gt;"DA","NU – DATE LOW-CONVERSION INCOMPLETE",IF($GN42&lt;&gt;"SCĂZUT","NU – RISC 0-0 "&amp;$GN42,IF($FN42&lt;&gt;"DA","NU – LINEUP NECONFIRMAT",IF($FM42&lt;&gt;"DA","NU – PIAȚĂ NECONFIRMATĂ",IF($EP42&lt;&gt;"DA","NU – PORTOFOLIU","DA")))))))</x:f>
      </x:c>
      <x:c r="GV42" s="158" t="str">
        <x:f>IF($A42="","",IF($GU42&lt;&gt;"DA","WATCH / NO BET",IF(AND($GP42&gt;='Setari model'!$B$35,$GT42&gt;=100*'Setari model'!$B$76,$GS42&gt;0),"PARIU RECOMANDAT",IF(AND($GP42&gt;='Setari model'!$B$39,$GT42&gt;=100*'Setari model'!$B$40,$GS42&gt;0),"WATCH – APROAPE DE PRAG","PARIU EVITAT"))))</x:f>
      </x:c>
      <x:c r="GW42" s="158" t="str">
        <x:f t="shared" si="101">IF($A42="","",IF($GU42&lt;&gt;"DA",$GU42,IF($GT42&lt;75,"Confidence v5 sub 75.",IF($GP42&lt;0.92,"P v5 sub 92%.",IF($GS42&lt;=0,"EV v5 nepozitiv.",IF($GJ42&gt;0,"Low-conversion absorbit în P0; toate porțile rămân trecute.","Toate porțile v5 sunt trecute."))))))</x:f>
      </x:c>
      <x:c r="GX42" s="158" t="str">
        <x:f t="shared" si="102">IF($A42="","","P v5="&amp;TEXT($GP42,"0.0%")&amp;"; P0 v5="&amp;TEXT($GL42,"0.0%")&amp;"; low-conv="&amp;IF(COUNT($GJ42)=0,"n/a",TEXT($GJ42,"0%"))&amp;"; mult.P0="&amp;IF(COUNT($GK42)=0,"n/a",TEXT($GK42,"0.00"))&amp;"; clasă="&amp;$GN42&amp;"; cap="&amp;TEXT($GO42,"0.0%")&amp;"; Confidence="&amp;TEXT($GT42,"0")&amp;"/100; lineup="&amp;$FN42&amp;"; piață="&amp;$FM42&amp;"; EV="&amp;IF($GS42="","n/a",TEXT($GS42,"0.0%"))&amp;"; gate="&amp;$GU42&amp;"; verdict="&amp;$GV42&amp;". "&amp;$GW42)</x:f>
      </x:c>
      <x:c r="GY42" s="174" t="str">
        <x:f>IF($A42="","",IF($GM42&lt;&gt;"DA","SOURCING INCOMPLETE – REVIEW REQUIRED",IF(MIN($I42,$P42,$W42,$AB42)&lt;'Setari model'!$B$58,"SMALL SAMPLE + PRIOR / SHRINKAGE","VERIFIED / PRIOR / SHRINKAGE")))</x:f>
      </x:c>
      <x:c r="GZ42" s="175" t="str">
        <x:f t="shared" si="103">IF($A42="","",MAX(0,MIN(100,100*(1-AVERAGE(IF($GM42="DA",1,0),MIN(1,$AT42/5))))))</x:f>
      </x:c>
      <x:c r="HA42" s="175" t="str">
        <x:f>IF($A42="","",IF($GM42&lt;&gt;"DA","",MAX(0,MIN(100,100*(($FI42*$GK42)-'Setari model'!$B$97)/('Setari model'!$B$98-'Setari model'!$B$97)))))</x:f>
      </x:c>
      <x:c r="HB42" s="175" t="str">
        <x:f>IF($A42="","",MAX(0,MIN(100,100*(ABS($BR42-1)/MAX(1-'Setari model'!$B$53,'Setari model'!$B$54-1)+MIN(1,$BG42/2))/2)))</x:f>
      </x:c>
      <x:c r="HC42" s="175" t="str">
        <x:f t="shared" si="104">IF($A42="","",MAX(0,MIN(100,100*(1-AVERAGE($CC42,MAX(0,1-(MAX($BJ42:$BN42)-MIN($BJ42:$BN42))/(AVERAGE($BJ42:$BN42)*'Setari model'!$B$45)))))))</x:f>
      </x:c>
      <x:c r="HD42" s="175" t="str">
        <x:f t="shared" si="105">IF($A42="","",MAX(0,MIN(100,100*MAX(IF($GJ42="",0,$GJ42),MIN(1,$BG42/2)))))</x:f>
      </x:c>
      <x:c r="HE42" s="175" t="str">
        <x:f>IF($A42="","",IF(COUNT($GZ42:$HD42)&lt;5,"",$GZ42*Risk_Classification!$E$28+$HA42*Risk_Classification!$E$29+$HB42*Risk_Classification!$E$30+$HC42*Risk_Classification!$E$31+$HD42*Risk_Classification!$E$32))</x:f>
      </x:c>
      <x:c r="HF42" s="176" t="str">
        <x:f t="shared" si="106">IF($A42="","",IF($HE42="","",IF($HE42&lt;=20,1,IF($HE42&lt;=40,2,IF($HE42&lt;=60,3,IF($HE42&lt;=80,4,5))))))</x:f>
      </x:c>
      <x:c r="HG42" s="176" t="str">
        <x:f t="shared" si="107">IF($A42="","",IF($GM42="DA","PASS","FAIL – DATE CRITICE ZERO-MASS INCOMPLETE"))</x:f>
      </x:c>
      <x:c r="HH42" s="176" t="str">
        <x:f t="shared" si="108">IF($A42="","",IF($HG42&lt;&gt;"PASS",5,$HF42))</x:f>
      </x:c>
      <x:c r="HI42" s="174" t="str">
        <x:f t="shared" si="109">IF($A42="","",IF($HH42="","N/A",IF($HH42=1,"DEFENSIV",IF($HH42=2,"PRUDENT",IF($HH42=3,"MODERAT",IF($HH42=4,"RIDICAT","WATCH / NO BET"))))))</x:f>
      </x:c>
      <x:c r="HJ42" s="177" t="str">
        <x:f t="shared" si="110">IF($A42="","","Data="&amp;$GY42&amp;"; DQ="&amp;TEXT($GZ42,"0.0")&amp;"; ZM="&amp;IF($HA42="","n/a",TEXT($HA42,"0.0"))&amp;"; Context="&amp;TEXT($HB42,"0.0")&amp;"; Uncertainty="&amp;TEXT($HC42,"0.0")&amp;"; Compound="&amp;TEXT($HD42,"0.0")&amp;"; Risk Score="&amp;IF($HE42="","n/a",TEXT($HE42,"0.0"))&amp;"; Base="&amp;IF($HF42="","n/a",$HF42)&amp;"; G0="&amp;$HG42&amp;"; Final="&amp;$HH42&amp;". Cota, EV si lineup sunt informative si nu intra in recomandare.")</x:f>
      </x:c>
      <x:c r="HK42" s="174" t="str">
        <x:f t="shared" si="111">IF($A42="","",$HI42)</x:f>
      </x:c>
    </x:row>
    <x:row r="43" ht="24" customHeight="1">
      <x:c r="A43" s="58"/>
      <x:c r="B43" s="24"/>
      <x:c r="C43" s="59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18"/>
      <x:c r="O43" s="18"/>
      <x:c r="P43" s="24"/>
      <x:c r="Q43" s="24"/>
      <x:c r="R43" s="24"/>
      <x:c r="S43" s="24"/>
      <x:c r="T43" s="24"/>
      <x:c r="U43" s="18"/>
      <x:c r="V43" s="18"/>
      <x:c r="W43" s="24"/>
      <x:c r="X43" s="24"/>
      <x:c r="Y43" s="24"/>
      <x:c r="Z43" s="24"/>
      <x:c r="AA43" s="24"/>
      <x:c r="AB43" s="24"/>
      <x:c r="AC43" s="24"/>
      <x:c r="AD43" s="24"/>
      <x:c r="AE43" s="24"/>
      <x:c r="AF43" s="24"/>
      <x:c r="AG43" s="24"/>
      <x:c r="AH43" s="24"/>
      <x:c r="AI43" s="18"/>
      <x:c r="AJ43" s="24"/>
      <x:c r="AK43" s="24"/>
      <x:c r="AL43" s="24"/>
      <x:c r="AM43" s="18"/>
      <x:c r="AN43" s="24"/>
      <x:c r="AO43" s="60"/>
      <x:c r="AP43" s="60"/>
      <x:c r="AQ43" s="60"/>
      <x:c r="AR43" s="60"/>
      <x:c r="AS43" s="60"/>
      <x:c r="AT43" s="24"/>
      <x:c r="AU43" s="24"/>
      <x:c r="AV43" s="24"/>
      <x:c r="AW43" s="24"/>
      <x:c r="AX43" s="24"/>
      <x:c r="AY43" s="24"/>
      <x:c r="AZ43" s="24"/>
      <x:c r="BA43" s="24"/>
      <x:c r="BB43" s="24"/>
      <x:c r="BC43" s="24"/>
      <x:c r="BD43" s="24"/>
      <x:c r="BE43" s="24"/>
      <x:c r="BF43" s="24"/>
      <x:c r="BG43" s="24"/>
      <x:c r="BH43" s="61"/>
      <x:c r="BI43" s="61"/>
      <x:c r="BJ43" s="62" t="str">
        <x:f>IF($A43="","",SQRT((($I43*IF($J43="",$AJ43,$J43)+'Setari model'!$B$30*$AJ43)/($I43+'Setari model'!$B$30))*(($P43*IF($R43="",$AJ43,$R43)+'Setari model'!$B$30*$AJ43)/($P43+'Setari model'!$B$30)))+SQRT((($P43*IF($Q43="",$AK43,$Q43)+'Setari model'!$B$30*$AK43)/($P43+'Setari model'!$B$30))*(($I43*IF($K43="",$AK43,$K43)+'Setari model'!$B$30*$AK43)/($I43+'Setari model'!$B$30))))</x:f>
      </x:c>
      <x:c r="BK43" s="62" t="str">
        <x:f>IF($A43="","",SQRT((($I43*IF($L43="",IF($J43="",$AJ43,$J43),$L43)+'Setari model'!$B$30*$AJ43)/($I43+'Setari model'!$B$30))*(($P43*IF($T43="",IF($R43="",$AJ43,$R43),$T43)+'Setari model'!$B$30*$AJ43)/($P43+'Setari model'!$B$30)))+SQRT((($P43*IF($S43="",IF($Q43="",$AK43,$Q43),$S43)+'Setari model'!$B$30*$AK43)/($P43+'Setari model'!$B$30))*(($I43*IF($M43="",IF($K43="",$AK43,$K43),$M43)+'Setari model'!$B$30*$AK43)/($I43+'Setari model'!$B$30))))</x:f>
      </x:c>
      <x:c r="BL43" s="62" t="str">
        <x:f>IF($A43="","",SQRT((($W43*IF($X43="",$AL43/2,$X43)+'Setari model'!$B$31*$AL43/2)/($W43+'Setari model'!$B$31))*(($AB43*IF($AD43="",$AL43/2,$AD43)+'Setari model'!$B$31*$AL43/2)/($AB43+'Setari model'!$B$31)))+SQRT((($AB43*IF($AC43="",$AL43/2,$AC43)+'Setari model'!$B$31*$AL43/2)/($AB43+'Setari model'!$B$31))*(($W43*IF($Y43="",$AL43/2,$Y43)+'Setari model'!$B$31*$AL43/2)/($W43+'Setari model'!$B$31))))</x:f>
      </x:c>
      <x:c r="BM43" s="62" t="str">
        <x:f>IF($A43="","",SQRT((($W43*IF($Z43="",IF($X43="",$AL43/2,$X43),$Z43)+'Setari model'!$B$31*$AL43/2)/($W43+'Setari model'!$B$31))*(($AB43*IF($AF43="",IF($AD43="",$AL43/2,$AD43),$AF43)+'Setari model'!$B$31*$AL43/2)/($AB43+'Setari model'!$B$31)))+SQRT((($AB43*IF($AE43="",IF($AC43="",$AL43/2,$AC43),$AE43)+'Setari model'!$B$31*$AL43/2)/($AB43+'Setari model'!$B$31))*(($W43*IF($AA43="",IF($Y43="",$AL43/2,$Y43),$AA43)+'Setari model'!$B$31*$AL43/2)/($W43+'Setari model'!$B$31))))</x:f>
      </x:c>
      <x:c r="BN43" s="62" t="str">
        <x:f t="shared" si="56">IF($A43="","",IF($AG43&gt;0,($AG43*IF($AH43="",$AL43,$AH43)+5*$AL43)/($AG43+5),$AL43))</x:f>
      </x:c>
      <x:c r="BO43" s="63" t="str">
        <x:f>IF($A43="","",IF($AR43&gt;1,IF($AS43&gt;1,(1/$AR43)/((1/$AR43+1/$AS43)),MIN(0.995,(1/$AR43)/(1+'Setari model'!$B$32))),1-EXP(-$AL43)))</x:f>
      </x:c>
      <x:c r="BP43" s="62" t="str">
        <x:f t="shared" si="57">IF($A43="","",-LN(1-$BO43))</x:f>
      </x:c>
      <x:c r="BQ43" s="62" t="str">
        <x:f>IF($A43="","",$BJ43*INDEX('Setari model'!$B$5:$B$11,MATCH($E43,'Setari model'!$A$5:$A$11,0))+$BK43*INDEX('Setari model'!$C$5:$C$11,MATCH($E43,'Setari model'!$A$5:$A$11,0))+$BL43*INDEX('Setari model'!$D$5:$D$11,MATCH($E43,'Setari model'!$A$5:$A$11,0))+$BM43*INDEX('Setari model'!$E$5:$E$11,MATCH($E43,'Setari model'!$A$5:$A$11,0))+$BN43*INDEX('Setari model'!$F$5:$F$11,MATCH($E43,'Setari model'!$A$5:$A$11,0))+$BP43*INDEX('Setari model'!$G$5:$G$11,MATCH($E43,'Setari model'!$A$5:$A$11,0)))</x:f>
      </x:c>
      <x:c r="BR43" s="64" t="str">
        <x:f>IF($A43="","",MAX('Setari model'!$B$53,MIN('Setari model'!$B$54,1+($AV43*'Setari model'!$B$15+$AW43*'Setari model'!$B$16+$AX43*'Setari model'!$B$17+$AY43*'Setari model'!$B$18+$AZ43*'Setari model'!$B$19+$BA43*'Setari model'!$B$20+$BB43*'Setari model'!$B$21+$BC43*'Setari model'!$B$22+$BD43*'Setari model'!$B$23+$BE43*'Setari model'!$B$24+$BF43*'Setari model'!$B$25)*INDEX('Setari model'!$H$5:$H$11,MATCH($E43,'Setari model'!$A$5:$A$11,0)))))</x:f>
      </x:c>
      <x:c r="BS43" s="62" t="str">
        <x:f t="shared" si="58">IF($A43="","",$BQ43*$BR43)</x:f>
      </x:c>
      <x:c r="BT43" s="63" t="str">
        <x:f t="shared" si="59">IF($A43="","",EXP(-$BS43))</x:f>
      </x:c>
      <x:c r="BU43" s="65" t="str">
        <x:f>IF($A43="","",IF(OR($AM43="",$AN43=""),1,1+MIN('Setari model'!$B$33,$AN43/100*'Setari model'!$B$33)*($AM43/EXP(-$AL43)-1)))</x:f>
      </x:c>
      <x:c r="BV43" s="63" t="str">
        <x:f>IF($A43="","",MIN(0.45,MAX(0.005,(1-'Setari model'!$B$34*MIN(1,($I43+$P43)/20))*MIN(0.45,$BT43*$BU43)+'Setari model'!$B$34*MIN(1,($I43+$P43)/20)*IF(COUNT($N43,$U43)=2,SQRT(MAX(0,1-$N43)*MAX(0,1-$U43)),IF($AM43="",EXP(-$AL43),$AM43)))))</x:f>
      </x:c>
      <x:c r="BW43" s="63" t="str">
        <x:f t="shared" si="60">IF($A43="","",1-$BV43)</x:f>
      </x:c>
      <x:c r="BX43" s="62" t="str">
        <x:f t="shared" si="61">IF($A43="","",1/$BW43)</x:f>
      </x:c>
      <x:c r="BY43" s="63" t="str">
        <x:f t="shared" si="62">IF($A43="","",$BO43)</x:f>
      </x:c>
      <x:c r="BZ43" s="63" t="str">
        <x:f t="shared" si="63">IF($A43="","",$BW43-$BY43)</x:f>
      </x:c>
      <x:c r="CA43" s="63" t="str">
        <x:f t="shared" si="64">IF($A43="","",IF($AR43&gt;1,$BW43*$AR43-1,""))</x:f>
      </x:c>
      <x:c r="CB43" s="63" t="str">
        <x:f>IF($A43="","",MIN(1,COUNT($I43:$AN43,$AR43:$BG43)/'Setari model'!$B$46))</x:f>
      </x:c>
      <x:c r="CC43" s="63" t="str">
        <x:f t="shared" si="65">IF($A43="","",0.25*MIN(1,$I43/10)+0.25*MIN(1,$P43/10)+0.15*MIN(1,$W43/5)+0.15*MIN(1,$AB43/5)+0.1*MIN(1,$AG43/5)+0.1*MIN(1,$AN43/100))</x:f>
      </x:c>
      <x:c r="CD43" s="63" t="str">
        <x:f>IF($A43="","",MAX(0,1-(MAX($BJ43:$BN43,$BP43)-MIN($BJ43:$BN43,$BP43))/(AVERAGE($BJ43:$BN43,$BP43)*'Setari model'!$B$45)))</x:f>
      </x:c>
      <x:c r="CE43" s="66" t="str">
        <x:f>IF($A43="","",MAX(0,MIN(100,100*INDEX('Setari model'!$I$5:$I$11,MATCH($E43,'Setari model'!$A$5:$A$11,0))*('Setari model'!$B$47*$CB43+'Setari model'!$B$48*$CC43+'Setari model'!$B$49*$CD43+'Setari model'!$B$50*$AT43/5+'Setari model'!$B$51*$AU43)-100*'Setari model'!$B$52*$BG43)))</x:f>
      </x:c>
      <x:c r="CF43" s="65" t="str">
        <x:f t="shared" si="66">IF($A43="","",IF(OR($AT43&lt;3,$BG43&gt;=2,$CB43&lt;0.55,$CC43&lt;0.4),"RIDICAT",IF(OR($AU43=0,$CD43&lt;0.45,$BR43&lt;0.9),"MEDIU","SCĂZUT")))</x:f>
      </x:c>
      <x:c r="CG43" s="65" t="str">
        <x:f>IF($A43="","",IF($AR43&gt;1,IF(AND($BW43&gt;= 'Setari model'!$B$35,$CE43&gt;=100*'Setari model'!$B$36,$BZ43&gt;= 'Setari model'!$B$37,$CA43&gt;= 'Setari model'!$B$38,$CF43&lt;&gt;"RIDICAT"),"PARIU RECOMANDAT",IF(AND($BW43&gt;= 'Setari model'!$B$39,$CE43&gt;=100*'Setari model'!$B$40,$BZ43&gt;= 'Setari model'!$B$41,$CA43&gt;=0,$CF43&lt;&gt;"RIDICAT"),"RECOMANDAT CU PRUDENȚĂ",IF(AND($BW43&gt;= 'Setari model'!$B$42,$CE43&gt;=100*'Setari model'!$B$43),"ANALIZĂ NECONCLUDENTĂ","PARIU EVITAT"))),IF(AND($BW43&gt;= 'Setari model'!$B$35,$CE43&gt;=100*'Setari model'!$B$36,$CF43&lt;&gt;"RIDICAT"),"FAVORABIL STATISTIC – VERIFICĂ COTA",IF(AND($BW43&gt;= 'Setari model'!$B$42,$CE43&gt;=100*'Setari model'!$B$43),"ANALIZĂ NECONCLUDENTĂ","PARIU EVITAT"))))</x:f>
      </x:c>
      <x:c r="CH43" s="67" t="str">
        <x:f t="shared" si="67">IF($A43="","","P(O0,5)="&amp;TEXT($BW43,"0.0%")&amp;"; λ ajustat="&amp;TEXT($BS43,"0.00")&amp;"; Confidence="&amp;TEXT($CE43,"0")&amp;"/100; Edge="&amp;TEXT($BZ43,"0.0%")&amp;"; risc="&amp;$CF43&amp;". "&amp;$BH43)</x:f>
      </x:c>
      <x:c r="CI43" s="68" t="str">
        <x:f t="shared" si="68">IF($A43="","",$BI43)</x:f>
      </x:c>
      <x:c r="CJ43" s="112"/>
      <x:c r="CK43" s="112"/>
      <x:c r="CL43" s="112"/>
      <x:c r="CM43" s="112"/>
      <x:c r="CN43" s="112"/>
      <x:c r="CO43" s="112"/>
      <x:c r="CP43" s="112"/>
      <x:c r="CQ43" s="112"/>
      <x:c r="CR43" s="112"/>
      <x:c r="CS43" s="112"/>
      <x:c r="CT43" s="112"/>
      <x:c r="CU43" s="112"/>
      <x:c r="CV43" s="112"/>
      <x:c r="CW43" s="112"/>
      <x:c r="CX43" s="112"/>
      <x:c r="CY43" s="112"/>
      <x:c r="CZ43" s="112"/>
      <x:c r="DA43" s="112"/>
      <x:c r="DB43" s="112"/>
      <x:c r="DC43" s="114"/>
      <x:c r="DD43" s="114"/>
      <x:c r="DE43" s="112" t="s">
        <x:v>266</x:v>
      </x:c>
      <x:c r="DF43" s="112"/>
      <x:c r="DG43" s="112"/>
      <x:c r="DH43" s="112"/>
      <x:c r="DI43" s="112"/>
      <x:c r="DJ43" s="112"/>
      <x:c r="DK43" s="112"/>
      <x:c r="DL43" s="112"/>
      <x:c r="DM43" s="112"/>
      <x:c r="DN43" s="112"/>
      <x:c r="DO43" s="112"/>
      <x:c r="DP43" s="112"/>
      <x:c r="DQ43" s="114"/>
      <x:c r="DR43" s="112">
        <x:v>1</x:v>
      </x:c>
      <x:c r="DS43" s="116">
        <x:v>0</x:v>
      </x:c>
      <x:c r="DT43" s="120"/>
      <x:c r="DU43" s="116">
        <x:v>0.02</x:v>
      </x:c>
      <x:c r="DV43" s="116">
        <x:v>0.25</x:v>
      </x:c>
      <x:c r="DW43" s="118" t="str">
        <x:f>IF($A43="","",MAX('Setari model'!$B$71,MIN('Setari model'!$B$72,1+0.08*(IFERROR(AVERAGE($CM43:$CN43)/'Setari model'!$B$66,1)-1)+0.08*(IFERROR(AVERAGE($CO43:$CP43)/'Setari model'!$B$67,1)-1)+0.06*(IFERROR(AVERAGE($CQ43:$CR43)/'Setari model'!$B$68,1)-1)+0.04*(IFERROR(AVERAGE($CS43:$CT43)/'Setari model'!$B$69,1)-1)+0.04*(IFERROR(AVERAGE($CU43:$CV43)/'Setari model'!$B$70,1)-1)-'Setari model'!$B$73*IFERROR(AVERAGE($CW43:$CX43),0))))</x:f>
      </x:c>
      <x:c r="DX43" s="118" t="str">
        <x:f>IF($A43="","",1+'Setari model'!$B$62*MAX(IF(OR($CK43=1,$CL43=1),1,0),IF(AND($CJ43&lt;&gt;"",$CJ43&lt;=1),1,0))+'Setari model'!$B$63*IF(AND($CJ43&gt;1,$CJ43&lt;=3),1,0))</x:f>
      </x:c>
      <x:c r="DY43" s="118" t="str">
        <x:f>IF($A43="","",1+'Setari model'!$B$74*(IF($CY43="",0,IF($CY43=0,1,0))+IF($CZ43="",0,IF($CZ43=0,1,0)))+'Setari model'!$B$75*(IF($DA43="",0,IF($DA43=0,1,0))+IF($DB43="",0,IF($DB43=0,1,0))))</x:f>
      </x:c>
      <x:c r="DZ43" s="117" t="str">
        <x:f>IF($A43="","",MIN(0.6,MAX(0.002,(((1-'Setari model'!$B$34*MIN(1,($I43+$P43)/20))*$BT43+'Setari model'!$B$34*MIN(1,($I43+$P43)/20)*IF(COUNT($N43,$U43)=2,SQRT(MAX(0,1-$N43)*MAX(0,1-$U43)),$BT43))*(1-'Setari model'!$B$65*MIN(1,IF($AN43="",0,$AN43/'Setari model'!$B$64)))+'Setari model'!$B$65*MIN(1,IF($AN43="",0,$AN43/'Setari model'!$B$64))*IF($AM43="",$BT43,$AM43))*$DX43*$DY43/$DW43)))</x:f>
      </x:c>
      <x:c r="EA43" s="117" t="str">
        <x:f>IF($A43="","",MIN(1-$DZ43,IF(OR(MIN($I43,$P43)&lt;'Setari model'!$B$58,$CK43=1,$CL43=1,AND($CJ43&lt;&gt;"",$CJ43&lt;=1)),'Setari model'!$B$59,IF(AND($AU43=1,$AR43&gt;1,COUNT($CY43:$DB43)=4),'Setari model'!$B$61,'Setari model'!$B$60))))</x:f>
      </x:c>
      <x:c r="EB43" s="115" t="str">
        <x:f t="shared" si="69">IF($A43="","",1/$EA43)</x:f>
      </x:c>
      <x:c r="EC43" s="117" t="str">
        <x:f t="shared" si="70">IF($A43="","",IF($AR43&gt;1,IF($AS43&gt;1,(1/$AR43)/((1/$AR43)+(1/$AS43)),1/$AR43),""))</x:f>
      </x:c>
      <x:c r="ED43" s="117" t="str">
        <x:f t="shared" si="71">IF($A43="","",IF($EC43="","",$EA43-$EC43))</x:f>
      </x:c>
      <x:c r="EE43" s="117" t="str">
        <x:f t="shared" si="72">""</x:f>
      </x:c>
      <x:c r="EF43" s="119" t="str">
        <x:f>IF($A43="","",MAX(0,MIN(100,$CE43-200*MAX(0,$EG43-'Setari model'!$B$77)-IF($AU43&lt;&gt;1,10,0)-IF(COUNT($CY43:$DB43)&lt;4,4,0))))</x:f>
      </x:c>
      <x:c r="EG43" s="117" t="str">
        <x:f>IF($A43="","",'Setari model'!$B$77+IF(MIN($I43,$P43)&lt;'Setari model'!$B$58,0.03,0)+IF(OR($CK43=1,$CL43=1,AND($CJ43&lt;&gt;"",$CJ43&lt;=1)),0.03,0)+IF($AG43=0,0.02,0)+0.03*(1-MIN(1,COUNT($CM43:$CV43)/10))+0.03*(1-MIN(1,IF($AN43="",0,$AN43/'Setari model'!$B$64)))+IF($AR43&lt;=1,0.02,0))</x:f>
      </x:c>
      <x:c r="EH43" s="113" t="str">
        <x:f>IF($A43="","",IF(OR(MIN($I43,$P43)&lt;'Setari model'!$B$58,$CK43=1,$CL43=1,AND($CJ43&lt;&gt;"",$CJ43&lt;=1)),"92% – early/regim",IF(AND($AU43=1,$AR43&gt;1,COUNT($CY43:$DB43)=4),"94% – confirmat","93% – standard")))</x:f>
      </x:c>
      <x:c r="EI43" s="113" t="str">
        <x:f t="shared" si="73">IF($A43="","",IF(AND($EA43&gt;0.9,$AU43&lt;&gt;1),"WAIT XI – HIGH P",IF(AND($EA43&gt;0.9,COUNT($CY43:$DB43)&lt;4),"WAIT DATE CHEIE – HIGH P",IF($EP43&lt;&gt;"DA","NU – PORTOFOLIU","DA"))))</x:f>
      </x:c>
      <x:c r="EJ43" s="117" t="str">
        <x:f t="shared" si="74">IF($A43="","",IF($DE43&lt;&gt;"Live 20-30","",IF(SUM($DG43:$DH43)&gt;0,1,IF($EU43="","",1-MIN(0.95,MAX(0.001,EXP(-$EU43)*$DX43*$DY43/$DW43))))))</x:f>
      </x:c>
      <x:c r="EK43" s="117" t="str">
        <x:f t="shared" si="75">""</x:f>
      </x:c>
      <x:c r="EL43" s="113" t="str">
        <x:f>IF($A43="","",IF($DE43="Live 20-30",IF(SUM($DG43:$DH43)&gt;0,"EVENIMENT ÎNDEPLINIT",IF(OR($DF43="",COUNT($DI43:$DN43)&lt;4),"LIVE – WATCH",IF($EJ43&gt;=0.75,"LIVE – FEZABIL TEHNIC","LIVE – NO BET"))),IF($EI43&lt;&gt;"DA","WATCH / NO BET",IF(AND($EA43&gt;=INDEX('Setari model'!$B$35:$B$40,1),$EF43&gt;=100*'Setari model'!$B$76),"PARIU RECOMANDAT",IF(AND($EA43&gt;=INDEX('Setari model'!$B$35:$B$40,5),$EF43&gt;=100*'Setari model'!$B$40),"WATCH – APROAPE DE PRAG","PARIU EVITAT")))))</x:f>
      </x:c>
      <x:c r="EM43" s="113" t="str">
        <x:f t="shared" si="76">IF($A43="","",IF($DE43="Live 20-30",IF(SUM($DG43:$DH43)&gt;0,"Gol deja marcat.",IF($DF43="","Minut live lipsă.",IF(COUNT($DI43:$DN43)&lt;4,"Lipsesc xG/SOT/big chances live.",IF($EJ43&lt;0.75,"P live sub prag.","Semnal live tehnic complet; EV ignorat.")))),IF($EI43&lt;&gt;"DA",$EI43,IF($EF43&lt;75,"Confidence sub 75.",IF($EA43&lt;0.92,"P sub 92%.","G0/Zero-Mass + confidence trecute; EV ignorat.")))))</x:f>
      </x:c>
      <x:c r="EN43" s="117" t="str">
        <x:f>IF($A43="","",IF(OR($EL43="PARIU RECOMANDAT",$EL43="LIVE – FEZABIL"),MIN(IF($DU43&gt;0,$DU43,'Setari model'!$B$81)/MAX(1,$DR43),IF($DV43&gt;0,$DV43,'Setari model'!$B$80)*MAX(0,((IF($DE43="Live 20-30",$EJ43,$EA43)*IF($DE43="Live 20-30",$DQ43,$AR43)-1)/(IF($DE43="Live 20-30",$DQ43,$AR43)-1)))),0))</x:f>
      </x:c>
      <x:c r="EO43" s="121" t="str">
        <x:f t="shared" si="77">IF($A43="","",IF(AND($EN43&gt;0,$DT43&gt;0),$EN43*$DT43,""))</x:f>
      </x:c>
      <x:c r="EP43" s="113" t="str">
        <x:f>IF($A43="","",IF(OR($DR43&lt;1,$DR43&gt;'Setari model'!$B$78),"NU – 1–5 selecții",IF($DS43&gt;'Setari model'!$B$79,"NU – corelație", "DA")))</x:f>
      </x:c>
      <x:c r="EQ43" s="117" t="str">
        <x:f t="shared" si="78">IF($A43="","",IF(AND($DC43&gt;1,$DD43&gt;1),$DC43/$DD43-1,""))</x:f>
      </x:c>
      <x:c r="ER43" s="113" t="str">
        <x:f t="shared" si="79">IF($A43="","","P v2="&amp;TEXT($EA43,"0.0%")&amp;" ±"&amp;TEXT($EG43,"0.0%")&amp;"; P0 ZIP="&amp;TEXT($DZ43,"0.0%")&amp;"; Confidence="&amp;TEXT($EF43,"0")&amp;"/100; piață reală="&amp;IF($EC43="","NU","DA")&amp;"; EV="&amp;IF($EE43="","n/a",TEXT($EE43,"0.0%"))&amp;"; gate="&amp;$EI43&amp;"; verdict="&amp;$EL43&amp;". "&amp;$EM43)</x:f>
      </x:c>
      <x:c r="ES43" s="119" t="str">
        <x:f>IF($A43="","",'Setari model'!$B$82)</x:f>
      </x:c>
      <x:c r="ET43" s="118" t="str">
        <x:f>IF($A43="","",'Setari model'!$B$83)</x:f>
      </x:c>
      <x:c r="EU43" s="115" t="str">
        <x:f t="shared" si="80">IF(OR($A43="",$DE43&lt;&gt;"Live 20-30",$DF43="",$DF43&lt;$ES43,$DF43&gt;=90),"",MAX(0.05,MIN($BS43*$ET43,$BS43*(90-$DF43)/90+0.35*($DI43+$DJ43)+0.06*($DK43+$DL43)+0.15*($DM43+$DN43)+0.1*(MAX($DO43,$DP43)-MIN($DO43,$DP43)))))</x:f>
      </x:c>
      <x:c r="EV43" s="132"/>
      <x:c r="EW43" s="132"/>
      <x:c r="EX43" s="132"/>
      <x:c r="EY43" s="132"/>
      <x:c r="EZ43" s="132"/>
      <x:c r="FA43" s="132"/>
      <x:c r="FB43" s="247"/>
      <x:c r="FC43" s="134" t="str">
        <x:f t="shared" si="81">IF($A43="","",IF(OR($J43="",$L43="",$L43&lt;=0),"",MAX(0.5,MIN(1.5,$J43/$L43))))</x:f>
      </x:c>
      <x:c r="FD43" s="134" t="str">
        <x:f t="shared" si="82">IF($A43="","",IF(OR($Q43="",$S43="",$S43&lt;=0),"",MAX(0.5,MIN(1.5,$Q43/$S43))))</x:f>
      </x:c>
      <x:c r="FE43" s="134" t="str">
        <x:f>IF($A43="","",IF(COUNT($EV43:$EW43)&lt;2,"",SQRT($EV43*$EW43)/'Setari model'!$B$87))</x:f>
      </x:c>
      <x:c r="FF43" s="134" t="str">
        <x:f>IF($A43="","",IF(COUNT($O43,$V43,$EX43,$EY43)&lt;4,"",AVERAGE(SQRT($O43*$EY43),SQRT($V43*$EX43))/'Setari model'!$B$88))</x:f>
      </x:c>
      <x:c r="FG43" s="134" t="str">
        <x:f t="shared" si="83">IF($A43="","",IF(COUNT($FC43:$FD43)&lt;2,"",MAX(0,1-AVERAGE($FC43:$FD43))))</x:f>
      </x:c>
      <x:c r="FH43" s="134" t="str">
        <x:f>IF($A43="","",IF(COUNT($EZ43:$FA43)&lt;2,"",'Setari model'!$B$94*AVERAGE($EZ43:$FA43)/'Setari model'!$B$89))</x:f>
      </x:c>
      <x:c r="FI43" s="134" t="str">
        <x:f>IF($A43="","",IF(COUNT($FE43:$FH43)&lt;4,"",MAX('Setari model'!$B$97,MIN('Setari model'!$B$98,1+'Setari model'!$B$90*($FE43-1)+'Setari model'!$B$91*($FF43-1)+'Setari model'!$B$92*$FG43+'Setari model'!$B$93*($FH43-1)))))</x:f>
      </x:c>
      <x:c r="FJ43" s="133" t="str">
        <x:f>IF($A43="","",IF($FI43="","",MIN('Setari model'!$B$101,MAX(0.002,$DZ43*$FI43))))</x:f>
      </x:c>
      <x:c r="FK43" s="131" t="str">
        <x:f t="shared" si="84">IF($A43="","",IF(AND(COUNT($EV43:$FA43)=6,COUNT($O43,$V43,$FC43,$FD43)=4),"DA","NU"))</x:f>
      </x:c>
      <x:c r="FL43" s="131" t="str">
        <x:f>IF($A43="","",IF($FK43&lt;&gt;"DA","NEDETERMINAT",IF($FI43&lt;='Setari model'!$B$99,"SCĂZUT",IF($FI43&lt;='Setari model'!$B$100,"MEDIU","RIDICAT"))))</x:f>
      </x:c>
      <x:c r="FM43" s="131" t="str">
        <x:f>IF($A43="","",IF(AND($AR43&gt;1,$EC43&gt;='Setari model'!$B$106),"DA","NU"))</x:f>
      </x:c>
      <x:c r="FN43" s="131" t="str">
        <x:f t="shared" si="85">IF($A43="","",IF(AND($AU43=1,COUNT($CY43:$DB43)=4),"DA","NU"))</x:f>
      </x:c>
      <x:c r="FO43" s="133" t="str">
        <x:f>IF($A43="","",IF(OR($FK43&lt;&gt;"DA",$FL43="RIDICAT"),'Setari model'!$B$102,IF($FL43="MEDIU",'Setari model'!$B$103,IF(AND($FM43="DA",$FN43="DA"),'Setari model'!$B$105,'Setari model'!$B$104))))</x:f>
      </x:c>
      <x:c r="FP43" s="133" t="str">
        <x:f t="shared" si="86">IF($A43="","",IF($FJ43="","",MIN(1-$FJ43,$FO43)))</x:f>
      </x:c>
      <x:c r="FQ43" s="135" t="str">
        <x:f t="shared" si="87">IF($A43="","",IF($FP43="","",IF($FP43&gt;0,1/$FP43,"")))</x:f>
      </x:c>
      <x:c r="FR43" s="133" t="str">
        <x:f t="shared" si="88">IF($A43="","",IF($EC43="","",$FP43-$EC43))</x:f>
      </x:c>
      <x:c r="FS43" s="133" t="str">
        <x:f t="shared" si="89">IF($A43="","",IF($AR43&gt;1,$FP43*$AR43-1,""))</x:f>
      </x:c>
      <x:c r="FT43" s="136" t="str">
        <x:f>IF($A43="","",MAX(0,MIN(100,$EF43-IF($FK43&lt;&gt;"DA",'Setari model'!$B$107,0)-IF($FL43="MEDIU",'Setari model'!$B$108,0)-IF($FL43="RIDICAT",'Setari model'!$B$109,0))))</x:f>
      </x:c>
      <x:c r="FU43" s="131" t="str">
        <x:f t="shared" si="90">IF($A43="","",IF($AR43&lt;=1,"NU – LIPSEȘTE COTA REALĂ",IF($FK43&lt;&gt;"DA","NU – ZERO-RISK INCOMPLET",IF($FL43&lt;&gt;"SCĂZUT","NU – RISC 0-0 "&amp;$FL43,IF($FN43&lt;&gt;"DA","NU – LINEUP NECONFIRMAT",IF($FM43&lt;&gt;"DA","NU – PIAȚĂ NECONFIRMATĂ",IF($EP43&lt;&gt;"DA","NU – PORTOFOLIU","DA")))))))</x:f>
      </x:c>
      <x:c r="FV43" s="131" t="str">
        <x:f>IF($A43="","",IF($FU43&lt;&gt;"DA","WATCH / NO BET",IF(AND($FP43&gt;='Setari model'!$B$35,$FT43&gt;=100*'Setari model'!$B$76,$FS43&gt;0),"PARIU RECOMANDAT",IF(AND($FP43&gt;='Setari model'!$B$39,$FT43&gt;=100*'Setari model'!$B$40,$FS43&gt;0),"WATCH – APROAPE DE PRAG","PARIU EVITAT"))))</x:f>
      </x:c>
      <x:c r="FW43" s="131" t="str">
        <x:f t="shared" si="91">IF($A43="","",IF($FU43&lt;&gt;"DA",$FU43,IF($FT43&lt;75,"Confidence v3 sub 75.",IF($FP43&lt;0.92,"P v3 sub 92%.",IF($FS43&lt;=0,"EV v3 nepozitiv.","P0 v3, lineup și piață confirmate.")))))</x:f>
      </x:c>
      <x:c r="FX43" s="131" t="str">
        <x:f t="shared" si="92">IF($A43="","","P v3="&amp;TEXT($FP43,"0.0%")&amp;"; P0 v3="&amp;TEXT($FJ43,"0.0%")&amp;"; factor zero="&amp;IF($FI43="","n/a",TEXT($FI43,"0.00x"))&amp;" ("&amp;$FL43&amp;"); cap="&amp;TEXT($FO43,"0.0%")&amp;"; Confidence="&amp;TEXT($FT43,"0")&amp;"/100; lineup="&amp;$FN43&amp;"; piață="&amp;$FM43&amp;"; EV="&amp;IF($FS43="","n/a",TEXT($FS43,"0.0%"))&amp;"; gate="&amp;$FU43&amp;"; verdict="&amp;$FV43&amp;". "&amp;$FW43)</x:f>
      </x:c>
      <x:c r="FY43" s="159"/>
      <x:c r="FZ43" s="159"/>
      <x:c r="GA43" s="157"/>
      <x:c r="GB43" s="157"/>
      <x:c r="GC43" s="161" t="str">
        <x:f t="shared" si="93">IF($A43="","",IF(OR($X43="",$Z43="",$Z43&lt;=0),"",MAX(0.5,MIN(1.5,$X43/$Z43))))</x:f>
      </x:c>
      <x:c r="GD43" s="161" t="str">
        <x:f t="shared" si="94">IF($A43="","",IF(OR($AC43="",$AE43="",$AE43&lt;=0),"",MAX(0.5,MIN(1.5,$AC43/$AE43))))</x:f>
      </x:c>
      <x:c r="GE43" s="162" t="str">
        <x:f t="shared" si="95">IF($A43="","",IF(COUNT($Z43,$AE43)&lt;2,"",AVERAGE($Z43,$AE43)))</x:f>
      </x:c>
      <x:c r="GF43" s="158" t="str">
        <x:f>IF($A43="","",IF(COUNT($FY43:$FZ43)&lt;2,"NEDETERMINAT",IF(AND($FY43&gt;='Setari model'!$B$113,$FZ43&gt;='Setari model'!$B$113),"DA","NU")))</x:f>
      </x:c>
      <x:c r="GG43" s="158" t="str">
        <x:f>IF($A43="","",IF(COUNT($FY43:$FZ43,$EX43:$EY43)&lt;4,"NEDETERMINAT",IF(OR(AND($FY43&gt;='Setari model'!$B$113,$EY43&gt;='Setari model'!$B$114),AND($FZ43&gt;='Setari model'!$B$113,$EX43&gt;='Setari model'!$B$114)),"DA","NU")))</x:f>
      </x:c>
      <x:c r="GH43" s="158" t="str">
        <x:f>IF($A43="","",IF(COUNT($BJ43:$BN43,$GC43:$GE43)&lt;8,"NEDETERMINAT",IF(AND((($BJ43*INDEX('Setari model'!$B$5:$B$11,MATCH($E43,'Setari model'!$A$5:$A$11,0))+$BK43*INDEX('Setari model'!$C$5:$C$11,MATCH($E43,'Setari model'!$A$5:$A$11,0))+$BL43*INDEX('Setari model'!$D$5:$D$11,MATCH($E43,'Setari model'!$A$5:$A$11,0))+$BM43*INDEX('Setari model'!$E$5:$E$11,MATCH($E43,'Setari model'!$A$5:$A$11,0))+$BN43*INDEX('Setari model'!$F$5:$F$11,MATCH($E43,'Setari model'!$A$5:$A$11,0)))/(INDEX('Setari model'!$B$5:$B$11,MATCH($E43,'Setari model'!$A$5:$A$11,0))+INDEX('Setari model'!$C$5:$C$11,MATCH($E43,'Setari model'!$A$5:$A$11,0))+INDEX('Setari model'!$D$5:$D$11,MATCH($E43,'Setari model'!$A$5:$A$11,0))+INDEX('Setari model'!$E$5:$E$11,MATCH($E43,'Setari model'!$A$5:$A$11,0))+INDEX('Setari model'!$F$5:$F$11,MATCH($E43,'Setari model'!$A$5:$A$11,0))))*$BR43&gt;='Setari model'!$B$115,(($BJ43*INDEX('Setari model'!$B$5:$B$11,MATCH($E43,'Setari model'!$A$5:$A$11,0))+$BK43*INDEX('Setari model'!$C$5:$C$11,MATCH($E43,'Setari model'!$A$5:$A$11,0))+$BL43*INDEX('Setari model'!$D$5:$D$11,MATCH($E43,'Setari model'!$A$5:$A$11,0))+$BM43*INDEX('Setari model'!$E$5:$E$11,MATCH($E43,'Setari model'!$A$5:$A$11,0))+$BN43*INDEX('Setari model'!$F$5:$F$11,MATCH($E43,'Setari model'!$A$5:$A$11,0)))/(INDEX('Setari model'!$B$5:$B$11,MATCH($E43,'Setari model'!$A$5:$A$11,0))+INDEX('Setari model'!$C$5:$C$11,MATCH($E43,'Setari model'!$A$5:$A$11,0))+INDEX('Setari model'!$D$5:$D$11,MATCH($E43,'Setari model'!$A$5:$A$11,0))+INDEX('Setari model'!$E$5:$E$11,MATCH($E43,'Setari model'!$A$5:$A$11,0))+INDEX('Setari model'!$F$5:$F$11,MATCH($E43,'Setari model'!$A$5:$A$11,0))))*$BR43&lt;='Setari model'!$B$116,AVERAGE($GC43:$GD43)&lt;='Setari model'!$B$117,$GE43&gt;='Setari model'!$B$118),"DA","NU")))</x:f>
      </x:c>
      <x:c r="GI43" s="158" t="str">
        <x:f>IF($A43="","",IF(COUNT($W43,$AB43,$GA43:$GB43)&lt;4,"NEDETERMINAT",IF(AND($W43&gt;='Setari model'!$B$120,$AB43&gt;='Setari model'!$B$120,OR(IFERROR($GA43/$W43,0)&gt;='Setari model'!$B$119,IFERROR($GB43/$AB43,0)&gt;='Setari model'!$B$119)),"DA","NU")))</x:f>
      </x:c>
      <x:c r="GJ43" s="160" t="str">
        <x:f>IF($A43="","",IF(COUNT($FY43:$GB43)&lt;4,"",IF($GH43&lt;&gt;"DA",0,'Setari model'!$B$121*IF($GF43="DA",1,0)+'Setari model'!$B$122*IF($GG43="DA",1,0)+'Setari model'!$B$123+'Setari model'!$B$124*IF($GI43="DA",1,0))))</x:f>
      </x:c>
      <x:c r="GK43" s="161" t="str">
        <x:f>IF($A43="","",IF(COUNT($GJ43)=0,"",1+'Setari model'!$B$125*$GJ43))</x:f>
      </x:c>
      <x:c r="GL43" s="160" t="str">
        <x:f>IF($A43="","",IF($GM43&lt;&gt;"DA",$FJ43,MIN('Setari model'!$B$101,MAX(0.002,$FJ43*$GK43))))</x:f>
      </x:c>
      <x:c r="GM43" s="158" t="str">
        <x:f>IF($A43="","",IF(AND($FK43="DA",COUNT($FY43:$GB43)=4,COUNT($I43,$P43,$W43,$AB43,$Z43,$AE43,$EX43,$EY43,$GC43,$GD43)=10,COUNT($BJ43:$BN43)=5),"DA","NU"))</x:f>
      </x:c>
      <x:c r="GN43" s="158" t="str">
        <x:f>IF($A43="","",IF($GM43&lt;&gt;"DA","NEDETERMINAT",IF($FI43*$GK43&lt;='Setari model'!$B$99,"SCĂZUT",IF($FI43*$GK43&lt;='Setari model'!$B$100,"MEDIU","RIDICAT"))))</x:f>
      </x:c>
      <x:c r="GO43" s="160" t="str">
        <x:f>IF($A43="","",IF(OR($GM43&lt;&gt;"DA",$GN43="RIDICAT"),'Setari model'!$B$102,IF($GN43="MEDIU",'Setari model'!$B$103,IF(AND($FM43="DA",$FN43="DA"),'Setari model'!$B$105,'Setari model'!$B$104))))</x:f>
      </x:c>
      <x:c r="GP43" s="160" t="str">
        <x:f t="shared" si="96">IF($A43="","",IF($GL43="","",MIN(1-$GL43,$GO43)))</x:f>
      </x:c>
      <x:c r="GQ43" s="162" t="str">
        <x:f t="shared" si="97">IF($A43="","",IF($GP43="","",IF($GP43&gt;0,1/$GP43,"")))</x:f>
      </x:c>
      <x:c r="GR43" s="160" t="str">
        <x:f t="shared" si="98">IF($A43="","",IF($EC43="","",$GP43-$EC43))</x:f>
      </x:c>
      <x:c r="GS43" s="160" t="str">
        <x:f t="shared" si="99">IF($A43="","",IF($AR43&gt;1,$GP43*$AR43-1,""))</x:f>
      </x:c>
      <x:c r="GT43" s="163" t="str">
        <x:f>IF($A43="","",MAX(0,MIN(100,$FT43-IF(AND($GM43&lt;&gt;"DA",$FK43="DA"),'Setari model'!$B$107,0)-'Setari model'!$B$126*IF($GJ43="",0,$GJ43))))</x:f>
      </x:c>
      <x:c r="GU43" s="158" t="str">
        <x:f t="shared" si="100">IF($A43="","",IF($AR43&lt;=1,"NU – LIPSEȘTE COTA REALĂ",IF($GM43&lt;&gt;"DA","NU – DATE LOW-CONVERSION INCOMPLETE",IF($GN43&lt;&gt;"SCĂZUT","NU – RISC 0-0 "&amp;$GN43,IF($FN43&lt;&gt;"DA","NU – LINEUP NECONFIRMAT",IF($FM43&lt;&gt;"DA","NU – PIAȚĂ NECONFIRMATĂ",IF($EP43&lt;&gt;"DA","NU – PORTOFOLIU","DA")))))))</x:f>
      </x:c>
      <x:c r="GV43" s="158" t="str">
        <x:f>IF($A43="","",IF($GU43&lt;&gt;"DA","WATCH / NO BET",IF(AND($GP43&gt;='Setari model'!$B$35,$GT43&gt;=100*'Setari model'!$B$76,$GS43&gt;0),"PARIU RECOMANDAT",IF(AND($GP43&gt;='Setari model'!$B$39,$GT43&gt;=100*'Setari model'!$B$40,$GS43&gt;0),"WATCH – APROAPE DE PRAG","PARIU EVITAT"))))</x:f>
      </x:c>
      <x:c r="GW43" s="158" t="str">
        <x:f t="shared" si="101">IF($A43="","",IF($GU43&lt;&gt;"DA",$GU43,IF($GT43&lt;75,"Confidence v5 sub 75.",IF($GP43&lt;0.92,"P v5 sub 92%.",IF($GS43&lt;=0,"EV v5 nepozitiv.",IF($GJ43&gt;0,"Low-conversion absorbit în P0; toate porțile rămân trecute.","Toate porțile v5 sunt trecute."))))))</x:f>
      </x:c>
      <x:c r="GX43" s="158" t="str">
        <x:f t="shared" si="102">IF($A43="","","P v5="&amp;TEXT($GP43,"0.0%")&amp;"; P0 v5="&amp;TEXT($GL43,"0.0%")&amp;"; low-conv="&amp;IF(COUNT($GJ43)=0,"n/a",TEXT($GJ43,"0%"))&amp;"; mult.P0="&amp;IF(COUNT($GK43)=0,"n/a",TEXT($GK43,"0.00"))&amp;"; clasă="&amp;$GN43&amp;"; cap="&amp;TEXT($GO43,"0.0%")&amp;"; Confidence="&amp;TEXT($GT43,"0")&amp;"/100; lineup="&amp;$FN43&amp;"; piață="&amp;$FM43&amp;"; EV="&amp;IF($GS43="","n/a",TEXT($GS43,"0.0%"))&amp;"; gate="&amp;$GU43&amp;"; verdict="&amp;$GV43&amp;". "&amp;$GW43)</x:f>
      </x:c>
      <x:c r="GY43" s="174" t="str">
        <x:f>IF($A43="","",IF($GM43&lt;&gt;"DA","SOURCING INCOMPLETE – REVIEW REQUIRED",IF(MIN($I43,$P43,$W43,$AB43)&lt;'Setari model'!$B$58,"SMALL SAMPLE + PRIOR / SHRINKAGE","VERIFIED / PRIOR / SHRINKAGE")))</x:f>
      </x:c>
      <x:c r="GZ43" s="175" t="str">
        <x:f t="shared" si="103">IF($A43="","",MAX(0,MIN(100,100*(1-AVERAGE(IF($GM43="DA",1,0),MIN(1,$AT43/5))))))</x:f>
      </x:c>
      <x:c r="HA43" s="175" t="str">
        <x:f>IF($A43="","",IF($GM43&lt;&gt;"DA","",MAX(0,MIN(100,100*(($FI43*$GK43)-'Setari model'!$B$97)/('Setari model'!$B$98-'Setari model'!$B$97)))))</x:f>
      </x:c>
      <x:c r="HB43" s="175" t="str">
        <x:f>IF($A43="","",MAX(0,MIN(100,100*(ABS($BR43-1)/MAX(1-'Setari model'!$B$53,'Setari model'!$B$54-1)+MIN(1,$BG43/2))/2)))</x:f>
      </x:c>
      <x:c r="HC43" s="175" t="str">
        <x:f t="shared" si="104">IF($A43="","",MAX(0,MIN(100,100*(1-AVERAGE($CC43,MAX(0,1-(MAX($BJ43:$BN43)-MIN($BJ43:$BN43))/(AVERAGE($BJ43:$BN43)*'Setari model'!$B$45)))))))</x:f>
      </x:c>
      <x:c r="HD43" s="175" t="str">
        <x:f t="shared" si="105">IF($A43="","",MAX(0,MIN(100,100*MAX(IF($GJ43="",0,$GJ43),MIN(1,$BG43/2)))))</x:f>
      </x:c>
      <x:c r="HE43" s="175" t="str">
        <x:f>IF($A43="","",IF(COUNT($GZ43:$HD43)&lt;5,"",$GZ43*Risk_Classification!$E$28+$HA43*Risk_Classification!$E$29+$HB43*Risk_Classification!$E$30+$HC43*Risk_Classification!$E$31+$HD43*Risk_Classification!$E$32))</x:f>
      </x:c>
      <x:c r="HF43" s="176" t="str">
        <x:f t="shared" si="106">IF($A43="","",IF($HE43="","",IF($HE43&lt;=20,1,IF($HE43&lt;=40,2,IF($HE43&lt;=60,3,IF($HE43&lt;=80,4,5))))))</x:f>
      </x:c>
      <x:c r="HG43" s="176" t="str">
        <x:f t="shared" si="107">IF($A43="","",IF($GM43="DA","PASS","FAIL – DATE CRITICE ZERO-MASS INCOMPLETE"))</x:f>
      </x:c>
      <x:c r="HH43" s="176" t="str">
        <x:f t="shared" si="108">IF($A43="","",IF($HG43&lt;&gt;"PASS",5,$HF43))</x:f>
      </x:c>
      <x:c r="HI43" s="174" t="str">
        <x:f t="shared" si="109">IF($A43="","",IF($HH43="","N/A",IF($HH43=1,"DEFENSIV",IF($HH43=2,"PRUDENT",IF($HH43=3,"MODERAT",IF($HH43=4,"RIDICAT","WATCH / NO BET"))))))</x:f>
      </x:c>
      <x:c r="HJ43" s="177" t="str">
        <x:f t="shared" si="110">IF($A43="","","Data="&amp;$GY43&amp;"; DQ="&amp;TEXT($GZ43,"0.0")&amp;"; ZM="&amp;IF($HA43="","n/a",TEXT($HA43,"0.0"))&amp;"; Context="&amp;TEXT($HB43,"0.0")&amp;"; Uncertainty="&amp;TEXT($HC43,"0.0")&amp;"; Compound="&amp;TEXT($HD43,"0.0")&amp;"; Risk Score="&amp;IF($HE43="","n/a",TEXT($HE43,"0.0"))&amp;"; Base="&amp;IF($HF43="","n/a",$HF43)&amp;"; G0="&amp;$HG43&amp;"; Final="&amp;$HH43&amp;". Cota, EV si lineup sunt informative si nu intra in recomandare.")</x:f>
      </x:c>
      <x:c r="HK43" s="174" t="str">
        <x:f t="shared" si="111">IF($A43="","",$HI43)</x:f>
      </x:c>
    </x:row>
    <x:row r="44" ht="24" customHeight="1">
      <x:c r="A44" s="58"/>
      <x:c r="B44" s="24"/>
      <x:c r="C44" s="59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18"/>
      <x:c r="O44" s="18"/>
      <x:c r="P44" s="24"/>
      <x:c r="Q44" s="24"/>
      <x:c r="R44" s="24"/>
      <x:c r="S44" s="24"/>
      <x:c r="T44" s="24"/>
      <x:c r="U44" s="18"/>
      <x:c r="V44" s="18"/>
      <x:c r="W44" s="24"/>
      <x:c r="X44" s="24"/>
      <x:c r="Y44" s="24"/>
      <x:c r="Z44" s="24"/>
      <x:c r="AA44" s="24"/>
      <x:c r="AB44" s="24"/>
      <x:c r="AC44" s="24"/>
      <x:c r="AD44" s="24"/>
      <x:c r="AE44" s="24"/>
      <x:c r="AF44" s="24"/>
      <x:c r="AG44" s="24"/>
      <x:c r="AH44" s="24"/>
      <x:c r="AI44" s="18"/>
      <x:c r="AJ44" s="24"/>
      <x:c r="AK44" s="24"/>
      <x:c r="AL44" s="24"/>
      <x:c r="AM44" s="18"/>
      <x:c r="AN44" s="24"/>
      <x:c r="AO44" s="60"/>
      <x:c r="AP44" s="60"/>
      <x:c r="AQ44" s="60"/>
      <x:c r="AR44" s="60"/>
      <x:c r="AS44" s="60"/>
      <x:c r="AT44" s="24"/>
      <x:c r="AU44" s="24"/>
      <x:c r="AV44" s="24"/>
      <x:c r="AW44" s="24"/>
      <x:c r="AX44" s="24"/>
      <x:c r="AY44" s="24"/>
      <x:c r="AZ44" s="24"/>
      <x:c r="BA44" s="24"/>
      <x:c r="BB44" s="24"/>
      <x:c r="BC44" s="24"/>
      <x:c r="BD44" s="24"/>
      <x:c r="BE44" s="24"/>
      <x:c r="BF44" s="24"/>
      <x:c r="BG44" s="24"/>
      <x:c r="BH44" s="61"/>
      <x:c r="BI44" s="61"/>
      <x:c r="BJ44" s="62" t="str">
        <x:f>IF($A44="","",SQRT((($I44*IF($J44="",$AJ44,$J44)+'Setari model'!$B$30*$AJ44)/($I44+'Setari model'!$B$30))*(($P44*IF($R44="",$AJ44,$R44)+'Setari model'!$B$30*$AJ44)/($P44+'Setari model'!$B$30)))+SQRT((($P44*IF($Q44="",$AK44,$Q44)+'Setari model'!$B$30*$AK44)/($P44+'Setari model'!$B$30))*(($I44*IF($K44="",$AK44,$K44)+'Setari model'!$B$30*$AK44)/($I44+'Setari model'!$B$30))))</x:f>
      </x:c>
      <x:c r="BK44" s="62" t="str">
        <x:f>IF($A44="","",SQRT((($I44*IF($L44="",IF($J44="",$AJ44,$J44),$L44)+'Setari model'!$B$30*$AJ44)/($I44+'Setari model'!$B$30))*(($P44*IF($T44="",IF($R44="",$AJ44,$R44),$T44)+'Setari model'!$B$30*$AJ44)/($P44+'Setari model'!$B$30)))+SQRT((($P44*IF($S44="",IF($Q44="",$AK44,$Q44),$S44)+'Setari model'!$B$30*$AK44)/($P44+'Setari model'!$B$30))*(($I44*IF($M44="",IF($K44="",$AK44,$K44),$M44)+'Setari model'!$B$30*$AK44)/($I44+'Setari model'!$B$30))))</x:f>
      </x:c>
      <x:c r="BL44" s="62" t="str">
        <x:f>IF($A44="","",SQRT((($W44*IF($X44="",$AL44/2,$X44)+'Setari model'!$B$31*$AL44/2)/($W44+'Setari model'!$B$31))*(($AB44*IF($AD44="",$AL44/2,$AD44)+'Setari model'!$B$31*$AL44/2)/($AB44+'Setari model'!$B$31)))+SQRT((($AB44*IF($AC44="",$AL44/2,$AC44)+'Setari model'!$B$31*$AL44/2)/($AB44+'Setari model'!$B$31))*(($W44*IF($Y44="",$AL44/2,$Y44)+'Setari model'!$B$31*$AL44/2)/($W44+'Setari model'!$B$31))))</x:f>
      </x:c>
      <x:c r="BM44" s="62" t="str">
        <x:f>IF($A44="","",SQRT((($W44*IF($Z44="",IF($X44="",$AL44/2,$X44),$Z44)+'Setari model'!$B$31*$AL44/2)/($W44+'Setari model'!$B$31))*(($AB44*IF($AF44="",IF($AD44="",$AL44/2,$AD44),$AF44)+'Setari model'!$B$31*$AL44/2)/($AB44+'Setari model'!$B$31)))+SQRT((($AB44*IF($AE44="",IF($AC44="",$AL44/2,$AC44),$AE44)+'Setari model'!$B$31*$AL44/2)/($AB44+'Setari model'!$B$31))*(($W44*IF($AA44="",IF($Y44="",$AL44/2,$Y44),$AA44)+'Setari model'!$B$31*$AL44/2)/($W44+'Setari model'!$B$31))))</x:f>
      </x:c>
      <x:c r="BN44" s="62" t="str">
        <x:f t="shared" si="56">IF($A44="","",IF($AG44&gt;0,($AG44*IF($AH44="",$AL44,$AH44)+5*$AL44)/($AG44+5),$AL44))</x:f>
      </x:c>
      <x:c r="BO44" s="63" t="str">
        <x:f>IF($A44="","",IF($AR44&gt;1,IF($AS44&gt;1,(1/$AR44)/((1/$AR44+1/$AS44)),MIN(0.995,(1/$AR44)/(1+'Setari model'!$B$32))),1-EXP(-$AL44)))</x:f>
      </x:c>
      <x:c r="BP44" s="62" t="str">
        <x:f t="shared" si="57">IF($A44="","",-LN(1-$BO44))</x:f>
      </x:c>
      <x:c r="BQ44" s="62" t="str">
        <x:f>IF($A44="","",$BJ44*INDEX('Setari model'!$B$5:$B$11,MATCH($E44,'Setari model'!$A$5:$A$11,0))+$BK44*INDEX('Setari model'!$C$5:$C$11,MATCH($E44,'Setari model'!$A$5:$A$11,0))+$BL44*INDEX('Setari model'!$D$5:$D$11,MATCH($E44,'Setari model'!$A$5:$A$11,0))+$BM44*INDEX('Setari model'!$E$5:$E$11,MATCH($E44,'Setari model'!$A$5:$A$11,0))+$BN44*INDEX('Setari model'!$F$5:$F$11,MATCH($E44,'Setari model'!$A$5:$A$11,0))+$BP44*INDEX('Setari model'!$G$5:$G$11,MATCH($E44,'Setari model'!$A$5:$A$11,0)))</x:f>
      </x:c>
      <x:c r="BR44" s="64" t="str">
        <x:f>IF($A44="","",MAX('Setari model'!$B$53,MIN('Setari model'!$B$54,1+($AV44*'Setari model'!$B$15+$AW44*'Setari model'!$B$16+$AX44*'Setari model'!$B$17+$AY44*'Setari model'!$B$18+$AZ44*'Setari model'!$B$19+$BA44*'Setari model'!$B$20+$BB44*'Setari model'!$B$21+$BC44*'Setari model'!$B$22+$BD44*'Setari model'!$B$23+$BE44*'Setari model'!$B$24+$BF44*'Setari model'!$B$25)*INDEX('Setari model'!$H$5:$H$11,MATCH($E44,'Setari model'!$A$5:$A$11,0)))))</x:f>
      </x:c>
      <x:c r="BS44" s="62" t="str">
        <x:f t="shared" si="58">IF($A44="","",$BQ44*$BR44)</x:f>
      </x:c>
      <x:c r="BT44" s="63" t="str">
        <x:f t="shared" si="59">IF($A44="","",EXP(-$BS44))</x:f>
      </x:c>
      <x:c r="BU44" s="65" t="str">
        <x:f>IF($A44="","",IF(OR($AM44="",$AN44=""),1,1+MIN('Setari model'!$B$33,$AN44/100*'Setari model'!$B$33)*($AM44/EXP(-$AL44)-1)))</x:f>
      </x:c>
      <x:c r="BV44" s="63" t="str">
        <x:f>IF($A44="","",MIN(0.45,MAX(0.005,(1-'Setari model'!$B$34*MIN(1,($I44+$P44)/20))*MIN(0.45,$BT44*$BU44)+'Setari model'!$B$34*MIN(1,($I44+$P44)/20)*IF(COUNT($N44,$U44)=2,SQRT(MAX(0,1-$N44)*MAX(0,1-$U44)),IF($AM44="",EXP(-$AL44),$AM44)))))</x:f>
      </x:c>
      <x:c r="BW44" s="63" t="str">
        <x:f t="shared" si="60">IF($A44="","",1-$BV44)</x:f>
      </x:c>
      <x:c r="BX44" s="62" t="str">
        <x:f t="shared" si="61">IF($A44="","",1/$BW44)</x:f>
      </x:c>
      <x:c r="BY44" s="63" t="str">
        <x:f t="shared" si="62">IF($A44="","",$BO44)</x:f>
      </x:c>
      <x:c r="BZ44" s="63" t="str">
        <x:f t="shared" si="63">IF($A44="","",$BW44-$BY44)</x:f>
      </x:c>
      <x:c r="CA44" s="63" t="str">
        <x:f t="shared" si="64">IF($A44="","",IF($AR44&gt;1,$BW44*$AR44-1,""))</x:f>
      </x:c>
      <x:c r="CB44" s="63" t="str">
        <x:f>IF($A44="","",MIN(1,COUNT($I44:$AN44,$AR44:$BG44)/'Setari model'!$B$46))</x:f>
      </x:c>
      <x:c r="CC44" s="63" t="str">
        <x:f t="shared" si="65">IF($A44="","",0.25*MIN(1,$I44/10)+0.25*MIN(1,$P44/10)+0.15*MIN(1,$W44/5)+0.15*MIN(1,$AB44/5)+0.1*MIN(1,$AG44/5)+0.1*MIN(1,$AN44/100))</x:f>
      </x:c>
      <x:c r="CD44" s="63" t="str">
        <x:f>IF($A44="","",MAX(0,1-(MAX($BJ44:$BN44,$BP44)-MIN($BJ44:$BN44,$BP44))/(AVERAGE($BJ44:$BN44,$BP44)*'Setari model'!$B$45)))</x:f>
      </x:c>
      <x:c r="CE44" s="66" t="str">
        <x:f>IF($A44="","",MAX(0,MIN(100,100*INDEX('Setari model'!$I$5:$I$11,MATCH($E44,'Setari model'!$A$5:$A$11,0))*('Setari model'!$B$47*$CB44+'Setari model'!$B$48*$CC44+'Setari model'!$B$49*$CD44+'Setari model'!$B$50*$AT44/5+'Setari model'!$B$51*$AU44)-100*'Setari model'!$B$52*$BG44)))</x:f>
      </x:c>
      <x:c r="CF44" s="65" t="str">
        <x:f t="shared" si="66">IF($A44="","",IF(OR($AT44&lt;3,$BG44&gt;=2,$CB44&lt;0.55,$CC44&lt;0.4),"RIDICAT",IF(OR($AU44=0,$CD44&lt;0.45,$BR44&lt;0.9),"MEDIU","SCĂZUT")))</x:f>
      </x:c>
      <x:c r="CG44" s="65" t="str">
        <x:f>IF($A44="","",IF($AR44&gt;1,IF(AND($BW44&gt;= 'Setari model'!$B$35,$CE44&gt;=100*'Setari model'!$B$36,$BZ44&gt;= 'Setari model'!$B$37,$CA44&gt;= 'Setari model'!$B$38,$CF44&lt;&gt;"RIDICAT"),"PARIU RECOMANDAT",IF(AND($BW44&gt;= 'Setari model'!$B$39,$CE44&gt;=100*'Setari model'!$B$40,$BZ44&gt;= 'Setari model'!$B$41,$CA44&gt;=0,$CF44&lt;&gt;"RIDICAT"),"RECOMANDAT CU PRUDENȚĂ",IF(AND($BW44&gt;= 'Setari model'!$B$42,$CE44&gt;=100*'Setari model'!$B$43),"ANALIZĂ NECONCLUDENTĂ","PARIU EVITAT"))),IF(AND($BW44&gt;= 'Setari model'!$B$35,$CE44&gt;=100*'Setari model'!$B$36,$CF44&lt;&gt;"RIDICAT"),"FAVORABIL STATISTIC – VERIFICĂ COTA",IF(AND($BW44&gt;= 'Setari model'!$B$42,$CE44&gt;=100*'Setari model'!$B$43),"ANALIZĂ NECONCLUDENTĂ","PARIU EVITAT"))))</x:f>
      </x:c>
      <x:c r="CH44" s="67" t="str">
        <x:f t="shared" si="67">IF($A44="","","P(O0,5)="&amp;TEXT($BW44,"0.0%")&amp;"; λ ajustat="&amp;TEXT($BS44,"0.00")&amp;"; Confidence="&amp;TEXT($CE44,"0")&amp;"/100; Edge="&amp;TEXT($BZ44,"0.0%")&amp;"; risc="&amp;$CF44&amp;". "&amp;$BH44)</x:f>
      </x:c>
      <x:c r="CI44" s="68" t="str">
        <x:f t="shared" si="68">IF($A44="","",$BI44)</x:f>
      </x:c>
      <x:c r="CJ44" s="112"/>
      <x:c r="CK44" s="112"/>
      <x:c r="CL44" s="112"/>
      <x:c r="CM44" s="112"/>
      <x:c r="CN44" s="112"/>
      <x:c r="CO44" s="112"/>
      <x:c r="CP44" s="112"/>
      <x:c r="CQ44" s="112"/>
      <x:c r="CR44" s="112"/>
      <x:c r="CS44" s="112"/>
      <x:c r="CT44" s="112"/>
      <x:c r="CU44" s="112"/>
      <x:c r="CV44" s="112"/>
      <x:c r="CW44" s="112"/>
      <x:c r="CX44" s="112"/>
      <x:c r="CY44" s="112"/>
      <x:c r="CZ44" s="112"/>
      <x:c r="DA44" s="112"/>
      <x:c r="DB44" s="112"/>
      <x:c r="DC44" s="114"/>
      <x:c r="DD44" s="114"/>
      <x:c r="DE44" s="112" t="s">
        <x:v>266</x:v>
      </x:c>
      <x:c r="DF44" s="112"/>
      <x:c r="DG44" s="112"/>
      <x:c r="DH44" s="112"/>
      <x:c r="DI44" s="112"/>
      <x:c r="DJ44" s="112"/>
      <x:c r="DK44" s="112"/>
      <x:c r="DL44" s="112"/>
      <x:c r="DM44" s="112"/>
      <x:c r="DN44" s="112"/>
      <x:c r="DO44" s="112"/>
      <x:c r="DP44" s="112"/>
      <x:c r="DQ44" s="114"/>
      <x:c r="DR44" s="112">
        <x:v>1</x:v>
      </x:c>
      <x:c r="DS44" s="116">
        <x:v>0</x:v>
      </x:c>
      <x:c r="DT44" s="120"/>
      <x:c r="DU44" s="116">
        <x:v>0.02</x:v>
      </x:c>
      <x:c r="DV44" s="116">
        <x:v>0.25</x:v>
      </x:c>
      <x:c r="DW44" s="118" t="str">
        <x:f>IF($A44="","",MAX('Setari model'!$B$71,MIN('Setari model'!$B$72,1+0.08*(IFERROR(AVERAGE($CM44:$CN44)/'Setari model'!$B$66,1)-1)+0.08*(IFERROR(AVERAGE($CO44:$CP44)/'Setari model'!$B$67,1)-1)+0.06*(IFERROR(AVERAGE($CQ44:$CR44)/'Setari model'!$B$68,1)-1)+0.04*(IFERROR(AVERAGE($CS44:$CT44)/'Setari model'!$B$69,1)-1)+0.04*(IFERROR(AVERAGE($CU44:$CV44)/'Setari model'!$B$70,1)-1)-'Setari model'!$B$73*IFERROR(AVERAGE($CW44:$CX44),0))))</x:f>
      </x:c>
      <x:c r="DX44" s="118" t="str">
        <x:f>IF($A44="","",1+'Setari model'!$B$62*MAX(IF(OR($CK44=1,$CL44=1),1,0),IF(AND($CJ44&lt;&gt;"",$CJ44&lt;=1),1,0))+'Setari model'!$B$63*IF(AND($CJ44&gt;1,$CJ44&lt;=3),1,0))</x:f>
      </x:c>
      <x:c r="DY44" s="118" t="str">
        <x:f>IF($A44="","",1+'Setari model'!$B$74*(IF($CY44="",0,IF($CY44=0,1,0))+IF($CZ44="",0,IF($CZ44=0,1,0)))+'Setari model'!$B$75*(IF($DA44="",0,IF($DA44=0,1,0))+IF($DB44="",0,IF($DB44=0,1,0))))</x:f>
      </x:c>
      <x:c r="DZ44" s="117" t="str">
        <x:f>IF($A44="","",MIN(0.6,MAX(0.002,(((1-'Setari model'!$B$34*MIN(1,($I44+$P44)/20))*$BT44+'Setari model'!$B$34*MIN(1,($I44+$P44)/20)*IF(COUNT($N44,$U44)=2,SQRT(MAX(0,1-$N44)*MAX(0,1-$U44)),$BT44))*(1-'Setari model'!$B$65*MIN(1,IF($AN44="",0,$AN44/'Setari model'!$B$64)))+'Setari model'!$B$65*MIN(1,IF($AN44="",0,$AN44/'Setari model'!$B$64))*IF($AM44="",$BT44,$AM44))*$DX44*$DY44/$DW44)))</x:f>
      </x:c>
      <x:c r="EA44" s="117" t="str">
        <x:f>IF($A44="","",MIN(1-$DZ44,IF(OR(MIN($I44,$P44)&lt;'Setari model'!$B$58,$CK44=1,$CL44=1,AND($CJ44&lt;&gt;"",$CJ44&lt;=1)),'Setari model'!$B$59,IF(AND($AU44=1,$AR44&gt;1,COUNT($CY44:$DB44)=4),'Setari model'!$B$61,'Setari model'!$B$60))))</x:f>
      </x:c>
      <x:c r="EB44" s="115" t="str">
        <x:f t="shared" si="69">IF($A44="","",1/$EA44)</x:f>
      </x:c>
      <x:c r="EC44" s="117" t="str">
        <x:f t="shared" si="70">IF($A44="","",IF($AR44&gt;1,IF($AS44&gt;1,(1/$AR44)/((1/$AR44)+(1/$AS44)),1/$AR44),""))</x:f>
      </x:c>
      <x:c r="ED44" s="117" t="str">
        <x:f t="shared" si="71">IF($A44="","",IF($EC44="","",$EA44-$EC44))</x:f>
      </x:c>
      <x:c r="EE44" s="117" t="str">
        <x:f t="shared" si="72">""</x:f>
      </x:c>
      <x:c r="EF44" s="119" t="str">
        <x:f>IF($A44="","",MAX(0,MIN(100,$CE44-200*MAX(0,$EG44-'Setari model'!$B$77)-IF($AU44&lt;&gt;1,10,0)-IF(COUNT($CY44:$DB44)&lt;4,4,0))))</x:f>
      </x:c>
      <x:c r="EG44" s="117" t="str">
        <x:f>IF($A44="","",'Setari model'!$B$77+IF(MIN($I44,$P44)&lt;'Setari model'!$B$58,0.03,0)+IF(OR($CK44=1,$CL44=1,AND($CJ44&lt;&gt;"",$CJ44&lt;=1)),0.03,0)+IF($AG44=0,0.02,0)+0.03*(1-MIN(1,COUNT($CM44:$CV44)/10))+0.03*(1-MIN(1,IF($AN44="",0,$AN44/'Setari model'!$B$64)))+IF($AR44&lt;=1,0.02,0))</x:f>
      </x:c>
      <x:c r="EH44" s="113" t="str">
        <x:f>IF($A44="","",IF(OR(MIN($I44,$P44)&lt;'Setari model'!$B$58,$CK44=1,$CL44=1,AND($CJ44&lt;&gt;"",$CJ44&lt;=1)),"92% – early/regim",IF(AND($AU44=1,$AR44&gt;1,COUNT($CY44:$DB44)=4),"94% – confirmat","93% – standard")))</x:f>
      </x:c>
      <x:c r="EI44" s="113" t="str">
        <x:f t="shared" si="73">IF($A44="","",IF(AND($EA44&gt;0.9,$AU44&lt;&gt;1),"WAIT XI – HIGH P",IF(AND($EA44&gt;0.9,COUNT($CY44:$DB44)&lt;4),"WAIT DATE CHEIE – HIGH P",IF($EP44&lt;&gt;"DA","NU – PORTOFOLIU","DA"))))</x:f>
      </x:c>
      <x:c r="EJ44" s="117" t="str">
        <x:f t="shared" si="74">IF($A44="","",IF($DE44&lt;&gt;"Live 20-30","",IF(SUM($DG44:$DH44)&gt;0,1,IF($EU44="","",1-MIN(0.95,MAX(0.001,EXP(-$EU44)*$DX44*$DY44/$DW44))))))</x:f>
      </x:c>
      <x:c r="EK44" s="117" t="str">
        <x:f t="shared" si="75">""</x:f>
      </x:c>
      <x:c r="EL44" s="113" t="str">
        <x:f>IF($A44="","",IF($DE44="Live 20-30",IF(SUM($DG44:$DH44)&gt;0,"EVENIMENT ÎNDEPLINIT",IF(OR($DF44="",COUNT($DI44:$DN44)&lt;4),"LIVE – WATCH",IF($EJ44&gt;=0.75,"LIVE – FEZABIL TEHNIC","LIVE – NO BET"))),IF($EI44&lt;&gt;"DA","WATCH / NO BET",IF(AND($EA44&gt;=INDEX('Setari model'!$B$35:$B$40,1),$EF44&gt;=100*'Setari model'!$B$76),"PARIU RECOMANDAT",IF(AND($EA44&gt;=INDEX('Setari model'!$B$35:$B$40,5),$EF44&gt;=100*'Setari model'!$B$40),"WATCH – APROAPE DE PRAG","PARIU EVITAT")))))</x:f>
      </x:c>
      <x:c r="EM44" s="113" t="str">
        <x:f t="shared" si="76">IF($A44="","",IF($DE44="Live 20-30",IF(SUM($DG44:$DH44)&gt;0,"Gol deja marcat.",IF($DF44="","Minut live lipsă.",IF(COUNT($DI44:$DN44)&lt;4,"Lipsesc xG/SOT/big chances live.",IF($EJ44&lt;0.75,"P live sub prag.","Semnal live tehnic complet; EV ignorat.")))),IF($EI44&lt;&gt;"DA",$EI44,IF($EF44&lt;75,"Confidence sub 75.",IF($EA44&lt;0.92,"P sub 92%.","G0/Zero-Mass + confidence trecute; EV ignorat.")))))</x:f>
      </x:c>
      <x:c r="EN44" s="117" t="str">
        <x:f>IF($A44="","",IF(OR($EL44="PARIU RECOMANDAT",$EL44="LIVE – FEZABIL"),MIN(IF($DU44&gt;0,$DU44,'Setari model'!$B$81)/MAX(1,$DR44),IF($DV44&gt;0,$DV44,'Setari model'!$B$80)*MAX(0,((IF($DE44="Live 20-30",$EJ44,$EA44)*IF($DE44="Live 20-30",$DQ44,$AR44)-1)/(IF($DE44="Live 20-30",$DQ44,$AR44)-1)))),0))</x:f>
      </x:c>
      <x:c r="EO44" s="121" t="str">
        <x:f t="shared" si="77">IF($A44="","",IF(AND($EN44&gt;0,$DT44&gt;0),$EN44*$DT44,""))</x:f>
      </x:c>
      <x:c r="EP44" s="113" t="str">
        <x:f>IF($A44="","",IF(OR($DR44&lt;1,$DR44&gt;'Setari model'!$B$78),"NU – 1–5 selecții",IF($DS44&gt;'Setari model'!$B$79,"NU – corelație", "DA")))</x:f>
      </x:c>
      <x:c r="EQ44" s="117" t="str">
        <x:f t="shared" si="78">IF($A44="","",IF(AND($DC44&gt;1,$DD44&gt;1),$DC44/$DD44-1,""))</x:f>
      </x:c>
      <x:c r="ER44" s="113" t="str">
        <x:f t="shared" si="79">IF($A44="","","P v2="&amp;TEXT($EA44,"0.0%")&amp;" ±"&amp;TEXT($EG44,"0.0%")&amp;"; P0 ZIP="&amp;TEXT($DZ44,"0.0%")&amp;"; Confidence="&amp;TEXT($EF44,"0")&amp;"/100; piață reală="&amp;IF($EC44="","NU","DA")&amp;"; EV="&amp;IF($EE44="","n/a",TEXT($EE44,"0.0%"))&amp;"; gate="&amp;$EI44&amp;"; verdict="&amp;$EL44&amp;". "&amp;$EM44)</x:f>
      </x:c>
      <x:c r="ES44" s="119" t="str">
        <x:f>IF($A44="","",'Setari model'!$B$82)</x:f>
      </x:c>
      <x:c r="ET44" s="118" t="str">
        <x:f>IF($A44="","",'Setari model'!$B$83)</x:f>
      </x:c>
      <x:c r="EU44" s="115" t="str">
        <x:f t="shared" si="80">IF(OR($A44="",$DE44&lt;&gt;"Live 20-30",$DF44="",$DF44&lt;$ES44,$DF44&gt;=90),"",MAX(0.05,MIN($BS44*$ET44,$BS44*(90-$DF44)/90+0.35*($DI44+$DJ44)+0.06*($DK44+$DL44)+0.15*($DM44+$DN44)+0.1*(MAX($DO44,$DP44)-MIN($DO44,$DP44)))))</x:f>
      </x:c>
      <x:c r="EV44" s="132"/>
      <x:c r="EW44" s="132"/>
      <x:c r="EX44" s="132"/>
      <x:c r="EY44" s="132"/>
      <x:c r="EZ44" s="132"/>
      <x:c r="FA44" s="132"/>
      <x:c r="FB44" s="247"/>
      <x:c r="FC44" s="134" t="str">
        <x:f t="shared" si="81">IF($A44="","",IF(OR($J44="",$L44="",$L44&lt;=0),"",MAX(0.5,MIN(1.5,$J44/$L44))))</x:f>
      </x:c>
      <x:c r="FD44" s="134" t="str">
        <x:f t="shared" si="82">IF($A44="","",IF(OR($Q44="",$S44="",$S44&lt;=0),"",MAX(0.5,MIN(1.5,$Q44/$S44))))</x:f>
      </x:c>
      <x:c r="FE44" s="134" t="str">
        <x:f>IF($A44="","",IF(COUNT($EV44:$EW44)&lt;2,"",SQRT($EV44*$EW44)/'Setari model'!$B$87))</x:f>
      </x:c>
      <x:c r="FF44" s="134" t="str">
        <x:f>IF($A44="","",IF(COUNT($O44,$V44,$EX44,$EY44)&lt;4,"",AVERAGE(SQRT($O44*$EY44),SQRT($V44*$EX44))/'Setari model'!$B$88))</x:f>
      </x:c>
      <x:c r="FG44" s="134" t="str">
        <x:f t="shared" si="83">IF($A44="","",IF(COUNT($FC44:$FD44)&lt;2,"",MAX(0,1-AVERAGE($FC44:$FD44))))</x:f>
      </x:c>
      <x:c r="FH44" s="134" t="str">
        <x:f>IF($A44="","",IF(COUNT($EZ44:$FA44)&lt;2,"",'Setari model'!$B$94*AVERAGE($EZ44:$FA44)/'Setari model'!$B$89))</x:f>
      </x:c>
      <x:c r="FI44" s="134" t="str">
        <x:f>IF($A44="","",IF(COUNT($FE44:$FH44)&lt;4,"",MAX('Setari model'!$B$97,MIN('Setari model'!$B$98,1+'Setari model'!$B$90*($FE44-1)+'Setari model'!$B$91*($FF44-1)+'Setari model'!$B$92*$FG44+'Setari model'!$B$93*($FH44-1)))))</x:f>
      </x:c>
      <x:c r="FJ44" s="133" t="str">
        <x:f>IF($A44="","",IF($FI44="","",MIN('Setari model'!$B$101,MAX(0.002,$DZ44*$FI44))))</x:f>
      </x:c>
      <x:c r="FK44" s="131" t="str">
        <x:f t="shared" si="84">IF($A44="","",IF(AND(COUNT($EV44:$FA44)=6,COUNT($O44,$V44,$FC44,$FD44)=4),"DA","NU"))</x:f>
      </x:c>
      <x:c r="FL44" s="131" t="str">
        <x:f>IF($A44="","",IF($FK44&lt;&gt;"DA","NEDETERMINAT",IF($FI44&lt;='Setari model'!$B$99,"SCĂZUT",IF($FI44&lt;='Setari model'!$B$100,"MEDIU","RIDICAT"))))</x:f>
      </x:c>
      <x:c r="FM44" s="131" t="str">
        <x:f>IF($A44="","",IF(AND($AR44&gt;1,$EC44&gt;='Setari model'!$B$106),"DA","NU"))</x:f>
      </x:c>
      <x:c r="FN44" s="131" t="str">
        <x:f t="shared" si="85">IF($A44="","",IF(AND($AU44=1,COUNT($CY44:$DB44)=4),"DA","NU"))</x:f>
      </x:c>
      <x:c r="FO44" s="133" t="str">
        <x:f>IF($A44="","",IF(OR($FK44&lt;&gt;"DA",$FL44="RIDICAT"),'Setari model'!$B$102,IF($FL44="MEDIU",'Setari model'!$B$103,IF(AND($FM44="DA",$FN44="DA"),'Setari model'!$B$105,'Setari model'!$B$104))))</x:f>
      </x:c>
      <x:c r="FP44" s="133" t="str">
        <x:f t="shared" si="86">IF($A44="","",IF($FJ44="","",MIN(1-$FJ44,$FO44)))</x:f>
      </x:c>
      <x:c r="FQ44" s="135" t="str">
        <x:f t="shared" si="87">IF($A44="","",IF($FP44="","",IF($FP44&gt;0,1/$FP44,"")))</x:f>
      </x:c>
      <x:c r="FR44" s="133" t="str">
        <x:f t="shared" si="88">IF($A44="","",IF($EC44="","",$FP44-$EC44))</x:f>
      </x:c>
      <x:c r="FS44" s="133" t="str">
        <x:f t="shared" si="89">IF($A44="","",IF($AR44&gt;1,$FP44*$AR44-1,""))</x:f>
      </x:c>
      <x:c r="FT44" s="136" t="str">
        <x:f>IF($A44="","",MAX(0,MIN(100,$EF44-IF($FK44&lt;&gt;"DA",'Setari model'!$B$107,0)-IF($FL44="MEDIU",'Setari model'!$B$108,0)-IF($FL44="RIDICAT",'Setari model'!$B$109,0))))</x:f>
      </x:c>
      <x:c r="FU44" s="131" t="str">
        <x:f t="shared" si="90">IF($A44="","",IF($AR44&lt;=1,"NU – LIPSEȘTE COTA REALĂ",IF($FK44&lt;&gt;"DA","NU – ZERO-RISK INCOMPLET",IF($FL44&lt;&gt;"SCĂZUT","NU – RISC 0-0 "&amp;$FL44,IF($FN44&lt;&gt;"DA","NU – LINEUP NECONFIRMAT",IF($FM44&lt;&gt;"DA","NU – PIAȚĂ NECONFIRMATĂ",IF($EP44&lt;&gt;"DA","NU – PORTOFOLIU","DA")))))))</x:f>
      </x:c>
      <x:c r="FV44" s="131" t="str">
        <x:f>IF($A44="","",IF($FU44&lt;&gt;"DA","WATCH / NO BET",IF(AND($FP44&gt;='Setari model'!$B$35,$FT44&gt;=100*'Setari model'!$B$76,$FS44&gt;0),"PARIU RECOMANDAT",IF(AND($FP44&gt;='Setari model'!$B$39,$FT44&gt;=100*'Setari model'!$B$40,$FS44&gt;0),"WATCH – APROAPE DE PRAG","PARIU EVITAT"))))</x:f>
      </x:c>
      <x:c r="FW44" s="131" t="str">
        <x:f t="shared" si="91">IF($A44="","",IF($FU44&lt;&gt;"DA",$FU44,IF($FT44&lt;75,"Confidence v3 sub 75.",IF($FP44&lt;0.92,"P v3 sub 92%.",IF($FS44&lt;=0,"EV v3 nepozitiv.","P0 v3, lineup și piață confirmate.")))))</x:f>
      </x:c>
      <x:c r="FX44" s="131" t="str">
        <x:f t="shared" si="92">IF($A44="","","P v3="&amp;TEXT($FP44,"0.0%")&amp;"; P0 v3="&amp;TEXT($FJ44,"0.0%")&amp;"; factor zero="&amp;IF($FI44="","n/a",TEXT($FI44,"0.00x"))&amp;" ("&amp;$FL44&amp;"); cap="&amp;TEXT($FO44,"0.0%")&amp;"; Confidence="&amp;TEXT($FT44,"0")&amp;"/100; lineup="&amp;$FN44&amp;"; piață="&amp;$FM44&amp;"; EV="&amp;IF($FS44="","n/a",TEXT($FS44,"0.0%"))&amp;"; gate="&amp;$FU44&amp;"; verdict="&amp;$FV44&amp;". "&amp;$FW44)</x:f>
      </x:c>
      <x:c r="FY44" s="159"/>
      <x:c r="FZ44" s="159"/>
      <x:c r="GA44" s="157"/>
      <x:c r="GB44" s="157"/>
      <x:c r="GC44" s="161" t="str">
        <x:f t="shared" si="93">IF($A44="","",IF(OR($X44="",$Z44="",$Z44&lt;=0),"",MAX(0.5,MIN(1.5,$X44/$Z44))))</x:f>
      </x:c>
      <x:c r="GD44" s="161" t="str">
        <x:f t="shared" si="94">IF($A44="","",IF(OR($AC44="",$AE44="",$AE44&lt;=0),"",MAX(0.5,MIN(1.5,$AC44/$AE44))))</x:f>
      </x:c>
      <x:c r="GE44" s="162" t="str">
        <x:f t="shared" si="95">IF($A44="","",IF(COUNT($Z44,$AE44)&lt;2,"",AVERAGE($Z44,$AE44)))</x:f>
      </x:c>
      <x:c r="GF44" s="158" t="str">
        <x:f>IF($A44="","",IF(COUNT($FY44:$FZ44)&lt;2,"NEDETERMINAT",IF(AND($FY44&gt;='Setari model'!$B$113,$FZ44&gt;='Setari model'!$B$113),"DA","NU")))</x:f>
      </x:c>
      <x:c r="GG44" s="158" t="str">
        <x:f>IF($A44="","",IF(COUNT($FY44:$FZ44,$EX44:$EY44)&lt;4,"NEDETERMINAT",IF(OR(AND($FY44&gt;='Setari model'!$B$113,$EY44&gt;='Setari model'!$B$114),AND($FZ44&gt;='Setari model'!$B$113,$EX44&gt;='Setari model'!$B$114)),"DA","NU")))</x:f>
      </x:c>
      <x:c r="GH44" s="158" t="str">
        <x:f>IF($A44="","",IF(COUNT($BJ44:$BN44,$GC44:$GE44)&lt;8,"NEDETERMINAT",IF(AND((($BJ44*INDEX('Setari model'!$B$5:$B$11,MATCH($E44,'Setari model'!$A$5:$A$11,0))+$BK44*INDEX('Setari model'!$C$5:$C$11,MATCH($E44,'Setari model'!$A$5:$A$11,0))+$BL44*INDEX('Setari model'!$D$5:$D$11,MATCH($E44,'Setari model'!$A$5:$A$11,0))+$BM44*INDEX('Setari model'!$E$5:$E$11,MATCH($E44,'Setari model'!$A$5:$A$11,0))+$BN44*INDEX('Setari model'!$F$5:$F$11,MATCH($E44,'Setari model'!$A$5:$A$11,0)))/(INDEX('Setari model'!$B$5:$B$11,MATCH($E44,'Setari model'!$A$5:$A$11,0))+INDEX('Setari model'!$C$5:$C$11,MATCH($E44,'Setari model'!$A$5:$A$11,0))+INDEX('Setari model'!$D$5:$D$11,MATCH($E44,'Setari model'!$A$5:$A$11,0))+INDEX('Setari model'!$E$5:$E$11,MATCH($E44,'Setari model'!$A$5:$A$11,0))+INDEX('Setari model'!$F$5:$F$11,MATCH($E44,'Setari model'!$A$5:$A$11,0))))*$BR44&gt;='Setari model'!$B$115,(($BJ44*INDEX('Setari model'!$B$5:$B$11,MATCH($E44,'Setari model'!$A$5:$A$11,0))+$BK44*INDEX('Setari model'!$C$5:$C$11,MATCH($E44,'Setari model'!$A$5:$A$11,0))+$BL44*INDEX('Setari model'!$D$5:$D$11,MATCH($E44,'Setari model'!$A$5:$A$11,0))+$BM44*INDEX('Setari model'!$E$5:$E$11,MATCH($E44,'Setari model'!$A$5:$A$11,0))+$BN44*INDEX('Setari model'!$F$5:$F$11,MATCH($E44,'Setari model'!$A$5:$A$11,0)))/(INDEX('Setari model'!$B$5:$B$11,MATCH($E44,'Setari model'!$A$5:$A$11,0))+INDEX('Setari model'!$C$5:$C$11,MATCH($E44,'Setari model'!$A$5:$A$11,0))+INDEX('Setari model'!$D$5:$D$11,MATCH($E44,'Setari model'!$A$5:$A$11,0))+INDEX('Setari model'!$E$5:$E$11,MATCH($E44,'Setari model'!$A$5:$A$11,0))+INDEX('Setari model'!$F$5:$F$11,MATCH($E44,'Setari model'!$A$5:$A$11,0))))*$BR44&lt;='Setari model'!$B$116,AVERAGE($GC44:$GD44)&lt;='Setari model'!$B$117,$GE44&gt;='Setari model'!$B$118),"DA","NU")))</x:f>
      </x:c>
      <x:c r="GI44" s="158" t="str">
        <x:f>IF($A44="","",IF(COUNT($W44,$AB44,$GA44:$GB44)&lt;4,"NEDETERMINAT",IF(AND($W44&gt;='Setari model'!$B$120,$AB44&gt;='Setari model'!$B$120,OR(IFERROR($GA44/$W44,0)&gt;='Setari model'!$B$119,IFERROR($GB44/$AB44,0)&gt;='Setari model'!$B$119)),"DA","NU")))</x:f>
      </x:c>
      <x:c r="GJ44" s="160" t="str">
        <x:f>IF($A44="","",IF(COUNT($FY44:$GB44)&lt;4,"",IF($GH44&lt;&gt;"DA",0,'Setari model'!$B$121*IF($GF44="DA",1,0)+'Setari model'!$B$122*IF($GG44="DA",1,0)+'Setari model'!$B$123+'Setari model'!$B$124*IF($GI44="DA",1,0))))</x:f>
      </x:c>
      <x:c r="GK44" s="161" t="str">
        <x:f>IF($A44="","",IF(COUNT($GJ44)=0,"",1+'Setari model'!$B$125*$GJ44))</x:f>
      </x:c>
      <x:c r="GL44" s="160" t="str">
        <x:f>IF($A44="","",IF($GM44&lt;&gt;"DA",$FJ44,MIN('Setari model'!$B$101,MAX(0.002,$FJ44*$GK44))))</x:f>
      </x:c>
      <x:c r="GM44" s="158" t="str">
        <x:f>IF($A44="","",IF(AND($FK44="DA",COUNT($FY44:$GB44)=4,COUNT($I44,$P44,$W44,$AB44,$Z44,$AE44,$EX44,$EY44,$GC44,$GD44)=10,COUNT($BJ44:$BN44)=5),"DA","NU"))</x:f>
      </x:c>
      <x:c r="GN44" s="158" t="str">
        <x:f>IF($A44="","",IF($GM44&lt;&gt;"DA","NEDETERMINAT",IF($FI44*$GK44&lt;='Setari model'!$B$99,"SCĂZUT",IF($FI44*$GK44&lt;='Setari model'!$B$100,"MEDIU","RIDICAT"))))</x:f>
      </x:c>
      <x:c r="GO44" s="160" t="str">
        <x:f>IF($A44="","",IF(OR($GM44&lt;&gt;"DA",$GN44="RIDICAT"),'Setari model'!$B$102,IF($GN44="MEDIU",'Setari model'!$B$103,IF(AND($FM44="DA",$FN44="DA"),'Setari model'!$B$105,'Setari model'!$B$104))))</x:f>
      </x:c>
      <x:c r="GP44" s="160" t="str">
        <x:f t="shared" si="96">IF($A44="","",IF($GL44="","",MIN(1-$GL44,$GO44)))</x:f>
      </x:c>
      <x:c r="GQ44" s="162" t="str">
        <x:f t="shared" si="97">IF($A44="","",IF($GP44="","",IF($GP44&gt;0,1/$GP44,"")))</x:f>
      </x:c>
      <x:c r="GR44" s="160" t="str">
        <x:f t="shared" si="98">IF($A44="","",IF($EC44="","",$GP44-$EC44))</x:f>
      </x:c>
      <x:c r="GS44" s="160" t="str">
        <x:f t="shared" si="99">IF($A44="","",IF($AR44&gt;1,$GP44*$AR44-1,""))</x:f>
      </x:c>
      <x:c r="GT44" s="163" t="str">
        <x:f>IF($A44="","",MAX(0,MIN(100,$FT44-IF(AND($GM44&lt;&gt;"DA",$FK44="DA"),'Setari model'!$B$107,0)-'Setari model'!$B$126*IF($GJ44="",0,$GJ44))))</x:f>
      </x:c>
      <x:c r="GU44" s="158" t="str">
        <x:f t="shared" si="100">IF($A44="","",IF($AR44&lt;=1,"NU – LIPSEȘTE COTA REALĂ",IF($GM44&lt;&gt;"DA","NU – DATE LOW-CONVERSION INCOMPLETE",IF($GN44&lt;&gt;"SCĂZUT","NU – RISC 0-0 "&amp;$GN44,IF($FN44&lt;&gt;"DA","NU – LINEUP NECONFIRMAT",IF($FM44&lt;&gt;"DA","NU – PIAȚĂ NECONFIRMATĂ",IF($EP44&lt;&gt;"DA","NU – PORTOFOLIU","DA")))))))</x:f>
      </x:c>
      <x:c r="GV44" s="158" t="str">
        <x:f>IF($A44="","",IF($GU44&lt;&gt;"DA","WATCH / NO BET",IF(AND($GP44&gt;='Setari model'!$B$35,$GT44&gt;=100*'Setari model'!$B$76,$GS44&gt;0),"PARIU RECOMANDAT",IF(AND($GP44&gt;='Setari model'!$B$39,$GT44&gt;=100*'Setari model'!$B$40,$GS44&gt;0),"WATCH – APROAPE DE PRAG","PARIU EVITAT"))))</x:f>
      </x:c>
      <x:c r="GW44" s="158" t="str">
        <x:f t="shared" si="101">IF($A44="","",IF($GU44&lt;&gt;"DA",$GU44,IF($GT44&lt;75,"Confidence v5 sub 75.",IF($GP44&lt;0.92,"P v5 sub 92%.",IF($GS44&lt;=0,"EV v5 nepozitiv.",IF($GJ44&gt;0,"Low-conversion absorbit în P0; toate porțile rămân trecute.","Toate porțile v5 sunt trecute."))))))</x:f>
      </x:c>
      <x:c r="GX44" s="158" t="str">
        <x:f t="shared" si="102">IF($A44="","","P v5="&amp;TEXT($GP44,"0.0%")&amp;"; P0 v5="&amp;TEXT($GL44,"0.0%")&amp;"; low-conv="&amp;IF(COUNT($GJ44)=0,"n/a",TEXT($GJ44,"0%"))&amp;"; mult.P0="&amp;IF(COUNT($GK44)=0,"n/a",TEXT($GK44,"0.00"))&amp;"; clasă="&amp;$GN44&amp;"; cap="&amp;TEXT($GO44,"0.0%")&amp;"; Confidence="&amp;TEXT($GT44,"0")&amp;"/100; lineup="&amp;$FN44&amp;"; piață="&amp;$FM44&amp;"; EV="&amp;IF($GS44="","n/a",TEXT($GS44,"0.0%"))&amp;"; gate="&amp;$GU44&amp;"; verdict="&amp;$GV44&amp;". "&amp;$GW44)</x:f>
      </x:c>
      <x:c r="GY44" s="174" t="str">
        <x:f>IF($A44="","",IF($GM44&lt;&gt;"DA","SOURCING INCOMPLETE – REVIEW REQUIRED",IF(MIN($I44,$P44,$W44,$AB44)&lt;'Setari model'!$B$58,"SMALL SAMPLE + PRIOR / SHRINKAGE","VERIFIED / PRIOR / SHRINKAGE")))</x:f>
      </x:c>
      <x:c r="GZ44" s="175" t="str">
        <x:f t="shared" si="103">IF($A44="","",MAX(0,MIN(100,100*(1-AVERAGE(IF($GM44="DA",1,0),MIN(1,$AT44/5))))))</x:f>
      </x:c>
      <x:c r="HA44" s="175" t="str">
        <x:f>IF($A44="","",IF($GM44&lt;&gt;"DA","",MAX(0,MIN(100,100*(($FI44*$GK44)-'Setari model'!$B$97)/('Setari model'!$B$98-'Setari model'!$B$97)))))</x:f>
      </x:c>
      <x:c r="HB44" s="175" t="str">
        <x:f>IF($A44="","",MAX(0,MIN(100,100*(ABS($BR44-1)/MAX(1-'Setari model'!$B$53,'Setari model'!$B$54-1)+MIN(1,$BG44/2))/2)))</x:f>
      </x:c>
      <x:c r="HC44" s="175" t="str">
        <x:f t="shared" si="104">IF($A44="","",MAX(0,MIN(100,100*(1-AVERAGE($CC44,MAX(0,1-(MAX($BJ44:$BN44)-MIN($BJ44:$BN44))/(AVERAGE($BJ44:$BN44)*'Setari model'!$B$45)))))))</x:f>
      </x:c>
      <x:c r="HD44" s="175" t="str">
        <x:f t="shared" si="105">IF($A44="","",MAX(0,MIN(100,100*MAX(IF($GJ44="",0,$GJ44),MIN(1,$BG44/2)))))</x:f>
      </x:c>
      <x:c r="HE44" s="175" t="str">
        <x:f>IF($A44="","",IF(COUNT($GZ44:$HD44)&lt;5,"",$GZ44*Risk_Classification!$E$28+$HA44*Risk_Classification!$E$29+$HB44*Risk_Classification!$E$30+$HC44*Risk_Classification!$E$31+$HD44*Risk_Classification!$E$32))</x:f>
      </x:c>
      <x:c r="HF44" s="176" t="str">
        <x:f t="shared" si="106">IF($A44="","",IF($HE44="","",IF($HE44&lt;=20,1,IF($HE44&lt;=40,2,IF($HE44&lt;=60,3,IF($HE44&lt;=80,4,5))))))</x:f>
      </x:c>
      <x:c r="HG44" s="176" t="str">
        <x:f t="shared" si="107">IF($A44="","",IF($GM44="DA","PASS","FAIL – DATE CRITICE ZERO-MASS INCOMPLETE"))</x:f>
      </x:c>
      <x:c r="HH44" s="176" t="str">
        <x:f t="shared" si="108">IF($A44="","",IF($HG44&lt;&gt;"PASS",5,$HF44))</x:f>
      </x:c>
      <x:c r="HI44" s="174" t="str">
        <x:f t="shared" si="109">IF($A44="","",IF($HH44="","N/A",IF($HH44=1,"DEFENSIV",IF($HH44=2,"PRUDENT",IF($HH44=3,"MODERAT",IF($HH44=4,"RIDICAT","WATCH / NO BET"))))))</x:f>
      </x:c>
      <x:c r="HJ44" s="177" t="str">
        <x:f t="shared" si="110">IF($A44="","","Data="&amp;$GY44&amp;"; DQ="&amp;TEXT($GZ44,"0.0")&amp;"; ZM="&amp;IF($HA44="","n/a",TEXT($HA44,"0.0"))&amp;"; Context="&amp;TEXT($HB44,"0.0")&amp;"; Uncertainty="&amp;TEXT($HC44,"0.0")&amp;"; Compound="&amp;TEXT($HD44,"0.0")&amp;"; Risk Score="&amp;IF($HE44="","n/a",TEXT($HE44,"0.0"))&amp;"; Base="&amp;IF($HF44="","n/a",$HF44)&amp;"; G0="&amp;$HG44&amp;"; Final="&amp;$HH44&amp;". Cota, EV si lineup sunt informative si nu intra in recomandare.")</x:f>
      </x:c>
      <x:c r="HK44" s="174" t="str">
        <x:f t="shared" si="111">IF($A44="","",$HI44)</x:f>
      </x:c>
    </x:row>
    <x:row r="45" ht="24" customHeight="1">
      <x:c r="A45" s="58"/>
      <x:c r="B45" s="24"/>
      <x:c r="C45" s="59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18"/>
      <x:c r="O45" s="18"/>
      <x:c r="P45" s="24"/>
      <x:c r="Q45" s="24"/>
      <x:c r="R45" s="24"/>
      <x:c r="S45" s="24"/>
      <x:c r="T45" s="24"/>
      <x:c r="U45" s="18"/>
      <x:c r="V45" s="18"/>
      <x:c r="W45" s="24"/>
      <x:c r="X45" s="24"/>
      <x:c r="Y45" s="24"/>
      <x:c r="Z45" s="24"/>
      <x:c r="AA45" s="24"/>
      <x:c r="AB45" s="24"/>
      <x:c r="AC45" s="24"/>
      <x:c r="AD45" s="24"/>
      <x:c r="AE45" s="24"/>
      <x:c r="AF45" s="24"/>
      <x:c r="AG45" s="24"/>
      <x:c r="AH45" s="24"/>
      <x:c r="AI45" s="18"/>
      <x:c r="AJ45" s="24"/>
      <x:c r="AK45" s="24"/>
      <x:c r="AL45" s="24"/>
      <x:c r="AM45" s="18"/>
      <x:c r="AN45" s="24"/>
      <x:c r="AO45" s="60"/>
      <x:c r="AP45" s="60"/>
      <x:c r="AQ45" s="60"/>
      <x:c r="AR45" s="60"/>
      <x:c r="AS45" s="60"/>
      <x:c r="AT45" s="24"/>
      <x:c r="AU45" s="24"/>
      <x:c r="AV45" s="24"/>
      <x:c r="AW45" s="24"/>
      <x:c r="AX45" s="24"/>
      <x:c r="AY45" s="24"/>
      <x:c r="AZ45" s="24"/>
      <x:c r="BA45" s="24"/>
      <x:c r="BB45" s="24"/>
      <x:c r="BC45" s="24"/>
      <x:c r="BD45" s="24"/>
      <x:c r="BE45" s="24"/>
      <x:c r="BF45" s="24"/>
      <x:c r="BG45" s="24"/>
      <x:c r="BH45" s="61"/>
      <x:c r="BI45" s="61"/>
      <x:c r="BJ45" s="62" t="str">
        <x:f>IF($A45="","",SQRT((($I45*IF($J45="",$AJ45,$J45)+'Setari model'!$B$30*$AJ45)/($I45+'Setari model'!$B$30))*(($P45*IF($R45="",$AJ45,$R45)+'Setari model'!$B$30*$AJ45)/($P45+'Setari model'!$B$30)))+SQRT((($P45*IF($Q45="",$AK45,$Q45)+'Setari model'!$B$30*$AK45)/($P45+'Setari model'!$B$30))*(($I45*IF($K45="",$AK45,$K45)+'Setari model'!$B$30*$AK45)/($I45+'Setari model'!$B$30))))</x:f>
      </x:c>
      <x:c r="BK45" s="62" t="str">
        <x:f>IF($A45="","",SQRT((($I45*IF($L45="",IF($J45="",$AJ45,$J45),$L45)+'Setari model'!$B$30*$AJ45)/($I45+'Setari model'!$B$30))*(($P45*IF($T45="",IF($R45="",$AJ45,$R45),$T45)+'Setari model'!$B$30*$AJ45)/($P45+'Setari model'!$B$30)))+SQRT((($P45*IF($S45="",IF($Q45="",$AK45,$Q45),$S45)+'Setari model'!$B$30*$AK45)/($P45+'Setari model'!$B$30))*(($I45*IF($M45="",IF($K45="",$AK45,$K45),$M45)+'Setari model'!$B$30*$AK45)/($I45+'Setari model'!$B$30))))</x:f>
      </x:c>
      <x:c r="BL45" s="62" t="str">
        <x:f>IF($A45="","",SQRT((($W45*IF($X45="",$AL45/2,$X45)+'Setari model'!$B$31*$AL45/2)/($W45+'Setari model'!$B$31))*(($AB45*IF($AD45="",$AL45/2,$AD45)+'Setari model'!$B$31*$AL45/2)/($AB45+'Setari model'!$B$31)))+SQRT((($AB45*IF($AC45="",$AL45/2,$AC45)+'Setari model'!$B$31*$AL45/2)/($AB45+'Setari model'!$B$31))*(($W45*IF($Y45="",$AL45/2,$Y45)+'Setari model'!$B$31*$AL45/2)/($W45+'Setari model'!$B$31))))</x:f>
      </x:c>
      <x:c r="BM45" s="62" t="str">
        <x:f>IF($A45="","",SQRT((($W45*IF($Z45="",IF($X45="",$AL45/2,$X45),$Z45)+'Setari model'!$B$31*$AL45/2)/($W45+'Setari model'!$B$31))*(($AB45*IF($AF45="",IF($AD45="",$AL45/2,$AD45),$AF45)+'Setari model'!$B$31*$AL45/2)/($AB45+'Setari model'!$B$31)))+SQRT((($AB45*IF($AE45="",IF($AC45="",$AL45/2,$AC45),$AE45)+'Setari model'!$B$31*$AL45/2)/($AB45+'Setari model'!$B$31))*(($W45*IF($AA45="",IF($Y45="",$AL45/2,$Y45),$AA45)+'Setari model'!$B$31*$AL45/2)/($W45+'Setari model'!$B$31))))</x:f>
      </x:c>
      <x:c r="BN45" s="62" t="str">
        <x:f t="shared" si="56">IF($A45="","",IF($AG45&gt;0,($AG45*IF($AH45="",$AL45,$AH45)+5*$AL45)/($AG45+5),$AL45))</x:f>
      </x:c>
      <x:c r="BO45" s="63" t="str">
        <x:f>IF($A45="","",IF($AR45&gt;1,IF($AS45&gt;1,(1/$AR45)/((1/$AR45+1/$AS45)),MIN(0.995,(1/$AR45)/(1+'Setari model'!$B$32))),1-EXP(-$AL45)))</x:f>
      </x:c>
      <x:c r="BP45" s="62" t="str">
        <x:f t="shared" si="57">IF($A45="","",-LN(1-$BO45))</x:f>
      </x:c>
      <x:c r="BQ45" s="62" t="str">
        <x:f>IF($A45="","",$BJ45*INDEX('Setari model'!$B$5:$B$11,MATCH($E45,'Setari model'!$A$5:$A$11,0))+$BK45*INDEX('Setari model'!$C$5:$C$11,MATCH($E45,'Setari model'!$A$5:$A$11,0))+$BL45*INDEX('Setari model'!$D$5:$D$11,MATCH($E45,'Setari model'!$A$5:$A$11,0))+$BM45*INDEX('Setari model'!$E$5:$E$11,MATCH($E45,'Setari model'!$A$5:$A$11,0))+$BN45*INDEX('Setari model'!$F$5:$F$11,MATCH($E45,'Setari model'!$A$5:$A$11,0))+$BP45*INDEX('Setari model'!$G$5:$G$11,MATCH($E45,'Setari model'!$A$5:$A$11,0)))</x:f>
      </x:c>
      <x:c r="BR45" s="64" t="str">
        <x:f>IF($A45="","",MAX('Setari model'!$B$53,MIN('Setari model'!$B$54,1+($AV45*'Setari model'!$B$15+$AW45*'Setari model'!$B$16+$AX45*'Setari model'!$B$17+$AY45*'Setari model'!$B$18+$AZ45*'Setari model'!$B$19+$BA45*'Setari model'!$B$20+$BB45*'Setari model'!$B$21+$BC45*'Setari model'!$B$22+$BD45*'Setari model'!$B$23+$BE45*'Setari model'!$B$24+$BF45*'Setari model'!$B$25)*INDEX('Setari model'!$H$5:$H$11,MATCH($E45,'Setari model'!$A$5:$A$11,0)))))</x:f>
      </x:c>
      <x:c r="BS45" s="62" t="str">
        <x:f t="shared" si="58">IF($A45="","",$BQ45*$BR45)</x:f>
      </x:c>
      <x:c r="BT45" s="63" t="str">
        <x:f t="shared" si="59">IF($A45="","",EXP(-$BS45))</x:f>
      </x:c>
      <x:c r="BU45" s="65" t="str">
        <x:f>IF($A45="","",IF(OR($AM45="",$AN45=""),1,1+MIN('Setari model'!$B$33,$AN45/100*'Setari model'!$B$33)*($AM45/EXP(-$AL45)-1)))</x:f>
      </x:c>
      <x:c r="BV45" s="63" t="str">
        <x:f>IF($A45="","",MIN(0.45,MAX(0.005,(1-'Setari model'!$B$34*MIN(1,($I45+$P45)/20))*MIN(0.45,$BT45*$BU45)+'Setari model'!$B$34*MIN(1,($I45+$P45)/20)*IF(COUNT($N45,$U45)=2,SQRT(MAX(0,1-$N45)*MAX(0,1-$U45)),IF($AM45="",EXP(-$AL45),$AM45)))))</x:f>
      </x:c>
      <x:c r="BW45" s="63" t="str">
        <x:f t="shared" si="60">IF($A45="","",1-$BV45)</x:f>
      </x:c>
      <x:c r="BX45" s="62" t="str">
        <x:f t="shared" si="61">IF($A45="","",1/$BW45)</x:f>
      </x:c>
      <x:c r="BY45" s="63" t="str">
        <x:f t="shared" si="62">IF($A45="","",$BO45)</x:f>
      </x:c>
      <x:c r="BZ45" s="63" t="str">
        <x:f t="shared" si="63">IF($A45="","",$BW45-$BY45)</x:f>
      </x:c>
      <x:c r="CA45" s="63" t="str">
        <x:f t="shared" si="64">IF($A45="","",IF($AR45&gt;1,$BW45*$AR45-1,""))</x:f>
      </x:c>
      <x:c r="CB45" s="63" t="str">
        <x:f>IF($A45="","",MIN(1,COUNT($I45:$AN45,$AR45:$BG45)/'Setari model'!$B$46))</x:f>
      </x:c>
      <x:c r="CC45" s="63" t="str">
        <x:f t="shared" si="65">IF($A45="","",0.25*MIN(1,$I45/10)+0.25*MIN(1,$P45/10)+0.15*MIN(1,$W45/5)+0.15*MIN(1,$AB45/5)+0.1*MIN(1,$AG45/5)+0.1*MIN(1,$AN45/100))</x:f>
      </x:c>
      <x:c r="CD45" s="63" t="str">
        <x:f>IF($A45="","",MAX(0,1-(MAX($BJ45:$BN45,$BP45)-MIN($BJ45:$BN45,$BP45))/(AVERAGE($BJ45:$BN45,$BP45)*'Setari model'!$B$45)))</x:f>
      </x:c>
      <x:c r="CE45" s="66" t="str">
        <x:f>IF($A45="","",MAX(0,MIN(100,100*INDEX('Setari model'!$I$5:$I$11,MATCH($E45,'Setari model'!$A$5:$A$11,0))*('Setari model'!$B$47*$CB45+'Setari model'!$B$48*$CC45+'Setari model'!$B$49*$CD45+'Setari model'!$B$50*$AT45/5+'Setari model'!$B$51*$AU45)-100*'Setari model'!$B$52*$BG45)))</x:f>
      </x:c>
      <x:c r="CF45" s="65" t="str">
        <x:f t="shared" si="66">IF($A45="","",IF(OR($AT45&lt;3,$BG45&gt;=2,$CB45&lt;0.55,$CC45&lt;0.4),"RIDICAT",IF(OR($AU45=0,$CD45&lt;0.45,$BR45&lt;0.9),"MEDIU","SCĂZUT")))</x:f>
      </x:c>
      <x:c r="CG45" s="65" t="str">
        <x:f>IF($A45="","",IF($AR45&gt;1,IF(AND($BW45&gt;= 'Setari model'!$B$35,$CE45&gt;=100*'Setari model'!$B$36,$BZ45&gt;= 'Setari model'!$B$37,$CA45&gt;= 'Setari model'!$B$38,$CF45&lt;&gt;"RIDICAT"),"PARIU RECOMANDAT",IF(AND($BW45&gt;= 'Setari model'!$B$39,$CE45&gt;=100*'Setari model'!$B$40,$BZ45&gt;= 'Setari model'!$B$41,$CA45&gt;=0,$CF45&lt;&gt;"RIDICAT"),"RECOMANDAT CU PRUDENȚĂ",IF(AND($BW45&gt;= 'Setari model'!$B$42,$CE45&gt;=100*'Setari model'!$B$43),"ANALIZĂ NECONCLUDENTĂ","PARIU EVITAT"))),IF(AND($BW45&gt;= 'Setari model'!$B$35,$CE45&gt;=100*'Setari model'!$B$36,$CF45&lt;&gt;"RIDICAT"),"FAVORABIL STATISTIC – VERIFICĂ COTA",IF(AND($BW45&gt;= 'Setari model'!$B$42,$CE45&gt;=100*'Setari model'!$B$43),"ANALIZĂ NECONCLUDENTĂ","PARIU EVITAT"))))</x:f>
      </x:c>
      <x:c r="CH45" s="67" t="str">
        <x:f t="shared" si="67">IF($A45="","","P(O0,5)="&amp;TEXT($BW45,"0.0%")&amp;"; λ ajustat="&amp;TEXT($BS45,"0.00")&amp;"; Confidence="&amp;TEXT($CE45,"0")&amp;"/100; Edge="&amp;TEXT($BZ45,"0.0%")&amp;"; risc="&amp;$CF45&amp;". "&amp;$BH45)</x:f>
      </x:c>
      <x:c r="CI45" s="68" t="str">
        <x:f t="shared" si="68">IF($A45="","",$BI45)</x:f>
      </x:c>
      <x:c r="CJ45" s="112"/>
      <x:c r="CK45" s="112"/>
      <x:c r="CL45" s="112"/>
      <x:c r="CM45" s="112"/>
      <x:c r="CN45" s="112"/>
      <x:c r="CO45" s="112"/>
      <x:c r="CP45" s="112"/>
      <x:c r="CQ45" s="112"/>
      <x:c r="CR45" s="112"/>
      <x:c r="CS45" s="112"/>
      <x:c r="CT45" s="112"/>
      <x:c r="CU45" s="112"/>
      <x:c r="CV45" s="112"/>
      <x:c r="CW45" s="112"/>
      <x:c r="CX45" s="112"/>
      <x:c r="CY45" s="112"/>
      <x:c r="CZ45" s="112"/>
      <x:c r="DA45" s="112"/>
      <x:c r="DB45" s="112"/>
      <x:c r="DC45" s="114"/>
      <x:c r="DD45" s="114"/>
      <x:c r="DE45" s="112" t="s">
        <x:v>266</x:v>
      </x:c>
      <x:c r="DF45" s="112"/>
      <x:c r="DG45" s="112"/>
      <x:c r="DH45" s="112"/>
      <x:c r="DI45" s="112"/>
      <x:c r="DJ45" s="112"/>
      <x:c r="DK45" s="112"/>
      <x:c r="DL45" s="112"/>
      <x:c r="DM45" s="112"/>
      <x:c r="DN45" s="112"/>
      <x:c r="DO45" s="112"/>
      <x:c r="DP45" s="112"/>
      <x:c r="DQ45" s="114"/>
      <x:c r="DR45" s="112">
        <x:v>1</x:v>
      </x:c>
      <x:c r="DS45" s="116">
        <x:v>0</x:v>
      </x:c>
      <x:c r="DT45" s="120"/>
      <x:c r="DU45" s="116">
        <x:v>0.02</x:v>
      </x:c>
      <x:c r="DV45" s="116">
        <x:v>0.25</x:v>
      </x:c>
      <x:c r="DW45" s="118" t="str">
        <x:f>IF($A45="","",MAX('Setari model'!$B$71,MIN('Setari model'!$B$72,1+0.08*(IFERROR(AVERAGE($CM45:$CN45)/'Setari model'!$B$66,1)-1)+0.08*(IFERROR(AVERAGE($CO45:$CP45)/'Setari model'!$B$67,1)-1)+0.06*(IFERROR(AVERAGE($CQ45:$CR45)/'Setari model'!$B$68,1)-1)+0.04*(IFERROR(AVERAGE($CS45:$CT45)/'Setari model'!$B$69,1)-1)+0.04*(IFERROR(AVERAGE($CU45:$CV45)/'Setari model'!$B$70,1)-1)-'Setari model'!$B$73*IFERROR(AVERAGE($CW45:$CX45),0))))</x:f>
      </x:c>
      <x:c r="DX45" s="118" t="str">
        <x:f>IF($A45="","",1+'Setari model'!$B$62*MAX(IF(OR($CK45=1,$CL45=1),1,0),IF(AND($CJ45&lt;&gt;"",$CJ45&lt;=1),1,0))+'Setari model'!$B$63*IF(AND($CJ45&gt;1,$CJ45&lt;=3),1,0))</x:f>
      </x:c>
      <x:c r="DY45" s="118" t="str">
        <x:f>IF($A45="","",1+'Setari model'!$B$74*(IF($CY45="",0,IF($CY45=0,1,0))+IF($CZ45="",0,IF($CZ45=0,1,0)))+'Setari model'!$B$75*(IF($DA45="",0,IF($DA45=0,1,0))+IF($DB45="",0,IF($DB45=0,1,0))))</x:f>
      </x:c>
      <x:c r="DZ45" s="117" t="str">
        <x:f>IF($A45="","",MIN(0.6,MAX(0.002,(((1-'Setari model'!$B$34*MIN(1,($I45+$P45)/20))*$BT45+'Setari model'!$B$34*MIN(1,($I45+$P45)/20)*IF(COUNT($N45,$U45)=2,SQRT(MAX(0,1-$N45)*MAX(0,1-$U45)),$BT45))*(1-'Setari model'!$B$65*MIN(1,IF($AN45="",0,$AN45/'Setari model'!$B$64)))+'Setari model'!$B$65*MIN(1,IF($AN45="",0,$AN45/'Setari model'!$B$64))*IF($AM45="",$BT45,$AM45))*$DX45*$DY45/$DW45)))</x:f>
      </x:c>
      <x:c r="EA45" s="117" t="str">
        <x:f>IF($A45="","",MIN(1-$DZ45,IF(OR(MIN($I45,$P45)&lt;'Setari model'!$B$58,$CK45=1,$CL45=1,AND($CJ45&lt;&gt;"",$CJ45&lt;=1)),'Setari model'!$B$59,IF(AND($AU45=1,$AR45&gt;1,COUNT($CY45:$DB45)=4),'Setari model'!$B$61,'Setari model'!$B$60))))</x:f>
      </x:c>
      <x:c r="EB45" s="115" t="str">
        <x:f t="shared" si="69">IF($A45="","",1/$EA45)</x:f>
      </x:c>
      <x:c r="EC45" s="117" t="str">
        <x:f t="shared" si="70">IF($A45="","",IF($AR45&gt;1,IF($AS45&gt;1,(1/$AR45)/((1/$AR45)+(1/$AS45)),1/$AR45),""))</x:f>
      </x:c>
      <x:c r="ED45" s="117" t="str">
        <x:f t="shared" si="71">IF($A45="","",IF($EC45="","",$EA45-$EC45))</x:f>
      </x:c>
      <x:c r="EE45" s="117" t="str">
        <x:f t="shared" si="72">""</x:f>
      </x:c>
      <x:c r="EF45" s="119" t="str">
        <x:f>IF($A45="","",MAX(0,MIN(100,$CE45-200*MAX(0,$EG45-'Setari model'!$B$77)-IF($AU45&lt;&gt;1,10,0)-IF(COUNT($CY45:$DB45)&lt;4,4,0))))</x:f>
      </x:c>
      <x:c r="EG45" s="117" t="str">
        <x:f>IF($A45="","",'Setari model'!$B$77+IF(MIN($I45,$P45)&lt;'Setari model'!$B$58,0.03,0)+IF(OR($CK45=1,$CL45=1,AND($CJ45&lt;&gt;"",$CJ45&lt;=1)),0.03,0)+IF($AG45=0,0.02,0)+0.03*(1-MIN(1,COUNT($CM45:$CV45)/10))+0.03*(1-MIN(1,IF($AN45="",0,$AN45/'Setari model'!$B$64)))+IF($AR45&lt;=1,0.02,0))</x:f>
      </x:c>
      <x:c r="EH45" s="113" t="str">
        <x:f>IF($A45="","",IF(OR(MIN($I45,$P45)&lt;'Setari model'!$B$58,$CK45=1,$CL45=1,AND($CJ45&lt;&gt;"",$CJ45&lt;=1)),"92% – early/regim",IF(AND($AU45=1,$AR45&gt;1,COUNT($CY45:$DB45)=4),"94% – confirmat","93% – standard")))</x:f>
      </x:c>
      <x:c r="EI45" s="113" t="str">
        <x:f t="shared" si="73">IF($A45="","",IF(AND($EA45&gt;0.9,$AU45&lt;&gt;1),"WAIT XI – HIGH P",IF(AND($EA45&gt;0.9,COUNT($CY45:$DB45)&lt;4),"WAIT DATE CHEIE – HIGH P",IF($EP45&lt;&gt;"DA","NU – PORTOFOLIU","DA"))))</x:f>
      </x:c>
      <x:c r="EJ45" s="117" t="str">
        <x:f t="shared" si="74">IF($A45="","",IF($DE45&lt;&gt;"Live 20-30","",IF(SUM($DG45:$DH45)&gt;0,1,IF($EU45="","",1-MIN(0.95,MAX(0.001,EXP(-$EU45)*$DX45*$DY45/$DW45))))))</x:f>
      </x:c>
      <x:c r="EK45" s="117" t="str">
        <x:f t="shared" si="75">""</x:f>
      </x:c>
      <x:c r="EL45" s="113" t="str">
        <x:f>IF($A45="","",IF($DE45="Live 20-30",IF(SUM($DG45:$DH45)&gt;0,"EVENIMENT ÎNDEPLINIT",IF(OR($DF45="",COUNT($DI45:$DN45)&lt;4),"LIVE – WATCH",IF($EJ45&gt;=0.75,"LIVE – FEZABIL TEHNIC","LIVE – NO BET"))),IF($EI45&lt;&gt;"DA","WATCH / NO BET",IF(AND($EA45&gt;=INDEX('Setari model'!$B$35:$B$40,1),$EF45&gt;=100*'Setari model'!$B$76),"PARIU RECOMANDAT",IF(AND($EA45&gt;=INDEX('Setari model'!$B$35:$B$40,5),$EF45&gt;=100*'Setari model'!$B$40),"WATCH – APROAPE DE PRAG","PARIU EVITAT")))))</x:f>
      </x:c>
      <x:c r="EM45" s="113" t="str">
        <x:f t="shared" si="76">IF($A45="","",IF($DE45="Live 20-30",IF(SUM($DG45:$DH45)&gt;0,"Gol deja marcat.",IF($DF45="","Minut live lipsă.",IF(COUNT($DI45:$DN45)&lt;4,"Lipsesc xG/SOT/big chances live.",IF($EJ45&lt;0.75,"P live sub prag.","Semnal live tehnic complet; EV ignorat.")))),IF($EI45&lt;&gt;"DA",$EI45,IF($EF45&lt;75,"Confidence sub 75.",IF($EA45&lt;0.92,"P sub 92%.","G0/Zero-Mass + confidence trecute; EV ignorat.")))))</x:f>
      </x:c>
      <x:c r="EN45" s="117" t="str">
        <x:f>IF($A45="","",IF(OR($EL45="PARIU RECOMANDAT",$EL45="LIVE – FEZABIL"),MIN(IF($DU45&gt;0,$DU45,'Setari model'!$B$81)/MAX(1,$DR45),IF($DV45&gt;0,$DV45,'Setari model'!$B$80)*MAX(0,((IF($DE45="Live 20-30",$EJ45,$EA45)*IF($DE45="Live 20-30",$DQ45,$AR45)-1)/(IF($DE45="Live 20-30",$DQ45,$AR45)-1)))),0))</x:f>
      </x:c>
      <x:c r="EO45" s="121" t="str">
        <x:f t="shared" si="77">IF($A45="","",IF(AND($EN45&gt;0,$DT45&gt;0),$EN45*$DT45,""))</x:f>
      </x:c>
      <x:c r="EP45" s="113" t="str">
        <x:f>IF($A45="","",IF(OR($DR45&lt;1,$DR45&gt;'Setari model'!$B$78),"NU – 1–5 selecții",IF($DS45&gt;'Setari model'!$B$79,"NU – corelație", "DA")))</x:f>
      </x:c>
      <x:c r="EQ45" s="117" t="str">
        <x:f t="shared" si="78">IF($A45="","",IF(AND($DC45&gt;1,$DD45&gt;1),$DC45/$DD45-1,""))</x:f>
      </x:c>
      <x:c r="ER45" s="113" t="str">
        <x:f t="shared" si="79">IF($A45="","","P v2="&amp;TEXT($EA45,"0.0%")&amp;" ±"&amp;TEXT($EG45,"0.0%")&amp;"; P0 ZIP="&amp;TEXT($DZ45,"0.0%")&amp;"; Confidence="&amp;TEXT($EF45,"0")&amp;"/100; piață reală="&amp;IF($EC45="","NU","DA")&amp;"; EV="&amp;IF($EE45="","n/a",TEXT($EE45,"0.0%"))&amp;"; gate="&amp;$EI45&amp;"; verdict="&amp;$EL45&amp;". "&amp;$EM45)</x:f>
      </x:c>
      <x:c r="ES45" s="119" t="str">
        <x:f>IF($A45="","",'Setari model'!$B$82)</x:f>
      </x:c>
      <x:c r="ET45" s="118" t="str">
        <x:f>IF($A45="","",'Setari model'!$B$83)</x:f>
      </x:c>
      <x:c r="EU45" s="115" t="str">
        <x:f t="shared" si="80">IF(OR($A45="",$DE45&lt;&gt;"Live 20-30",$DF45="",$DF45&lt;$ES45,$DF45&gt;=90),"",MAX(0.05,MIN($BS45*$ET45,$BS45*(90-$DF45)/90+0.35*($DI45+$DJ45)+0.06*($DK45+$DL45)+0.15*($DM45+$DN45)+0.1*(MAX($DO45,$DP45)-MIN($DO45,$DP45)))))</x:f>
      </x:c>
      <x:c r="EV45" s="132"/>
      <x:c r="EW45" s="132"/>
      <x:c r="EX45" s="132"/>
      <x:c r="EY45" s="132"/>
      <x:c r="EZ45" s="132"/>
      <x:c r="FA45" s="132"/>
      <x:c r="FB45" s="247"/>
      <x:c r="FC45" s="134" t="str">
        <x:f t="shared" si="81">IF($A45="","",IF(OR($J45="",$L45="",$L45&lt;=0),"",MAX(0.5,MIN(1.5,$J45/$L45))))</x:f>
      </x:c>
      <x:c r="FD45" s="134" t="str">
        <x:f t="shared" si="82">IF($A45="","",IF(OR($Q45="",$S45="",$S45&lt;=0),"",MAX(0.5,MIN(1.5,$Q45/$S45))))</x:f>
      </x:c>
      <x:c r="FE45" s="134" t="str">
        <x:f>IF($A45="","",IF(COUNT($EV45:$EW45)&lt;2,"",SQRT($EV45*$EW45)/'Setari model'!$B$87))</x:f>
      </x:c>
      <x:c r="FF45" s="134" t="str">
        <x:f>IF($A45="","",IF(COUNT($O45,$V45,$EX45,$EY45)&lt;4,"",AVERAGE(SQRT($O45*$EY45),SQRT($V45*$EX45))/'Setari model'!$B$88))</x:f>
      </x:c>
      <x:c r="FG45" s="134" t="str">
        <x:f t="shared" si="83">IF($A45="","",IF(COUNT($FC45:$FD45)&lt;2,"",MAX(0,1-AVERAGE($FC45:$FD45))))</x:f>
      </x:c>
      <x:c r="FH45" s="134" t="str">
        <x:f>IF($A45="","",IF(COUNT($EZ45:$FA45)&lt;2,"",'Setari model'!$B$94*AVERAGE($EZ45:$FA45)/'Setari model'!$B$89))</x:f>
      </x:c>
      <x:c r="FI45" s="134" t="str">
        <x:f>IF($A45="","",IF(COUNT($FE45:$FH45)&lt;4,"",MAX('Setari model'!$B$97,MIN('Setari model'!$B$98,1+'Setari model'!$B$90*($FE45-1)+'Setari model'!$B$91*($FF45-1)+'Setari model'!$B$92*$FG45+'Setari model'!$B$93*($FH45-1)))))</x:f>
      </x:c>
      <x:c r="FJ45" s="133" t="str">
        <x:f>IF($A45="","",IF($FI45="","",MIN('Setari model'!$B$101,MAX(0.002,$DZ45*$FI45))))</x:f>
      </x:c>
      <x:c r="FK45" s="131" t="str">
        <x:f t="shared" si="84">IF($A45="","",IF(AND(COUNT($EV45:$FA45)=6,COUNT($O45,$V45,$FC45,$FD45)=4),"DA","NU"))</x:f>
      </x:c>
      <x:c r="FL45" s="131" t="str">
        <x:f>IF($A45="","",IF($FK45&lt;&gt;"DA","NEDETERMINAT",IF($FI45&lt;='Setari model'!$B$99,"SCĂZUT",IF($FI45&lt;='Setari model'!$B$100,"MEDIU","RIDICAT"))))</x:f>
      </x:c>
      <x:c r="FM45" s="131" t="str">
        <x:f>IF($A45="","",IF(AND($AR45&gt;1,$EC45&gt;='Setari model'!$B$106),"DA","NU"))</x:f>
      </x:c>
      <x:c r="FN45" s="131" t="str">
        <x:f t="shared" si="85">IF($A45="","",IF(AND($AU45=1,COUNT($CY45:$DB45)=4),"DA","NU"))</x:f>
      </x:c>
      <x:c r="FO45" s="133" t="str">
        <x:f>IF($A45="","",IF(OR($FK45&lt;&gt;"DA",$FL45="RIDICAT"),'Setari model'!$B$102,IF($FL45="MEDIU",'Setari model'!$B$103,IF(AND($FM45="DA",$FN45="DA"),'Setari model'!$B$105,'Setari model'!$B$104))))</x:f>
      </x:c>
      <x:c r="FP45" s="133" t="str">
        <x:f t="shared" si="86">IF($A45="","",IF($FJ45="","",MIN(1-$FJ45,$FO45)))</x:f>
      </x:c>
      <x:c r="FQ45" s="135" t="str">
        <x:f t="shared" si="87">IF($A45="","",IF($FP45="","",IF($FP45&gt;0,1/$FP45,"")))</x:f>
      </x:c>
      <x:c r="FR45" s="133" t="str">
        <x:f t="shared" si="88">IF($A45="","",IF($EC45="","",$FP45-$EC45))</x:f>
      </x:c>
      <x:c r="FS45" s="133" t="str">
        <x:f t="shared" si="89">IF($A45="","",IF($AR45&gt;1,$FP45*$AR45-1,""))</x:f>
      </x:c>
      <x:c r="FT45" s="136" t="str">
        <x:f>IF($A45="","",MAX(0,MIN(100,$EF45-IF($FK45&lt;&gt;"DA",'Setari model'!$B$107,0)-IF($FL45="MEDIU",'Setari model'!$B$108,0)-IF($FL45="RIDICAT",'Setari model'!$B$109,0))))</x:f>
      </x:c>
      <x:c r="FU45" s="131" t="str">
        <x:f t="shared" si="90">IF($A45="","",IF($AR45&lt;=1,"NU – LIPSEȘTE COTA REALĂ",IF($FK45&lt;&gt;"DA","NU – ZERO-RISK INCOMPLET",IF($FL45&lt;&gt;"SCĂZUT","NU – RISC 0-0 "&amp;$FL45,IF($FN45&lt;&gt;"DA","NU – LINEUP NECONFIRMAT",IF($FM45&lt;&gt;"DA","NU – PIAȚĂ NECONFIRMATĂ",IF($EP45&lt;&gt;"DA","NU – PORTOFOLIU","DA")))))))</x:f>
      </x:c>
      <x:c r="FV45" s="131" t="str">
        <x:f>IF($A45="","",IF($FU45&lt;&gt;"DA","WATCH / NO BET",IF(AND($FP45&gt;='Setari model'!$B$35,$FT45&gt;=100*'Setari model'!$B$76,$FS45&gt;0),"PARIU RECOMANDAT",IF(AND($FP45&gt;='Setari model'!$B$39,$FT45&gt;=100*'Setari model'!$B$40,$FS45&gt;0),"WATCH – APROAPE DE PRAG","PARIU EVITAT"))))</x:f>
      </x:c>
      <x:c r="FW45" s="131" t="str">
        <x:f t="shared" si="91">IF($A45="","",IF($FU45&lt;&gt;"DA",$FU45,IF($FT45&lt;75,"Confidence v3 sub 75.",IF($FP45&lt;0.92,"P v3 sub 92%.",IF($FS45&lt;=0,"EV v3 nepozitiv.","P0 v3, lineup și piață confirmate.")))))</x:f>
      </x:c>
      <x:c r="FX45" s="131" t="str">
        <x:f t="shared" si="92">IF($A45="","","P v3="&amp;TEXT($FP45,"0.0%")&amp;"; P0 v3="&amp;TEXT($FJ45,"0.0%")&amp;"; factor zero="&amp;IF($FI45="","n/a",TEXT($FI45,"0.00x"))&amp;" ("&amp;$FL45&amp;"); cap="&amp;TEXT($FO45,"0.0%")&amp;"; Confidence="&amp;TEXT($FT45,"0")&amp;"/100; lineup="&amp;$FN45&amp;"; piață="&amp;$FM45&amp;"; EV="&amp;IF($FS45="","n/a",TEXT($FS45,"0.0%"))&amp;"; gate="&amp;$FU45&amp;"; verdict="&amp;$FV45&amp;". "&amp;$FW45)</x:f>
      </x:c>
      <x:c r="FY45" s="159"/>
      <x:c r="FZ45" s="159"/>
      <x:c r="GA45" s="157"/>
      <x:c r="GB45" s="157"/>
      <x:c r="GC45" s="161" t="str">
        <x:f t="shared" si="93">IF($A45="","",IF(OR($X45="",$Z45="",$Z45&lt;=0),"",MAX(0.5,MIN(1.5,$X45/$Z45))))</x:f>
      </x:c>
      <x:c r="GD45" s="161" t="str">
        <x:f t="shared" si="94">IF($A45="","",IF(OR($AC45="",$AE45="",$AE45&lt;=0),"",MAX(0.5,MIN(1.5,$AC45/$AE45))))</x:f>
      </x:c>
      <x:c r="GE45" s="162" t="str">
        <x:f t="shared" si="95">IF($A45="","",IF(COUNT($Z45,$AE45)&lt;2,"",AVERAGE($Z45,$AE45)))</x:f>
      </x:c>
      <x:c r="GF45" s="158" t="str">
        <x:f>IF($A45="","",IF(COUNT($FY45:$FZ45)&lt;2,"NEDETERMINAT",IF(AND($FY45&gt;='Setari model'!$B$113,$FZ45&gt;='Setari model'!$B$113),"DA","NU")))</x:f>
      </x:c>
      <x:c r="GG45" s="158" t="str">
        <x:f>IF($A45="","",IF(COUNT($FY45:$FZ45,$EX45:$EY45)&lt;4,"NEDETERMINAT",IF(OR(AND($FY45&gt;='Setari model'!$B$113,$EY45&gt;='Setari model'!$B$114),AND($FZ45&gt;='Setari model'!$B$113,$EX45&gt;='Setari model'!$B$114)),"DA","NU")))</x:f>
      </x:c>
      <x:c r="GH45" s="158" t="str">
        <x:f>IF($A45="","",IF(COUNT($BJ45:$BN45,$GC45:$GE45)&lt;8,"NEDETERMINAT",IF(AND((($BJ45*INDEX('Setari model'!$B$5:$B$11,MATCH($E45,'Setari model'!$A$5:$A$11,0))+$BK45*INDEX('Setari model'!$C$5:$C$11,MATCH($E45,'Setari model'!$A$5:$A$11,0))+$BL45*INDEX('Setari model'!$D$5:$D$11,MATCH($E45,'Setari model'!$A$5:$A$11,0))+$BM45*INDEX('Setari model'!$E$5:$E$11,MATCH($E45,'Setari model'!$A$5:$A$11,0))+$BN45*INDEX('Setari model'!$F$5:$F$11,MATCH($E45,'Setari model'!$A$5:$A$11,0)))/(INDEX('Setari model'!$B$5:$B$11,MATCH($E45,'Setari model'!$A$5:$A$11,0))+INDEX('Setari model'!$C$5:$C$11,MATCH($E45,'Setari model'!$A$5:$A$11,0))+INDEX('Setari model'!$D$5:$D$11,MATCH($E45,'Setari model'!$A$5:$A$11,0))+INDEX('Setari model'!$E$5:$E$11,MATCH($E45,'Setari model'!$A$5:$A$11,0))+INDEX('Setari model'!$F$5:$F$11,MATCH($E45,'Setari model'!$A$5:$A$11,0))))*$BR45&gt;='Setari model'!$B$115,(($BJ45*INDEX('Setari model'!$B$5:$B$11,MATCH($E45,'Setari model'!$A$5:$A$11,0))+$BK45*INDEX('Setari model'!$C$5:$C$11,MATCH($E45,'Setari model'!$A$5:$A$11,0))+$BL45*INDEX('Setari model'!$D$5:$D$11,MATCH($E45,'Setari model'!$A$5:$A$11,0))+$BM45*INDEX('Setari model'!$E$5:$E$11,MATCH($E45,'Setari model'!$A$5:$A$11,0))+$BN45*INDEX('Setari model'!$F$5:$F$11,MATCH($E45,'Setari model'!$A$5:$A$11,0)))/(INDEX('Setari model'!$B$5:$B$11,MATCH($E45,'Setari model'!$A$5:$A$11,0))+INDEX('Setari model'!$C$5:$C$11,MATCH($E45,'Setari model'!$A$5:$A$11,0))+INDEX('Setari model'!$D$5:$D$11,MATCH($E45,'Setari model'!$A$5:$A$11,0))+INDEX('Setari model'!$E$5:$E$11,MATCH($E45,'Setari model'!$A$5:$A$11,0))+INDEX('Setari model'!$F$5:$F$11,MATCH($E45,'Setari model'!$A$5:$A$11,0))))*$BR45&lt;='Setari model'!$B$116,AVERAGE($GC45:$GD45)&lt;='Setari model'!$B$117,$GE45&gt;='Setari model'!$B$118),"DA","NU")))</x:f>
      </x:c>
      <x:c r="GI45" s="158" t="str">
        <x:f>IF($A45="","",IF(COUNT($W45,$AB45,$GA45:$GB45)&lt;4,"NEDETERMINAT",IF(AND($W45&gt;='Setari model'!$B$120,$AB45&gt;='Setari model'!$B$120,OR(IFERROR($GA45/$W45,0)&gt;='Setari model'!$B$119,IFERROR($GB45/$AB45,0)&gt;='Setari model'!$B$119)),"DA","NU")))</x:f>
      </x:c>
      <x:c r="GJ45" s="160" t="str">
        <x:f>IF($A45="","",IF(COUNT($FY45:$GB45)&lt;4,"",IF($GH45&lt;&gt;"DA",0,'Setari model'!$B$121*IF($GF45="DA",1,0)+'Setari model'!$B$122*IF($GG45="DA",1,0)+'Setari model'!$B$123+'Setari model'!$B$124*IF($GI45="DA",1,0))))</x:f>
      </x:c>
      <x:c r="GK45" s="161" t="str">
        <x:f>IF($A45="","",IF(COUNT($GJ45)=0,"",1+'Setari model'!$B$125*$GJ45))</x:f>
      </x:c>
      <x:c r="GL45" s="160" t="str">
        <x:f>IF($A45="","",IF($GM45&lt;&gt;"DA",$FJ45,MIN('Setari model'!$B$101,MAX(0.002,$FJ45*$GK45))))</x:f>
      </x:c>
      <x:c r="GM45" s="158" t="str">
        <x:f>IF($A45="","",IF(AND($FK45="DA",COUNT($FY45:$GB45)=4,COUNT($I45,$P45,$W45,$AB45,$Z45,$AE45,$EX45,$EY45,$GC45,$GD45)=10,COUNT($BJ45:$BN45)=5),"DA","NU"))</x:f>
      </x:c>
      <x:c r="GN45" s="158" t="str">
        <x:f>IF($A45="","",IF($GM45&lt;&gt;"DA","NEDETERMINAT",IF($FI45*$GK45&lt;='Setari model'!$B$99,"SCĂZUT",IF($FI45*$GK45&lt;='Setari model'!$B$100,"MEDIU","RIDICAT"))))</x:f>
      </x:c>
      <x:c r="GO45" s="160" t="str">
        <x:f>IF($A45="","",IF(OR($GM45&lt;&gt;"DA",$GN45="RIDICAT"),'Setari model'!$B$102,IF($GN45="MEDIU",'Setari model'!$B$103,IF(AND($FM45="DA",$FN45="DA"),'Setari model'!$B$105,'Setari model'!$B$104))))</x:f>
      </x:c>
      <x:c r="GP45" s="160" t="str">
        <x:f t="shared" si="96">IF($A45="","",IF($GL45="","",MIN(1-$GL45,$GO45)))</x:f>
      </x:c>
      <x:c r="GQ45" s="162" t="str">
        <x:f t="shared" si="97">IF($A45="","",IF($GP45="","",IF($GP45&gt;0,1/$GP45,"")))</x:f>
      </x:c>
      <x:c r="GR45" s="160" t="str">
        <x:f t="shared" si="98">IF($A45="","",IF($EC45="","",$GP45-$EC45))</x:f>
      </x:c>
      <x:c r="GS45" s="160" t="str">
        <x:f t="shared" si="99">IF($A45="","",IF($AR45&gt;1,$GP45*$AR45-1,""))</x:f>
      </x:c>
      <x:c r="GT45" s="163" t="str">
        <x:f>IF($A45="","",MAX(0,MIN(100,$FT45-IF(AND($GM45&lt;&gt;"DA",$FK45="DA"),'Setari model'!$B$107,0)-'Setari model'!$B$126*IF($GJ45="",0,$GJ45))))</x:f>
      </x:c>
      <x:c r="GU45" s="158" t="str">
        <x:f t="shared" si="100">IF($A45="","",IF($AR45&lt;=1,"NU – LIPSEȘTE COTA REALĂ",IF($GM45&lt;&gt;"DA","NU – DATE LOW-CONVERSION INCOMPLETE",IF($GN45&lt;&gt;"SCĂZUT","NU – RISC 0-0 "&amp;$GN45,IF($FN45&lt;&gt;"DA","NU – LINEUP NECONFIRMAT",IF($FM45&lt;&gt;"DA","NU – PIAȚĂ NECONFIRMATĂ",IF($EP45&lt;&gt;"DA","NU – PORTOFOLIU","DA")))))))</x:f>
      </x:c>
      <x:c r="GV45" s="158" t="str">
        <x:f>IF($A45="","",IF($GU45&lt;&gt;"DA","WATCH / NO BET",IF(AND($GP45&gt;='Setari model'!$B$35,$GT45&gt;=100*'Setari model'!$B$76,$GS45&gt;0),"PARIU RECOMANDAT",IF(AND($GP45&gt;='Setari model'!$B$39,$GT45&gt;=100*'Setari model'!$B$40,$GS45&gt;0),"WATCH – APROAPE DE PRAG","PARIU EVITAT"))))</x:f>
      </x:c>
      <x:c r="GW45" s="158" t="str">
        <x:f t="shared" si="101">IF($A45="","",IF($GU45&lt;&gt;"DA",$GU45,IF($GT45&lt;75,"Confidence v5 sub 75.",IF($GP45&lt;0.92,"P v5 sub 92%.",IF($GS45&lt;=0,"EV v5 nepozitiv.",IF($GJ45&gt;0,"Low-conversion absorbit în P0; toate porțile rămân trecute.","Toate porțile v5 sunt trecute."))))))</x:f>
      </x:c>
      <x:c r="GX45" s="158" t="str">
        <x:f t="shared" si="102">IF($A45="","","P v5="&amp;TEXT($GP45,"0.0%")&amp;"; P0 v5="&amp;TEXT($GL45,"0.0%")&amp;"; low-conv="&amp;IF(COUNT($GJ45)=0,"n/a",TEXT($GJ45,"0%"))&amp;"; mult.P0="&amp;IF(COUNT($GK45)=0,"n/a",TEXT($GK45,"0.00"))&amp;"; clasă="&amp;$GN45&amp;"; cap="&amp;TEXT($GO45,"0.0%")&amp;"; Confidence="&amp;TEXT($GT45,"0")&amp;"/100; lineup="&amp;$FN45&amp;"; piață="&amp;$FM45&amp;"; EV="&amp;IF($GS45="","n/a",TEXT($GS45,"0.0%"))&amp;"; gate="&amp;$GU45&amp;"; verdict="&amp;$GV45&amp;". "&amp;$GW45)</x:f>
      </x:c>
      <x:c r="GY45" s="174" t="str">
        <x:f>IF($A45="","",IF($GM45&lt;&gt;"DA","SOURCING INCOMPLETE – REVIEW REQUIRED",IF(MIN($I45,$P45,$W45,$AB45)&lt;'Setari model'!$B$58,"SMALL SAMPLE + PRIOR / SHRINKAGE","VERIFIED / PRIOR / SHRINKAGE")))</x:f>
      </x:c>
      <x:c r="GZ45" s="175" t="str">
        <x:f t="shared" si="103">IF($A45="","",MAX(0,MIN(100,100*(1-AVERAGE(IF($GM45="DA",1,0),MIN(1,$AT45/5))))))</x:f>
      </x:c>
      <x:c r="HA45" s="175" t="str">
        <x:f>IF($A45="","",IF($GM45&lt;&gt;"DA","",MAX(0,MIN(100,100*(($FI45*$GK45)-'Setari model'!$B$97)/('Setari model'!$B$98-'Setari model'!$B$97)))))</x:f>
      </x:c>
      <x:c r="HB45" s="175" t="str">
        <x:f>IF($A45="","",MAX(0,MIN(100,100*(ABS($BR45-1)/MAX(1-'Setari model'!$B$53,'Setari model'!$B$54-1)+MIN(1,$BG45/2))/2)))</x:f>
      </x:c>
      <x:c r="HC45" s="175" t="str">
        <x:f t="shared" si="104">IF($A45="","",MAX(0,MIN(100,100*(1-AVERAGE($CC45,MAX(0,1-(MAX($BJ45:$BN45)-MIN($BJ45:$BN45))/(AVERAGE($BJ45:$BN45)*'Setari model'!$B$45)))))))</x:f>
      </x:c>
      <x:c r="HD45" s="175" t="str">
        <x:f t="shared" si="105">IF($A45="","",MAX(0,MIN(100,100*MAX(IF($GJ45="",0,$GJ45),MIN(1,$BG45/2)))))</x:f>
      </x:c>
      <x:c r="HE45" s="175" t="str">
        <x:f>IF($A45="","",IF(COUNT($GZ45:$HD45)&lt;5,"",$GZ45*Risk_Classification!$E$28+$HA45*Risk_Classification!$E$29+$HB45*Risk_Classification!$E$30+$HC45*Risk_Classification!$E$31+$HD45*Risk_Classification!$E$32))</x:f>
      </x:c>
      <x:c r="HF45" s="176" t="str">
        <x:f t="shared" si="106">IF($A45="","",IF($HE45="","",IF($HE45&lt;=20,1,IF($HE45&lt;=40,2,IF($HE45&lt;=60,3,IF($HE45&lt;=80,4,5))))))</x:f>
      </x:c>
      <x:c r="HG45" s="176" t="str">
        <x:f t="shared" si="107">IF($A45="","",IF($GM45="DA","PASS","FAIL – DATE CRITICE ZERO-MASS INCOMPLETE"))</x:f>
      </x:c>
      <x:c r="HH45" s="176" t="str">
        <x:f t="shared" si="108">IF($A45="","",IF($HG45&lt;&gt;"PASS",5,$HF45))</x:f>
      </x:c>
      <x:c r="HI45" s="174" t="str">
        <x:f t="shared" si="109">IF($A45="","",IF($HH45="","N/A",IF($HH45=1,"DEFENSIV",IF($HH45=2,"PRUDENT",IF($HH45=3,"MODERAT",IF($HH45=4,"RIDICAT","WATCH / NO BET"))))))</x:f>
      </x:c>
      <x:c r="HJ45" s="177" t="str">
        <x:f t="shared" si="110">IF($A45="","","Data="&amp;$GY45&amp;"; DQ="&amp;TEXT($GZ45,"0.0")&amp;"; ZM="&amp;IF($HA45="","n/a",TEXT($HA45,"0.0"))&amp;"; Context="&amp;TEXT($HB45,"0.0")&amp;"; Uncertainty="&amp;TEXT($HC45,"0.0")&amp;"; Compound="&amp;TEXT($HD45,"0.0")&amp;"; Risk Score="&amp;IF($HE45="","n/a",TEXT($HE45,"0.0"))&amp;"; Base="&amp;IF($HF45="","n/a",$HF45)&amp;"; G0="&amp;$HG45&amp;"; Final="&amp;$HH45&amp;". Cota, EV si lineup sunt informative si nu intra in recomandare.")</x:f>
      </x:c>
      <x:c r="HK45" s="174" t="str">
        <x:f t="shared" si="111">IF($A45="","",$HI45)</x:f>
      </x:c>
    </x:row>
    <x:row r="46" ht="24" customHeight="1">
      <x:c r="A46" s="58"/>
      <x:c r="B46" s="24"/>
      <x:c r="C46" s="59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18"/>
      <x:c r="O46" s="18"/>
      <x:c r="P46" s="24"/>
      <x:c r="Q46" s="24"/>
      <x:c r="R46" s="24"/>
      <x:c r="S46" s="24"/>
      <x:c r="T46" s="24"/>
      <x:c r="U46" s="18"/>
      <x:c r="V46" s="18"/>
      <x:c r="W46" s="24"/>
      <x:c r="X46" s="24"/>
      <x:c r="Y46" s="24"/>
      <x:c r="Z46" s="24"/>
      <x:c r="AA46" s="24"/>
      <x:c r="AB46" s="24"/>
      <x:c r="AC46" s="24"/>
      <x:c r="AD46" s="24"/>
      <x:c r="AE46" s="24"/>
      <x:c r="AF46" s="24"/>
      <x:c r="AG46" s="24"/>
      <x:c r="AH46" s="24"/>
      <x:c r="AI46" s="18"/>
      <x:c r="AJ46" s="24"/>
      <x:c r="AK46" s="24"/>
      <x:c r="AL46" s="24"/>
      <x:c r="AM46" s="18"/>
      <x:c r="AN46" s="24"/>
      <x:c r="AO46" s="60"/>
      <x:c r="AP46" s="60"/>
      <x:c r="AQ46" s="60"/>
      <x:c r="AR46" s="60"/>
      <x:c r="AS46" s="60"/>
      <x:c r="AT46" s="24"/>
      <x:c r="AU46" s="24"/>
      <x:c r="AV46" s="24"/>
      <x:c r="AW46" s="24"/>
      <x:c r="AX46" s="24"/>
      <x:c r="AY46" s="24"/>
      <x:c r="AZ46" s="24"/>
      <x:c r="BA46" s="24"/>
      <x:c r="BB46" s="24"/>
      <x:c r="BC46" s="24"/>
      <x:c r="BD46" s="24"/>
      <x:c r="BE46" s="24"/>
      <x:c r="BF46" s="24"/>
      <x:c r="BG46" s="24"/>
      <x:c r="BH46" s="61"/>
      <x:c r="BI46" s="61"/>
      <x:c r="BJ46" s="62" t="str">
        <x:f>IF($A46="","",SQRT((($I46*IF($J46="",$AJ46,$J46)+'Setari model'!$B$30*$AJ46)/($I46+'Setari model'!$B$30))*(($P46*IF($R46="",$AJ46,$R46)+'Setari model'!$B$30*$AJ46)/($P46+'Setari model'!$B$30)))+SQRT((($P46*IF($Q46="",$AK46,$Q46)+'Setari model'!$B$30*$AK46)/($P46+'Setari model'!$B$30))*(($I46*IF($K46="",$AK46,$K46)+'Setari model'!$B$30*$AK46)/($I46+'Setari model'!$B$30))))</x:f>
      </x:c>
      <x:c r="BK46" s="62" t="str">
        <x:f>IF($A46="","",SQRT((($I46*IF($L46="",IF($J46="",$AJ46,$J46),$L46)+'Setari model'!$B$30*$AJ46)/($I46+'Setari model'!$B$30))*(($P46*IF($T46="",IF($R46="",$AJ46,$R46),$T46)+'Setari model'!$B$30*$AJ46)/($P46+'Setari model'!$B$30)))+SQRT((($P46*IF($S46="",IF($Q46="",$AK46,$Q46),$S46)+'Setari model'!$B$30*$AK46)/($P46+'Setari model'!$B$30))*(($I46*IF($M46="",IF($K46="",$AK46,$K46),$M46)+'Setari model'!$B$30*$AK46)/($I46+'Setari model'!$B$30))))</x:f>
      </x:c>
      <x:c r="BL46" s="62" t="str">
        <x:f>IF($A46="","",SQRT((($W46*IF($X46="",$AL46/2,$X46)+'Setari model'!$B$31*$AL46/2)/($W46+'Setari model'!$B$31))*(($AB46*IF($AD46="",$AL46/2,$AD46)+'Setari model'!$B$31*$AL46/2)/($AB46+'Setari model'!$B$31)))+SQRT((($AB46*IF($AC46="",$AL46/2,$AC46)+'Setari model'!$B$31*$AL46/2)/($AB46+'Setari model'!$B$31))*(($W46*IF($Y46="",$AL46/2,$Y46)+'Setari model'!$B$31*$AL46/2)/($W46+'Setari model'!$B$31))))</x:f>
      </x:c>
      <x:c r="BM46" s="62" t="str">
        <x:f>IF($A46="","",SQRT((($W46*IF($Z46="",IF($X46="",$AL46/2,$X46),$Z46)+'Setari model'!$B$31*$AL46/2)/($W46+'Setari model'!$B$31))*(($AB46*IF($AF46="",IF($AD46="",$AL46/2,$AD46),$AF46)+'Setari model'!$B$31*$AL46/2)/($AB46+'Setari model'!$B$31)))+SQRT((($AB46*IF($AE46="",IF($AC46="",$AL46/2,$AC46),$AE46)+'Setari model'!$B$31*$AL46/2)/($AB46+'Setari model'!$B$31))*(($W46*IF($AA46="",IF($Y46="",$AL46/2,$Y46),$AA46)+'Setari model'!$B$31*$AL46/2)/($W46+'Setari model'!$B$31))))</x:f>
      </x:c>
      <x:c r="BN46" s="62" t="str">
        <x:f t="shared" si="56">IF($A46="","",IF($AG46&gt;0,($AG46*IF($AH46="",$AL46,$AH46)+5*$AL46)/($AG46+5),$AL46))</x:f>
      </x:c>
      <x:c r="BO46" s="63" t="str">
        <x:f>IF($A46="","",IF($AR46&gt;1,IF($AS46&gt;1,(1/$AR46)/((1/$AR46+1/$AS46)),MIN(0.995,(1/$AR46)/(1+'Setari model'!$B$32))),1-EXP(-$AL46)))</x:f>
      </x:c>
      <x:c r="BP46" s="62" t="str">
        <x:f t="shared" si="57">IF($A46="","",-LN(1-$BO46))</x:f>
      </x:c>
      <x:c r="BQ46" s="62" t="str">
        <x:f>IF($A46="","",$BJ46*INDEX('Setari model'!$B$5:$B$11,MATCH($E46,'Setari model'!$A$5:$A$11,0))+$BK46*INDEX('Setari model'!$C$5:$C$11,MATCH($E46,'Setari model'!$A$5:$A$11,0))+$BL46*INDEX('Setari model'!$D$5:$D$11,MATCH($E46,'Setari model'!$A$5:$A$11,0))+$BM46*INDEX('Setari model'!$E$5:$E$11,MATCH($E46,'Setari model'!$A$5:$A$11,0))+$BN46*INDEX('Setari model'!$F$5:$F$11,MATCH($E46,'Setari model'!$A$5:$A$11,0))+$BP46*INDEX('Setari model'!$G$5:$G$11,MATCH($E46,'Setari model'!$A$5:$A$11,0)))</x:f>
      </x:c>
      <x:c r="BR46" s="64" t="str">
        <x:f>IF($A46="","",MAX('Setari model'!$B$53,MIN('Setari model'!$B$54,1+($AV46*'Setari model'!$B$15+$AW46*'Setari model'!$B$16+$AX46*'Setari model'!$B$17+$AY46*'Setari model'!$B$18+$AZ46*'Setari model'!$B$19+$BA46*'Setari model'!$B$20+$BB46*'Setari model'!$B$21+$BC46*'Setari model'!$B$22+$BD46*'Setari model'!$B$23+$BE46*'Setari model'!$B$24+$BF46*'Setari model'!$B$25)*INDEX('Setari model'!$H$5:$H$11,MATCH($E46,'Setari model'!$A$5:$A$11,0)))))</x:f>
      </x:c>
      <x:c r="BS46" s="62" t="str">
        <x:f t="shared" si="58">IF($A46="","",$BQ46*$BR46)</x:f>
      </x:c>
      <x:c r="BT46" s="63" t="str">
        <x:f t="shared" si="59">IF($A46="","",EXP(-$BS46))</x:f>
      </x:c>
      <x:c r="BU46" s="65" t="str">
        <x:f>IF($A46="","",IF(OR($AM46="",$AN46=""),1,1+MIN('Setari model'!$B$33,$AN46/100*'Setari model'!$B$33)*($AM46/EXP(-$AL46)-1)))</x:f>
      </x:c>
      <x:c r="BV46" s="63" t="str">
        <x:f>IF($A46="","",MIN(0.45,MAX(0.005,(1-'Setari model'!$B$34*MIN(1,($I46+$P46)/20))*MIN(0.45,$BT46*$BU46)+'Setari model'!$B$34*MIN(1,($I46+$P46)/20)*IF(COUNT($N46,$U46)=2,SQRT(MAX(0,1-$N46)*MAX(0,1-$U46)),IF($AM46="",EXP(-$AL46),$AM46)))))</x:f>
      </x:c>
      <x:c r="BW46" s="63" t="str">
        <x:f t="shared" si="60">IF($A46="","",1-$BV46)</x:f>
      </x:c>
      <x:c r="BX46" s="62" t="str">
        <x:f t="shared" si="61">IF($A46="","",1/$BW46)</x:f>
      </x:c>
      <x:c r="BY46" s="63" t="str">
        <x:f t="shared" si="62">IF($A46="","",$BO46)</x:f>
      </x:c>
      <x:c r="BZ46" s="63" t="str">
        <x:f t="shared" si="63">IF($A46="","",$BW46-$BY46)</x:f>
      </x:c>
      <x:c r="CA46" s="63" t="str">
        <x:f t="shared" si="64">IF($A46="","",IF($AR46&gt;1,$BW46*$AR46-1,""))</x:f>
      </x:c>
      <x:c r="CB46" s="63" t="str">
        <x:f>IF($A46="","",MIN(1,COUNT($I46:$AN46,$AR46:$BG46)/'Setari model'!$B$46))</x:f>
      </x:c>
      <x:c r="CC46" s="63" t="str">
        <x:f t="shared" si="65">IF($A46="","",0.25*MIN(1,$I46/10)+0.25*MIN(1,$P46/10)+0.15*MIN(1,$W46/5)+0.15*MIN(1,$AB46/5)+0.1*MIN(1,$AG46/5)+0.1*MIN(1,$AN46/100))</x:f>
      </x:c>
      <x:c r="CD46" s="63" t="str">
        <x:f>IF($A46="","",MAX(0,1-(MAX($BJ46:$BN46,$BP46)-MIN($BJ46:$BN46,$BP46))/(AVERAGE($BJ46:$BN46,$BP46)*'Setari model'!$B$45)))</x:f>
      </x:c>
      <x:c r="CE46" s="66" t="str">
        <x:f>IF($A46="","",MAX(0,MIN(100,100*INDEX('Setari model'!$I$5:$I$11,MATCH($E46,'Setari model'!$A$5:$A$11,0))*('Setari model'!$B$47*$CB46+'Setari model'!$B$48*$CC46+'Setari model'!$B$49*$CD46+'Setari model'!$B$50*$AT46/5+'Setari model'!$B$51*$AU46)-100*'Setari model'!$B$52*$BG46)))</x:f>
      </x:c>
      <x:c r="CF46" s="65" t="str">
        <x:f t="shared" si="66">IF($A46="","",IF(OR($AT46&lt;3,$BG46&gt;=2,$CB46&lt;0.55,$CC46&lt;0.4),"RIDICAT",IF(OR($AU46=0,$CD46&lt;0.45,$BR46&lt;0.9),"MEDIU","SCĂZUT")))</x:f>
      </x:c>
      <x:c r="CG46" s="65" t="str">
        <x:f>IF($A46="","",IF($AR46&gt;1,IF(AND($BW46&gt;= 'Setari model'!$B$35,$CE46&gt;=100*'Setari model'!$B$36,$BZ46&gt;= 'Setari model'!$B$37,$CA46&gt;= 'Setari model'!$B$38,$CF46&lt;&gt;"RIDICAT"),"PARIU RECOMANDAT",IF(AND($BW46&gt;= 'Setari model'!$B$39,$CE46&gt;=100*'Setari model'!$B$40,$BZ46&gt;= 'Setari model'!$B$41,$CA46&gt;=0,$CF46&lt;&gt;"RIDICAT"),"RECOMANDAT CU PRUDENȚĂ",IF(AND($BW46&gt;= 'Setari model'!$B$42,$CE46&gt;=100*'Setari model'!$B$43),"ANALIZĂ NECONCLUDENTĂ","PARIU EVITAT"))),IF(AND($BW46&gt;= 'Setari model'!$B$35,$CE46&gt;=100*'Setari model'!$B$36,$CF46&lt;&gt;"RIDICAT"),"FAVORABIL STATISTIC – VERIFICĂ COTA",IF(AND($BW46&gt;= 'Setari model'!$B$42,$CE46&gt;=100*'Setari model'!$B$43),"ANALIZĂ NECONCLUDENTĂ","PARIU EVITAT"))))</x:f>
      </x:c>
      <x:c r="CH46" s="67" t="str">
        <x:f t="shared" si="67">IF($A46="","","P(O0,5)="&amp;TEXT($BW46,"0.0%")&amp;"; λ ajustat="&amp;TEXT($BS46,"0.00")&amp;"; Confidence="&amp;TEXT($CE46,"0")&amp;"/100; Edge="&amp;TEXT($BZ46,"0.0%")&amp;"; risc="&amp;$CF46&amp;". "&amp;$BH46)</x:f>
      </x:c>
      <x:c r="CI46" s="68" t="str">
        <x:f t="shared" si="68">IF($A46="","",$BI46)</x:f>
      </x:c>
      <x:c r="CJ46" s="112"/>
      <x:c r="CK46" s="112"/>
      <x:c r="CL46" s="112"/>
      <x:c r="CM46" s="112"/>
      <x:c r="CN46" s="112"/>
      <x:c r="CO46" s="112"/>
      <x:c r="CP46" s="112"/>
      <x:c r="CQ46" s="112"/>
      <x:c r="CR46" s="112"/>
      <x:c r="CS46" s="112"/>
      <x:c r="CT46" s="112"/>
      <x:c r="CU46" s="112"/>
      <x:c r="CV46" s="112"/>
      <x:c r="CW46" s="112"/>
      <x:c r="CX46" s="112"/>
      <x:c r="CY46" s="112"/>
      <x:c r="CZ46" s="112"/>
      <x:c r="DA46" s="112"/>
      <x:c r="DB46" s="112"/>
      <x:c r="DC46" s="114"/>
      <x:c r="DD46" s="114"/>
      <x:c r="DE46" s="112" t="s">
        <x:v>266</x:v>
      </x:c>
      <x:c r="DF46" s="112"/>
      <x:c r="DG46" s="112"/>
      <x:c r="DH46" s="112"/>
      <x:c r="DI46" s="112"/>
      <x:c r="DJ46" s="112"/>
      <x:c r="DK46" s="112"/>
      <x:c r="DL46" s="112"/>
      <x:c r="DM46" s="112"/>
      <x:c r="DN46" s="112"/>
      <x:c r="DO46" s="112"/>
      <x:c r="DP46" s="112"/>
      <x:c r="DQ46" s="114"/>
      <x:c r="DR46" s="112">
        <x:v>1</x:v>
      </x:c>
      <x:c r="DS46" s="116">
        <x:v>0</x:v>
      </x:c>
      <x:c r="DT46" s="120"/>
      <x:c r="DU46" s="116">
        <x:v>0.02</x:v>
      </x:c>
      <x:c r="DV46" s="116">
        <x:v>0.25</x:v>
      </x:c>
      <x:c r="DW46" s="118" t="str">
        <x:f>IF($A46="","",MAX('Setari model'!$B$71,MIN('Setari model'!$B$72,1+0.08*(IFERROR(AVERAGE($CM46:$CN46)/'Setari model'!$B$66,1)-1)+0.08*(IFERROR(AVERAGE($CO46:$CP46)/'Setari model'!$B$67,1)-1)+0.06*(IFERROR(AVERAGE($CQ46:$CR46)/'Setari model'!$B$68,1)-1)+0.04*(IFERROR(AVERAGE($CS46:$CT46)/'Setari model'!$B$69,1)-1)+0.04*(IFERROR(AVERAGE($CU46:$CV46)/'Setari model'!$B$70,1)-1)-'Setari model'!$B$73*IFERROR(AVERAGE($CW46:$CX46),0))))</x:f>
      </x:c>
      <x:c r="DX46" s="118" t="str">
        <x:f>IF($A46="","",1+'Setari model'!$B$62*MAX(IF(OR($CK46=1,$CL46=1),1,0),IF(AND($CJ46&lt;&gt;"",$CJ46&lt;=1),1,0))+'Setari model'!$B$63*IF(AND($CJ46&gt;1,$CJ46&lt;=3),1,0))</x:f>
      </x:c>
      <x:c r="DY46" s="118" t="str">
        <x:f>IF($A46="","",1+'Setari model'!$B$74*(IF($CY46="",0,IF($CY46=0,1,0))+IF($CZ46="",0,IF($CZ46=0,1,0)))+'Setari model'!$B$75*(IF($DA46="",0,IF($DA46=0,1,0))+IF($DB46="",0,IF($DB46=0,1,0))))</x:f>
      </x:c>
      <x:c r="DZ46" s="117" t="str">
        <x:f>IF($A46="","",MIN(0.6,MAX(0.002,(((1-'Setari model'!$B$34*MIN(1,($I46+$P46)/20))*$BT46+'Setari model'!$B$34*MIN(1,($I46+$P46)/20)*IF(COUNT($N46,$U46)=2,SQRT(MAX(0,1-$N46)*MAX(0,1-$U46)),$BT46))*(1-'Setari model'!$B$65*MIN(1,IF($AN46="",0,$AN46/'Setari model'!$B$64)))+'Setari model'!$B$65*MIN(1,IF($AN46="",0,$AN46/'Setari model'!$B$64))*IF($AM46="",$BT46,$AM46))*$DX46*$DY46/$DW46)))</x:f>
      </x:c>
      <x:c r="EA46" s="117" t="str">
        <x:f>IF($A46="","",MIN(1-$DZ46,IF(OR(MIN($I46,$P46)&lt;'Setari model'!$B$58,$CK46=1,$CL46=1,AND($CJ46&lt;&gt;"",$CJ46&lt;=1)),'Setari model'!$B$59,IF(AND($AU46=1,$AR46&gt;1,COUNT($CY46:$DB46)=4),'Setari model'!$B$61,'Setari model'!$B$60))))</x:f>
      </x:c>
      <x:c r="EB46" s="115" t="str">
        <x:f t="shared" si="69">IF($A46="","",1/$EA46)</x:f>
      </x:c>
      <x:c r="EC46" s="117" t="str">
        <x:f t="shared" si="70">IF($A46="","",IF($AR46&gt;1,IF($AS46&gt;1,(1/$AR46)/((1/$AR46)+(1/$AS46)),1/$AR46),""))</x:f>
      </x:c>
      <x:c r="ED46" s="117" t="str">
        <x:f t="shared" si="71">IF($A46="","",IF($EC46="","",$EA46-$EC46))</x:f>
      </x:c>
      <x:c r="EE46" s="117" t="str">
        <x:f t="shared" si="72">""</x:f>
      </x:c>
      <x:c r="EF46" s="119" t="str">
        <x:f>IF($A46="","",MAX(0,MIN(100,$CE46-200*MAX(0,$EG46-'Setari model'!$B$77)-IF($AU46&lt;&gt;1,10,0)-IF(COUNT($CY46:$DB46)&lt;4,4,0))))</x:f>
      </x:c>
      <x:c r="EG46" s="117" t="str">
        <x:f>IF($A46="","",'Setari model'!$B$77+IF(MIN($I46,$P46)&lt;'Setari model'!$B$58,0.03,0)+IF(OR($CK46=1,$CL46=1,AND($CJ46&lt;&gt;"",$CJ46&lt;=1)),0.03,0)+IF($AG46=0,0.02,0)+0.03*(1-MIN(1,COUNT($CM46:$CV46)/10))+0.03*(1-MIN(1,IF($AN46="",0,$AN46/'Setari model'!$B$64)))+IF($AR46&lt;=1,0.02,0))</x:f>
      </x:c>
      <x:c r="EH46" s="113" t="str">
        <x:f>IF($A46="","",IF(OR(MIN($I46,$P46)&lt;'Setari model'!$B$58,$CK46=1,$CL46=1,AND($CJ46&lt;&gt;"",$CJ46&lt;=1)),"92% – early/regim",IF(AND($AU46=1,$AR46&gt;1,COUNT($CY46:$DB46)=4),"94% – confirmat","93% – standard")))</x:f>
      </x:c>
      <x:c r="EI46" s="113" t="str">
        <x:f t="shared" si="73">IF($A46="","",IF(AND($EA46&gt;0.9,$AU46&lt;&gt;1),"WAIT XI – HIGH P",IF(AND($EA46&gt;0.9,COUNT($CY46:$DB46)&lt;4),"WAIT DATE CHEIE – HIGH P",IF($EP46&lt;&gt;"DA","NU – PORTOFOLIU","DA"))))</x:f>
      </x:c>
      <x:c r="EJ46" s="117" t="str">
        <x:f t="shared" si="74">IF($A46="","",IF($DE46&lt;&gt;"Live 20-30","",IF(SUM($DG46:$DH46)&gt;0,1,IF($EU46="","",1-MIN(0.95,MAX(0.001,EXP(-$EU46)*$DX46*$DY46/$DW46))))))</x:f>
      </x:c>
      <x:c r="EK46" s="117" t="str">
        <x:f t="shared" si="75">""</x:f>
      </x:c>
      <x:c r="EL46" s="113" t="str">
        <x:f>IF($A46="","",IF($DE46="Live 20-30",IF(SUM($DG46:$DH46)&gt;0,"EVENIMENT ÎNDEPLINIT",IF(OR($DF46="",COUNT($DI46:$DN46)&lt;4),"LIVE – WATCH",IF($EJ46&gt;=0.75,"LIVE – FEZABIL TEHNIC","LIVE – NO BET"))),IF($EI46&lt;&gt;"DA","WATCH / NO BET",IF(AND($EA46&gt;=INDEX('Setari model'!$B$35:$B$40,1),$EF46&gt;=100*'Setari model'!$B$76),"PARIU RECOMANDAT",IF(AND($EA46&gt;=INDEX('Setari model'!$B$35:$B$40,5),$EF46&gt;=100*'Setari model'!$B$40),"WATCH – APROAPE DE PRAG","PARIU EVITAT")))))</x:f>
      </x:c>
      <x:c r="EM46" s="113" t="str">
        <x:f t="shared" si="76">IF($A46="","",IF($DE46="Live 20-30",IF(SUM($DG46:$DH46)&gt;0,"Gol deja marcat.",IF($DF46="","Minut live lipsă.",IF(COUNT($DI46:$DN46)&lt;4,"Lipsesc xG/SOT/big chances live.",IF($EJ46&lt;0.75,"P live sub prag.","Semnal live tehnic complet; EV ignorat.")))),IF($EI46&lt;&gt;"DA",$EI46,IF($EF46&lt;75,"Confidence sub 75.",IF($EA46&lt;0.92,"P sub 92%.","G0/Zero-Mass + confidence trecute; EV ignorat.")))))</x:f>
      </x:c>
      <x:c r="EN46" s="117" t="str">
        <x:f>IF($A46="","",IF(OR($EL46="PARIU RECOMANDAT",$EL46="LIVE – FEZABIL"),MIN(IF($DU46&gt;0,$DU46,'Setari model'!$B$81)/MAX(1,$DR46),IF($DV46&gt;0,$DV46,'Setari model'!$B$80)*MAX(0,((IF($DE46="Live 20-30",$EJ46,$EA46)*IF($DE46="Live 20-30",$DQ46,$AR46)-1)/(IF($DE46="Live 20-30",$DQ46,$AR46)-1)))),0))</x:f>
      </x:c>
      <x:c r="EO46" s="121" t="str">
        <x:f t="shared" si="77">IF($A46="","",IF(AND($EN46&gt;0,$DT46&gt;0),$EN46*$DT46,""))</x:f>
      </x:c>
      <x:c r="EP46" s="113" t="str">
        <x:f>IF($A46="","",IF(OR($DR46&lt;1,$DR46&gt;'Setari model'!$B$78),"NU – 1–5 selecții",IF($DS46&gt;'Setari model'!$B$79,"NU – corelație", "DA")))</x:f>
      </x:c>
      <x:c r="EQ46" s="117" t="str">
        <x:f t="shared" si="78">IF($A46="","",IF(AND($DC46&gt;1,$DD46&gt;1),$DC46/$DD46-1,""))</x:f>
      </x:c>
      <x:c r="ER46" s="113" t="str">
        <x:f t="shared" si="79">IF($A46="","","P v2="&amp;TEXT($EA46,"0.0%")&amp;" ±"&amp;TEXT($EG46,"0.0%")&amp;"; P0 ZIP="&amp;TEXT($DZ46,"0.0%")&amp;"; Confidence="&amp;TEXT($EF46,"0")&amp;"/100; piață reală="&amp;IF($EC46="","NU","DA")&amp;"; EV="&amp;IF($EE46="","n/a",TEXT($EE46,"0.0%"))&amp;"; gate="&amp;$EI46&amp;"; verdict="&amp;$EL46&amp;". "&amp;$EM46)</x:f>
      </x:c>
      <x:c r="ES46" s="119" t="str">
        <x:f>IF($A46="","",'Setari model'!$B$82)</x:f>
      </x:c>
      <x:c r="ET46" s="118" t="str">
        <x:f>IF($A46="","",'Setari model'!$B$83)</x:f>
      </x:c>
      <x:c r="EU46" s="115" t="str">
        <x:f t="shared" si="80">IF(OR($A46="",$DE46&lt;&gt;"Live 20-30",$DF46="",$DF46&lt;$ES46,$DF46&gt;=90),"",MAX(0.05,MIN($BS46*$ET46,$BS46*(90-$DF46)/90+0.35*($DI46+$DJ46)+0.06*($DK46+$DL46)+0.15*($DM46+$DN46)+0.1*(MAX($DO46,$DP46)-MIN($DO46,$DP46)))))</x:f>
      </x:c>
      <x:c r="EV46" s="132"/>
      <x:c r="EW46" s="132"/>
      <x:c r="EX46" s="132"/>
      <x:c r="EY46" s="132"/>
      <x:c r="EZ46" s="132"/>
      <x:c r="FA46" s="132"/>
      <x:c r="FB46" s="247"/>
      <x:c r="FC46" s="134" t="str">
        <x:f t="shared" si="81">IF($A46="","",IF(OR($J46="",$L46="",$L46&lt;=0),"",MAX(0.5,MIN(1.5,$J46/$L46))))</x:f>
      </x:c>
      <x:c r="FD46" s="134" t="str">
        <x:f t="shared" si="82">IF($A46="","",IF(OR($Q46="",$S46="",$S46&lt;=0),"",MAX(0.5,MIN(1.5,$Q46/$S46))))</x:f>
      </x:c>
      <x:c r="FE46" s="134" t="str">
        <x:f>IF($A46="","",IF(COUNT($EV46:$EW46)&lt;2,"",SQRT($EV46*$EW46)/'Setari model'!$B$87))</x:f>
      </x:c>
      <x:c r="FF46" s="134" t="str">
        <x:f>IF($A46="","",IF(COUNT($O46,$V46,$EX46,$EY46)&lt;4,"",AVERAGE(SQRT($O46*$EY46),SQRT($V46*$EX46))/'Setari model'!$B$88))</x:f>
      </x:c>
      <x:c r="FG46" s="134" t="str">
        <x:f t="shared" si="83">IF($A46="","",IF(COUNT($FC46:$FD46)&lt;2,"",MAX(0,1-AVERAGE($FC46:$FD46))))</x:f>
      </x:c>
      <x:c r="FH46" s="134" t="str">
        <x:f>IF($A46="","",IF(COUNT($EZ46:$FA46)&lt;2,"",'Setari model'!$B$94*AVERAGE($EZ46:$FA46)/'Setari model'!$B$89))</x:f>
      </x:c>
      <x:c r="FI46" s="134" t="str">
        <x:f>IF($A46="","",IF(COUNT($FE46:$FH46)&lt;4,"",MAX('Setari model'!$B$97,MIN('Setari model'!$B$98,1+'Setari model'!$B$90*($FE46-1)+'Setari model'!$B$91*($FF46-1)+'Setari model'!$B$92*$FG46+'Setari model'!$B$93*($FH46-1)))))</x:f>
      </x:c>
      <x:c r="FJ46" s="133" t="str">
        <x:f>IF($A46="","",IF($FI46="","",MIN('Setari model'!$B$101,MAX(0.002,$DZ46*$FI46))))</x:f>
      </x:c>
      <x:c r="FK46" s="131" t="str">
        <x:f t="shared" si="84">IF($A46="","",IF(AND(COUNT($EV46:$FA46)=6,COUNT($O46,$V46,$FC46,$FD46)=4),"DA","NU"))</x:f>
      </x:c>
      <x:c r="FL46" s="131" t="str">
        <x:f>IF($A46="","",IF($FK46&lt;&gt;"DA","NEDETERMINAT",IF($FI46&lt;='Setari model'!$B$99,"SCĂZUT",IF($FI46&lt;='Setari model'!$B$100,"MEDIU","RIDICAT"))))</x:f>
      </x:c>
      <x:c r="FM46" s="131" t="str">
        <x:f>IF($A46="","",IF(AND($AR46&gt;1,$EC46&gt;='Setari model'!$B$106),"DA","NU"))</x:f>
      </x:c>
      <x:c r="FN46" s="131" t="str">
        <x:f t="shared" si="85">IF($A46="","",IF(AND($AU46=1,COUNT($CY46:$DB46)=4),"DA","NU"))</x:f>
      </x:c>
      <x:c r="FO46" s="133" t="str">
        <x:f>IF($A46="","",IF(OR($FK46&lt;&gt;"DA",$FL46="RIDICAT"),'Setari model'!$B$102,IF($FL46="MEDIU",'Setari model'!$B$103,IF(AND($FM46="DA",$FN46="DA"),'Setari model'!$B$105,'Setari model'!$B$104))))</x:f>
      </x:c>
      <x:c r="FP46" s="133" t="str">
        <x:f t="shared" si="86">IF($A46="","",IF($FJ46="","",MIN(1-$FJ46,$FO46)))</x:f>
      </x:c>
      <x:c r="FQ46" s="135" t="str">
        <x:f t="shared" si="87">IF($A46="","",IF($FP46="","",IF($FP46&gt;0,1/$FP46,"")))</x:f>
      </x:c>
      <x:c r="FR46" s="133" t="str">
        <x:f t="shared" si="88">IF($A46="","",IF($EC46="","",$FP46-$EC46))</x:f>
      </x:c>
      <x:c r="FS46" s="133" t="str">
        <x:f t="shared" si="89">IF($A46="","",IF($AR46&gt;1,$FP46*$AR46-1,""))</x:f>
      </x:c>
      <x:c r="FT46" s="136" t="str">
        <x:f>IF($A46="","",MAX(0,MIN(100,$EF46-IF($FK46&lt;&gt;"DA",'Setari model'!$B$107,0)-IF($FL46="MEDIU",'Setari model'!$B$108,0)-IF($FL46="RIDICAT",'Setari model'!$B$109,0))))</x:f>
      </x:c>
      <x:c r="FU46" s="131" t="str">
        <x:f t="shared" si="90">IF($A46="","",IF($AR46&lt;=1,"NU – LIPSEȘTE COTA REALĂ",IF($FK46&lt;&gt;"DA","NU – ZERO-RISK INCOMPLET",IF($FL46&lt;&gt;"SCĂZUT","NU – RISC 0-0 "&amp;$FL46,IF($FN46&lt;&gt;"DA","NU – LINEUP NECONFIRMAT",IF($FM46&lt;&gt;"DA","NU – PIAȚĂ NECONFIRMATĂ",IF($EP46&lt;&gt;"DA","NU – PORTOFOLIU","DA")))))))</x:f>
      </x:c>
      <x:c r="FV46" s="131" t="str">
        <x:f>IF($A46="","",IF($FU46&lt;&gt;"DA","WATCH / NO BET",IF(AND($FP46&gt;='Setari model'!$B$35,$FT46&gt;=100*'Setari model'!$B$76,$FS46&gt;0),"PARIU RECOMANDAT",IF(AND($FP46&gt;='Setari model'!$B$39,$FT46&gt;=100*'Setari model'!$B$40,$FS46&gt;0),"WATCH – APROAPE DE PRAG","PARIU EVITAT"))))</x:f>
      </x:c>
      <x:c r="FW46" s="131" t="str">
        <x:f t="shared" si="91">IF($A46="","",IF($FU46&lt;&gt;"DA",$FU46,IF($FT46&lt;75,"Confidence v3 sub 75.",IF($FP46&lt;0.92,"P v3 sub 92%.",IF($FS46&lt;=0,"EV v3 nepozitiv.","P0 v3, lineup și piață confirmate.")))))</x:f>
      </x:c>
      <x:c r="FX46" s="131" t="str">
        <x:f t="shared" si="92">IF($A46="","","P v3="&amp;TEXT($FP46,"0.0%")&amp;"; P0 v3="&amp;TEXT($FJ46,"0.0%")&amp;"; factor zero="&amp;IF($FI46="","n/a",TEXT($FI46,"0.00x"))&amp;" ("&amp;$FL46&amp;"); cap="&amp;TEXT($FO46,"0.0%")&amp;"; Confidence="&amp;TEXT($FT46,"0")&amp;"/100; lineup="&amp;$FN46&amp;"; piață="&amp;$FM46&amp;"; EV="&amp;IF($FS46="","n/a",TEXT($FS46,"0.0%"))&amp;"; gate="&amp;$FU46&amp;"; verdict="&amp;$FV46&amp;". "&amp;$FW46)</x:f>
      </x:c>
      <x:c r="FY46" s="159"/>
      <x:c r="FZ46" s="159"/>
      <x:c r="GA46" s="157"/>
      <x:c r="GB46" s="157"/>
      <x:c r="GC46" s="161" t="str">
        <x:f t="shared" si="93">IF($A46="","",IF(OR($X46="",$Z46="",$Z46&lt;=0),"",MAX(0.5,MIN(1.5,$X46/$Z46))))</x:f>
      </x:c>
      <x:c r="GD46" s="161" t="str">
        <x:f t="shared" si="94">IF($A46="","",IF(OR($AC46="",$AE46="",$AE46&lt;=0),"",MAX(0.5,MIN(1.5,$AC46/$AE46))))</x:f>
      </x:c>
      <x:c r="GE46" s="162" t="str">
        <x:f t="shared" si="95">IF($A46="","",IF(COUNT($Z46,$AE46)&lt;2,"",AVERAGE($Z46,$AE46)))</x:f>
      </x:c>
      <x:c r="GF46" s="158" t="str">
        <x:f>IF($A46="","",IF(COUNT($FY46:$FZ46)&lt;2,"NEDETERMINAT",IF(AND($FY46&gt;='Setari model'!$B$113,$FZ46&gt;='Setari model'!$B$113),"DA","NU")))</x:f>
      </x:c>
      <x:c r="GG46" s="158" t="str">
        <x:f>IF($A46="","",IF(COUNT($FY46:$FZ46,$EX46:$EY46)&lt;4,"NEDETERMINAT",IF(OR(AND($FY46&gt;='Setari model'!$B$113,$EY46&gt;='Setari model'!$B$114),AND($FZ46&gt;='Setari model'!$B$113,$EX46&gt;='Setari model'!$B$114)),"DA","NU")))</x:f>
      </x:c>
      <x:c r="GH46" s="158" t="str">
        <x:f>IF($A46="","",IF(COUNT($BJ46:$BN46,$GC46:$GE46)&lt;8,"NEDETERMINAT",IF(AND((($BJ46*INDEX('Setari model'!$B$5:$B$11,MATCH($E46,'Setari model'!$A$5:$A$11,0))+$BK46*INDEX('Setari model'!$C$5:$C$11,MATCH($E46,'Setari model'!$A$5:$A$11,0))+$BL46*INDEX('Setari model'!$D$5:$D$11,MATCH($E46,'Setari model'!$A$5:$A$11,0))+$BM46*INDEX('Setari model'!$E$5:$E$11,MATCH($E46,'Setari model'!$A$5:$A$11,0))+$BN46*INDEX('Setari model'!$F$5:$F$11,MATCH($E46,'Setari model'!$A$5:$A$11,0)))/(INDEX('Setari model'!$B$5:$B$11,MATCH($E46,'Setari model'!$A$5:$A$11,0))+INDEX('Setari model'!$C$5:$C$11,MATCH($E46,'Setari model'!$A$5:$A$11,0))+INDEX('Setari model'!$D$5:$D$11,MATCH($E46,'Setari model'!$A$5:$A$11,0))+INDEX('Setari model'!$E$5:$E$11,MATCH($E46,'Setari model'!$A$5:$A$11,0))+INDEX('Setari model'!$F$5:$F$11,MATCH($E46,'Setari model'!$A$5:$A$11,0))))*$BR46&gt;='Setari model'!$B$115,(($BJ46*INDEX('Setari model'!$B$5:$B$11,MATCH($E46,'Setari model'!$A$5:$A$11,0))+$BK46*INDEX('Setari model'!$C$5:$C$11,MATCH($E46,'Setari model'!$A$5:$A$11,0))+$BL46*INDEX('Setari model'!$D$5:$D$11,MATCH($E46,'Setari model'!$A$5:$A$11,0))+$BM46*INDEX('Setari model'!$E$5:$E$11,MATCH($E46,'Setari model'!$A$5:$A$11,0))+$BN46*INDEX('Setari model'!$F$5:$F$11,MATCH($E46,'Setari model'!$A$5:$A$11,0)))/(INDEX('Setari model'!$B$5:$B$11,MATCH($E46,'Setari model'!$A$5:$A$11,0))+INDEX('Setari model'!$C$5:$C$11,MATCH($E46,'Setari model'!$A$5:$A$11,0))+INDEX('Setari model'!$D$5:$D$11,MATCH($E46,'Setari model'!$A$5:$A$11,0))+INDEX('Setari model'!$E$5:$E$11,MATCH($E46,'Setari model'!$A$5:$A$11,0))+INDEX('Setari model'!$F$5:$F$11,MATCH($E46,'Setari model'!$A$5:$A$11,0))))*$BR46&lt;='Setari model'!$B$116,AVERAGE($GC46:$GD46)&lt;='Setari model'!$B$117,$GE46&gt;='Setari model'!$B$118),"DA","NU")))</x:f>
      </x:c>
      <x:c r="GI46" s="158" t="str">
        <x:f>IF($A46="","",IF(COUNT($W46,$AB46,$GA46:$GB46)&lt;4,"NEDETERMINAT",IF(AND($W46&gt;='Setari model'!$B$120,$AB46&gt;='Setari model'!$B$120,OR(IFERROR($GA46/$W46,0)&gt;='Setari model'!$B$119,IFERROR($GB46/$AB46,0)&gt;='Setari model'!$B$119)),"DA","NU")))</x:f>
      </x:c>
      <x:c r="GJ46" s="160" t="str">
        <x:f>IF($A46="","",IF(COUNT($FY46:$GB46)&lt;4,"",IF($GH46&lt;&gt;"DA",0,'Setari model'!$B$121*IF($GF46="DA",1,0)+'Setari model'!$B$122*IF($GG46="DA",1,0)+'Setari model'!$B$123+'Setari model'!$B$124*IF($GI46="DA",1,0))))</x:f>
      </x:c>
      <x:c r="GK46" s="161" t="str">
        <x:f>IF($A46="","",IF(COUNT($GJ46)=0,"",1+'Setari model'!$B$125*$GJ46))</x:f>
      </x:c>
      <x:c r="GL46" s="160" t="str">
        <x:f>IF($A46="","",IF($GM46&lt;&gt;"DA",$FJ46,MIN('Setari model'!$B$101,MAX(0.002,$FJ46*$GK46))))</x:f>
      </x:c>
      <x:c r="GM46" s="158" t="str">
        <x:f>IF($A46="","",IF(AND($FK46="DA",COUNT($FY46:$GB46)=4,COUNT($I46,$P46,$W46,$AB46,$Z46,$AE46,$EX46,$EY46,$GC46,$GD46)=10,COUNT($BJ46:$BN46)=5),"DA","NU"))</x:f>
      </x:c>
      <x:c r="GN46" s="158" t="str">
        <x:f>IF($A46="","",IF($GM46&lt;&gt;"DA","NEDETERMINAT",IF($FI46*$GK46&lt;='Setari model'!$B$99,"SCĂZUT",IF($FI46*$GK46&lt;='Setari model'!$B$100,"MEDIU","RIDICAT"))))</x:f>
      </x:c>
      <x:c r="GO46" s="160" t="str">
        <x:f>IF($A46="","",IF(OR($GM46&lt;&gt;"DA",$GN46="RIDICAT"),'Setari model'!$B$102,IF($GN46="MEDIU",'Setari model'!$B$103,IF(AND($FM46="DA",$FN46="DA"),'Setari model'!$B$105,'Setari model'!$B$104))))</x:f>
      </x:c>
      <x:c r="GP46" s="160" t="str">
        <x:f t="shared" si="96">IF($A46="","",IF($GL46="","",MIN(1-$GL46,$GO46)))</x:f>
      </x:c>
      <x:c r="GQ46" s="162" t="str">
        <x:f t="shared" si="97">IF($A46="","",IF($GP46="","",IF($GP46&gt;0,1/$GP46,"")))</x:f>
      </x:c>
      <x:c r="GR46" s="160" t="str">
        <x:f t="shared" si="98">IF($A46="","",IF($EC46="","",$GP46-$EC46))</x:f>
      </x:c>
      <x:c r="GS46" s="160" t="str">
        <x:f t="shared" si="99">IF($A46="","",IF($AR46&gt;1,$GP46*$AR46-1,""))</x:f>
      </x:c>
      <x:c r="GT46" s="163" t="str">
        <x:f>IF($A46="","",MAX(0,MIN(100,$FT46-IF(AND($GM46&lt;&gt;"DA",$FK46="DA"),'Setari model'!$B$107,0)-'Setari model'!$B$126*IF($GJ46="",0,$GJ46))))</x:f>
      </x:c>
      <x:c r="GU46" s="158" t="str">
        <x:f t="shared" si="100">IF($A46="","",IF($AR46&lt;=1,"NU – LIPSEȘTE COTA REALĂ",IF($GM46&lt;&gt;"DA","NU – DATE LOW-CONVERSION INCOMPLETE",IF($GN46&lt;&gt;"SCĂZUT","NU – RISC 0-0 "&amp;$GN46,IF($FN46&lt;&gt;"DA","NU – LINEUP NECONFIRMAT",IF($FM46&lt;&gt;"DA","NU – PIAȚĂ NECONFIRMATĂ",IF($EP46&lt;&gt;"DA","NU – PORTOFOLIU","DA")))))))</x:f>
      </x:c>
      <x:c r="GV46" s="158" t="str">
        <x:f>IF($A46="","",IF($GU46&lt;&gt;"DA","WATCH / NO BET",IF(AND($GP46&gt;='Setari model'!$B$35,$GT46&gt;=100*'Setari model'!$B$76,$GS46&gt;0),"PARIU RECOMANDAT",IF(AND($GP46&gt;='Setari model'!$B$39,$GT46&gt;=100*'Setari model'!$B$40,$GS46&gt;0),"WATCH – APROAPE DE PRAG","PARIU EVITAT"))))</x:f>
      </x:c>
      <x:c r="GW46" s="158" t="str">
        <x:f t="shared" si="101">IF($A46="","",IF($GU46&lt;&gt;"DA",$GU46,IF($GT46&lt;75,"Confidence v5 sub 75.",IF($GP46&lt;0.92,"P v5 sub 92%.",IF($GS46&lt;=0,"EV v5 nepozitiv.",IF($GJ46&gt;0,"Low-conversion absorbit în P0; toate porțile rămân trecute.","Toate porțile v5 sunt trecute."))))))</x:f>
      </x:c>
      <x:c r="GX46" s="158" t="str">
        <x:f t="shared" si="102">IF($A46="","","P v5="&amp;TEXT($GP46,"0.0%")&amp;"; P0 v5="&amp;TEXT($GL46,"0.0%")&amp;"; low-conv="&amp;IF(COUNT($GJ46)=0,"n/a",TEXT($GJ46,"0%"))&amp;"; mult.P0="&amp;IF(COUNT($GK46)=0,"n/a",TEXT($GK46,"0.00"))&amp;"; clasă="&amp;$GN46&amp;"; cap="&amp;TEXT($GO46,"0.0%")&amp;"; Confidence="&amp;TEXT($GT46,"0")&amp;"/100; lineup="&amp;$FN46&amp;"; piață="&amp;$FM46&amp;"; EV="&amp;IF($GS46="","n/a",TEXT($GS46,"0.0%"))&amp;"; gate="&amp;$GU46&amp;"; verdict="&amp;$GV46&amp;". "&amp;$GW46)</x:f>
      </x:c>
      <x:c r="GY46" s="174" t="str">
        <x:f>IF($A46="","",IF($GM46&lt;&gt;"DA","SOURCING INCOMPLETE – REVIEW REQUIRED",IF(MIN($I46,$P46,$W46,$AB46)&lt;'Setari model'!$B$58,"SMALL SAMPLE + PRIOR / SHRINKAGE","VERIFIED / PRIOR / SHRINKAGE")))</x:f>
      </x:c>
      <x:c r="GZ46" s="175" t="str">
        <x:f t="shared" si="103">IF($A46="","",MAX(0,MIN(100,100*(1-AVERAGE(IF($GM46="DA",1,0),MIN(1,$AT46/5))))))</x:f>
      </x:c>
      <x:c r="HA46" s="175" t="str">
        <x:f>IF($A46="","",IF($GM46&lt;&gt;"DA","",MAX(0,MIN(100,100*(($FI46*$GK46)-'Setari model'!$B$97)/('Setari model'!$B$98-'Setari model'!$B$97)))))</x:f>
      </x:c>
      <x:c r="HB46" s="175" t="str">
        <x:f>IF($A46="","",MAX(0,MIN(100,100*(ABS($BR46-1)/MAX(1-'Setari model'!$B$53,'Setari model'!$B$54-1)+MIN(1,$BG46/2))/2)))</x:f>
      </x:c>
      <x:c r="HC46" s="175" t="str">
        <x:f t="shared" si="104">IF($A46="","",MAX(0,MIN(100,100*(1-AVERAGE($CC46,MAX(0,1-(MAX($BJ46:$BN46)-MIN($BJ46:$BN46))/(AVERAGE($BJ46:$BN46)*'Setari model'!$B$45)))))))</x:f>
      </x:c>
      <x:c r="HD46" s="175" t="str">
        <x:f t="shared" si="105">IF($A46="","",MAX(0,MIN(100,100*MAX(IF($GJ46="",0,$GJ46),MIN(1,$BG46/2)))))</x:f>
      </x:c>
      <x:c r="HE46" s="175" t="str">
        <x:f>IF($A46="","",IF(COUNT($GZ46:$HD46)&lt;5,"",$GZ46*Risk_Classification!$E$28+$HA46*Risk_Classification!$E$29+$HB46*Risk_Classification!$E$30+$HC46*Risk_Classification!$E$31+$HD46*Risk_Classification!$E$32))</x:f>
      </x:c>
      <x:c r="HF46" s="176" t="str">
        <x:f t="shared" si="106">IF($A46="","",IF($HE46="","",IF($HE46&lt;=20,1,IF($HE46&lt;=40,2,IF($HE46&lt;=60,3,IF($HE46&lt;=80,4,5))))))</x:f>
      </x:c>
      <x:c r="HG46" s="176" t="str">
        <x:f t="shared" si="107">IF($A46="","",IF($GM46="DA","PASS","FAIL – DATE CRITICE ZERO-MASS INCOMPLETE"))</x:f>
      </x:c>
      <x:c r="HH46" s="176" t="str">
        <x:f t="shared" si="108">IF($A46="","",IF($HG46&lt;&gt;"PASS",5,$HF46))</x:f>
      </x:c>
      <x:c r="HI46" s="174" t="str">
        <x:f t="shared" si="109">IF($A46="","",IF($HH46="","N/A",IF($HH46=1,"DEFENSIV",IF($HH46=2,"PRUDENT",IF($HH46=3,"MODERAT",IF($HH46=4,"RIDICAT","WATCH / NO BET"))))))</x:f>
      </x:c>
      <x:c r="HJ46" s="177" t="str">
        <x:f t="shared" si="110">IF($A46="","","Data="&amp;$GY46&amp;"; DQ="&amp;TEXT($GZ46,"0.0")&amp;"; ZM="&amp;IF($HA46="","n/a",TEXT($HA46,"0.0"))&amp;"; Context="&amp;TEXT($HB46,"0.0")&amp;"; Uncertainty="&amp;TEXT($HC46,"0.0")&amp;"; Compound="&amp;TEXT($HD46,"0.0")&amp;"; Risk Score="&amp;IF($HE46="","n/a",TEXT($HE46,"0.0"))&amp;"; Base="&amp;IF($HF46="","n/a",$HF46)&amp;"; G0="&amp;$HG46&amp;"; Final="&amp;$HH46&amp;". Cota, EV si lineup sunt informative si nu intra in recomandare.")</x:f>
      </x:c>
      <x:c r="HK46" s="174" t="str">
        <x:f t="shared" si="111">IF($A46="","",$HI46)</x:f>
      </x:c>
    </x:row>
    <x:row r="47" ht="24" customHeight="1">
      <x:c r="A47" s="58"/>
      <x:c r="B47" s="24"/>
      <x:c r="C47" s="59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18"/>
      <x:c r="O47" s="18"/>
      <x:c r="P47" s="24"/>
      <x:c r="Q47" s="24"/>
      <x:c r="R47" s="24"/>
      <x:c r="S47" s="24"/>
      <x:c r="T47" s="24"/>
      <x:c r="U47" s="18"/>
      <x:c r="V47" s="18"/>
      <x:c r="W47" s="24"/>
      <x:c r="X47" s="24"/>
      <x:c r="Y47" s="24"/>
      <x:c r="Z47" s="24"/>
      <x:c r="AA47" s="24"/>
      <x:c r="AB47" s="24"/>
      <x:c r="AC47" s="24"/>
      <x:c r="AD47" s="24"/>
      <x:c r="AE47" s="24"/>
      <x:c r="AF47" s="24"/>
      <x:c r="AG47" s="24"/>
      <x:c r="AH47" s="24"/>
      <x:c r="AI47" s="18"/>
      <x:c r="AJ47" s="24"/>
      <x:c r="AK47" s="24"/>
      <x:c r="AL47" s="24"/>
      <x:c r="AM47" s="18"/>
      <x:c r="AN47" s="24"/>
      <x:c r="AO47" s="60"/>
      <x:c r="AP47" s="60"/>
      <x:c r="AQ47" s="60"/>
      <x:c r="AR47" s="60"/>
      <x:c r="AS47" s="60"/>
      <x:c r="AT47" s="24"/>
      <x:c r="AU47" s="24"/>
      <x:c r="AV47" s="24"/>
      <x:c r="AW47" s="24"/>
      <x:c r="AX47" s="24"/>
      <x:c r="AY47" s="24"/>
      <x:c r="AZ47" s="24"/>
      <x:c r="BA47" s="24"/>
      <x:c r="BB47" s="24"/>
      <x:c r="BC47" s="24"/>
      <x:c r="BD47" s="24"/>
      <x:c r="BE47" s="24"/>
      <x:c r="BF47" s="24"/>
      <x:c r="BG47" s="24"/>
      <x:c r="BH47" s="61"/>
      <x:c r="BI47" s="61"/>
      <x:c r="BJ47" s="62" t="str">
        <x:f>IF($A47="","",SQRT((($I47*IF($J47="",$AJ47,$J47)+'Setari model'!$B$30*$AJ47)/($I47+'Setari model'!$B$30))*(($P47*IF($R47="",$AJ47,$R47)+'Setari model'!$B$30*$AJ47)/($P47+'Setari model'!$B$30)))+SQRT((($P47*IF($Q47="",$AK47,$Q47)+'Setari model'!$B$30*$AK47)/($P47+'Setari model'!$B$30))*(($I47*IF($K47="",$AK47,$K47)+'Setari model'!$B$30*$AK47)/($I47+'Setari model'!$B$30))))</x:f>
      </x:c>
      <x:c r="BK47" s="62" t="str">
        <x:f>IF($A47="","",SQRT((($I47*IF($L47="",IF($J47="",$AJ47,$J47),$L47)+'Setari model'!$B$30*$AJ47)/($I47+'Setari model'!$B$30))*(($P47*IF($T47="",IF($R47="",$AJ47,$R47),$T47)+'Setari model'!$B$30*$AJ47)/($P47+'Setari model'!$B$30)))+SQRT((($P47*IF($S47="",IF($Q47="",$AK47,$Q47),$S47)+'Setari model'!$B$30*$AK47)/($P47+'Setari model'!$B$30))*(($I47*IF($M47="",IF($K47="",$AK47,$K47),$M47)+'Setari model'!$B$30*$AK47)/($I47+'Setari model'!$B$30))))</x:f>
      </x:c>
      <x:c r="BL47" s="62" t="str">
        <x:f>IF($A47="","",SQRT((($W47*IF($X47="",$AL47/2,$X47)+'Setari model'!$B$31*$AL47/2)/($W47+'Setari model'!$B$31))*(($AB47*IF($AD47="",$AL47/2,$AD47)+'Setari model'!$B$31*$AL47/2)/($AB47+'Setari model'!$B$31)))+SQRT((($AB47*IF($AC47="",$AL47/2,$AC47)+'Setari model'!$B$31*$AL47/2)/($AB47+'Setari model'!$B$31))*(($W47*IF($Y47="",$AL47/2,$Y47)+'Setari model'!$B$31*$AL47/2)/($W47+'Setari model'!$B$31))))</x:f>
      </x:c>
      <x:c r="BM47" s="62" t="str">
        <x:f>IF($A47="","",SQRT((($W47*IF($Z47="",IF($X47="",$AL47/2,$X47),$Z47)+'Setari model'!$B$31*$AL47/2)/($W47+'Setari model'!$B$31))*(($AB47*IF($AF47="",IF($AD47="",$AL47/2,$AD47),$AF47)+'Setari model'!$B$31*$AL47/2)/($AB47+'Setari model'!$B$31)))+SQRT((($AB47*IF($AE47="",IF($AC47="",$AL47/2,$AC47),$AE47)+'Setari model'!$B$31*$AL47/2)/($AB47+'Setari model'!$B$31))*(($W47*IF($AA47="",IF($Y47="",$AL47/2,$Y47),$AA47)+'Setari model'!$B$31*$AL47/2)/($W47+'Setari model'!$B$31))))</x:f>
      </x:c>
      <x:c r="BN47" s="62" t="str">
        <x:f t="shared" si="56">IF($A47="","",IF($AG47&gt;0,($AG47*IF($AH47="",$AL47,$AH47)+5*$AL47)/($AG47+5),$AL47))</x:f>
      </x:c>
      <x:c r="BO47" s="63" t="str">
        <x:f>IF($A47="","",IF($AR47&gt;1,IF($AS47&gt;1,(1/$AR47)/((1/$AR47+1/$AS47)),MIN(0.995,(1/$AR47)/(1+'Setari model'!$B$32))),1-EXP(-$AL47)))</x:f>
      </x:c>
      <x:c r="BP47" s="62" t="str">
        <x:f t="shared" si="57">IF($A47="","",-LN(1-$BO47))</x:f>
      </x:c>
      <x:c r="BQ47" s="62" t="str">
        <x:f>IF($A47="","",$BJ47*INDEX('Setari model'!$B$5:$B$11,MATCH($E47,'Setari model'!$A$5:$A$11,0))+$BK47*INDEX('Setari model'!$C$5:$C$11,MATCH($E47,'Setari model'!$A$5:$A$11,0))+$BL47*INDEX('Setari model'!$D$5:$D$11,MATCH($E47,'Setari model'!$A$5:$A$11,0))+$BM47*INDEX('Setari model'!$E$5:$E$11,MATCH($E47,'Setari model'!$A$5:$A$11,0))+$BN47*INDEX('Setari model'!$F$5:$F$11,MATCH($E47,'Setari model'!$A$5:$A$11,0))+$BP47*INDEX('Setari model'!$G$5:$G$11,MATCH($E47,'Setari model'!$A$5:$A$11,0)))</x:f>
      </x:c>
      <x:c r="BR47" s="64" t="str">
        <x:f>IF($A47="","",MAX('Setari model'!$B$53,MIN('Setari model'!$B$54,1+($AV47*'Setari model'!$B$15+$AW47*'Setari model'!$B$16+$AX47*'Setari model'!$B$17+$AY47*'Setari model'!$B$18+$AZ47*'Setari model'!$B$19+$BA47*'Setari model'!$B$20+$BB47*'Setari model'!$B$21+$BC47*'Setari model'!$B$22+$BD47*'Setari model'!$B$23+$BE47*'Setari model'!$B$24+$BF47*'Setari model'!$B$25)*INDEX('Setari model'!$H$5:$H$11,MATCH($E47,'Setari model'!$A$5:$A$11,0)))))</x:f>
      </x:c>
      <x:c r="BS47" s="62" t="str">
        <x:f t="shared" si="58">IF($A47="","",$BQ47*$BR47)</x:f>
      </x:c>
      <x:c r="BT47" s="63" t="str">
        <x:f t="shared" si="59">IF($A47="","",EXP(-$BS47))</x:f>
      </x:c>
      <x:c r="BU47" s="65" t="str">
        <x:f>IF($A47="","",IF(OR($AM47="",$AN47=""),1,1+MIN('Setari model'!$B$33,$AN47/100*'Setari model'!$B$33)*($AM47/EXP(-$AL47)-1)))</x:f>
      </x:c>
      <x:c r="BV47" s="63" t="str">
        <x:f>IF($A47="","",MIN(0.45,MAX(0.005,(1-'Setari model'!$B$34*MIN(1,($I47+$P47)/20))*MIN(0.45,$BT47*$BU47)+'Setari model'!$B$34*MIN(1,($I47+$P47)/20)*IF(COUNT($N47,$U47)=2,SQRT(MAX(0,1-$N47)*MAX(0,1-$U47)),IF($AM47="",EXP(-$AL47),$AM47)))))</x:f>
      </x:c>
      <x:c r="BW47" s="63" t="str">
        <x:f t="shared" si="60">IF($A47="","",1-$BV47)</x:f>
      </x:c>
      <x:c r="BX47" s="62" t="str">
        <x:f t="shared" si="61">IF($A47="","",1/$BW47)</x:f>
      </x:c>
      <x:c r="BY47" s="63" t="str">
        <x:f t="shared" si="62">IF($A47="","",$BO47)</x:f>
      </x:c>
      <x:c r="BZ47" s="63" t="str">
        <x:f t="shared" si="63">IF($A47="","",$BW47-$BY47)</x:f>
      </x:c>
      <x:c r="CA47" s="63" t="str">
        <x:f t="shared" si="64">IF($A47="","",IF($AR47&gt;1,$BW47*$AR47-1,""))</x:f>
      </x:c>
      <x:c r="CB47" s="63" t="str">
        <x:f>IF($A47="","",MIN(1,COUNT($I47:$AN47,$AR47:$BG47)/'Setari model'!$B$46))</x:f>
      </x:c>
      <x:c r="CC47" s="63" t="str">
        <x:f t="shared" si="65">IF($A47="","",0.25*MIN(1,$I47/10)+0.25*MIN(1,$P47/10)+0.15*MIN(1,$W47/5)+0.15*MIN(1,$AB47/5)+0.1*MIN(1,$AG47/5)+0.1*MIN(1,$AN47/100))</x:f>
      </x:c>
      <x:c r="CD47" s="63" t="str">
        <x:f>IF($A47="","",MAX(0,1-(MAX($BJ47:$BN47,$BP47)-MIN($BJ47:$BN47,$BP47))/(AVERAGE($BJ47:$BN47,$BP47)*'Setari model'!$B$45)))</x:f>
      </x:c>
      <x:c r="CE47" s="66" t="str">
        <x:f>IF($A47="","",MAX(0,MIN(100,100*INDEX('Setari model'!$I$5:$I$11,MATCH($E47,'Setari model'!$A$5:$A$11,0))*('Setari model'!$B$47*$CB47+'Setari model'!$B$48*$CC47+'Setari model'!$B$49*$CD47+'Setari model'!$B$50*$AT47/5+'Setari model'!$B$51*$AU47)-100*'Setari model'!$B$52*$BG47)))</x:f>
      </x:c>
      <x:c r="CF47" s="65" t="str">
        <x:f t="shared" si="66">IF($A47="","",IF(OR($AT47&lt;3,$BG47&gt;=2,$CB47&lt;0.55,$CC47&lt;0.4),"RIDICAT",IF(OR($AU47=0,$CD47&lt;0.45,$BR47&lt;0.9),"MEDIU","SCĂZUT")))</x:f>
      </x:c>
      <x:c r="CG47" s="65" t="str">
        <x:f>IF($A47="","",IF($AR47&gt;1,IF(AND($BW47&gt;= 'Setari model'!$B$35,$CE47&gt;=100*'Setari model'!$B$36,$BZ47&gt;= 'Setari model'!$B$37,$CA47&gt;= 'Setari model'!$B$38,$CF47&lt;&gt;"RIDICAT"),"PARIU RECOMANDAT",IF(AND($BW47&gt;= 'Setari model'!$B$39,$CE47&gt;=100*'Setari model'!$B$40,$BZ47&gt;= 'Setari model'!$B$41,$CA47&gt;=0,$CF47&lt;&gt;"RIDICAT"),"RECOMANDAT CU PRUDENȚĂ",IF(AND($BW47&gt;= 'Setari model'!$B$42,$CE47&gt;=100*'Setari model'!$B$43),"ANALIZĂ NECONCLUDENTĂ","PARIU EVITAT"))),IF(AND($BW47&gt;= 'Setari model'!$B$35,$CE47&gt;=100*'Setari model'!$B$36,$CF47&lt;&gt;"RIDICAT"),"FAVORABIL STATISTIC – VERIFICĂ COTA",IF(AND($BW47&gt;= 'Setari model'!$B$42,$CE47&gt;=100*'Setari model'!$B$43),"ANALIZĂ NECONCLUDENTĂ","PARIU EVITAT"))))</x:f>
      </x:c>
      <x:c r="CH47" s="67" t="str">
        <x:f t="shared" si="67">IF($A47="","","P(O0,5)="&amp;TEXT($BW47,"0.0%")&amp;"; λ ajustat="&amp;TEXT($BS47,"0.00")&amp;"; Confidence="&amp;TEXT($CE47,"0")&amp;"/100; Edge="&amp;TEXT($BZ47,"0.0%")&amp;"; risc="&amp;$CF47&amp;". "&amp;$BH47)</x:f>
      </x:c>
      <x:c r="CI47" s="68" t="str">
        <x:f t="shared" si="68">IF($A47="","",$BI47)</x:f>
      </x:c>
      <x:c r="CJ47" s="112"/>
      <x:c r="CK47" s="112"/>
      <x:c r="CL47" s="112"/>
      <x:c r="CM47" s="112"/>
      <x:c r="CN47" s="112"/>
      <x:c r="CO47" s="112"/>
      <x:c r="CP47" s="112"/>
      <x:c r="CQ47" s="112"/>
      <x:c r="CR47" s="112"/>
      <x:c r="CS47" s="112"/>
      <x:c r="CT47" s="112"/>
      <x:c r="CU47" s="112"/>
      <x:c r="CV47" s="112"/>
      <x:c r="CW47" s="112"/>
      <x:c r="CX47" s="112"/>
      <x:c r="CY47" s="112"/>
      <x:c r="CZ47" s="112"/>
      <x:c r="DA47" s="112"/>
      <x:c r="DB47" s="112"/>
      <x:c r="DC47" s="114"/>
      <x:c r="DD47" s="114"/>
      <x:c r="DE47" s="112" t="s">
        <x:v>266</x:v>
      </x:c>
      <x:c r="DF47" s="112"/>
      <x:c r="DG47" s="112"/>
      <x:c r="DH47" s="112"/>
      <x:c r="DI47" s="112"/>
      <x:c r="DJ47" s="112"/>
      <x:c r="DK47" s="112"/>
      <x:c r="DL47" s="112"/>
      <x:c r="DM47" s="112"/>
      <x:c r="DN47" s="112"/>
      <x:c r="DO47" s="112"/>
      <x:c r="DP47" s="112"/>
      <x:c r="DQ47" s="114"/>
      <x:c r="DR47" s="112">
        <x:v>1</x:v>
      </x:c>
      <x:c r="DS47" s="116">
        <x:v>0</x:v>
      </x:c>
      <x:c r="DT47" s="120"/>
      <x:c r="DU47" s="116">
        <x:v>0.02</x:v>
      </x:c>
      <x:c r="DV47" s="116">
        <x:v>0.25</x:v>
      </x:c>
      <x:c r="DW47" s="118" t="str">
        <x:f>IF($A47="","",MAX('Setari model'!$B$71,MIN('Setari model'!$B$72,1+0.08*(IFERROR(AVERAGE($CM47:$CN47)/'Setari model'!$B$66,1)-1)+0.08*(IFERROR(AVERAGE($CO47:$CP47)/'Setari model'!$B$67,1)-1)+0.06*(IFERROR(AVERAGE($CQ47:$CR47)/'Setari model'!$B$68,1)-1)+0.04*(IFERROR(AVERAGE($CS47:$CT47)/'Setari model'!$B$69,1)-1)+0.04*(IFERROR(AVERAGE($CU47:$CV47)/'Setari model'!$B$70,1)-1)-'Setari model'!$B$73*IFERROR(AVERAGE($CW47:$CX47),0))))</x:f>
      </x:c>
      <x:c r="DX47" s="118" t="str">
        <x:f>IF($A47="","",1+'Setari model'!$B$62*MAX(IF(OR($CK47=1,$CL47=1),1,0),IF(AND($CJ47&lt;&gt;"",$CJ47&lt;=1),1,0))+'Setari model'!$B$63*IF(AND($CJ47&gt;1,$CJ47&lt;=3),1,0))</x:f>
      </x:c>
      <x:c r="DY47" s="118" t="str">
        <x:f>IF($A47="","",1+'Setari model'!$B$74*(IF($CY47="",0,IF($CY47=0,1,0))+IF($CZ47="",0,IF($CZ47=0,1,0)))+'Setari model'!$B$75*(IF($DA47="",0,IF($DA47=0,1,0))+IF($DB47="",0,IF($DB47=0,1,0))))</x:f>
      </x:c>
      <x:c r="DZ47" s="117" t="str">
        <x:f>IF($A47="","",MIN(0.6,MAX(0.002,(((1-'Setari model'!$B$34*MIN(1,($I47+$P47)/20))*$BT47+'Setari model'!$B$34*MIN(1,($I47+$P47)/20)*IF(COUNT($N47,$U47)=2,SQRT(MAX(0,1-$N47)*MAX(0,1-$U47)),$BT47))*(1-'Setari model'!$B$65*MIN(1,IF($AN47="",0,$AN47/'Setari model'!$B$64)))+'Setari model'!$B$65*MIN(1,IF($AN47="",0,$AN47/'Setari model'!$B$64))*IF($AM47="",$BT47,$AM47))*$DX47*$DY47/$DW47)))</x:f>
      </x:c>
      <x:c r="EA47" s="117" t="str">
        <x:f>IF($A47="","",MIN(1-$DZ47,IF(OR(MIN($I47,$P47)&lt;'Setari model'!$B$58,$CK47=1,$CL47=1,AND($CJ47&lt;&gt;"",$CJ47&lt;=1)),'Setari model'!$B$59,IF(AND($AU47=1,$AR47&gt;1,COUNT($CY47:$DB47)=4),'Setari model'!$B$61,'Setari model'!$B$60))))</x:f>
      </x:c>
      <x:c r="EB47" s="115" t="str">
        <x:f t="shared" si="69">IF($A47="","",1/$EA47)</x:f>
      </x:c>
      <x:c r="EC47" s="117" t="str">
        <x:f t="shared" si="70">IF($A47="","",IF($AR47&gt;1,IF($AS47&gt;1,(1/$AR47)/((1/$AR47)+(1/$AS47)),1/$AR47),""))</x:f>
      </x:c>
      <x:c r="ED47" s="117" t="str">
        <x:f t="shared" si="71">IF($A47="","",IF($EC47="","",$EA47-$EC47))</x:f>
      </x:c>
      <x:c r="EE47" s="117" t="str">
        <x:f t="shared" si="72">""</x:f>
      </x:c>
      <x:c r="EF47" s="119" t="str">
        <x:f>IF($A47="","",MAX(0,MIN(100,$CE47-200*MAX(0,$EG47-'Setari model'!$B$77)-IF($AU47&lt;&gt;1,10,0)-IF(COUNT($CY47:$DB47)&lt;4,4,0))))</x:f>
      </x:c>
      <x:c r="EG47" s="117" t="str">
        <x:f>IF($A47="","",'Setari model'!$B$77+IF(MIN($I47,$P47)&lt;'Setari model'!$B$58,0.03,0)+IF(OR($CK47=1,$CL47=1,AND($CJ47&lt;&gt;"",$CJ47&lt;=1)),0.03,0)+IF($AG47=0,0.02,0)+0.03*(1-MIN(1,COUNT($CM47:$CV47)/10))+0.03*(1-MIN(1,IF($AN47="",0,$AN47/'Setari model'!$B$64)))+IF($AR47&lt;=1,0.02,0))</x:f>
      </x:c>
      <x:c r="EH47" s="113" t="str">
        <x:f>IF($A47="","",IF(OR(MIN($I47,$P47)&lt;'Setari model'!$B$58,$CK47=1,$CL47=1,AND($CJ47&lt;&gt;"",$CJ47&lt;=1)),"92% – early/regim",IF(AND($AU47=1,$AR47&gt;1,COUNT($CY47:$DB47)=4),"94% – confirmat","93% – standard")))</x:f>
      </x:c>
      <x:c r="EI47" s="113" t="str">
        <x:f t="shared" si="73">IF($A47="","",IF(AND($EA47&gt;0.9,$AU47&lt;&gt;1),"WAIT XI – HIGH P",IF(AND($EA47&gt;0.9,COUNT($CY47:$DB47)&lt;4),"WAIT DATE CHEIE – HIGH P",IF($EP47&lt;&gt;"DA","NU – PORTOFOLIU","DA"))))</x:f>
      </x:c>
      <x:c r="EJ47" s="117" t="str">
        <x:f t="shared" si="74">IF($A47="","",IF($DE47&lt;&gt;"Live 20-30","",IF(SUM($DG47:$DH47)&gt;0,1,IF($EU47="","",1-MIN(0.95,MAX(0.001,EXP(-$EU47)*$DX47*$DY47/$DW47))))))</x:f>
      </x:c>
      <x:c r="EK47" s="117" t="str">
        <x:f t="shared" si="75">""</x:f>
      </x:c>
      <x:c r="EL47" s="113" t="str">
        <x:f>IF($A47="","",IF($DE47="Live 20-30",IF(SUM($DG47:$DH47)&gt;0,"EVENIMENT ÎNDEPLINIT",IF(OR($DF47="",COUNT($DI47:$DN47)&lt;4),"LIVE – WATCH",IF($EJ47&gt;=0.75,"LIVE – FEZABIL TEHNIC","LIVE – NO BET"))),IF($EI47&lt;&gt;"DA","WATCH / NO BET",IF(AND($EA47&gt;=INDEX('Setari model'!$B$35:$B$40,1),$EF47&gt;=100*'Setari model'!$B$76),"PARIU RECOMANDAT",IF(AND($EA47&gt;=INDEX('Setari model'!$B$35:$B$40,5),$EF47&gt;=100*'Setari model'!$B$40),"WATCH – APROAPE DE PRAG","PARIU EVITAT")))))</x:f>
      </x:c>
      <x:c r="EM47" s="113" t="str">
        <x:f t="shared" si="76">IF($A47="","",IF($DE47="Live 20-30",IF(SUM($DG47:$DH47)&gt;0,"Gol deja marcat.",IF($DF47="","Minut live lipsă.",IF(COUNT($DI47:$DN47)&lt;4,"Lipsesc xG/SOT/big chances live.",IF($EJ47&lt;0.75,"P live sub prag.","Semnal live tehnic complet; EV ignorat.")))),IF($EI47&lt;&gt;"DA",$EI47,IF($EF47&lt;75,"Confidence sub 75.",IF($EA47&lt;0.92,"P sub 92%.","G0/Zero-Mass + confidence trecute; EV ignorat.")))))</x:f>
      </x:c>
      <x:c r="EN47" s="117" t="str">
        <x:f>IF($A47="","",IF(OR($EL47="PARIU RECOMANDAT",$EL47="LIVE – FEZABIL"),MIN(IF($DU47&gt;0,$DU47,'Setari model'!$B$81)/MAX(1,$DR47),IF($DV47&gt;0,$DV47,'Setari model'!$B$80)*MAX(0,((IF($DE47="Live 20-30",$EJ47,$EA47)*IF($DE47="Live 20-30",$DQ47,$AR47)-1)/(IF($DE47="Live 20-30",$DQ47,$AR47)-1)))),0))</x:f>
      </x:c>
      <x:c r="EO47" s="121" t="str">
        <x:f t="shared" si="77">IF($A47="","",IF(AND($EN47&gt;0,$DT47&gt;0),$EN47*$DT47,""))</x:f>
      </x:c>
      <x:c r="EP47" s="113" t="str">
        <x:f>IF($A47="","",IF(OR($DR47&lt;1,$DR47&gt;'Setari model'!$B$78),"NU – 1–5 selecții",IF($DS47&gt;'Setari model'!$B$79,"NU – corelație", "DA")))</x:f>
      </x:c>
      <x:c r="EQ47" s="117" t="str">
        <x:f t="shared" si="78">IF($A47="","",IF(AND($DC47&gt;1,$DD47&gt;1),$DC47/$DD47-1,""))</x:f>
      </x:c>
      <x:c r="ER47" s="113" t="str">
        <x:f t="shared" si="79">IF($A47="","","P v2="&amp;TEXT($EA47,"0.0%")&amp;" ±"&amp;TEXT($EG47,"0.0%")&amp;"; P0 ZIP="&amp;TEXT($DZ47,"0.0%")&amp;"; Confidence="&amp;TEXT($EF47,"0")&amp;"/100; piață reală="&amp;IF($EC47="","NU","DA")&amp;"; EV="&amp;IF($EE47="","n/a",TEXT($EE47,"0.0%"))&amp;"; gate="&amp;$EI47&amp;"; verdict="&amp;$EL47&amp;". "&amp;$EM47)</x:f>
      </x:c>
      <x:c r="ES47" s="119" t="str">
        <x:f>IF($A47="","",'Setari model'!$B$82)</x:f>
      </x:c>
      <x:c r="ET47" s="118" t="str">
        <x:f>IF($A47="","",'Setari model'!$B$83)</x:f>
      </x:c>
      <x:c r="EU47" s="115" t="str">
        <x:f t="shared" si="80">IF(OR($A47="",$DE47&lt;&gt;"Live 20-30",$DF47="",$DF47&lt;$ES47,$DF47&gt;=90),"",MAX(0.05,MIN($BS47*$ET47,$BS47*(90-$DF47)/90+0.35*($DI47+$DJ47)+0.06*($DK47+$DL47)+0.15*($DM47+$DN47)+0.1*(MAX($DO47,$DP47)-MIN($DO47,$DP47)))))</x:f>
      </x:c>
      <x:c r="EV47" s="132"/>
      <x:c r="EW47" s="132"/>
      <x:c r="EX47" s="132"/>
      <x:c r="EY47" s="132"/>
      <x:c r="EZ47" s="132"/>
      <x:c r="FA47" s="132"/>
      <x:c r="FB47" s="247"/>
      <x:c r="FC47" s="134" t="str">
        <x:f t="shared" si="81">IF($A47="","",IF(OR($J47="",$L47="",$L47&lt;=0),"",MAX(0.5,MIN(1.5,$J47/$L47))))</x:f>
      </x:c>
      <x:c r="FD47" s="134" t="str">
        <x:f t="shared" si="82">IF($A47="","",IF(OR($Q47="",$S47="",$S47&lt;=0),"",MAX(0.5,MIN(1.5,$Q47/$S47))))</x:f>
      </x:c>
      <x:c r="FE47" s="134" t="str">
        <x:f>IF($A47="","",IF(COUNT($EV47:$EW47)&lt;2,"",SQRT($EV47*$EW47)/'Setari model'!$B$87))</x:f>
      </x:c>
      <x:c r="FF47" s="134" t="str">
        <x:f>IF($A47="","",IF(COUNT($O47,$V47,$EX47,$EY47)&lt;4,"",AVERAGE(SQRT($O47*$EY47),SQRT($V47*$EX47))/'Setari model'!$B$88))</x:f>
      </x:c>
      <x:c r="FG47" s="134" t="str">
        <x:f t="shared" si="83">IF($A47="","",IF(COUNT($FC47:$FD47)&lt;2,"",MAX(0,1-AVERAGE($FC47:$FD47))))</x:f>
      </x:c>
      <x:c r="FH47" s="134" t="str">
        <x:f>IF($A47="","",IF(COUNT($EZ47:$FA47)&lt;2,"",'Setari model'!$B$94*AVERAGE($EZ47:$FA47)/'Setari model'!$B$89))</x:f>
      </x:c>
      <x:c r="FI47" s="134" t="str">
        <x:f>IF($A47="","",IF(COUNT($FE47:$FH47)&lt;4,"",MAX('Setari model'!$B$97,MIN('Setari model'!$B$98,1+'Setari model'!$B$90*($FE47-1)+'Setari model'!$B$91*($FF47-1)+'Setari model'!$B$92*$FG47+'Setari model'!$B$93*($FH47-1)))))</x:f>
      </x:c>
      <x:c r="FJ47" s="133" t="str">
        <x:f>IF($A47="","",IF($FI47="","",MIN('Setari model'!$B$101,MAX(0.002,$DZ47*$FI47))))</x:f>
      </x:c>
      <x:c r="FK47" s="131" t="str">
        <x:f t="shared" si="84">IF($A47="","",IF(AND(COUNT($EV47:$FA47)=6,COUNT($O47,$V47,$FC47,$FD47)=4),"DA","NU"))</x:f>
      </x:c>
      <x:c r="FL47" s="131" t="str">
        <x:f>IF($A47="","",IF($FK47&lt;&gt;"DA","NEDETERMINAT",IF($FI47&lt;='Setari model'!$B$99,"SCĂZUT",IF($FI47&lt;='Setari model'!$B$100,"MEDIU","RIDICAT"))))</x:f>
      </x:c>
      <x:c r="FM47" s="131" t="str">
        <x:f>IF($A47="","",IF(AND($AR47&gt;1,$EC47&gt;='Setari model'!$B$106),"DA","NU"))</x:f>
      </x:c>
      <x:c r="FN47" s="131" t="str">
        <x:f t="shared" si="85">IF($A47="","",IF(AND($AU47=1,COUNT($CY47:$DB47)=4),"DA","NU"))</x:f>
      </x:c>
      <x:c r="FO47" s="133" t="str">
        <x:f>IF($A47="","",IF(OR($FK47&lt;&gt;"DA",$FL47="RIDICAT"),'Setari model'!$B$102,IF($FL47="MEDIU",'Setari model'!$B$103,IF(AND($FM47="DA",$FN47="DA"),'Setari model'!$B$105,'Setari model'!$B$104))))</x:f>
      </x:c>
      <x:c r="FP47" s="133" t="str">
        <x:f t="shared" si="86">IF($A47="","",IF($FJ47="","",MIN(1-$FJ47,$FO47)))</x:f>
      </x:c>
      <x:c r="FQ47" s="135" t="str">
        <x:f t="shared" si="87">IF($A47="","",IF($FP47="","",IF($FP47&gt;0,1/$FP47,"")))</x:f>
      </x:c>
      <x:c r="FR47" s="133" t="str">
        <x:f t="shared" si="88">IF($A47="","",IF($EC47="","",$FP47-$EC47))</x:f>
      </x:c>
      <x:c r="FS47" s="133" t="str">
        <x:f t="shared" si="89">IF($A47="","",IF($AR47&gt;1,$FP47*$AR47-1,""))</x:f>
      </x:c>
      <x:c r="FT47" s="136" t="str">
        <x:f>IF($A47="","",MAX(0,MIN(100,$EF47-IF($FK47&lt;&gt;"DA",'Setari model'!$B$107,0)-IF($FL47="MEDIU",'Setari model'!$B$108,0)-IF($FL47="RIDICAT",'Setari model'!$B$109,0))))</x:f>
      </x:c>
      <x:c r="FU47" s="131" t="str">
        <x:f t="shared" si="90">IF($A47="","",IF($AR47&lt;=1,"NU – LIPSEȘTE COTA REALĂ",IF($FK47&lt;&gt;"DA","NU – ZERO-RISK INCOMPLET",IF($FL47&lt;&gt;"SCĂZUT","NU – RISC 0-0 "&amp;$FL47,IF($FN47&lt;&gt;"DA","NU – LINEUP NECONFIRMAT",IF($FM47&lt;&gt;"DA","NU – PIAȚĂ NECONFIRMATĂ",IF($EP47&lt;&gt;"DA","NU – PORTOFOLIU","DA")))))))</x:f>
      </x:c>
      <x:c r="FV47" s="131" t="str">
        <x:f>IF($A47="","",IF($FU47&lt;&gt;"DA","WATCH / NO BET",IF(AND($FP47&gt;='Setari model'!$B$35,$FT47&gt;=100*'Setari model'!$B$76,$FS47&gt;0),"PARIU RECOMANDAT",IF(AND($FP47&gt;='Setari model'!$B$39,$FT47&gt;=100*'Setari model'!$B$40,$FS47&gt;0),"WATCH – APROAPE DE PRAG","PARIU EVITAT"))))</x:f>
      </x:c>
      <x:c r="FW47" s="131" t="str">
        <x:f t="shared" si="91">IF($A47="","",IF($FU47&lt;&gt;"DA",$FU47,IF($FT47&lt;75,"Confidence v3 sub 75.",IF($FP47&lt;0.92,"P v3 sub 92%.",IF($FS47&lt;=0,"EV v3 nepozitiv.","P0 v3, lineup și piață confirmate.")))))</x:f>
      </x:c>
      <x:c r="FX47" s="131" t="str">
        <x:f t="shared" si="92">IF($A47="","","P v3="&amp;TEXT($FP47,"0.0%")&amp;"; P0 v3="&amp;TEXT($FJ47,"0.0%")&amp;"; factor zero="&amp;IF($FI47="","n/a",TEXT($FI47,"0.00x"))&amp;" ("&amp;$FL47&amp;"); cap="&amp;TEXT($FO47,"0.0%")&amp;"; Confidence="&amp;TEXT($FT47,"0")&amp;"/100; lineup="&amp;$FN47&amp;"; piață="&amp;$FM47&amp;"; EV="&amp;IF($FS47="","n/a",TEXT($FS47,"0.0%"))&amp;"; gate="&amp;$FU47&amp;"; verdict="&amp;$FV47&amp;". "&amp;$FW47)</x:f>
      </x:c>
      <x:c r="FY47" s="159"/>
      <x:c r="FZ47" s="159"/>
      <x:c r="GA47" s="157"/>
      <x:c r="GB47" s="157"/>
      <x:c r="GC47" s="161" t="str">
        <x:f t="shared" si="93">IF($A47="","",IF(OR($X47="",$Z47="",$Z47&lt;=0),"",MAX(0.5,MIN(1.5,$X47/$Z47))))</x:f>
      </x:c>
      <x:c r="GD47" s="161" t="str">
        <x:f t="shared" si="94">IF($A47="","",IF(OR($AC47="",$AE47="",$AE47&lt;=0),"",MAX(0.5,MIN(1.5,$AC47/$AE47))))</x:f>
      </x:c>
      <x:c r="GE47" s="162" t="str">
        <x:f t="shared" si="95">IF($A47="","",IF(COUNT($Z47,$AE47)&lt;2,"",AVERAGE($Z47,$AE47)))</x:f>
      </x:c>
      <x:c r="GF47" s="158" t="str">
        <x:f>IF($A47="","",IF(COUNT($FY47:$FZ47)&lt;2,"NEDETERMINAT",IF(AND($FY47&gt;='Setari model'!$B$113,$FZ47&gt;='Setari model'!$B$113),"DA","NU")))</x:f>
      </x:c>
      <x:c r="GG47" s="158" t="str">
        <x:f>IF($A47="","",IF(COUNT($FY47:$FZ47,$EX47:$EY47)&lt;4,"NEDETERMINAT",IF(OR(AND($FY47&gt;='Setari model'!$B$113,$EY47&gt;='Setari model'!$B$114),AND($FZ47&gt;='Setari model'!$B$113,$EX47&gt;='Setari model'!$B$114)),"DA","NU")))</x:f>
      </x:c>
      <x:c r="GH47" s="158" t="str">
        <x:f>IF($A47="","",IF(COUNT($BJ47:$BN47,$GC47:$GE47)&lt;8,"NEDETERMINAT",IF(AND((($BJ47*INDEX('Setari model'!$B$5:$B$11,MATCH($E47,'Setari model'!$A$5:$A$11,0))+$BK47*INDEX('Setari model'!$C$5:$C$11,MATCH($E47,'Setari model'!$A$5:$A$11,0))+$BL47*INDEX('Setari model'!$D$5:$D$11,MATCH($E47,'Setari model'!$A$5:$A$11,0))+$BM47*INDEX('Setari model'!$E$5:$E$11,MATCH($E47,'Setari model'!$A$5:$A$11,0))+$BN47*INDEX('Setari model'!$F$5:$F$11,MATCH($E47,'Setari model'!$A$5:$A$11,0)))/(INDEX('Setari model'!$B$5:$B$11,MATCH($E47,'Setari model'!$A$5:$A$11,0))+INDEX('Setari model'!$C$5:$C$11,MATCH($E47,'Setari model'!$A$5:$A$11,0))+INDEX('Setari model'!$D$5:$D$11,MATCH($E47,'Setari model'!$A$5:$A$11,0))+INDEX('Setari model'!$E$5:$E$11,MATCH($E47,'Setari model'!$A$5:$A$11,0))+INDEX('Setari model'!$F$5:$F$11,MATCH($E47,'Setari model'!$A$5:$A$11,0))))*$BR47&gt;='Setari model'!$B$115,(($BJ47*INDEX('Setari model'!$B$5:$B$11,MATCH($E47,'Setari model'!$A$5:$A$11,0))+$BK47*INDEX('Setari model'!$C$5:$C$11,MATCH($E47,'Setari model'!$A$5:$A$11,0))+$BL47*INDEX('Setari model'!$D$5:$D$11,MATCH($E47,'Setari model'!$A$5:$A$11,0))+$BM47*INDEX('Setari model'!$E$5:$E$11,MATCH($E47,'Setari model'!$A$5:$A$11,0))+$BN47*INDEX('Setari model'!$F$5:$F$11,MATCH($E47,'Setari model'!$A$5:$A$11,0)))/(INDEX('Setari model'!$B$5:$B$11,MATCH($E47,'Setari model'!$A$5:$A$11,0))+INDEX('Setari model'!$C$5:$C$11,MATCH($E47,'Setari model'!$A$5:$A$11,0))+INDEX('Setari model'!$D$5:$D$11,MATCH($E47,'Setari model'!$A$5:$A$11,0))+INDEX('Setari model'!$E$5:$E$11,MATCH($E47,'Setari model'!$A$5:$A$11,0))+INDEX('Setari model'!$F$5:$F$11,MATCH($E47,'Setari model'!$A$5:$A$11,0))))*$BR47&lt;='Setari model'!$B$116,AVERAGE($GC47:$GD47)&lt;='Setari model'!$B$117,$GE47&gt;='Setari model'!$B$118),"DA","NU")))</x:f>
      </x:c>
      <x:c r="GI47" s="158" t="str">
        <x:f>IF($A47="","",IF(COUNT($W47,$AB47,$GA47:$GB47)&lt;4,"NEDETERMINAT",IF(AND($W47&gt;='Setari model'!$B$120,$AB47&gt;='Setari model'!$B$120,OR(IFERROR($GA47/$W47,0)&gt;='Setari model'!$B$119,IFERROR($GB47/$AB47,0)&gt;='Setari model'!$B$119)),"DA","NU")))</x:f>
      </x:c>
      <x:c r="GJ47" s="160" t="str">
        <x:f>IF($A47="","",IF(COUNT($FY47:$GB47)&lt;4,"",IF($GH47&lt;&gt;"DA",0,'Setari model'!$B$121*IF($GF47="DA",1,0)+'Setari model'!$B$122*IF($GG47="DA",1,0)+'Setari model'!$B$123+'Setari model'!$B$124*IF($GI47="DA",1,0))))</x:f>
      </x:c>
      <x:c r="GK47" s="161" t="str">
        <x:f>IF($A47="","",IF(COUNT($GJ47)=0,"",1+'Setari model'!$B$125*$GJ47))</x:f>
      </x:c>
      <x:c r="GL47" s="160" t="str">
        <x:f>IF($A47="","",IF($GM47&lt;&gt;"DA",$FJ47,MIN('Setari model'!$B$101,MAX(0.002,$FJ47*$GK47))))</x:f>
      </x:c>
      <x:c r="GM47" s="158" t="str">
        <x:f>IF($A47="","",IF(AND($FK47="DA",COUNT($FY47:$GB47)=4,COUNT($I47,$P47,$W47,$AB47,$Z47,$AE47,$EX47,$EY47,$GC47,$GD47)=10,COUNT($BJ47:$BN47)=5),"DA","NU"))</x:f>
      </x:c>
      <x:c r="GN47" s="158" t="str">
        <x:f>IF($A47="","",IF($GM47&lt;&gt;"DA","NEDETERMINAT",IF($FI47*$GK47&lt;='Setari model'!$B$99,"SCĂZUT",IF($FI47*$GK47&lt;='Setari model'!$B$100,"MEDIU","RIDICAT"))))</x:f>
      </x:c>
      <x:c r="GO47" s="160" t="str">
        <x:f>IF($A47="","",IF(OR($GM47&lt;&gt;"DA",$GN47="RIDICAT"),'Setari model'!$B$102,IF($GN47="MEDIU",'Setari model'!$B$103,IF(AND($FM47="DA",$FN47="DA"),'Setari model'!$B$105,'Setari model'!$B$104))))</x:f>
      </x:c>
      <x:c r="GP47" s="160" t="str">
        <x:f t="shared" si="96">IF($A47="","",IF($GL47="","",MIN(1-$GL47,$GO47)))</x:f>
      </x:c>
      <x:c r="GQ47" s="162" t="str">
        <x:f t="shared" si="97">IF($A47="","",IF($GP47="","",IF($GP47&gt;0,1/$GP47,"")))</x:f>
      </x:c>
      <x:c r="GR47" s="160" t="str">
        <x:f t="shared" si="98">IF($A47="","",IF($EC47="","",$GP47-$EC47))</x:f>
      </x:c>
      <x:c r="GS47" s="160" t="str">
        <x:f t="shared" si="99">IF($A47="","",IF($AR47&gt;1,$GP47*$AR47-1,""))</x:f>
      </x:c>
      <x:c r="GT47" s="163" t="str">
        <x:f>IF($A47="","",MAX(0,MIN(100,$FT47-IF(AND($GM47&lt;&gt;"DA",$FK47="DA"),'Setari model'!$B$107,0)-'Setari model'!$B$126*IF($GJ47="",0,$GJ47))))</x:f>
      </x:c>
      <x:c r="GU47" s="158" t="str">
        <x:f t="shared" si="100">IF($A47="","",IF($AR47&lt;=1,"NU – LIPSEȘTE COTA REALĂ",IF($GM47&lt;&gt;"DA","NU – DATE LOW-CONVERSION INCOMPLETE",IF($GN47&lt;&gt;"SCĂZUT","NU – RISC 0-0 "&amp;$GN47,IF($FN47&lt;&gt;"DA","NU – LINEUP NECONFIRMAT",IF($FM47&lt;&gt;"DA","NU – PIAȚĂ NECONFIRMATĂ",IF($EP47&lt;&gt;"DA","NU – PORTOFOLIU","DA")))))))</x:f>
      </x:c>
      <x:c r="GV47" s="158" t="str">
        <x:f>IF($A47="","",IF($GU47&lt;&gt;"DA","WATCH / NO BET",IF(AND($GP47&gt;='Setari model'!$B$35,$GT47&gt;=100*'Setari model'!$B$76,$GS47&gt;0),"PARIU RECOMANDAT",IF(AND($GP47&gt;='Setari model'!$B$39,$GT47&gt;=100*'Setari model'!$B$40,$GS47&gt;0),"WATCH – APROAPE DE PRAG","PARIU EVITAT"))))</x:f>
      </x:c>
      <x:c r="GW47" s="158" t="str">
        <x:f t="shared" si="101">IF($A47="","",IF($GU47&lt;&gt;"DA",$GU47,IF($GT47&lt;75,"Confidence v5 sub 75.",IF($GP47&lt;0.92,"P v5 sub 92%.",IF($GS47&lt;=0,"EV v5 nepozitiv.",IF($GJ47&gt;0,"Low-conversion absorbit în P0; toate porțile rămân trecute.","Toate porțile v5 sunt trecute."))))))</x:f>
      </x:c>
      <x:c r="GX47" s="158" t="str">
        <x:f t="shared" si="102">IF($A47="","","P v5="&amp;TEXT($GP47,"0.0%")&amp;"; P0 v5="&amp;TEXT($GL47,"0.0%")&amp;"; low-conv="&amp;IF(COUNT($GJ47)=0,"n/a",TEXT($GJ47,"0%"))&amp;"; mult.P0="&amp;IF(COUNT($GK47)=0,"n/a",TEXT($GK47,"0.00"))&amp;"; clasă="&amp;$GN47&amp;"; cap="&amp;TEXT($GO47,"0.0%")&amp;"; Confidence="&amp;TEXT($GT47,"0")&amp;"/100; lineup="&amp;$FN47&amp;"; piață="&amp;$FM47&amp;"; EV="&amp;IF($GS47="","n/a",TEXT($GS47,"0.0%"))&amp;"; gate="&amp;$GU47&amp;"; verdict="&amp;$GV47&amp;". "&amp;$GW47)</x:f>
      </x:c>
      <x:c r="GY47" s="174" t="str">
        <x:f>IF($A47="","",IF($GM47&lt;&gt;"DA","SOURCING INCOMPLETE – REVIEW REQUIRED",IF(MIN($I47,$P47,$W47,$AB47)&lt;'Setari model'!$B$58,"SMALL SAMPLE + PRIOR / SHRINKAGE","VERIFIED / PRIOR / SHRINKAGE")))</x:f>
      </x:c>
      <x:c r="GZ47" s="175" t="str">
        <x:f t="shared" si="103">IF($A47="","",MAX(0,MIN(100,100*(1-AVERAGE(IF($GM47="DA",1,0),MIN(1,$AT47/5))))))</x:f>
      </x:c>
      <x:c r="HA47" s="175" t="str">
        <x:f>IF($A47="","",IF($GM47&lt;&gt;"DA","",MAX(0,MIN(100,100*(($FI47*$GK47)-'Setari model'!$B$97)/('Setari model'!$B$98-'Setari model'!$B$97)))))</x:f>
      </x:c>
      <x:c r="HB47" s="175" t="str">
        <x:f>IF($A47="","",MAX(0,MIN(100,100*(ABS($BR47-1)/MAX(1-'Setari model'!$B$53,'Setari model'!$B$54-1)+MIN(1,$BG47/2))/2)))</x:f>
      </x:c>
      <x:c r="HC47" s="175" t="str">
        <x:f t="shared" si="104">IF($A47="","",MAX(0,MIN(100,100*(1-AVERAGE($CC47,MAX(0,1-(MAX($BJ47:$BN47)-MIN($BJ47:$BN47))/(AVERAGE($BJ47:$BN47)*'Setari model'!$B$45)))))))</x:f>
      </x:c>
      <x:c r="HD47" s="175" t="str">
        <x:f t="shared" si="105">IF($A47="","",MAX(0,MIN(100,100*MAX(IF($GJ47="",0,$GJ47),MIN(1,$BG47/2)))))</x:f>
      </x:c>
      <x:c r="HE47" s="175" t="str">
        <x:f>IF($A47="","",IF(COUNT($GZ47:$HD47)&lt;5,"",$GZ47*Risk_Classification!$E$28+$HA47*Risk_Classification!$E$29+$HB47*Risk_Classification!$E$30+$HC47*Risk_Classification!$E$31+$HD47*Risk_Classification!$E$32))</x:f>
      </x:c>
      <x:c r="HF47" s="176" t="str">
        <x:f t="shared" si="106">IF($A47="","",IF($HE47="","",IF($HE47&lt;=20,1,IF($HE47&lt;=40,2,IF($HE47&lt;=60,3,IF($HE47&lt;=80,4,5))))))</x:f>
      </x:c>
      <x:c r="HG47" s="176" t="str">
        <x:f t="shared" si="107">IF($A47="","",IF($GM47="DA","PASS","FAIL – DATE CRITICE ZERO-MASS INCOMPLETE"))</x:f>
      </x:c>
      <x:c r="HH47" s="176" t="str">
        <x:f t="shared" si="108">IF($A47="","",IF($HG47&lt;&gt;"PASS",5,$HF47))</x:f>
      </x:c>
      <x:c r="HI47" s="174" t="str">
        <x:f t="shared" si="109">IF($A47="","",IF($HH47="","N/A",IF($HH47=1,"DEFENSIV",IF($HH47=2,"PRUDENT",IF($HH47=3,"MODERAT",IF($HH47=4,"RIDICAT","WATCH / NO BET"))))))</x:f>
      </x:c>
      <x:c r="HJ47" s="177" t="str">
        <x:f t="shared" si="110">IF($A47="","","Data="&amp;$GY47&amp;"; DQ="&amp;TEXT($GZ47,"0.0")&amp;"; ZM="&amp;IF($HA47="","n/a",TEXT($HA47,"0.0"))&amp;"; Context="&amp;TEXT($HB47,"0.0")&amp;"; Uncertainty="&amp;TEXT($HC47,"0.0")&amp;"; Compound="&amp;TEXT($HD47,"0.0")&amp;"; Risk Score="&amp;IF($HE47="","n/a",TEXT($HE47,"0.0"))&amp;"; Base="&amp;IF($HF47="","n/a",$HF47)&amp;"; G0="&amp;$HG47&amp;"; Final="&amp;$HH47&amp;". Cota, EV si lineup sunt informative si nu intra in recomandare.")</x:f>
      </x:c>
      <x:c r="HK47" s="174" t="str">
        <x:f t="shared" si="111">IF($A47="","",$HI47)</x:f>
      </x:c>
    </x:row>
    <x:row r="48" ht="24" customHeight="1">
      <x:c r="A48" s="58"/>
      <x:c r="B48" s="24"/>
      <x:c r="C48" s="59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18"/>
      <x:c r="O48" s="18"/>
      <x:c r="P48" s="24"/>
      <x:c r="Q48" s="24"/>
      <x:c r="R48" s="24"/>
      <x:c r="S48" s="24"/>
      <x:c r="T48" s="24"/>
      <x:c r="U48" s="18"/>
      <x:c r="V48" s="18"/>
      <x:c r="W48" s="24"/>
      <x:c r="X48" s="24"/>
      <x:c r="Y48" s="24"/>
      <x:c r="Z48" s="24"/>
      <x:c r="AA48" s="24"/>
      <x:c r="AB48" s="24"/>
      <x:c r="AC48" s="24"/>
      <x:c r="AD48" s="24"/>
      <x:c r="AE48" s="24"/>
      <x:c r="AF48" s="24"/>
      <x:c r="AG48" s="24"/>
      <x:c r="AH48" s="24"/>
      <x:c r="AI48" s="18"/>
      <x:c r="AJ48" s="24"/>
      <x:c r="AK48" s="24"/>
      <x:c r="AL48" s="24"/>
      <x:c r="AM48" s="18"/>
      <x:c r="AN48" s="24"/>
      <x:c r="AO48" s="60"/>
      <x:c r="AP48" s="60"/>
      <x:c r="AQ48" s="60"/>
      <x:c r="AR48" s="60"/>
      <x:c r="AS48" s="60"/>
      <x:c r="AT48" s="24"/>
      <x:c r="AU48" s="24"/>
      <x:c r="AV48" s="24"/>
      <x:c r="AW48" s="24"/>
      <x:c r="AX48" s="24"/>
      <x:c r="AY48" s="24"/>
      <x:c r="AZ48" s="24"/>
      <x:c r="BA48" s="24"/>
      <x:c r="BB48" s="24"/>
      <x:c r="BC48" s="24"/>
      <x:c r="BD48" s="24"/>
      <x:c r="BE48" s="24"/>
      <x:c r="BF48" s="24"/>
      <x:c r="BG48" s="24"/>
      <x:c r="BH48" s="61"/>
      <x:c r="BI48" s="61"/>
      <x:c r="BJ48" s="62" t="str">
        <x:f>IF($A48="","",SQRT((($I48*IF($J48="",$AJ48,$J48)+'Setari model'!$B$30*$AJ48)/($I48+'Setari model'!$B$30))*(($P48*IF($R48="",$AJ48,$R48)+'Setari model'!$B$30*$AJ48)/($P48+'Setari model'!$B$30)))+SQRT((($P48*IF($Q48="",$AK48,$Q48)+'Setari model'!$B$30*$AK48)/($P48+'Setari model'!$B$30))*(($I48*IF($K48="",$AK48,$K48)+'Setari model'!$B$30*$AK48)/($I48+'Setari model'!$B$30))))</x:f>
      </x:c>
      <x:c r="BK48" s="62" t="str">
        <x:f>IF($A48="","",SQRT((($I48*IF($L48="",IF($J48="",$AJ48,$J48),$L48)+'Setari model'!$B$30*$AJ48)/($I48+'Setari model'!$B$30))*(($P48*IF($T48="",IF($R48="",$AJ48,$R48),$T48)+'Setari model'!$B$30*$AJ48)/($P48+'Setari model'!$B$30)))+SQRT((($P48*IF($S48="",IF($Q48="",$AK48,$Q48),$S48)+'Setari model'!$B$30*$AK48)/($P48+'Setari model'!$B$30))*(($I48*IF($M48="",IF($K48="",$AK48,$K48),$M48)+'Setari model'!$B$30*$AK48)/($I48+'Setari model'!$B$30))))</x:f>
      </x:c>
      <x:c r="BL48" s="62" t="str">
        <x:f>IF($A48="","",SQRT((($W48*IF($X48="",$AL48/2,$X48)+'Setari model'!$B$31*$AL48/2)/($W48+'Setari model'!$B$31))*(($AB48*IF($AD48="",$AL48/2,$AD48)+'Setari model'!$B$31*$AL48/2)/($AB48+'Setari model'!$B$31)))+SQRT((($AB48*IF($AC48="",$AL48/2,$AC48)+'Setari model'!$B$31*$AL48/2)/($AB48+'Setari model'!$B$31))*(($W48*IF($Y48="",$AL48/2,$Y48)+'Setari model'!$B$31*$AL48/2)/($W48+'Setari model'!$B$31))))</x:f>
      </x:c>
      <x:c r="BM48" s="62" t="str">
        <x:f>IF($A48="","",SQRT((($W48*IF($Z48="",IF($X48="",$AL48/2,$X48),$Z48)+'Setari model'!$B$31*$AL48/2)/($W48+'Setari model'!$B$31))*(($AB48*IF($AF48="",IF($AD48="",$AL48/2,$AD48),$AF48)+'Setari model'!$B$31*$AL48/2)/($AB48+'Setari model'!$B$31)))+SQRT((($AB48*IF($AE48="",IF($AC48="",$AL48/2,$AC48),$AE48)+'Setari model'!$B$31*$AL48/2)/($AB48+'Setari model'!$B$31))*(($W48*IF($AA48="",IF($Y48="",$AL48/2,$Y48),$AA48)+'Setari model'!$B$31*$AL48/2)/($W48+'Setari model'!$B$31))))</x:f>
      </x:c>
      <x:c r="BN48" s="62" t="str">
        <x:f t="shared" si="56">IF($A48="","",IF($AG48&gt;0,($AG48*IF($AH48="",$AL48,$AH48)+5*$AL48)/($AG48+5),$AL48))</x:f>
      </x:c>
      <x:c r="BO48" s="63" t="str">
        <x:f>IF($A48="","",IF($AR48&gt;1,IF($AS48&gt;1,(1/$AR48)/((1/$AR48+1/$AS48)),MIN(0.995,(1/$AR48)/(1+'Setari model'!$B$32))),1-EXP(-$AL48)))</x:f>
      </x:c>
      <x:c r="BP48" s="62" t="str">
        <x:f t="shared" si="57">IF($A48="","",-LN(1-$BO48))</x:f>
      </x:c>
      <x:c r="BQ48" s="62" t="str">
        <x:f>IF($A48="","",$BJ48*INDEX('Setari model'!$B$5:$B$11,MATCH($E48,'Setari model'!$A$5:$A$11,0))+$BK48*INDEX('Setari model'!$C$5:$C$11,MATCH($E48,'Setari model'!$A$5:$A$11,0))+$BL48*INDEX('Setari model'!$D$5:$D$11,MATCH($E48,'Setari model'!$A$5:$A$11,0))+$BM48*INDEX('Setari model'!$E$5:$E$11,MATCH($E48,'Setari model'!$A$5:$A$11,0))+$BN48*INDEX('Setari model'!$F$5:$F$11,MATCH($E48,'Setari model'!$A$5:$A$11,0))+$BP48*INDEX('Setari model'!$G$5:$G$11,MATCH($E48,'Setari model'!$A$5:$A$11,0)))</x:f>
      </x:c>
      <x:c r="BR48" s="64" t="str">
        <x:f>IF($A48="","",MAX('Setari model'!$B$53,MIN('Setari model'!$B$54,1+($AV48*'Setari model'!$B$15+$AW48*'Setari model'!$B$16+$AX48*'Setari model'!$B$17+$AY48*'Setari model'!$B$18+$AZ48*'Setari model'!$B$19+$BA48*'Setari model'!$B$20+$BB48*'Setari model'!$B$21+$BC48*'Setari model'!$B$22+$BD48*'Setari model'!$B$23+$BE48*'Setari model'!$B$24+$BF48*'Setari model'!$B$25)*INDEX('Setari model'!$H$5:$H$11,MATCH($E48,'Setari model'!$A$5:$A$11,0)))))</x:f>
      </x:c>
      <x:c r="BS48" s="62" t="str">
        <x:f t="shared" si="58">IF($A48="","",$BQ48*$BR48)</x:f>
      </x:c>
      <x:c r="BT48" s="63" t="str">
        <x:f t="shared" si="59">IF($A48="","",EXP(-$BS48))</x:f>
      </x:c>
      <x:c r="BU48" s="65" t="str">
        <x:f>IF($A48="","",IF(OR($AM48="",$AN48=""),1,1+MIN('Setari model'!$B$33,$AN48/100*'Setari model'!$B$33)*($AM48/EXP(-$AL48)-1)))</x:f>
      </x:c>
      <x:c r="BV48" s="63" t="str">
        <x:f>IF($A48="","",MIN(0.45,MAX(0.005,(1-'Setari model'!$B$34*MIN(1,($I48+$P48)/20))*MIN(0.45,$BT48*$BU48)+'Setari model'!$B$34*MIN(1,($I48+$P48)/20)*IF(COUNT($N48,$U48)=2,SQRT(MAX(0,1-$N48)*MAX(0,1-$U48)),IF($AM48="",EXP(-$AL48),$AM48)))))</x:f>
      </x:c>
      <x:c r="BW48" s="63" t="str">
        <x:f t="shared" si="60">IF($A48="","",1-$BV48)</x:f>
      </x:c>
      <x:c r="BX48" s="62" t="str">
        <x:f t="shared" si="61">IF($A48="","",1/$BW48)</x:f>
      </x:c>
      <x:c r="BY48" s="63" t="str">
        <x:f t="shared" si="62">IF($A48="","",$BO48)</x:f>
      </x:c>
      <x:c r="BZ48" s="63" t="str">
        <x:f t="shared" si="63">IF($A48="","",$BW48-$BY48)</x:f>
      </x:c>
      <x:c r="CA48" s="63" t="str">
        <x:f t="shared" si="64">IF($A48="","",IF($AR48&gt;1,$BW48*$AR48-1,""))</x:f>
      </x:c>
      <x:c r="CB48" s="63" t="str">
        <x:f>IF($A48="","",MIN(1,COUNT($I48:$AN48,$AR48:$BG48)/'Setari model'!$B$46))</x:f>
      </x:c>
      <x:c r="CC48" s="63" t="str">
        <x:f t="shared" si="65">IF($A48="","",0.25*MIN(1,$I48/10)+0.25*MIN(1,$P48/10)+0.15*MIN(1,$W48/5)+0.15*MIN(1,$AB48/5)+0.1*MIN(1,$AG48/5)+0.1*MIN(1,$AN48/100))</x:f>
      </x:c>
      <x:c r="CD48" s="63" t="str">
        <x:f>IF($A48="","",MAX(0,1-(MAX($BJ48:$BN48,$BP48)-MIN($BJ48:$BN48,$BP48))/(AVERAGE($BJ48:$BN48,$BP48)*'Setari model'!$B$45)))</x:f>
      </x:c>
      <x:c r="CE48" s="66" t="str">
        <x:f>IF($A48="","",MAX(0,MIN(100,100*INDEX('Setari model'!$I$5:$I$11,MATCH($E48,'Setari model'!$A$5:$A$11,0))*('Setari model'!$B$47*$CB48+'Setari model'!$B$48*$CC48+'Setari model'!$B$49*$CD48+'Setari model'!$B$50*$AT48/5+'Setari model'!$B$51*$AU48)-100*'Setari model'!$B$52*$BG48)))</x:f>
      </x:c>
      <x:c r="CF48" s="65" t="str">
        <x:f t="shared" si="66">IF($A48="","",IF(OR($AT48&lt;3,$BG48&gt;=2,$CB48&lt;0.55,$CC48&lt;0.4),"RIDICAT",IF(OR($AU48=0,$CD48&lt;0.45,$BR48&lt;0.9),"MEDIU","SCĂZUT")))</x:f>
      </x:c>
      <x:c r="CG48" s="65" t="str">
        <x:f>IF($A48="","",IF($AR48&gt;1,IF(AND($BW48&gt;= 'Setari model'!$B$35,$CE48&gt;=100*'Setari model'!$B$36,$BZ48&gt;= 'Setari model'!$B$37,$CA48&gt;= 'Setari model'!$B$38,$CF48&lt;&gt;"RIDICAT"),"PARIU RECOMANDAT",IF(AND($BW48&gt;= 'Setari model'!$B$39,$CE48&gt;=100*'Setari model'!$B$40,$BZ48&gt;= 'Setari model'!$B$41,$CA48&gt;=0,$CF48&lt;&gt;"RIDICAT"),"RECOMANDAT CU PRUDENȚĂ",IF(AND($BW48&gt;= 'Setari model'!$B$42,$CE48&gt;=100*'Setari model'!$B$43),"ANALIZĂ NECONCLUDENTĂ","PARIU EVITAT"))),IF(AND($BW48&gt;= 'Setari model'!$B$35,$CE48&gt;=100*'Setari model'!$B$36,$CF48&lt;&gt;"RIDICAT"),"FAVORABIL STATISTIC – VERIFICĂ COTA",IF(AND($BW48&gt;= 'Setari model'!$B$42,$CE48&gt;=100*'Setari model'!$B$43),"ANALIZĂ NECONCLUDENTĂ","PARIU EVITAT"))))</x:f>
      </x:c>
      <x:c r="CH48" s="67" t="str">
        <x:f t="shared" si="67">IF($A48="","","P(O0,5)="&amp;TEXT($BW48,"0.0%")&amp;"; λ ajustat="&amp;TEXT($BS48,"0.00")&amp;"; Confidence="&amp;TEXT($CE48,"0")&amp;"/100; Edge="&amp;TEXT($BZ48,"0.0%")&amp;"; risc="&amp;$CF48&amp;". "&amp;$BH48)</x:f>
      </x:c>
      <x:c r="CI48" s="68" t="str">
        <x:f t="shared" si="68">IF($A48="","",$BI48)</x:f>
      </x:c>
      <x:c r="CJ48" s="112"/>
      <x:c r="CK48" s="112"/>
      <x:c r="CL48" s="112"/>
      <x:c r="CM48" s="112"/>
      <x:c r="CN48" s="112"/>
      <x:c r="CO48" s="112"/>
      <x:c r="CP48" s="112"/>
      <x:c r="CQ48" s="112"/>
      <x:c r="CR48" s="112"/>
      <x:c r="CS48" s="112"/>
      <x:c r="CT48" s="112"/>
      <x:c r="CU48" s="112"/>
      <x:c r="CV48" s="112"/>
      <x:c r="CW48" s="112"/>
      <x:c r="CX48" s="112"/>
      <x:c r="CY48" s="112"/>
      <x:c r="CZ48" s="112"/>
      <x:c r="DA48" s="112"/>
      <x:c r="DB48" s="112"/>
      <x:c r="DC48" s="114"/>
      <x:c r="DD48" s="114"/>
      <x:c r="DE48" s="112" t="s">
        <x:v>266</x:v>
      </x:c>
      <x:c r="DF48" s="112"/>
      <x:c r="DG48" s="112"/>
      <x:c r="DH48" s="112"/>
      <x:c r="DI48" s="112"/>
      <x:c r="DJ48" s="112"/>
      <x:c r="DK48" s="112"/>
      <x:c r="DL48" s="112"/>
      <x:c r="DM48" s="112"/>
      <x:c r="DN48" s="112"/>
      <x:c r="DO48" s="112"/>
      <x:c r="DP48" s="112"/>
      <x:c r="DQ48" s="114"/>
      <x:c r="DR48" s="112">
        <x:v>1</x:v>
      </x:c>
      <x:c r="DS48" s="116">
        <x:v>0</x:v>
      </x:c>
      <x:c r="DT48" s="120"/>
      <x:c r="DU48" s="116">
        <x:v>0.02</x:v>
      </x:c>
      <x:c r="DV48" s="116">
        <x:v>0.25</x:v>
      </x:c>
      <x:c r="DW48" s="118" t="str">
        <x:f>IF($A48="","",MAX('Setari model'!$B$71,MIN('Setari model'!$B$72,1+0.08*(IFERROR(AVERAGE($CM48:$CN48)/'Setari model'!$B$66,1)-1)+0.08*(IFERROR(AVERAGE($CO48:$CP48)/'Setari model'!$B$67,1)-1)+0.06*(IFERROR(AVERAGE($CQ48:$CR48)/'Setari model'!$B$68,1)-1)+0.04*(IFERROR(AVERAGE($CS48:$CT48)/'Setari model'!$B$69,1)-1)+0.04*(IFERROR(AVERAGE($CU48:$CV48)/'Setari model'!$B$70,1)-1)-'Setari model'!$B$73*IFERROR(AVERAGE($CW48:$CX48),0))))</x:f>
      </x:c>
      <x:c r="DX48" s="118" t="str">
        <x:f>IF($A48="","",1+'Setari model'!$B$62*MAX(IF(OR($CK48=1,$CL48=1),1,0),IF(AND($CJ48&lt;&gt;"",$CJ48&lt;=1),1,0))+'Setari model'!$B$63*IF(AND($CJ48&gt;1,$CJ48&lt;=3),1,0))</x:f>
      </x:c>
      <x:c r="DY48" s="118" t="str">
        <x:f>IF($A48="","",1+'Setari model'!$B$74*(IF($CY48="",0,IF($CY48=0,1,0))+IF($CZ48="",0,IF($CZ48=0,1,0)))+'Setari model'!$B$75*(IF($DA48="",0,IF($DA48=0,1,0))+IF($DB48="",0,IF($DB48=0,1,0))))</x:f>
      </x:c>
      <x:c r="DZ48" s="117" t="str">
        <x:f>IF($A48="","",MIN(0.6,MAX(0.002,(((1-'Setari model'!$B$34*MIN(1,($I48+$P48)/20))*$BT48+'Setari model'!$B$34*MIN(1,($I48+$P48)/20)*IF(COUNT($N48,$U48)=2,SQRT(MAX(0,1-$N48)*MAX(0,1-$U48)),$BT48))*(1-'Setari model'!$B$65*MIN(1,IF($AN48="",0,$AN48/'Setari model'!$B$64)))+'Setari model'!$B$65*MIN(1,IF($AN48="",0,$AN48/'Setari model'!$B$64))*IF($AM48="",$BT48,$AM48))*$DX48*$DY48/$DW48)))</x:f>
      </x:c>
      <x:c r="EA48" s="117" t="str">
        <x:f>IF($A48="","",MIN(1-$DZ48,IF(OR(MIN($I48,$P48)&lt;'Setari model'!$B$58,$CK48=1,$CL48=1,AND($CJ48&lt;&gt;"",$CJ48&lt;=1)),'Setari model'!$B$59,IF(AND($AU48=1,$AR48&gt;1,COUNT($CY48:$DB48)=4),'Setari model'!$B$61,'Setari model'!$B$60))))</x:f>
      </x:c>
      <x:c r="EB48" s="115" t="str">
        <x:f t="shared" si="69">IF($A48="","",1/$EA48)</x:f>
      </x:c>
      <x:c r="EC48" s="117" t="str">
        <x:f t="shared" si="70">IF($A48="","",IF($AR48&gt;1,IF($AS48&gt;1,(1/$AR48)/((1/$AR48)+(1/$AS48)),1/$AR48),""))</x:f>
      </x:c>
      <x:c r="ED48" s="117" t="str">
        <x:f t="shared" si="71">IF($A48="","",IF($EC48="","",$EA48-$EC48))</x:f>
      </x:c>
      <x:c r="EE48" s="117" t="str">
        <x:f t="shared" si="72">""</x:f>
      </x:c>
      <x:c r="EF48" s="119" t="str">
        <x:f>IF($A48="","",MAX(0,MIN(100,$CE48-200*MAX(0,$EG48-'Setari model'!$B$77)-IF($AU48&lt;&gt;1,10,0)-IF(COUNT($CY48:$DB48)&lt;4,4,0))))</x:f>
      </x:c>
      <x:c r="EG48" s="117" t="str">
        <x:f>IF($A48="","",'Setari model'!$B$77+IF(MIN($I48,$P48)&lt;'Setari model'!$B$58,0.03,0)+IF(OR($CK48=1,$CL48=1,AND($CJ48&lt;&gt;"",$CJ48&lt;=1)),0.03,0)+IF($AG48=0,0.02,0)+0.03*(1-MIN(1,COUNT($CM48:$CV48)/10))+0.03*(1-MIN(1,IF($AN48="",0,$AN48/'Setari model'!$B$64)))+IF($AR48&lt;=1,0.02,0))</x:f>
      </x:c>
      <x:c r="EH48" s="113" t="str">
        <x:f>IF($A48="","",IF(OR(MIN($I48,$P48)&lt;'Setari model'!$B$58,$CK48=1,$CL48=1,AND($CJ48&lt;&gt;"",$CJ48&lt;=1)),"92% – early/regim",IF(AND($AU48=1,$AR48&gt;1,COUNT($CY48:$DB48)=4),"94% – confirmat","93% – standard")))</x:f>
      </x:c>
      <x:c r="EI48" s="113" t="str">
        <x:f t="shared" si="73">IF($A48="","",IF(AND($EA48&gt;0.9,$AU48&lt;&gt;1),"WAIT XI – HIGH P",IF(AND($EA48&gt;0.9,COUNT($CY48:$DB48)&lt;4),"WAIT DATE CHEIE – HIGH P",IF($EP48&lt;&gt;"DA","NU – PORTOFOLIU","DA"))))</x:f>
      </x:c>
      <x:c r="EJ48" s="117" t="str">
        <x:f t="shared" si="74">IF($A48="","",IF($DE48&lt;&gt;"Live 20-30","",IF(SUM($DG48:$DH48)&gt;0,1,IF($EU48="","",1-MIN(0.95,MAX(0.001,EXP(-$EU48)*$DX48*$DY48/$DW48))))))</x:f>
      </x:c>
      <x:c r="EK48" s="117" t="str">
        <x:f t="shared" si="75">""</x:f>
      </x:c>
      <x:c r="EL48" s="113" t="str">
        <x:f>IF($A48="","",IF($DE48="Live 20-30",IF(SUM($DG48:$DH48)&gt;0,"EVENIMENT ÎNDEPLINIT",IF(OR($DF48="",COUNT($DI48:$DN48)&lt;4),"LIVE – WATCH",IF($EJ48&gt;=0.75,"LIVE – FEZABIL TEHNIC","LIVE – NO BET"))),IF($EI48&lt;&gt;"DA","WATCH / NO BET",IF(AND($EA48&gt;=INDEX('Setari model'!$B$35:$B$40,1),$EF48&gt;=100*'Setari model'!$B$76),"PARIU RECOMANDAT",IF(AND($EA48&gt;=INDEX('Setari model'!$B$35:$B$40,5),$EF48&gt;=100*'Setari model'!$B$40),"WATCH – APROAPE DE PRAG","PARIU EVITAT")))))</x:f>
      </x:c>
      <x:c r="EM48" s="113" t="str">
        <x:f t="shared" si="76">IF($A48="","",IF($DE48="Live 20-30",IF(SUM($DG48:$DH48)&gt;0,"Gol deja marcat.",IF($DF48="","Minut live lipsă.",IF(COUNT($DI48:$DN48)&lt;4,"Lipsesc xG/SOT/big chances live.",IF($EJ48&lt;0.75,"P live sub prag.","Semnal live tehnic complet; EV ignorat.")))),IF($EI48&lt;&gt;"DA",$EI48,IF($EF48&lt;75,"Confidence sub 75.",IF($EA48&lt;0.92,"P sub 92%.","G0/Zero-Mass + confidence trecute; EV ignorat.")))))</x:f>
      </x:c>
      <x:c r="EN48" s="117" t="str">
        <x:f>IF($A48="","",IF(OR($EL48="PARIU RECOMANDAT",$EL48="LIVE – FEZABIL"),MIN(IF($DU48&gt;0,$DU48,'Setari model'!$B$81)/MAX(1,$DR48),IF($DV48&gt;0,$DV48,'Setari model'!$B$80)*MAX(0,((IF($DE48="Live 20-30",$EJ48,$EA48)*IF($DE48="Live 20-30",$DQ48,$AR48)-1)/(IF($DE48="Live 20-30",$DQ48,$AR48)-1)))),0))</x:f>
      </x:c>
      <x:c r="EO48" s="121" t="str">
        <x:f t="shared" si="77">IF($A48="","",IF(AND($EN48&gt;0,$DT48&gt;0),$EN48*$DT48,""))</x:f>
      </x:c>
      <x:c r="EP48" s="113" t="str">
        <x:f>IF($A48="","",IF(OR($DR48&lt;1,$DR48&gt;'Setari model'!$B$78),"NU – 1–5 selecții",IF($DS48&gt;'Setari model'!$B$79,"NU – corelație", "DA")))</x:f>
      </x:c>
      <x:c r="EQ48" s="117" t="str">
        <x:f t="shared" si="78">IF($A48="","",IF(AND($DC48&gt;1,$DD48&gt;1),$DC48/$DD48-1,""))</x:f>
      </x:c>
      <x:c r="ER48" s="113" t="str">
        <x:f t="shared" si="79">IF($A48="","","P v2="&amp;TEXT($EA48,"0.0%")&amp;" ±"&amp;TEXT($EG48,"0.0%")&amp;"; P0 ZIP="&amp;TEXT($DZ48,"0.0%")&amp;"; Confidence="&amp;TEXT($EF48,"0")&amp;"/100; piață reală="&amp;IF($EC48="","NU","DA")&amp;"; EV="&amp;IF($EE48="","n/a",TEXT($EE48,"0.0%"))&amp;"; gate="&amp;$EI48&amp;"; verdict="&amp;$EL48&amp;". "&amp;$EM48)</x:f>
      </x:c>
      <x:c r="ES48" s="119" t="str">
        <x:f>IF($A48="","",'Setari model'!$B$82)</x:f>
      </x:c>
      <x:c r="ET48" s="118" t="str">
        <x:f>IF($A48="","",'Setari model'!$B$83)</x:f>
      </x:c>
      <x:c r="EU48" s="115" t="str">
        <x:f t="shared" si="80">IF(OR($A48="",$DE48&lt;&gt;"Live 20-30",$DF48="",$DF48&lt;$ES48,$DF48&gt;=90),"",MAX(0.05,MIN($BS48*$ET48,$BS48*(90-$DF48)/90+0.35*($DI48+$DJ48)+0.06*($DK48+$DL48)+0.15*($DM48+$DN48)+0.1*(MAX($DO48,$DP48)-MIN($DO48,$DP48)))))</x:f>
      </x:c>
      <x:c r="EV48" s="132"/>
      <x:c r="EW48" s="132"/>
      <x:c r="EX48" s="132"/>
      <x:c r="EY48" s="132"/>
      <x:c r="EZ48" s="132"/>
      <x:c r="FA48" s="132"/>
      <x:c r="FB48" s="247"/>
      <x:c r="FC48" s="134" t="str">
        <x:f t="shared" si="81">IF($A48="","",IF(OR($J48="",$L48="",$L48&lt;=0),"",MAX(0.5,MIN(1.5,$J48/$L48))))</x:f>
      </x:c>
      <x:c r="FD48" s="134" t="str">
        <x:f t="shared" si="82">IF($A48="","",IF(OR($Q48="",$S48="",$S48&lt;=0),"",MAX(0.5,MIN(1.5,$Q48/$S48))))</x:f>
      </x:c>
      <x:c r="FE48" s="134" t="str">
        <x:f>IF($A48="","",IF(COUNT($EV48:$EW48)&lt;2,"",SQRT($EV48*$EW48)/'Setari model'!$B$87))</x:f>
      </x:c>
      <x:c r="FF48" s="134" t="str">
        <x:f>IF($A48="","",IF(COUNT($O48,$V48,$EX48,$EY48)&lt;4,"",AVERAGE(SQRT($O48*$EY48),SQRT($V48*$EX48))/'Setari model'!$B$88))</x:f>
      </x:c>
      <x:c r="FG48" s="134" t="str">
        <x:f t="shared" si="83">IF($A48="","",IF(COUNT($FC48:$FD48)&lt;2,"",MAX(0,1-AVERAGE($FC48:$FD48))))</x:f>
      </x:c>
      <x:c r="FH48" s="134" t="str">
        <x:f>IF($A48="","",IF(COUNT($EZ48:$FA48)&lt;2,"",'Setari model'!$B$94*AVERAGE($EZ48:$FA48)/'Setari model'!$B$89))</x:f>
      </x:c>
      <x:c r="FI48" s="134" t="str">
        <x:f>IF($A48="","",IF(COUNT($FE48:$FH48)&lt;4,"",MAX('Setari model'!$B$97,MIN('Setari model'!$B$98,1+'Setari model'!$B$90*($FE48-1)+'Setari model'!$B$91*($FF48-1)+'Setari model'!$B$92*$FG48+'Setari model'!$B$93*($FH48-1)))))</x:f>
      </x:c>
      <x:c r="FJ48" s="133" t="str">
        <x:f>IF($A48="","",IF($FI48="","",MIN('Setari model'!$B$101,MAX(0.002,$DZ48*$FI48))))</x:f>
      </x:c>
      <x:c r="FK48" s="131" t="str">
        <x:f t="shared" si="84">IF($A48="","",IF(AND(COUNT($EV48:$FA48)=6,COUNT($O48,$V48,$FC48,$FD48)=4),"DA","NU"))</x:f>
      </x:c>
      <x:c r="FL48" s="131" t="str">
        <x:f>IF($A48="","",IF($FK48&lt;&gt;"DA","NEDETERMINAT",IF($FI48&lt;='Setari model'!$B$99,"SCĂZUT",IF($FI48&lt;='Setari model'!$B$100,"MEDIU","RIDICAT"))))</x:f>
      </x:c>
      <x:c r="FM48" s="131" t="str">
        <x:f>IF($A48="","",IF(AND($AR48&gt;1,$EC48&gt;='Setari model'!$B$106),"DA","NU"))</x:f>
      </x:c>
      <x:c r="FN48" s="131" t="str">
        <x:f t="shared" si="85">IF($A48="","",IF(AND($AU48=1,COUNT($CY48:$DB48)=4),"DA","NU"))</x:f>
      </x:c>
      <x:c r="FO48" s="133" t="str">
        <x:f>IF($A48="","",IF(OR($FK48&lt;&gt;"DA",$FL48="RIDICAT"),'Setari model'!$B$102,IF($FL48="MEDIU",'Setari model'!$B$103,IF(AND($FM48="DA",$FN48="DA"),'Setari model'!$B$105,'Setari model'!$B$104))))</x:f>
      </x:c>
      <x:c r="FP48" s="133" t="str">
        <x:f t="shared" si="86">IF($A48="","",IF($FJ48="","",MIN(1-$FJ48,$FO48)))</x:f>
      </x:c>
      <x:c r="FQ48" s="135" t="str">
        <x:f t="shared" si="87">IF($A48="","",IF($FP48="","",IF($FP48&gt;0,1/$FP48,"")))</x:f>
      </x:c>
      <x:c r="FR48" s="133" t="str">
        <x:f t="shared" si="88">IF($A48="","",IF($EC48="","",$FP48-$EC48))</x:f>
      </x:c>
      <x:c r="FS48" s="133" t="str">
        <x:f t="shared" si="89">IF($A48="","",IF($AR48&gt;1,$FP48*$AR48-1,""))</x:f>
      </x:c>
      <x:c r="FT48" s="136" t="str">
        <x:f>IF($A48="","",MAX(0,MIN(100,$EF48-IF($FK48&lt;&gt;"DA",'Setari model'!$B$107,0)-IF($FL48="MEDIU",'Setari model'!$B$108,0)-IF($FL48="RIDICAT",'Setari model'!$B$109,0))))</x:f>
      </x:c>
      <x:c r="FU48" s="131" t="str">
        <x:f t="shared" si="90">IF($A48="","",IF($AR48&lt;=1,"NU – LIPSEȘTE COTA REALĂ",IF($FK48&lt;&gt;"DA","NU – ZERO-RISK INCOMPLET",IF($FL48&lt;&gt;"SCĂZUT","NU – RISC 0-0 "&amp;$FL48,IF($FN48&lt;&gt;"DA","NU – LINEUP NECONFIRMAT",IF($FM48&lt;&gt;"DA","NU – PIAȚĂ NECONFIRMATĂ",IF($EP48&lt;&gt;"DA","NU – PORTOFOLIU","DA")))))))</x:f>
      </x:c>
      <x:c r="FV48" s="131" t="str">
        <x:f>IF($A48="","",IF($FU48&lt;&gt;"DA","WATCH / NO BET",IF(AND($FP48&gt;='Setari model'!$B$35,$FT48&gt;=100*'Setari model'!$B$76,$FS48&gt;0),"PARIU RECOMANDAT",IF(AND($FP48&gt;='Setari model'!$B$39,$FT48&gt;=100*'Setari model'!$B$40,$FS48&gt;0),"WATCH – APROAPE DE PRAG","PARIU EVITAT"))))</x:f>
      </x:c>
      <x:c r="FW48" s="131" t="str">
        <x:f t="shared" si="91">IF($A48="","",IF($FU48&lt;&gt;"DA",$FU48,IF($FT48&lt;75,"Confidence v3 sub 75.",IF($FP48&lt;0.92,"P v3 sub 92%.",IF($FS48&lt;=0,"EV v3 nepozitiv.","P0 v3, lineup și piață confirmate.")))))</x:f>
      </x:c>
      <x:c r="FX48" s="131" t="str">
        <x:f t="shared" si="92">IF($A48="","","P v3="&amp;TEXT($FP48,"0.0%")&amp;"; P0 v3="&amp;TEXT($FJ48,"0.0%")&amp;"; factor zero="&amp;IF($FI48="","n/a",TEXT($FI48,"0.00x"))&amp;" ("&amp;$FL48&amp;"); cap="&amp;TEXT($FO48,"0.0%")&amp;"; Confidence="&amp;TEXT($FT48,"0")&amp;"/100; lineup="&amp;$FN48&amp;"; piață="&amp;$FM48&amp;"; EV="&amp;IF($FS48="","n/a",TEXT($FS48,"0.0%"))&amp;"; gate="&amp;$FU48&amp;"; verdict="&amp;$FV48&amp;". "&amp;$FW48)</x:f>
      </x:c>
      <x:c r="FY48" s="159"/>
      <x:c r="FZ48" s="159"/>
      <x:c r="GA48" s="157"/>
      <x:c r="GB48" s="157"/>
      <x:c r="GC48" s="161" t="str">
        <x:f t="shared" si="93">IF($A48="","",IF(OR($X48="",$Z48="",$Z48&lt;=0),"",MAX(0.5,MIN(1.5,$X48/$Z48))))</x:f>
      </x:c>
      <x:c r="GD48" s="161" t="str">
        <x:f t="shared" si="94">IF($A48="","",IF(OR($AC48="",$AE48="",$AE48&lt;=0),"",MAX(0.5,MIN(1.5,$AC48/$AE48))))</x:f>
      </x:c>
      <x:c r="GE48" s="162" t="str">
        <x:f t="shared" si="95">IF($A48="","",IF(COUNT($Z48,$AE48)&lt;2,"",AVERAGE($Z48,$AE48)))</x:f>
      </x:c>
      <x:c r="GF48" s="158" t="str">
        <x:f>IF($A48="","",IF(COUNT($FY48:$FZ48)&lt;2,"NEDETERMINAT",IF(AND($FY48&gt;='Setari model'!$B$113,$FZ48&gt;='Setari model'!$B$113),"DA","NU")))</x:f>
      </x:c>
      <x:c r="GG48" s="158" t="str">
        <x:f>IF($A48="","",IF(COUNT($FY48:$FZ48,$EX48:$EY48)&lt;4,"NEDETERMINAT",IF(OR(AND($FY48&gt;='Setari model'!$B$113,$EY48&gt;='Setari model'!$B$114),AND($FZ48&gt;='Setari model'!$B$113,$EX48&gt;='Setari model'!$B$114)),"DA","NU")))</x:f>
      </x:c>
      <x:c r="GH48" s="158" t="str">
        <x:f>IF($A48="","",IF(COUNT($BJ48:$BN48,$GC48:$GE48)&lt;8,"NEDETERMINAT",IF(AND((($BJ48*INDEX('Setari model'!$B$5:$B$11,MATCH($E48,'Setari model'!$A$5:$A$11,0))+$BK48*INDEX('Setari model'!$C$5:$C$11,MATCH($E48,'Setari model'!$A$5:$A$11,0))+$BL48*INDEX('Setari model'!$D$5:$D$11,MATCH($E48,'Setari model'!$A$5:$A$11,0))+$BM48*INDEX('Setari model'!$E$5:$E$11,MATCH($E48,'Setari model'!$A$5:$A$11,0))+$BN48*INDEX('Setari model'!$F$5:$F$11,MATCH($E48,'Setari model'!$A$5:$A$11,0)))/(INDEX('Setari model'!$B$5:$B$11,MATCH($E48,'Setari model'!$A$5:$A$11,0))+INDEX('Setari model'!$C$5:$C$11,MATCH($E48,'Setari model'!$A$5:$A$11,0))+INDEX('Setari model'!$D$5:$D$11,MATCH($E48,'Setari model'!$A$5:$A$11,0))+INDEX('Setari model'!$E$5:$E$11,MATCH($E48,'Setari model'!$A$5:$A$11,0))+INDEX('Setari model'!$F$5:$F$11,MATCH($E48,'Setari model'!$A$5:$A$11,0))))*$BR48&gt;='Setari model'!$B$115,(($BJ48*INDEX('Setari model'!$B$5:$B$11,MATCH($E48,'Setari model'!$A$5:$A$11,0))+$BK48*INDEX('Setari model'!$C$5:$C$11,MATCH($E48,'Setari model'!$A$5:$A$11,0))+$BL48*INDEX('Setari model'!$D$5:$D$11,MATCH($E48,'Setari model'!$A$5:$A$11,0))+$BM48*INDEX('Setari model'!$E$5:$E$11,MATCH($E48,'Setari model'!$A$5:$A$11,0))+$BN48*INDEX('Setari model'!$F$5:$F$11,MATCH($E48,'Setari model'!$A$5:$A$11,0)))/(INDEX('Setari model'!$B$5:$B$11,MATCH($E48,'Setari model'!$A$5:$A$11,0))+INDEX('Setari model'!$C$5:$C$11,MATCH($E48,'Setari model'!$A$5:$A$11,0))+INDEX('Setari model'!$D$5:$D$11,MATCH($E48,'Setari model'!$A$5:$A$11,0))+INDEX('Setari model'!$E$5:$E$11,MATCH($E48,'Setari model'!$A$5:$A$11,0))+INDEX('Setari model'!$F$5:$F$11,MATCH($E48,'Setari model'!$A$5:$A$11,0))))*$BR48&lt;='Setari model'!$B$116,AVERAGE($GC48:$GD48)&lt;='Setari model'!$B$117,$GE48&gt;='Setari model'!$B$118),"DA","NU")))</x:f>
      </x:c>
      <x:c r="GI48" s="158" t="str">
        <x:f>IF($A48="","",IF(COUNT($W48,$AB48,$GA48:$GB48)&lt;4,"NEDETERMINAT",IF(AND($W48&gt;='Setari model'!$B$120,$AB48&gt;='Setari model'!$B$120,OR(IFERROR($GA48/$W48,0)&gt;='Setari model'!$B$119,IFERROR($GB48/$AB48,0)&gt;='Setari model'!$B$119)),"DA","NU")))</x:f>
      </x:c>
      <x:c r="GJ48" s="160" t="str">
        <x:f>IF($A48="","",IF(COUNT($FY48:$GB48)&lt;4,"",IF($GH48&lt;&gt;"DA",0,'Setari model'!$B$121*IF($GF48="DA",1,0)+'Setari model'!$B$122*IF($GG48="DA",1,0)+'Setari model'!$B$123+'Setari model'!$B$124*IF($GI48="DA",1,0))))</x:f>
      </x:c>
      <x:c r="GK48" s="161" t="str">
        <x:f>IF($A48="","",IF(COUNT($GJ48)=0,"",1+'Setari model'!$B$125*$GJ48))</x:f>
      </x:c>
      <x:c r="GL48" s="160" t="str">
        <x:f>IF($A48="","",IF($GM48&lt;&gt;"DA",$FJ48,MIN('Setari model'!$B$101,MAX(0.002,$FJ48*$GK48))))</x:f>
      </x:c>
      <x:c r="GM48" s="158" t="str">
        <x:f>IF($A48="","",IF(AND($FK48="DA",COUNT($FY48:$GB48)=4,COUNT($I48,$P48,$W48,$AB48,$Z48,$AE48,$EX48,$EY48,$GC48,$GD48)=10,COUNT($BJ48:$BN48)=5),"DA","NU"))</x:f>
      </x:c>
      <x:c r="GN48" s="158" t="str">
        <x:f>IF($A48="","",IF($GM48&lt;&gt;"DA","NEDETERMINAT",IF($FI48*$GK48&lt;='Setari model'!$B$99,"SCĂZUT",IF($FI48*$GK48&lt;='Setari model'!$B$100,"MEDIU","RIDICAT"))))</x:f>
      </x:c>
      <x:c r="GO48" s="160" t="str">
        <x:f>IF($A48="","",IF(OR($GM48&lt;&gt;"DA",$GN48="RIDICAT"),'Setari model'!$B$102,IF($GN48="MEDIU",'Setari model'!$B$103,IF(AND($FM48="DA",$FN48="DA"),'Setari model'!$B$105,'Setari model'!$B$104))))</x:f>
      </x:c>
      <x:c r="GP48" s="160" t="str">
        <x:f t="shared" si="96">IF($A48="","",IF($GL48="","",MIN(1-$GL48,$GO48)))</x:f>
      </x:c>
      <x:c r="GQ48" s="162" t="str">
        <x:f t="shared" si="97">IF($A48="","",IF($GP48="","",IF($GP48&gt;0,1/$GP48,"")))</x:f>
      </x:c>
      <x:c r="GR48" s="160" t="str">
        <x:f t="shared" si="98">IF($A48="","",IF($EC48="","",$GP48-$EC48))</x:f>
      </x:c>
      <x:c r="GS48" s="160" t="str">
        <x:f t="shared" si="99">IF($A48="","",IF($AR48&gt;1,$GP48*$AR48-1,""))</x:f>
      </x:c>
      <x:c r="GT48" s="163" t="str">
        <x:f>IF($A48="","",MAX(0,MIN(100,$FT48-IF(AND($GM48&lt;&gt;"DA",$FK48="DA"),'Setari model'!$B$107,0)-'Setari model'!$B$126*IF($GJ48="",0,$GJ48))))</x:f>
      </x:c>
      <x:c r="GU48" s="158" t="str">
        <x:f t="shared" si="100">IF($A48="","",IF($AR48&lt;=1,"NU – LIPSEȘTE COTA REALĂ",IF($GM48&lt;&gt;"DA","NU – DATE LOW-CONVERSION INCOMPLETE",IF($GN48&lt;&gt;"SCĂZUT","NU – RISC 0-0 "&amp;$GN48,IF($FN48&lt;&gt;"DA","NU – LINEUP NECONFIRMAT",IF($FM48&lt;&gt;"DA","NU – PIAȚĂ NECONFIRMATĂ",IF($EP48&lt;&gt;"DA","NU – PORTOFOLIU","DA")))))))</x:f>
      </x:c>
      <x:c r="GV48" s="158" t="str">
        <x:f>IF($A48="","",IF($GU48&lt;&gt;"DA","WATCH / NO BET",IF(AND($GP48&gt;='Setari model'!$B$35,$GT48&gt;=100*'Setari model'!$B$76,$GS48&gt;0),"PARIU RECOMANDAT",IF(AND($GP48&gt;='Setari model'!$B$39,$GT48&gt;=100*'Setari model'!$B$40,$GS48&gt;0),"WATCH – APROAPE DE PRAG","PARIU EVITAT"))))</x:f>
      </x:c>
      <x:c r="GW48" s="158" t="str">
        <x:f t="shared" si="101">IF($A48="","",IF($GU48&lt;&gt;"DA",$GU48,IF($GT48&lt;75,"Confidence v5 sub 75.",IF($GP48&lt;0.92,"P v5 sub 92%.",IF($GS48&lt;=0,"EV v5 nepozitiv.",IF($GJ48&gt;0,"Low-conversion absorbit în P0; toate porțile rămân trecute.","Toate porțile v5 sunt trecute."))))))</x:f>
      </x:c>
      <x:c r="GX48" s="158" t="str">
        <x:f t="shared" si="102">IF($A48="","","P v5="&amp;TEXT($GP48,"0.0%")&amp;"; P0 v5="&amp;TEXT($GL48,"0.0%")&amp;"; low-conv="&amp;IF(COUNT($GJ48)=0,"n/a",TEXT($GJ48,"0%"))&amp;"; mult.P0="&amp;IF(COUNT($GK48)=0,"n/a",TEXT($GK48,"0.00"))&amp;"; clasă="&amp;$GN48&amp;"; cap="&amp;TEXT($GO48,"0.0%")&amp;"; Confidence="&amp;TEXT($GT48,"0")&amp;"/100; lineup="&amp;$FN48&amp;"; piață="&amp;$FM48&amp;"; EV="&amp;IF($GS48="","n/a",TEXT($GS48,"0.0%"))&amp;"; gate="&amp;$GU48&amp;"; verdict="&amp;$GV48&amp;". "&amp;$GW48)</x:f>
      </x:c>
      <x:c r="GY48" s="174" t="str">
        <x:f>IF($A48="","",IF($GM48&lt;&gt;"DA","SOURCING INCOMPLETE – REVIEW REQUIRED",IF(MIN($I48,$P48,$W48,$AB48)&lt;'Setari model'!$B$58,"SMALL SAMPLE + PRIOR / SHRINKAGE","VERIFIED / PRIOR / SHRINKAGE")))</x:f>
      </x:c>
      <x:c r="GZ48" s="175" t="str">
        <x:f t="shared" si="103">IF($A48="","",MAX(0,MIN(100,100*(1-AVERAGE(IF($GM48="DA",1,0),MIN(1,$AT48/5))))))</x:f>
      </x:c>
      <x:c r="HA48" s="175" t="str">
        <x:f>IF($A48="","",IF($GM48&lt;&gt;"DA","",MAX(0,MIN(100,100*(($FI48*$GK48)-'Setari model'!$B$97)/('Setari model'!$B$98-'Setari model'!$B$97)))))</x:f>
      </x:c>
      <x:c r="HB48" s="175" t="str">
        <x:f>IF($A48="","",MAX(0,MIN(100,100*(ABS($BR48-1)/MAX(1-'Setari model'!$B$53,'Setari model'!$B$54-1)+MIN(1,$BG48/2))/2)))</x:f>
      </x:c>
      <x:c r="HC48" s="175" t="str">
        <x:f t="shared" si="104">IF($A48="","",MAX(0,MIN(100,100*(1-AVERAGE($CC48,MAX(0,1-(MAX($BJ48:$BN48)-MIN($BJ48:$BN48))/(AVERAGE($BJ48:$BN48)*'Setari model'!$B$45)))))))</x:f>
      </x:c>
      <x:c r="HD48" s="175" t="str">
        <x:f t="shared" si="105">IF($A48="","",MAX(0,MIN(100,100*MAX(IF($GJ48="",0,$GJ48),MIN(1,$BG48/2)))))</x:f>
      </x:c>
      <x:c r="HE48" s="175" t="str">
        <x:f>IF($A48="","",IF(COUNT($GZ48:$HD48)&lt;5,"",$GZ48*Risk_Classification!$E$28+$HA48*Risk_Classification!$E$29+$HB48*Risk_Classification!$E$30+$HC48*Risk_Classification!$E$31+$HD48*Risk_Classification!$E$32))</x:f>
      </x:c>
      <x:c r="HF48" s="176" t="str">
        <x:f t="shared" si="106">IF($A48="","",IF($HE48="","",IF($HE48&lt;=20,1,IF($HE48&lt;=40,2,IF($HE48&lt;=60,3,IF($HE48&lt;=80,4,5))))))</x:f>
      </x:c>
      <x:c r="HG48" s="176" t="str">
        <x:f t="shared" si="107">IF($A48="","",IF($GM48="DA","PASS","FAIL – DATE CRITICE ZERO-MASS INCOMPLETE"))</x:f>
      </x:c>
      <x:c r="HH48" s="176" t="str">
        <x:f t="shared" si="108">IF($A48="","",IF($HG48&lt;&gt;"PASS",5,$HF48))</x:f>
      </x:c>
      <x:c r="HI48" s="174" t="str">
        <x:f t="shared" si="109">IF($A48="","",IF($HH48="","N/A",IF($HH48=1,"DEFENSIV",IF($HH48=2,"PRUDENT",IF($HH48=3,"MODERAT",IF($HH48=4,"RIDICAT","WATCH / NO BET"))))))</x:f>
      </x:c>
      <x:c r="HJ48" s="177" t="str">
        <x:f t="shared" si="110">IF($A48="","","Data="&amp;$GY48&amp;"; DQ="&amp;TEXT($GZ48,"0.0")&amp;"; ZM="&amp;IF($HA48="","n/a",TEXT($HA48,"0.0"))&amp;"; Context="&amp;TEXT($HB48,"0.0")&amp;"; Uncertainty="&amp;TEXT($HC48,"0.0")&amp;"; Compound="&amp;TEXT($HD48,"0.0")&amp;"; Risk Score="&amp;IF($HE48="","n/a",TEXT($HE48,"0.0"))&amp;"; Base="&amp;IF($HF48="","n/a",$HF48)&amp;"; G0="&amp;$HG48&amp;"; Final="&amp;$HH48&amp;". Cota, EV si lineup sunt informative si nu intra in recomandare.")</x:f>
      </x:c>
      <x:c r="HK48" s="174" t="str">
        <x:f t="shared" si="111">IF($A48="","",$HI48)</x:f>
      </x:c>
    </x:row>
    <x:row r="49" ht="24" customHeight="1">
      <x:c r="A49" s="58"/>
      <x:c r="B49" s="24"/>
      <x:c r="C49" s="59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18"/>
      <x:c r="O49" s="18"/>
      <x:c r="P49" s="24"/>
      <x:c r="Q49" s="24"/>
      <x:c r="R49" s="24"/>
      <x:c r="S49" s="24"/>
      <x:c r="T49" s="24"/>
      <x:c r="U49" s="18"/>
      <x:c r="V49" s="18"/>
      <x:c r="W49" s="24"/>
      <x:c r="X49" s="24"/>
      <x:c r="Y49" s="24"/>
      <x:c r="Z49" s="24"/>
      <x:c r="AA49" s="24"/>
      <x:c r="AB49" s="24"/>
      <x:c r="AC49" s="24"/>
      <x:c r="AD49" s="24"/>
      <x:c r="AE49" s="24"/>
      <x:c r="AF49" s="24"/>
      <x:c r="AG49" s="24"/>
      <x:c r="AH49" s="24"/>
      <x:c r="AI49" s="18"/>
      <x:c r="AJ49" s="24"/>
      <x:c r="AK49" s="24"/>
      <x:c r="AL49" s="24"/>
      <x:c r="AM49" s="18"/>
      <x:c r="AN49" s="24"/>
      <x:c r="AO49" s="60"/>
      <x:c r="AP49" s="60"/>
      <x:c r="AQ49" s="60"/>
      <x:c r="AR49" s="60"/>
      <x:c r="AS49" s="60"/>
      <x:c r="AT49" s="24"/>
      <x:c r="AU49" s="24"/>
      <x:c r="AV49" s="24"/>
      <x:c r="AW49" s="24"/>
      <x:c r="AX49" s="24"/>
      <x:c r="AY49" s="24"/>
      <x:c r="AZ49" s="24"/>
      <x:c r="BA49" s="24"/>
      <x:c r="BB49" s="24"/>
      <x:c r="BC49" s="24"/>
      <x:c r="BD49" s="24"/>
      <x:c r="BE49" s="24"/>
      <x:c r="BF49" s="24"/>
      <x:c r="BG49" s="24"/>
      <x:c r="BH49" s="61"/>
      <x:c r="BI49" s="61"/>
      <x:c r="BJ49" s="62" t="str">
        <x:f>IF($A49="","",SQRT((($I49*IF($J49="",$AJ49,$J49)+'Setari model'!$B$30*$AJ49)/($I49+'Setari model'!$B$30))*(($P49*IF($R49="",$AJ49,$R49)+'Setari model'!$B$30*$AJ49)/($P49+'Setari model'!$B$30)))+SQRT((($P49*IF($Q49="",$AK49,$Q49)+'Setari model'!$B$30*$AK49)/($P49+'Setari model'!$B$30))*(($I49*IF($K49="",$AK49,$K49)+'Setari model'!$B$30*$AK49)/($I49+'Setari model'!$B$30))))</x:f>
      </x:c>
      <x:c r="BK49" s="62" t="str">
        <x:f>IF($A49="","",SQRT((($I49*IF($L49="",IF($J49="",$AJ49,$J49),$L49)+'Setari model'!$B$30*$AJ49)/($I49+'Setari model'!$B$30))*(($P49*IF($T49="",IF($R49="",$AJ49,$R49),$T49)+'Setari model'!$B$30*$AJ49)/($P49+'Setari model'!$B$30)))+SQRT((($P49*IF($S49="",IF($Q49="",$AK49,$Q49),$S49)+'Setari model'!$B$30*$AK49)/($P49+'Setari model'!$B$30))*(($I49*IF($M49="",IF($K49="",$AK49,$K49),$M49)+'Setari model'!$B$30*$AK49)/($I49+'Setari model'!$B$30))))</x:f>
      </x:c>
      <x:c r="BL49" s="62" t="str">
        <x:f>IF($A49="","",SQRT((($W49*IF($X49="",$AL49/2,$X49)+'Setari model'!$B$31*$AL49/2)/($W49+'Setari model'!$B$31))*(($AB49*IF($AD49="",$AL49/2,$AD49)+'Setari model'!$B$31*$AL49/2)/($AB49+'Setari model'!$B$31)))+SQRT((($AB49*IF($AC49="",$AL49/2,$AC49)+'Setari model'!$B$31*$AL49/2)/($AB49+'Setari model'!$B$31))*(($W49*IF($Y49="",$AL49/2,$Y49)+'Setari model'!$B$31*$AL49/2)/($W49+'Setari model'!$B$31))))</x:f>
      </x:c>
      <x:c r="BM49" s="62" t="str">
        <x:f>IF($A49="","",SQRT((($W49*IF($Z49="",IF($X49="",$AL49/2,$X49),$Z49)+'Setari model'!$B$31*$AL49/2)/($W49+'Setari model'!$B$31))*(($AB49*IF($AF49="",IF($AD49="",$AL49/2,$AD49),$AF49)+'Setari model'!$B$31*$AL49/2)/($AB49+'Setari model'!$B$31)))+SQRT((($AB49*IF($AE49="",IF($AC49="",$AL49/2,$AC49),$AE49)+'Setari model'!$B$31*$AL49/2)/($AB49+'Setari model'!$B$31))*(($W49*IF($AA49="",IF($Y49="",$AL49/2,$Y49),$AA49)+'Setari model'!$B$31*$AL49/2)/($W49+'Setari model'!$B$31))))</x:f>
      </x:c>
      <x:c r="BN49" s="62" t="str">
        <x:f t="shared" si="56">IF($A49="","",IF($AG49&gt;0,($AG49*IF($AH49="",$AL49,$AH49)+5*$AL49)/($AG49+5),$AL49))</x:f>
      </x:c>
      <x:c r="BO49" s="63" t="str">
        <x:f>IF($A49="","",IF($AR49&gt;1,IF($AS49&gt;1,(1/$AR49)/((1/$AR49+1/$AS49)),MIN(0.995,(1/$AR49)/(1+'Setari model'!$B$32))),1-EXP(-$AL49)))</x:f>
      </x:c>
      <x:c r="BP49" s="62" t="str">
        <x:f t="shared" si="57">IF($A49="","",-LN(1-$BO49))</x:f>
      </x:c>
      <x:c r="BQ49" s="62" t="str">
        <x:f>IF($A49="","",$BJ49*INDEX('Setari model'!$B$5:$B$11,MATCH($E49,'Setari model'!$A$5:$A$11,0))+$BK49*INDEX('Setari model'!$C$5:$C$11,MATCH($E49,'Setari model'!$A$5:$A$11,0))+$BL49*INDEX('Setari model'!$D$5:$D$11,MATCH($E49,'Setari model'!$A$5:$A$11,0))+$BM49*INDEX('Setari model'!$E$5:$E$11,MATCH($E49,'Setari model'!$A$5:$A$11,0))+$BN49*INDEX('Setari model'!$F$5:$F$11,MATCH($E49,'Setari model'!$A$5:$A$11,0))+$BP49*INDEX('Setari model'!$G$5:$G$11,MATCH($E49,'Setari model'!$A$5:$A$11,0)))</x:f>
      </x:c>
      <x:c r="BR49" s="64" t="str">
        <x:f>IF($A49="","",MAX('Setari model'!$B$53,MIN('Setari model'!$B$54,1+($AV49*'Setari model'!$B$15+$AW49*'Setari model'!$B$16+$AX49*'Setari model'!$B$17+$AY49*'Setari model'!$B$18+$AZ49*'Setari model'!$B$19+$BA49*'Setari model'!$B$20+$BB49*'Setari model'!$B$21+$BC49*'Setari model'!$B$22+$BD49*'Setari model'!$B$23+$BE49*'Setari model'!$B$24+$BF49*'Setari model'!$B$25)*INDEX('Setari model'!$H$5:$H$11,MATCH($E49,'Setari model'!$A$5:$A$11,0)))))</x:f>
      </x:c>
      <x:c r="BS49" s="62" t="str">
        <x:f t="shared" si="58">IF($A49="","",$BQ49*$BR49)</x:f>
      </x:c>
      <x:c r="BT49" s="63" t="str">
        <x:f t="shared" si="59">IF($A49="","",EXP(-$BS49))</x:f>
      </x:c>
      <x:c r="BU49" s="65" t="str">
        <x:f>IF($A49="","",IF(OR($AM49="",$AN49=""),1,1+MIN('Setari model'!$B$33,$AN49/100*'Setari model'!$B$33)*($AM49/EXP(-$AL49)-1)))</x:f>
      </x:c>
      <x:c r="BV49" s="63" t="str">
        <x:f>IF($A49="","",MIN(0.45,MAX(0.005,(1-'Setari model'!$B$34*MIN(1,($I49+$P49)/20))*MIN(0.45,$BT49*$BU49)+'Setari model'!$B$34*MIN(1,($I49+$P49)/20)*IF(COUNT($N49,$U49)=2,SQRT(MAX(0,1-$N49)*MAX(0,1-$U49)),IF($AM49="",EXP(-$AL49),$AM49)))))</x:f>
      </x:c>
      <x:c r="BW49" s="63" t="str">
        <x:f t="shared" si="60">IF($A49="","",1-$BV49)</x:f>
      </x:c>
      <x:c r="BX49" s="62" t="str">
        <x:f t="shared" si="61">IF($A49="","",1/$BW49)</x:f>
      </x:c>
      <x:c r="BY49" s="63" t="str">
        <x:f t="shared" si="62">IF($A49="","",$BO49)</x:f>
      </x:c>
      <x:c r="BZ49" s="63" t="str">
        <x:f t="shared" si="63">IF($A49="","",$BW49-$BY49)</x:f>
      </x:c>
      <x:c r="CA49" s="63" t="str">
        <x:f t="shared" si="64">IF($A49="","",IF($AR49&gt;1,$BW49*$AR49-1,""))</x:f>
      </x:c>
      <x:c r="CB49" s="63" t="str">
        <x:f>IF($A49="","",MIN(1,COUNT($I49:$AN49,$AR49:$BG49)/'Setari model'!$B$46))</x:f>
      </x:c>
      <x:c r="CC49" s="63" t="str">
        <x:f t="shared" si="65">IF($A49="","",0.25*MIN(1,$I49/10)+0.25*MIN(1,$P49/10)+0.15*MIN(1,$W49/5)+0.15*MIN(1,$AB49/5)+0.1*MIN(1,$AG49/5)+0.1*MIN(1,$AN49/100))</x:f>
      </x:c>
      <x:c r="CD49" s="63" t="str">
        <x:f>IF($A49="","",MAX(0,1-(MAX($BJ49:$BN49,$BP49)-MIN($BJ49:$BN49,$BP49))/(AVERAGE($BJ49:$BN49,$BP49)*'Setari model'!$B$45)))</x:f>
      </x:c>
      <x:c r="CE49" s="66" t="str">
        <x:f>IF($A49="","",MAX(0,MIN(100,100*INDEX('Setari model'!$I$5:$I$11,MATCH($E49,'Setari model'!$A$5:$A$11,0))*('Setari model'!$B$47*$CB49+'Setari model'!$B$48*$CC49+'Setari model'!$B$49*$CD49+'Setari model'!$B$50*$AT49/5+'Setari model'!$B$51*$AU49)-100*'Setari model'!$B$52*$BG49)))</x:f>
      </x:c>
      <x:c r="CF49" s="65" t="str">
        <x:f t="shared" si="66">IF($A49="","",IF(OR($AT49&lt;3,$BG49&gt;=2,$CB49&lt;0.55,$CC49&lt;0.4),"RIDICAT",IF(OR($AU49=0,$CD49&lt;0.45,$BR49&lt;0.9),"MEDIU","SCĂZUT")))</x:f>
      </x:c>
      <x:c r="CG49" s="65" t="str">
        <x:f>IF($A49="","",IF($AR49&gt;1,IF(AND($BW49&gt;= 'Setari model'!$B$35,$CE49&gt;=100*'Setari model'!$B$36,$BZ49&gt;= 'Setari model'!$B$37,$CA49&gt;= 'Setari model'!$B$38,$CF49&lt;&gt;"RIDICAT"),"PARIU RECOMANDAT",IF(AND($BW49&gt;= 'Setari model'!$B$39,$CE49&gt;=100*'Setari model'!$B$40,$BZ49&gt;= 'Setari model'!$B$41,$CA49&gt;=0,$CF49&lt;&gt;"RIDICAT"),"RECOMANDAT CU PRUDENȚĂ",IF(AND($BW49&gt;= 'Setari model'!$B$42,$CE49&gt;=100*'Setari model'!$B$43),"ANALIZĂ NECONCLUDENTĂ","PARIU EVITAT"))),IF(AND($BW49&gt;= 'Setari model'!$B$35,$CE49&gt;=100*'Setari model'!$B$36,$CF49&lt;&gt;"RIDICAT"),"FAVORABIL STATISTIC – VERIFICĂ COTA",IF(AND($BW49&gt;= 'Setari model'!$B$42,$CE49&gt;=100*'Setari model'!$B$43),"ANALIZĂ NECONCLUDENTĂ","PARIU EVITAT"))))</x:f>
      </x:c>
      <x:c r="CH49" s="67" t="str">
        <x:f t="shared" si="67">IF($A49="","","P(O0,5)="&amp;TEXT($BW49,"0.0%")&amp;"; λ ajustat="&amp;TEXT($BS49,"0.00")&amp;"; Confidence="&amp;TEXT($CE49,"0")&amp;"/100; Edge="&amp;TEXT($BZ49,"0.0%")&amp;"; risc="&amp;$CF49&amp;". "&amp;$BH49)</x:f>
      </x:c>
      <x:c r="CI49" s="68" t="str">
        <x:f t="shared" si="68">IF($A49="","",$BI49)</x:f>
      </x:c>
      <x:c r="CJ49" s="112"/>
      <x:c r="CK49" s="112"/>
      <x:c r="CL49" s="112"/>
      <x:c r="CM49" s="112"/>
      <x:c r="CN49" s="112"/>
      <x:c r="CO49" s="112"/>
      <x:c r="CP49" s="112"/>
      <x:c r="CQ49" s="112"/>
      <x:c r="CR49" s="112"/>
      <x:c r="CS49" s="112"/>
      <x:c r="CT49" s="112"/>
      <x:c r="CU49" s="112"/>
      <x:c r="CV49" s="112"/>
      <x:c r="CW49" s="112"/>
      <x:c r="CX49" s="112"/>
      <x:c r="CY49" s="112"/>
      <x:c r="CZ49" s="112"/>
      <x:c r="DA49" s="112"/>
      <x:c r="DB49" s="112"/>
      <x:c r="DC49" s="114"/>
      <x:c r="DD49" s="114"/>
      <x:c r="DE49" s="112" t="s">
        <x:v>266</x:v>
      </x:c>
      <x:c r="DF49" s="112"/>
      <x:c r="DG49" s="112"/>
      <x:c r="DH49" s="112"/>
      <x:c r="DI49" s="112"/>
      <x:c r="DJ49" s="112"/>
      <x:c r="DK49" s="112"/>
      <x:c r="DL49" s="112"/>
      <x:c r="DM49" s="112"/>
      <x:c r="DN49" s="112"/>
      <x:c r="DO49" s="112"/>
      <x:c r="DP49" s="112"/>
      <x:c r="DQ49" s="114"/>
      <x:c r="DR49" s="112">
        <x:v>1</x:v>
      </x:c>
      <x:c r="DS49" s="116">
        <x:v>0</x:v>
      </x:c>
      <x:c r="DT49" s="120"/>
      <x:c r="DU49" s="116">
        <x:v>0.02</x:v>
      </x:c>
      <x:c r="DV49" s="116">
        <x:v>0.25</x:v>
      </x:c>
      <x:c r="DW49" s="118" t="str">
        <x:f>IF($A49="","",MAX('Setari model'!$B$71,MIN('Setari model'!$B$72,1+0.08*(IFERROR(AVERAGE($CM49:$CN49)/'Setari model'!$B$66,1)-1)+0.08*(IFERROR(AVERAGE($CO49:$CP49)/'Setari model'!$B$67,1)-1)+0.06*(IFERROR(AVERAGE($CQ49:$CR49)/'Setari model'!$B$68,1)-1)+0.04*(IFERROR(AVERAGE($CS49:$CT49)/'Setari model'!$B$69,1)-1)+0.04*(IFERROR(AVERAGE($CU49:$CV49)/'Setari model'!$B$70,1)-1)-'Setari model'!$B$73*IFERROR(AVERAGE($CW49:$CX49),0))))</x:f>
      </x:c>
      <x:c r="DX49" s="118" t="str">
        <x:f>IF($A49="","",1+'Setari model'!$B$62*MAX(IF(OR($CK49=1,$CL49=1),1,0),IF(AND($CJ49&lt;&gt;"",$CJ49&lt;=1),1,0))+'Setari model'!$B$63*IF(AND($CJ49&gt;1,$CJ49&lt;=3),1,0))</x:f>
      </x:c>
      <x:c r="DY49" s="118" t="str">
        <x:f>IF($A49="","",1+'Setari model'!$B$74*(IF($CY49="",0,IF($CY49=0,1,0))+IF($CZ49="",0,IF($CZ49=0,1,0)))+'Setari model'!$B$75*(IF($DA49="",0,IF($DA49=0,1,0))+IF($DB49="",0,IF($DB49=0,1,0))))</x:f>
      </x:c>
      <x:c r="DZ49" s="117" t="str">
        <x:f>IF($A49="","",MIN(0.6,MAX(0.002,(((1-'Setari model'!$B$34*MIN(1,($I49+$P49)/20))*$BT49+'Setari model'!$B$34*MIN(1,($I49+$P49)/20)*IF(COUNT($N49,$U49)=2,SQRT(MAX(0,1-$N49)*MAX(0,1-$U49)),$BT49))*(1-'Setari model'!$B$65*MIN(1,IF($AN49="",0,$AN49/'Setari model'!$B$64)))+'Setari model'!$B$65*MIN(1,IF($AN49="",0,$AN49/'Setari model'!$B$64))*IF($AM49="",$BT49,$AM49))*$DX49*$DY49/$DW49)))</x:f>
      </x:c>
      <x:c r="EA49" s="117" t="str">
        <x:f>IF($A49="","",MIN(1-$DZ49,IF(OR(MIN($I49,$P49)&lt;'Setari model'!$B$58,$CK49=1,$CL49=1,AND($CJ49&lt;&gt;"",$CJ49&lt;=1)),'Setari model'!$B$59,IF(AND($AU49=1,$AR49&gt;1,COUNT($CY49:$DB49)=4),'Setari model'!$B$61,'Setari model'!$B$60))))</x:f>
      </x:c>
      <x:c r="EB49" s="115" t="str">
        <x:f t="shared" si="69">IF($A49="","",1/$EA49)</x:f>
      </x:c>
      <x:c r="EC49" s="117" t="str">
        <x:f t="shared" si="70">IF($A49="","",IF($AR49&gt;1,IF($AS49&gt;1,(1/$AR49)/((1/$AR49)+(1/$AS49)),1/$AR49),""))</x:f>
      </x:c>
      <x:c r="ED49" s="117" t="str">
        <x:f t="shared" si="71">IF($A49="","",IF($EC49="","",$EA49-$EC49))</x:f>
      </x:c>
      <x:c r="EE49" s="117" t="str">
        <x:f t="shared" si="72">""</x:f>
      </x:c>
      <x:c r="EF49" s="119" t="str">
        <x:f>IF($A49="","",MAX(0,MIN(100,$CE49-200*MAX(0,$EG49-'Setari model'!$B$77)-IF($AU49&lt;&gt;1,10,0)-IF(COUNT($CY49:$DB49)&lt;4,4,0))))</x:f>
      </x:c>
      <x:c r="EG49" s="117" t="str">
        <x:f>IF($A49="","",'Setari model'!$B$77+IF(MIN($I49,$P49)&lt;'Setari model'!$B$58,0.03,0)+IF(OR($CK49=1,$CL49=1,AND($CJ49&lt;&gt;"",$CJ49&lt;=1)),0.03,0)+IF($AG49=0,0.02,0)+0.03*(1-MIN(1,COUNT($CM49:$CV49)/10))+0.03*(1-MIN(1,IF($AN49="",0,$AN49/'Setari model'!$B$64)))+IF($AR49&lt;=1,0.02,0))</x:f>
      </x:c>
      <x:c r="EH49" s="113" t="str">
        <x:f>IF($A49="","",IF(OR(MIN($I49,$P49)&lt;'Setari model'!$B$58,$CK49=1,$CL49=1,AND($CJ49&lt;&gt;"",$CJ49&lt;=1)),"92% – early/regim",IF(AND($AU49=1,$AR49&gt;1,COUNT($CY49:$DB49)=4),"94% – confirmat","93% – standard")))</x:f>
      </x:c>
      <x:c r="EI49" s="113" t="str">
        <x:f t="shared" si="73">IF($A49="","",IF(AND($EA49&gt;0.9,$AU49&lt;&gt;1),"WAIT XI – HIGH P",IF(AND($EA49&gt;0.9,COUNT($CY49:$DB49)&lt;4),"WAIT DATE CHEIE – HIGH P",IF($EP49&lt;&gt;"DA","NU – PORTOFOLIU","DA"))))</x:f>
      </x:c>
      <x:c r="EJ49" s="117" t="str">
        <x:f t="shared" si="74">IF($A49="","",IF($DE49&lt;&gt;"Live 20-30","",IF(SUM($DG49:$DH49)&gt;0,1,IF($EU49="","",1-MIN(0.95,MAX(0.001,EXP(-$EU49)*$DX49*$DY49/$DW49))))))</x:f>
      </x:c>
      <x:c r="EK49" s="117" t="str">
        <x:f t="shared" si="75">""</x:f>
      </x:c>
      <x:c r="EL49" s="113" t="str">
        <x:f>IF($A49="","",IF($DE49="Live 20-30",IF(SUM($DG49:$DH49)&gt;0,"EVENIMENT ÎNDEPLINIT",IF(OR($DF49="",COUNT($DI49:$DN49)&lt;4),"LIVE – WATCH",IF($EJ49&gt;=0.75,"LIVE – FEZABIL TEHNIC","LIVE – NO BET"))),IF($EI49&lt;&gt;"DA","WATCH / NO BET",IF(AND($EA49&gt;=INDEX('Setari model'!$B$35:$B$40,1),$EF49&gt;=100*'Setari model'!$B$76),"PARIU RECOMANDAT",IF(AND($EA49&gt;=INDEX('Setari model'!$B$35:$B$40,5),$EF49&gt;=100*'Setari model'!$B$40),"WATCH – APROAPE DE PRAG","PARIU EVITAT")))))</x:f>
      </x:c>
      <x:c r="EM49" s="113" t="str">
        <x:f t="shared" si="76">IF($A49="","",IF($DE49="Live 20-30",IF(SUM($DG49:$DH49)&gt;0,"Gol deja marcat.",IF($DF49="","Minut live lipsă.",IF(COUNT($DI49:$DN49)&lt;4,"Lipsesc xG/SOT/big chances live.",IF($EJ49&lt;0.75,"P live sub prag.","Semnal live tehnic complet; EV ignorat.")))),IF($EI49&lt;&gt;"DA",$EI49,IF($EF49&lt;75,"Confidence sub 75.",IF($EA49&lt;0.92,"P sub 92%.","G0/Zero-Mass + confidence trecute; EV ignorat.")))))</x:f>
      </x:c>
      <x:c r="EN49" s="117" t="str">
        <x:f>IF($A49="","",IF(OR($EL49="PARIU RECOMANDAT",$EL49="LIVE – FEZABIL"),MIN(IF($DU49&gt;0,$DU49,'Setari model'!$B$81)/MAX(1,$DR49),IF($DV49&gt;0,$DV49,'Setari model'!$B$80)*MAX(0,((IF($DE49="Live 20-30",$EJ49,$EA49)*IF($DE49="Live 20-30",$DQ49,$AR49)-1)/(IF($DE49="Live 20-30",$DQ49,$AR49)-1)))),0))</x:f>
      </x:c>
      <x:c r="EO49" s="121" t="str">
        <x:f t="shared" si="77">IF($A49="","",IF(AND($EN49&gt;0,$DT49&gt;0),$EN49*$DT49,""))</x:f>
      </x:c>
      <x:c r="EP49" s="113" t="str">
        <x:f>IF($A49="","",IF(OR($DR49&lt;1,$DR49&gt;'Setari model'!$B$78),"NU – 1–5 selecții",IF($DS49&gt;'Setari model'!$B$79,"NU – corelație", "DA")))</x:f>
      </x:c>
      <x:c r="EQ49" s="117" t="str">
        <x:f t="shared" si="78">IF($A49="","",IF(AND($DC49&gt;1,$DD49&gt;1),$DC49/$DD49-1,""))</x:f>
      </x:c>
      <x:c r="ER49" s="113" t="str">
        <x:f t="shared" si="79">IF($A49="","","P v2="&amp;TEXT($EA49,"0.0%")&amp;" ±"&amp;TEXT($EG49,"0.0%")&amp;"; P0 ZIP="&amp;TEXT($DZ49,"0.0%")&amp;"; Confidence="&amp;TEXT($EF49,"0")&amp;"/100; piață reală="&amp;IF($EC49="","NU","DA")&amp;"; EV="&amp;IF($EE49="","n/a",TEXT($EE49,"0.0%"))&amp;"; gate="&amp;$EI49&amp;"; verdict="&amp;$EL49&amp;". "&amp;$EM49)</x:f>
      </x:c>
      <x:c r="ES49" s="119" t="str">
        <x:f>IF($A49="","",'Setari model'!$B$82)</x:f>
      </x:c>
      <x:c r="ET49" s="118" t="str">
        <x:f>IF($A49="","",'Setari model'!$B$83)</x:f>
      </x:c>
      <x:c r="EU49" s="115" t="str">
        <x:f t="shared" si="80">IF(OR($A49="",$DE49&lt;&gt;"Live 20-30",$DF49="",$DF49&lt;$ES49,$DF49&gt;=90),"",MAX(0.05,MIN($BS49*$ET49,$BS49*(90-$DF49)/90+0.35*($DI49+$DJ49)+0.06*($DK49+$DL49)+0.15*($DM49+$DN49)+0.1*(MAX($DO49,$DP49)-MIN($DO49,$DP49)))))</x:f>
      </x:c>
      <x:c r="EV49" s="132"/>
      <x:c r="EW49" s="132"/>
      <x:c r="EX49" s="132"/>
      <x:c r="EY49" s="132"/>
      <x:c r="EZ49" s="132"/>
      <x:c r="FA49" s="132"/>
      <x:c r="FB49" s="247"/>
      <x:c r="FC49" s="134" t="str">
        <x:f t="shared" si="81">IF($A49="","",IF(OR($J49="",$L49="",$L49&lt;=0),"",MAX(0.5,MIN(1.5,$J49/$L49))))</x:f>
      </x:c>
      <x:c r="FD49" s="134" t="str">
        <x:f t="shared" si="82">IF($A49="","",IF(OR($Q49="",$S49="",$S49&lt;=0),"",MAX(0.5,MIN(1.5,$Q49/$S49))))</x:f>
      </x:c>
      <x:c r="FE49" s="134" t="str">
        <x:f>IF($A49="","",IF(COUNT($EV49:$EW49)&lt;2,"",SQRT($EV49*$EW49)/'Setari model'!$B$87))</x:f>
      </x:c>
      <x:c r="FF49" s="134" t="str">
        <x:f>IF($A49="","",IF(COUNT($O49,$V49,$EX49,$EY49)&lt;4,"",AVERAGE(SQRT($O49*$EY49),SQRT($V49*$EX49))/'Setari model'!$B$88))</x:f>
      </x:c>
      <x:c r="FG49" s="134" t="str">
        <x:f t="shared" si="83">IF($A49="","",IF(COUNT($FC49:$FD49)&lt;2,"",MAX(0,1-AVERAGE($FC49:$FD49))))</x:f>
      </x:c>
      <x:c r="FH49" s="134" t="str">
        <x:f>IF($A49="","",IF(COUNT($EZ49:$FA49)&lt;2,"",'Setari model'!$B$94*AVERAGE($EZ49:$FA49)/'Setari model'!$B$89))</x:f>
      </x:c>
      <x:c r="FI49" s="134" t="str">
        <x:f>IF($A49="","",IF(COUNT($FE49:$FH49)&lt;4,"",MAX('Setari model'!$B$97,MIN('Setari model'!$B$98,1+'Setari model'!$B$90*($FE49-1)+'Setari model'!$B$91*($FF49-1)+'Setari model'!$B$92*$FG49+'Setari model'!$B$93*($FH49-1)))))</x:f>
      </x:c>
      <x:c r="FJ49" s="133" t="str">
        <x:f>IF($A49="","",IF($FI49="","",MIN('Setari model'!$B$101,MAX(0.002,$DZ49*$FI49))))</x:f>
      </x:c>
      <x:c r="FK49" s="131" t="str">
        <x:f t="shared" si="84">IF($A49="","",IF(AND(COUNT($EV49:$FA49)=6,COUNT($O49,$V49,$FC49,$FD49)=4),"DA","NU"))</x:f>
      </x:c>
      <x:c r="FL49" s="131" t="str">
        <x:f>IF($A49="","",IF($FK49&lt;&gt;"DA","NEDETERMINAT",IF($FI49&lt;='Setari model'!$B$99,"SCĂZUT",IF($FI49&lt;='Setari model'!$B$100,"MEDIU","RIDICAT"))))</x:f>
      </x:c>
      <x:c r="FM49" s="131" t="str">
        <x:f>IF($A49="","",IF(AND($AR49&gt;1,$EC49&gt;='Setari model'!$B$106),"DA","NU"))</x:f>
      </x:c>
      <x:c r="FN49" s="131" t="str">
        <x:f t="shared" si="85">IF($A49="","",IF(AND($AU49=1,COUNT($CY49:$DB49)=4),"DA","NU"))</x:f>
      </x:c>
      <x:c r="FO49" s="133" t="str">
        <x:f>IF($A49="","",IF(OR($FK49&lt;&gt;"DA",$FL49="RIDICAT"),'Setari model'!$B$102,IF($FL49="MEDIU",'Setari model'!$B$103,IF(AND($FM49="DA",$FN49="DA"),'Setari model'!$B$105,'Setari model'!$B$104))))</x:f>
      </x:c>
      <x:c r="FP49" s="133" t="str">
        <x:f t="shared" si="86">IF($A49="","",IF($FJ49="","",MIN(1-$FJ49,$FO49)))</x:f>
      </x:c>
      <x:c r="FQ49" s="135" t="str">
        <x:f t="shared" si="87">IF($A49="","",IF($FP49="","",IF($FP49&gt;0,1/$FP49,"")))</x:f>
      </x:c>
      <x:c r="FR49" s="133" t="str">
        <x:f t="shared" si="88">IF($A49="","",IF($EC49="","",$FP49-$EC49))</x:f>
      </x:c>
      <x:c r="FS49" s="133" t="str">
        <x:f t="shared" si="89">IF($A49="","",IF($AR49&gt;1,$FP49*$AR49-1,""))</x:f>
      </x:c>
      <x:c r="FT49" s="136" t="str">
        <x:f>IF($A49="","",MAX(0,MIN(100,$EF49-IF($FK49&lt;&gt;"DA",'Setari model'!$B$107,0)-IF($FL49="MEDIU",'Setari model'!$B$108,0)-IF($FL49="RIDICAT",'Setari model'!$B$109,0))))</x:f>
      </x:c>
      <x:c r="FU49" s="131" t="str">
        <x:f t="shared" si="90">IF($A49="","",IF($AR49&lt;=1,"NU – LIPSEȘTE COTA REALĂ",IF($FK49&lt;&gt;"DA","NU – ZERO-RISK INCOMPLET",IF($FL49&lt;&gt;"SCĂZUT","NU – RISC 0-0 "&amp;$FL49,IF($FN49&lt;&gt;"DA","NU – LINEUP NECONFIRMAT",IF($FM49&lt;&gt;"DA","NU – PIAȚĂ NECONFIRMATĂ",IF($EP49&lt;&gt;"DA","NU – PORTOFOLIU","DA")))))))</x:f>
      </x:c>
      <x:c r="FV49" s="131" t="str">
        <x:f>IF($A49="","",IF($FU49&lt;&gt;"DA","WATCH / NO BET",IF(AND($FP49&gt;='Setari model'!$B$35,$FT49&gt;=100*'Setari model'!$B$76,$FS49&gt;0),"PARIU RECOMANDAT",IF(AND($FP49&gt;='Setari model'!$B$39,$FT49&gt;=100*'Setari model'!$B$40,$FS49&gt;0),"WATCH – APROAPE DE PRAG","PARIU EVITAT"))))</x:f>
      </x:c>
      <x:c r="FW49" s="131" t="str">
        <x:f t="shared" si="91">IF($A49="","",IF($FU49&lt;&gt;"DA",$FU49,IF($FT49&lt;75,"Confidence v3 sub 75.",IF($FP49&lt;0.92,"P v3 sub 92%.",IF($FS49&lt;=0,"EV v3 nepozitiv.","P0 v3, lineup și piață confirmate.")))))</x:f>
      </x:c>
      <x:c r="FX49" s="131" t="str">
        <x:f t="shared" si="92">IF($A49="","","P v3="&amp;TEXT($FP49,"0.0%")&amp;"; P0 v3="&amp;TEXT($FJ49,"0.0%")&amp;"; factor zero="&amp;IF($FI49="","n/a",TEXT($FI49,"0.00x"))&amp;" ("&amp;$FL49&amp;"); cap="&amp;TEXT($FO49,"0.0%")&amp;"; Confidence="&amp;TEXT($FT49,"0")&amp;"/100; lineup="&amp;$FN49&amp;"; piață="&amp;$FM49&amp;"; EV="&amp;IF($FS49="","n/a",TEXT($FS49,"0.0%"))&amp;"; gate="&amp;$FU49&amp;"; verdict="&amp;$FV49&amp;". "&amp;$FW49)</x:f>
      </x:c>
      <x:c r="FY49" s="159"/>
      <x:c r="FZ49" s="159"/>
      <x:c r="GA49" s="157"/>
      <x:c r="GB49" s="157"/>
      <x:c r="GC49" s="161" t="str">
        <x:f t="shared" si="93">IF($A49="","",IF(OR($X49="",$Z49="",$Z49&lt;=0),"",MAX(0.5,MIN(1.5,$X49/$Z49))))</x:f>
      </x:c>
      <x:c r="GD49" s="161" t="str">
        <x:f t="shared" si="94">IF($A49="","",IF(OR($AC49="",$AE49="",$AE49&lt;=0),"",MAX(0.5,MIN(1.5,$AC49/$AE49))))</x:f>
      </x:c>
      <x:c r="GE49" s="162" t="str">
        <x:f t="shared" si="95">IF($A49="","",IF(COUNT($Z49,$AE49)&lt;2,"",AVERAGE($Z49,$AE49)))</x:f>
      </x:c>
      <x:c r="GF49" s="158" t="str">
        <x:f>IF($A49="","",IF(COUNT($FY49:$FZ49)&lt;2,"NEDETERMINAT",IF(AND($FY49&gt;='Setari model'!$B$113,$FZ49&gt;='Setari model'!$B$113),"DA","NU")))</x:f>
      </x:c>
      <x:c r="GG49" s="158" t="str">
        <x:f>IF($A49="","",IF(COUNT($FY49:$FZ49,$EX49:$EY49)&lt;4,"NEDETERMINAT",IF(OR(AND($FY49&gt;='Setari model'!$B$113,$EY49&gt;='Setari model'!$B$114),AND($FZ49&gt;='Setari model'!$B$113,$EX49&gt;='Setari model'!$B$114)),"DA","NU")))</x:f>
      </x:c>
      <x:c r="GH49" s="158" t="str">
        <x:f>IF($A49="","",IF(COUNT($BJ49:$BN49,$GC49:$GE49)&lt;8,"NEDETERMINAT",IF(AND((($BJ49*INDEX('Setari model'!$B$5:$B$11,MATCH($E49,'Setari model'!$A$5:$A$11,0))+$BK49*INDEX('Setari model'!$C$5:$C$11,MATCH($E49,'Setari model'!$A$5:$A$11,0))+$BL49*INDEX('Setari model'!$D$5:$D$11,MATCH($E49,'Setari model'!$A$5:$A$11,0))+$BM49*INDEX('Setari model'!$E$5:$E$11,MATCH($E49,'Setari model'!$A$5:$A$11,0))+$BN49*INDEX('Setari model'!$F$5:$F$11,MATCH($E49,'Setari model'!$A$5:$A$11,0)))/(INDEX('Setari model'!$B$5:$B$11,MATCH($E49,'Setari model'!$A$5:$A$11,0))+INDEX('Setari model'!$C$5:$C$11,MATCH($E49,'Setari model'!$A$5:$A$11,0))+INDEX('Setari model'!$D$5:$D$11,MATCH($E49,'Setari model'!$A$5:$A$11,0))+INDEX('Setari model'!$E$5:$E$11,MATCH($E49,'Setari model'!$A$5:$A$11,0))+INDEX('Setari model'!$F$5:$F$11,MATCH($E49,'Setari model'!$A$5:$A$11,0))))*$BR49&gt;='Setari model'!$B$115,(($BJ49*INDEX('Setari model'!$B$5:$B$11,MATCH($E49,'Setari model'!$A$5:$A$11,0))+$BK49*INDEX('Setari model'!$C$5:$C$11,MATCH($E49,'Setari model'!$A$5:$A$11,0))+$BL49*INDEX('Setari model'!$D$5:$D$11,MATCH($E49,'Setari model'!$A$5:$A$11,0))+$BM49*INDEX('Setari model'!$E$5:$E$11,MATCH($E49,'Setari model'!$A$5:$A$11,0))+$BN49*INDEX('Setari model'!$F$5:$F$11,MATCH($E49,'Setari model'!$A$5:$A$11,0)))/(INDEX('Setari model'!$B$5:$B$11,MATCH($E49,'Setari model'!$A$5:$A$11,0))+INDEX('Setari model'!$C$5:$C$11,MATCH($E49,'Setari model'!$A$5:$A$11,0))+INDEX('Setari model'!$D$5:$D$11,MATCH($E49,'Setari model'!$A$5:$A$11,0))+INDEX('Setari model'!$E$5:$E$11,MATCH($E49,'Setari model'!$A$5:$A$11,0))+INDEX('Setari model'!$F$5:$F$11,MATCH($E49,'Setari model'!$A$5:$A$11,0))))*$BR49&lt;='Setari model'!$B$116,AVERAGE($GC49:$GD49)&lt;='Setari model'!$B$117,$GE49&gt;='Setari model'!$B$118),"DA","NU")))</x:f>
      </x:c>
      <x:c r="GI49" s="158" t="str">
        <x:f>IF($A49="","",IF(COUNT($W49,$AB49,$GA49:$GB49)&lt;4,"NEDETERMINAT",IF(AND($W49&gt;='Setari model'!$B$120,$AB49&gt;='Setari model'!$B$120,OR(IFERROR($GA49/$W49,0)&gt;='Setari model'!$B$119,IFERROR($GB49/$AB49,0)&gt;='Setari model'!$B$119)),"DA","NU")))</x:f>
      </x:c>
      <x:c r="GJ49" s="160" t="str">
        <x:f>IF($A49="","",IF(COUNT($FY49:$GB49)&lt;4,"",IF($GH49&lt;&gt;"DA",0,'Setari model'!$B$121*IF($GF49="DA",1,0)+'Setari model'!$B$122*IF($GG49="DA",1,0)+'Setari model'!$B$123+'Setari model'!$B$124*IF($GI49="DA",1,0))))</x:f>
      </x:c>
      <x:c r="GK49" s="161" t="str">
        <x:f>IF($A49="","",IF(COUNT($GJ49)=0,"",1+'Setari model'!$B$125*$GJ49))</x:f>
      </x:c>
      <x:c r="GL49" s="160" t="str">
        <x:f>IF($A49="","",IF($GM49&lt;&gt;"DA",$FJ49,MIN('Setari model'!$B$101,MAX(0.002,$FJ49*$GK49))))</x:f>
      </x:c>
      <x:c r="GM49" s="158" t="str">
        <x:f>IF($A49="","",IF(AND($FK49="DA",COUNT($FY49:$GB49)=4,COUNT($I49,$P49,$W49,$AB49,$Z49,$AE49,$EX49,$EY49,$GC49,$GD49)=10,COUNT($BJ49:$BN49)=5),"DA","NU"))</x:f>
      </x:c>
      <x:c r="GN49" s="158" t="str">
        <x:f>IF($A49="","",IF($GM49&lt;&gt;"DA","NEDETERMINAT",IF($FI49*$GK49&lt;='Setari model'!$B$99,"SCĂZUT",IF($FI49*$GK49&lt;='Setari model'!$B$100,"MEDIU","RIDICAT"))))</x:f>
      </x:c>
      <x:c r="GO49" s="160" t="str">
        <x:f>IF($A49="","",IF(OR($GM49&lt;&gt;"DA",$GN49="RIDICAT"),'Setari model'!$B$102,IF($GN49="MEDIU",'Setari model'!$B$103,IF(AND($FM49="DA",$FN49="DA"),'Setari model'!$B$105,'Setari model'!$B$104))))</x:f>
      </x:c>
      <x:c r="GP49" s="160" t="str">
        <x:f t="shared" si="96">IF($A49="","",IF($GL49="","",MIN(1-$GL49,$GO49)))</x:f>
      </x:c>
      <x:c r="GQ49" s="162" t="str">
        <x:f t="shared" si="97">IF($A49="","",IF($GP49="","",IF($GP49&gt;0,1/$GP49,"")))</x:f>
      </x:c>
      <x:c r="GR49" s="160" t="str">
        <x:f t="shared" si="98">IF($A49="","",IF($EC49="","",$GP49-$EC49))</x:f>
      </x:c>
      <x:c r="GS49" s="160" t="str">
        <x:f t="shared" si="99">IF($A49="","",IF($AR49&gt;1,$GP49*$AR49-1,""))</x:f>
      </x:c>
      <x:c r="GT49" s="163" t="str">
        <x:f>IF($A49="","",MAX(0,MIN(100,$FT49-IF(AND($GM49&lt;&gt;"DA",$FK49="DA"),'Setari model'!$B$107,0)-'Setari model'!$B$126*IF($GJ49="",0,$GJ49))))</x:f>
      </x:c>
      <x:c r="GU49" s="158" t="str">
        <x:f t="shared" si="100">IF($A49="","",IF($AR49&lt;=1,"NU – LIPSEȘTE COTA REALĂ",IF($GM49&lt;&gt;"DA","NU – DATE LOW-CONVERSION INCOMPLETE",IF($GN49&lt;&gt;"SCĂZUT","NU – RISC 0-0 "&amp;$GN49,IF($FN49&lt;&gt;"DA","NU – LINEUP NECONFIRMAT",IF($FM49&lt;&gt;"DA","NU – PIAȚĂ NECONFIRMATĂ",IF($EP49&lt;&gt;"DA","NU – PORTOFOLIU","DA")))))))</x:f>
      </x:c>
      <x:c r="GV49" s="158" t="str">
        <x:f>IF($A49="","",IF($GU49&lt;&gt;"DA","WATCH / NO BET",IF(AND($GP49&gt;='Setari model'!$B$35,$GT49&gt;=100*'Setari model'!$B$76,$GS49&gt;0),"PARIU RECOMANDAT",IF(AND($GP49&gt;='Setari model'!$B$39,$GT49&gt;=100*'Setari model'!$B$40,$GS49&gt;0),"WATCH – APROAPE DE PRAG","PARIU EVITAT"))))</x:f>
      </x:c>
      <x:c r="GW49" s="158" t="str">
        <x:f t="shared" si="101">IF($A49="","",IF($GU49&lt;&gt;"DA",$GU49,IF($GT49&lt;75,"Confidence v5 sub 75.",IF($GP49&lt;0.92,"P v5 sub 92%.",IF($GS49&lt;=0,"EV v5 nepozitiv.",IF($GJ49&gt;0,"Low-conversion absorbit în P0; toate porțile rămân trecute.","Toate porțile v5 sunt trecute."))))))</x:f>
      </x:c>
      <x:c r="GX49" s="158" t="str">
        <x:f t="shared" si="102">IF($A49="","","P v5="&amp;TEXT($GP49,"0.0%")&amp;"; P0 v5="&amp;TEXT($GL49,"0.0%")&amp;"; low-conv="&amp;IF(COUNT($GJ49)=0,"n/a",TEXT($GJ49,"0%"))&amp;"; mult.P0="&amp;IF(COUNT($GK49)=0,"n/a",TEXT($GK49,"0.00"))&amp;"; clasă="&amp;$GN49&amp;"; cap="&amp;TEXT($GO49,"0.0%")&amp;"; Confidence="&amp;TEXT($GT49,"0")&amp;"/100; lineup="&amp;$FN49&amp;"; piață="&amp;$FM49&amp;"; EV="&amp;IF($GS49="","n/a",TEXT($GS49,"0.0%"))&amp;"; gate="&amp;$GU49&amp;"; verdict="&amp;$GV49&amp;". "&amp;$GW49)</x:f>
      </x:c>
      <x:c r="GY49" s="174" t="str">
        <x:f>IF($A49="","",IF($GM49&lt;&gt;"DA","SOURCING INCOMPLETE – REVIEW REQUIRED",IF(MIN($I49,$P49,$W49,$AB49)&lt;'Setari model'!$B$58,"SMALL SAMPLE + PRIOR / SHRINKAGE","VERIFIED / PRIOR / SHRINKAGE")))</x:f>
      </x:c>
      <x:c r="GZ49" s="175" t="str">
        <x:f t="shared" si="103">IF($A49="","",MAX(0,MIN(100,100*(1-AVERAGE(IF($GM49="DA",1,0),MIN(1,$AT49/5))))))</x:f>
      </x:c>
      <x:c r="HA49" s="175" t="str">
        <x:f>IF($A49="","",IF($GM49&lt;&gt;"DA","",MAX(0,MIN(100,100*(($FI49*$GK49)-'Setari model'!$B$97)/('Setari model'!$B$98-'Setari model'!$B$97)))))</x:f>
      </x:c>
      <x:c r="HB49" s="175" t="str">
        <x:f>IF($A49="","",MAX(0,MIN(100,100*(ABS($BR49-1)/MAX(1-'Setari model'!$B$53,'Setari model'!$B$54-1)+MIN(1,$BG49/2))/2)))</x:f>
      </x:c>
      <x:c r="HC49" s="175" t="str">
        <x:f t="shared" si="104">IF($A49="","",MAX(0,MIN(100,100*(1-AVERAGE($CC49,MAX(0,1-(MAX($BJ49:$BN49)-MIN($BJ49:$BN49))/(AVERAGE($BJ49:$BN49)*'Setari model'!$B$45)))))))</x:f>
      </x:c>
      <x:c r="HD49" s="175" t="str">
        <x:f t="shared" si="105">IF($A49="","",MAX(0,MIN(100,100*MAX(IF($GJ49="",0,$GJ49),MIN(1,$BG49/2)))))</x:f>
      </x:c>
      <x:c r="HE49" s="175" t="str">
        <x:f>IF($A49="","",IF(COUNT($GZ49:$HD49)&lt;5,"",$GZ49*Risk_Classification!$E$28+$HA49*Risk_Classification!$E$29+$HB49*Risk_Classification!$E$30+$HC49*Risk_Classification!$E$31+$HD49*Risk_Classification!$E$32))</x:f>
      </x:c>
      <x:c r="HF49" s="176" t="str">
        <x:f t="shared" si="106">IF($A49="","",IF($HE49="","",IF($HE49&lt;=20,1,IF($HE49&lt;=40,2,IF($HE49&lt;=60,3,IF($HE49&lt;=80,4,5))))))</x:f>
      </x:c>
      <x:c r="HG49" s="176" t="str">
        <x:f t="shared" si="107">IF($A49="","",IF($GM49="DA","PASS","FAIL – DATE CRITICE ZERO-MASS INCOMPLETE"))</x:f>
      </x:c>
      <x:c r="HH49" s="176" t="str">
        <x:f t="shared" si="108">IF($A49="","",IF($HG49&lt;&gt;"PASS",5,$HF49))</x:f>
      </x:c>
      <x:c r="HI49" s="174" t="str">
        <x:f t="shared" si="109">IF($A49="","",IF($HH49="","N/A",IF($HH49=1,"DEFENSIV",IF($HH49=2,"PRUDENT",IF($HH49=3,"MODERAT",IF($HH49=4,"RIDICAT","WATCH / NO BET"))))))</x:f>
      </x:c>
      <x:c r="HJ49" s="177" t="str">
        <x:f t="shared" si="110">IF($A49="","","Data="&amp;$GY49&amp;"; DQ="&amp;TEXT($GZ49,"0.0")&amp;"; ZM="&amp;IF($HA49="","n/a",TEXT($HA49,"0.0"))&amp;"; Context="&amp;TEXT($HB49,"0.0")&amp;"; Uncertainty="&amp;TEXT($HC49,"0.0")&amp;"; Compound="&amp;TEXT($HD49,"0.0")&amp;"; Risk Score="&amp;IF($HE49="","n/a",TEXT($HE49,"0.0"))&amp;"; Base="&amp;IF($HF49="","n/a",$HF49)&amp;"; G0="&amp;$HG49&amp;"; Final="&amp;$HH49&amp;". Cota, EV si lineup sunt informative si nu intra in recomandare.")</x:f>
      </x:c>
      <x:c r="HK49" s="174" t="str">
        <x:f t="shared" si="111">IF($A49="","",$HI49)</x:f>
      </x:c>
    </x:row>
    <x:row r="50" ht="24" customHeight="1">
      <x:c r="A50" s="58"/>
      <x:c r="B50" s="24"/>
      <x:c r="C50" s="59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18"/>
      <x:c r="O50" s="18"/>
      <x:c r="P50" s="24"/>
      <x:c r="Q50" s="24"/>
      <x:c r="R50" s="24"/>
      <x:c r="S50" s="24"/>
      <x:c r="T50" s="24"/>
      <x:c r="U50" s="18"/>
      <x:c r="V50" s="18"/>
      <x:c r="W50" s="24"/>
      <x:c r="X50" s="24"/>
      <x:c r="Y50" s="24"/>
      <x:c r="Z50" s="24"/>
      <x:c r="AA50" s="24"/>
      <x:c r="AB50" s="24"/>
      <x:c r="AC50" s="24"/>
      <x:c r="AD50" s="24"/>
      <x:c r="AE50" s="24"/>
      <x:c r="AF50" s="24"/>
      <x:c r="AG50" s="24"/>
      <x:c r="AH50" s="24"/>
      <x:c r="AI50" s="18"/>
      <x:c r="AJ50" s="24"/>
      <x:c r="AK50" s="24"/>
      <x:c r="AL50" s="24"/>
      <x:c r="AM50" s="18"/>
      <x:c r="AN50" s="24"/>
      <x:c r="AO50" s="60"/>
      <x:c r="AP50" s="60"/>
      <x:c r="AQ50" s="60"/>
      <x:c r="AR50" s="60"/>
      <x:c r="AS50" s="60"/>
      <x:c r="AT50" s="24"/>
      <x:c r="AU50" s="24"/>
      <x:c r="AV50" s="24"/>
      <x:c r="AW50" s="24"/>
      <x:c r="AX50" s="24"/>
      <x:c r="AY50" s="24"/>
      <x:c r="AZ50" s="24"/>
      <x:c r="BA50" s="24"/>
      <x:c r="BB50" s="24"/>
      <x:c r="BC50" s="24"/>
      <x:c r="BD50" s="24"/>
      <x:c r="BE50" s="24"/>
      <x:c r="BF50" s="24"/>
      <x:c r="BG50" s="24"/>
      <x:c r="BH50" s="61"/>
      <x:c r="BI50" s="61"/>
      <x:c r="BJ50" s="62" t="str">
        <x:f>IF($A50="","",SQRT((($I50*IF($J50="",$AJ50,$J50)+'Setari model'!$B$30*$AJ50)/($I50+'Setari model'!$B$30))*(($P50*IF($R50="",$AJ50,$R50)+'Setari model'!$B$30*$AJ50)/($P50+'Setari model'!$B$30)))+SQRT((($P50*IF($Q50="",$AK50,$Q50)+'Setari model'!$B$30*$AK50)/($P50+'Setari model'!$B$30))*(($I50*IF($K50="",$AK50,$K50)+'Setari model'!$B$30*$AK50)/($I50+'Setari model'!$B$30))))</x:f>
      </x:c>
      <x:c r="BK50" s="62" t="str">
        <x:f>IF($A50="","",SQRT((($I50*IF($L50="",IF($J50="",$AJ50,$J50),$L50)+'Setari model'!$B$30*$AJ50)/($I50+'Setari model'!$B$30))*(($P50*IF($T50="",IF($R50="",$AJ50,$R50),$T50)+'Setari model'!$B$30*$AJ50)/($P50+'Setari model'!$B$30)))+SQRT((($P50*IF($S50="",IF($Q50="",$AK50,$Q50),$S50)+'Setari model'!$B$30*$AK50)/($P50+'Setari model'!$B$30))*(($I50*IF($M50="",IF($K50="",$AK50,$K50),$M50)+'Setari model'!$B$30*$AK50)/($I50+'Setari model'!$B$30))))</x:f>
      </x:c>
      <x:c r="BL50" s="62" t="str">
        <x:f>IF($A50="","",SQRT((($W50*IF($X50="",$AL50/2,$X50)+'Setari model'!$B$31*$AL50/2)/($W50+'Setari model'!$B$31))*(($AB50*IF($AD50="",$AL50/2,$AD50)+'Setari model'!$B$31*$AL50/2)/($AB50+'Setari model'!$B$31)))+SQRT((($AB50*IF($AC50="",$AL50/2,$AC50)+'Setari model'!$B$31*$AL50/2)/($AB50+'Setari model'!$B$31))*(($W50*IF($Y50="",$AL50/2,$Y50)+'Setari model'!$B$31*$AL50/2)/($W50+'Setari model'!$B$31))))</x:f>
      </x:c>
      <x:c r="BM50" s="62" t="str">
        <x:f>IF($A50="","",SQRT((($W50*IF($Z50="",IF($X50="",$AL50/2,$X50),$Z50)+'Setari model'!$B$31*$AL50/2)/($W50+'Setari model'!$B$31))*(($AB50*IF($AF50="",IF($AD50="",$AL50/2,$AD50),$AF50)+'Setari model'!$B$31*$AL50/2)/($AB50+'Setari model'!$B$31)))+SQRT((($AB50*IF($AE50="",IF($AC50="",$AL50/2,$AC50),$AE50)+'Setari model'!$B$31*$AL50/2)/($AB50+'Setari model'!$B$31))*(($W50*IF($AA50="",IF($Y50="",$AL50/2,$Y50),$AA50)+'Setari model'!$B$31*$AL50/2)/($W50+'Setari model'!$B$31))))</x:f>
      </x:c>
      <x:c r="BN50" s="62" t="str">
        <x:f t="shared" si="56">IF($A50="","",IF($AG50&gt;0,($AG50*IF($AH50="",$AL50,$AH50)+5*$AL50)/($AG50+5),$AL50))</x:f>
      </x:c>
      <x:c r="BO50" s="63" t="str">
        <x:f>IF($A50="","",IF($AR50&gt;1,IF($AS50&gt;1,(1/$AR50)/((1/$AR50+1/$AS50)),MIN(0.995,(1/$AR50)/(1+'Setari model'!$B$32))),1-EXP(-$AL50)))</x:f>
      </x:c>
      <x:c r="BP50" s="62" t="str">
        <x:f t="shared" si="57">IF($A50="","",-LN(1-$BO50))</x:f>
      </x:c>
      <x:c r="BQ50" s="62" t="str">
        <x:f>IF($A50="","",$BJ50*INDEX('Setari model'!$B$5:$B$11,MATCH($E50,'Setari model'!$A$5:$A$11,0))+$BK50*INDEX('Setari model'!$C$5:$C$11,MATCH($E50,'Setari model'!$A$5:$A$11,0))+$BL50*INDEX('Setari model'!$D$5:$D$11,MATCH($E50,'Setari model'!$A$5:$A$11,0))+$BM50*INDEX('Setari model'!$E$5:$E$11,MATCH($E50,'Setari model'!$A$5:$A$11,0))+$BN50*INDEX('Setari model'!$F$5:$F$11,MATCH($E50,'Setari model'!$A$5:$A$11,0))+$BP50*INDEX('Setari model'!$G$5:$G$11,MATCH($E50,'Setari model'!$A$5:$A$11,0)))</x:f>
      </x:c>
      <x:c r="BR50" s="64" t="str">
        <x:f>IF($A50="","",MAX('Setari model'!$B$53,MIN('Setari model'!$B$54,1+($AV50*'Setari model'!$B$15+$AW50*'Setari model'!$B$16+$AX50*'Setari model'!$B$17+$AY50*'Setari model'!$B$18+$AZ50*'Setari model'!$B$19+$BA50*'Setari model'!$B$20+$BB50*'Setari model'!$B$21+$BC50*'Setari model'!$B$22+$BD50*'Setari model'!$B$23+$BE50*'Setari model'!$B$24+$BF50*'Setari model'!$B$25)*INDEX('Setari model'!$H$5:$H$11,MATCH($E50,'Setari model'!$A$5:$A$11,0)))))</x:f>
      </x:c>
      <x:c r="BS50" s="62" t="str">
        <x:f t="shared" si="58">IF($A50="","",$BQ50*$BR50)</x:f>
      </x:c>
      <x:c r="BT50" s="63" t="str">
        <x:f t="shared" si="59">IF($A50="","",EXP(-$BS50))</x:f>
      </x:c>
      <x:c r="BU50" s="65" t="str">
        <x:f>IF($A50="","",IF(OR($AM50="",$AN50=""),1,1+MIN('Setari model'!$B$33,$AN50/100*'Setari model'!$B$33)*($AM50/EXP(-$AL50)-1)))</x:f>
      </x:c>
      <x:c r="BV50" s="63" t="str">
        <x:f>IF($A50="","",MIN(0.45,MAX(0.005,(1-'Setari model'!$B$34*MIN(1,($I50+$P50)/20))*MIN(0.45,$BT50*$BU50)+'Setari model'!$B$34*MIN(1,($I50+$P50)/20)*IF(COUNT($N50,$U50)=2,SQRT(MAX(0,1-$N50)*MAX(0,1-$U50)),IF($AM50="",EXP(-$AL50),$AM50)))))</x:f>
      </x:c>
      <x:c r="BW50" s="63" t="str">
        <x:f t="shared" si="60">IF($A50="","",1-$BV50)</x:f>
      </x:c>
      <x:c r="BX50" s="62" t="str">
        <x:f t="shared" si="61">IF($A50="","",1/$BW50)</x:f>
      </x:c>
      <x:c r="BY50" s="63" t="str">
        <x:f t="shared" si="62">IF($A50="","",$BO50)</x:f>
      </x:c>
      <x:c r="BZ50" s="63" t="str">
        <x:f t="shared" si="63">IF($A50="","",$BW50-$BY50)</x:f>
      </x:c>
      <x:c r="CA50" s="63" t="str">
        <x:f t="shared" si="64">IF($A50="","",IF($AR50&gt;1,$BW50*$AR50-1,""))</x:f>
      </x:c>
      <x:c r="CB50" s="63" t="str">
        <x:f>IF($A50="","",MIN(1,COUNT($I50:$AN50,$AR50:$BG50)/'Setari model'!$B$46))</x:f>
      </x:c>
      <x:c r="CC50" s="63" t="str">
        <x:f t="shared" si="65">IF($A50="","",0.25*MIN(1,$I50/10)+0.25*MIN(1,$P50/10)+0.15*MIN(1,$W50/5)+0.15*MIN(1,$AB50/5)+0.1*MIN(1,$AG50/5)+0.1*MIN(1,$AN50/100))</x:f>
      </x:c>
      <x:c r="CD50" s="63" t="str">
        <x:f>IF($A50="","",MAX(0,1-(MAX($BJ50:$BN50,$BP50)-MIN($BJ50:$BN50,$BP50))/(AVERAGE($BJ50:$BN50,$BP50)*'Setari model'!$B$45)))</x:f>
      </x:c>
      <x:c r="CE50" s="66" t="str">
        <x:f>IF($A50="","",MAX(0,MIN(100,100*INDEX('Setari model'!$I$5:$I$11,MATCH($E50,'Setari model'!$A$5:$A$11,0))*('Setari model'!$B$47*$CB50+'Setari model'!$B$48*$CC50+'Setari model'!$B$49*$CD50+'Setari model'!$B$50*$AT50/5+'Setari model'!$B$51*$AU50)-100*'Setari model'!$B$52*$BG50)))</x:f>
      </x:c>
      <x:c r="CF50" s="65" t="str">
        <x:f t="shared" si="66">IF($A50="","",IF(OR($AT50&lt;3,$BG50&gt;=2,$CB50&lt;0.55,$CC50&lt;0.4),"RIDICAT",IF(OR($AU50=0,$CD50&lt;0.45,$BR50&lt;0.9),"MEDIU","SCĂZUT")))</x:f>
      </x:c>
      <x:c r="CG50" s="65" t="str">
        <x:f>IF($A50="","",IF($AR50&gt;1,IF(AND($BW50&gt;= 'Setari model'!$B$35,$CE50&gt;=100*'Setari model'!$B$36,$BZ50&gt;= 'Setari model'!$B$37,$CA50&gt;= 'Setari model'!$B$38,$CF50&lt;&gt;"RIDICAT"),"PARIU RECOMANDAT",IF(AND($BW50&gt;= 'Setari model'!$B$39,$CE50&gt;=100*'Setari model'!$B$40,$BZ50&gt;= 'Setari model'!$B$41,$CA50&gt;=0,$CF50&lt;&gt;"RIDICAT"),"RECOMANDAT CU PRUDENȚĂ",IF(AND($BW50&gt;= 'Setari model'!$B$42,$CE50&gt;=100*'Setari model'!$B$43),"ANALIZĂ NECONCLUDENTĂ","PARIU EVITAT"))),IF(AND($BW50&gt;= 'Setari model'!$B$35,$CE50&gt;=100*'Setari model'!$B$36,$CF50&lt;&gt;"RIDICAT"),"FAVORABIL STATISTIC – VERIFICĂ COTA",IF(AND($BW50&gt;= 'Setari model'!$B$42,$CE50&gt;=100*'Setari model'!$B$43),"ANALIZĂ NECONCLUDENTĂ","PARIU EVITAT"))))</x:f>
      </x:c>
      <x:c r="CH50" s="67" t="str">
        <x:f t="shared" si="67">IF($A50="","","P(O0,5)="&amp;TEXT($BW50,"0.0%")&amp;"; λ ajustat="&amp;TEXT($BS50,"0.00")&amp;"; Confidence="&amp;TEXT($CE50,"0")&amp;"/100; Edge="&amp;TEXT($BZ50,"0.0%")&amp;"; risc="&amp;$CF50&amp;". "&amp;$BH50)</x:f>
      </x:c>
      <x:c r="CI50" s="68" t="str">
        <x:f t="shared" si="68">IF($A50="","",$BI50)</x:f>
      </x:c>
      <x:c r="CJ50" s="112"/>
      <x:c r="CK50" s="112"/>
      <x:c r="CL50" s="112"/>
      <x:c r="CM50" s="112"/>
      <x:c r="CN50" s="112"/>
      <x:c r="CO50" s="112"/>
      <x:c r="CP50" s="112"/>
      <x:c r="CQ50" s="112"/>
      <x:c r="CR50" s="112"/>
      <x:c r="CS50" s="112"/>
      <x:c r="CT50" s="112"/>
      <x:c r="CU50" s="112"/>
      <x:c r="CV50" s="112"/>
      <x:c r="CW50" s="112"/>
      <x:c r="CX50" s="112"/>
      <x:c r="CY50" s="112"/>
      <x:c r="CZ50" s="112"/>
      <x:c r="DA50" s="112"/>
      <x:c r="DB50" s="112"/>
      <x:c r="DC50" s="114"/>
      <x:c r="DD50" s="114"/>
      <x:c r="DE50" s="112" t="s">
        <x:v>266</x:v>
      </x:c>
      <x:c r="DF50" s="112"/>
      <x:c r="DG50" s="112"/>
      <x:c r="DH50" s="112"/>
      <x:c r="DI50" s="112"/>
      <x:c r="DJ50" s="112"/>
      <x:c r="DK50" s="112"/>
      <x:c r="DL50" s="112"/>
      <x:c r="DM50" s="112"/>
      <x:c r="DN50" s="112"/>
      <x:c r="DO50" s="112"/>
      <x:c r="DP50" s="112"/>
      <x:c r="DQ50" s="114"/>
      <x:c r="DR50" s="112">
        <x:v>1</x:v>
      </x:c>
      <x:c r="DS50" s="116">
        <x:v>0</x:v>
      </x:c>
      <x:c r="DT50" s="120"/>
      <x:c r="DU50" s="116">
        <x:v>0.02</x:v>
      </x:c>
      <x:c r="DV50" s="116">
        <x:v>0.25</x:v>
      </x:c>
      <x:c r="DW50" s="118" t="str">
        <x:f>IF($A50="","",MAX('Setari model'!$B$71,MIN('Setari model'!$B$72,1+0.08*(IFERROR(AVERAGE($CM50:$CN50)/'Setari model'!$B$66,1)-1)+0.08*(IFERROR(AVERAGE($CO50:$CP50)/'Setari model'!$B$67,1)-1)+0.06*(IFERROR(AVERAGE($CQ50:$CR50)/'Setari model'!$B$68,1)-1)+0.04*(IFERROR(AVERAGE($CS50:$CT50)/'Setari model'!$B$69,1)-1)+0.04*(IFERROR(AVERAGE($CU50:$CV50)/'Setari model'!$B$70,1)-1)-'Setari model'!$B$73*IFERROR(AVERAGE($CW50:$CX50),0))))</x:f>
      </x:c>
      <x:c r="DX50" s="118" t="str">
        <x:f>IF($A50="","",1+'Setari model'!$B$62*MAX(IF(OR($CK50=1,$CL50=1),1,0),IF(AND($CJ50&lt;&gt;"",$CJ50&lt;=1),1,0))+'Setari model'!$B$63*IF(AND($CJ50&gt;1,$CJ50&lt;=3),1,0))</x:f>
      </x:c>
      <x:c r="DY50" s="118" t="str">
        <x:f>IF($A50="","",1+'Setari model'!$B$74*(IF($CY50="",0,IF($CY50=0,1,0))+IF($CZ50="",0,IF($CZ50=0,1,0)))+'Setari model'!$B$75*(IF($DA50="",0,IF($DA50=0,1,0))+IF($DB50="",0,IF($DB50=0,1,0))))</x:f>
      </x:c>
      <x:c r="DZ50" s="117" t="str">
        <x:f>IF($A50="","",MIN(0.6,MAX(0.002,(((1-'Setari model'!$B$34*MIN(1,($I50+$P50)/20))*$BT50+'Setari model'!$B$34*MIN(1,($I50+$P50)/20)*IF(COUNT($N50,$U50)=2,SQRT(MAX(0,1-$N50)*MAX(0,1-$U50)),$BT50))*(1-'Setari model'!$B$65*MIN(1,IF($AN50="",0,$AN50/'Setari model'!$B$64)))+'Setari model'!$B$65*MIN(1,IF($AN50="",0,$AN50/'Setari model'!$B$64))*IF($AM50="",$BT50,$AM50))*$DX50*$DY50/$DW50)))</x:f>
      </x:c>
      <x:c r="EA50" s="117" t="str">
        <x:f>IF($A50="","",MIN(1-$DZ50,IF(OR(MIN($I50,$P50)&lt;'Setari model'!$B$58,$CK50=1,$CL50=1,AND($CJ50&lt;&gt;"",$CJ50&lt;=1)),'Setari model'!$B$59,IF(AND($AU50=1,$AR50&gt;1,COUNT($CY50:$DB50)=4),'Setari model'!$B$61,'Setari model'!$B$60))))</x:f>
      </x:c>
      <x:c r="EB50" s="115" t="str">
        <x:f t="shared" si="69">IF($A50="","",1/$EA50)</x:f>
      </x:c>
      <x:c r="EC50" s="117" t="str">
        <x:f t="shared" si="70">IF($A50="","",IF($AR50&gt;1,IF($AS50&gt;1,(1/$AR50)/((1/$AR50)+(1/$AS50)),1/$AR50),""))</x:f>
      </x:c>
      <x:c r="ED50" s="117" t="str">
        <x:f t="shared" si="71">IF($A50="","",IF($EC50="","",$EA50-$EC50))</x:f>
      </x:c>
      <x:c r="EE50" s="117" t="str">
        <x:f t="shared" si="72">""</x:f>
      </x:c>
      <x:c r="EF50" s="119" t="str">
        <x:f>IF($A50="","",MAX(0,MIN(100,$CE50-200*MAX(0,$EG50-'Setari model'!$B$77)-IF($AU50&lt;&gt;1,10,0)-IF(COUNT($CY50:$DB50)&lt;4,4,0))))</x:f>
      </x:c>
      <x:c r="EG50" s="117" t="str">
        <x:f>IF($A50="","",'Setari model'!$B$77+IF(MIN($I50,$P50)&lt;'Setari model'!$B$58,0.03,0)+IF(OR($CK50=1,$CL50=1,AND($CJ50&lt;&gt;"",$CJ50&lt;=1)),0.03,0)+IF($AG50=0,0.02,0)+0.03*(1-MIN(1,COUNT($CM50:$CV50)/10))+0.03*(1-MIN(1,IF($AN50="",0,$AN50/'Setari model'!$B$64)))+IF($AR50&lt;=1,0.02,0))</x:f>
      </x:c>
      <x:c r="EH50" s="113" t="str">
        <x:f>IF($A50="","",IF(OR(MIN($I50,$P50)&lt;'Setari model'!$B$58,$CK50=1,$CL50=1,AND($CJ50&lt;&gt;"",$CJ50&lt;=1)),"92% – early/regim",IF(AND($AU50=1,$AR50&gt;1,COUNT($CY50:$DB50)=4),"94% – confirmat","93% – standard")))</x:f>
      </x:c>
      <x:c r="EI50" s="113" t="str">
        <x:f t="shared" si="73">IF($A50="","",IF(AND($EA50&gt;0.9,$AU50&lt;&gt;1),"WAIT XI – HIGH P",IF(AND($EA50&gt;0.9,COUNT($CY50:$DB50)&lt;4),"WAIT DATE CHEIE – HIGH P",IF($EP50&lt;&gt;"DA","NU – PORTOFOLIU","DA"))))</x:f>
      </x:c>
      <x:c r="EJ50" s="117" t="str">
        <x:f t="shared" si="74">IF($A50="","",IF($DE50&lt;&gt;"Live 20-30","",IF(SUM($DG50:$DH50)&gt;0,1,IF($EU50="","",1-MIN(0.95,MAX(0.001,EXP(-$EU50)*$DX50*$DY50/$DW50))))))</x:f>
      </x:c>
      <x:c r="EK50" s="117" t="str">
        <x:f t="shared" si="75">""</x:f>
      </x:c>
      <x:c r="EL50" s="113" t="str">
        <x:f>IF($A50="","",IF($DE50="Live 20-30",IF(SUM($DG50:$DH50)&gt;0,"EVENIMENT ÎNDEPLINIT",IF(OR($DF50="",COUNT($DI50:$DN50)&lt;4),"LIVE – WATCH",IF($EJ50&gt;=0.75,"LIVE – FEZABIL TEHNIC","LIVE – NO BET"))),IF($EI50&lt;&gt;"DA","WATCH / NO BET",IF(AND($EA50&gt;=INDEX('Setari model'!$B$35:$B$40,1),$EF50&gt;=100*'Setari model'!$B$76),"PARIU RECOMANDAT",IF(AND($EA50&gt;=INDEX('Setari model'!$B$35:$B$40,5),$EF50&gt;=100*'Setari model'!$B$40),"WATCH – APROAPE DE PRAG","PARIU EVITAT")))))</x:f>
      </x:c>
      <x:c r="EM50" s="113" t="str">
        <x:f t="shared" si="76">IF($A50="","",IF($DE50="Live 20-30",IF(SUM($DG50:$DH50)&gt;0,"Gol deja marcat.",IF($DF50="","Minut live lipsă.",IF(COUNT($DI50:$DN50)&lt;4,"Lipsesc xG/SOT/big chances live.",IF($EJ50&lt;0.75,"P live sub prag.","Semnal live tehnic complet; EV ignorat.")))),IF($EI50&lt;&gt;"DA",$EI50,IF($EF50&lt;75,"Confidence sub 75.",IF($EA50&lt;0.92,"P sub 92%.","G0/Zero-Mass + confidence trecute; EV ignorat.")))))</x:f>
      </x:c>
      <x:c r="EN50" s="117" t="str">
        <x:f>IF($A50="","",IF(OR($EL50="PARIU RECOMANDAT",$EL50="LIVE – FEZABIL"),MIN(IF($DU50&gt;0,$DU50,'Setari model'!$B$81)/MAX(1,$DR50),IF($DV50&gt;0,$DV50,'Setari model'!$B$80)*MAX(0,((IF($DE50="Live 20-30",$EJ50,$EA50)*IF($DE50="Live 20-30",$DQ50,$AR50)-1)/(IF($DE50="Live 20-30",$DQ50,$AR50)-1)))),0))</x:f>
      </x:c>
      <x:c r="EO50" s="121" t="str">
        <x:f t="shared" si="77">IF($A50="","",IF(AND($EN50&gt;0,$DT50&gt;0),$EN50*$DT50,""))</x:f>
      </x:c>
      <x:c r="EP50" s="113" t="str">
        <x:f>IF($A50="","",IF(OR($DR50&lt;1,$DR50&gt;'Setari model'!$B$78),"NU – 1–5 selecții",IF($DS50&gt;'Setari model'!$B$79,"NU – corelație", "DA")))</x:f>
      </x:c>
      <x:c r="EQ50" s="117" t="str">
        <x:f t="shared" si="78">IF($A50="","",IF(AND($DC50&gt;1,$DD50&gt;1),$DC50/$DD50-1,""))</x:f>
      </x:c>
      <x:c r="ER50" s="113" t="str">
        <x:f t="shared" si="79">IF($A50="","","P v2="&amp;TEXT($EA50,"0.0%")&amp;" ±"&amp;TEXT($EG50,"0.0%")&amp;"; P0 ZIP="&amp;TEXT($DZ50,"0.0%")&amp;"; Confidence="&amp;TEXT($EF50,"0")&amp;"/100; piață reală="&amp;IF($EC50="","NU","DA")&amp;"; EV="&amp;IF($EE50="","n/a",TEXT($EE50,"0.0%"))&amp;"; gate="&amp;$EI50&amp;"; verdict="&amp;$EL50&amp;". "&amp;$EM50)</x:f>
      </x:c>
      <x:c r="ES50" s="119" t="str">
        <x:f>IF($A50="","",'Setari model'!$B$82)</x:f>
      </x:c>
      <x:c r="ET50" s="118" t="str">
        <x:f>IF($A50="","",'Setari model'!$B$83)</x:f>
      </x:c>
      <x:c r="EU50" s="115" t="str">
        <x:f t="shared" si="80">IF(OR($A50="",$DE50&lt;&gt;"Live 20-30",$DF50="",$DF50&lt;$ES50,$DF50&gt;=90),"",MAX(0.05,MIN($BS50*$ET50,$BS50*(90-$DF50)/90+0.35*($DI50+$DJ50)+0.06*($DK50+$DL50)+0.15*($DM50+$DN50)+0.1*(MAX($DO50,$DP50)-MIN($DO50,$DP50)))))</x:f>
      </x:c>
      <x:c r="EV50" s="132"/>
      <x:c r="EW50" s="132"/>
      <x:c r="EX50" s="132"/>
      <x:c r="EY50" s="132"/>
      <x:c r="EZ50" s="132"/>
      <x:c r="FA50" s="132"/>
      <x:c r="FB50" s="247"/>
      <x:c r="FC50" s="134" t="str">
        <x:f t="shared" si="81">IF($A50="","",IF(OR($J50="",$L50="",$L50&lt;=0),"",MAX(0.5,MIN(1.5,$J50/$L50))))</x:f>
      </x:c>
      <x:c r="FD50" s="134" t="str">
        <x:f t="shared" si="82">IF($A50="","",IF(OR($Q50="",$S50="",$S50&lt;=0),"",MAX(0.5,MIN(1.5,$Q50/$S50))))</x:f>
      </x:c>
      <x:c r="FE50" s="134" t="str">
        <x:f>IF($A50="","",IF(COUNT($EV50:$EW50)&lt;2,"",SQRT($EV50*$EW50)/'Setari model'!$B$87))</x:f>
      </x:c>
      <x:c r="FF50" s="134" t="str">
        <x:f>IF($A50="","",IF(COUNT($O50,$V50,$EX50,$EY50)&lt;4,"",AVERAGE(SQRT($O50*$EY50),SQRT($V50*$EX50))/'Setari model'!$B$88))</x:f>
      </x:c>
      <x:c r="FG50" s="134" t="str">
        <x:f t="shared" si="83">IF($A50="","",IF(COUNT($FC50:$FD50)&lt;2,"",MAX(0,1-AVERAGE($FC50:$FD50))))</x:f>
      </x:c>
      <x:c r="FH50" s="134" t="str">
        <x:f>IF($A50="","",IF(COUNT($EZ50:$FA50)&lt;2,"",'Setari model'!$B$94*AVERAGE($EZ50:$FA50)/'Setari model'!$B$89))</x:f>
      </x:c>
      <x:c r="FI50" s="134" t="str">
        <x:f>IF($A50="","",IF(COUNT($FE50:$FH50)&lt;4,"",MAX('Setari model'!$B$97,MIN('Setari model'!$B$98,1+'Setari model'!$B$90*($FE50-1)+'Setari model'!$B$91*($FF50-1)+'Setari model'!$B$92*$FG50+'Setari model'!$B$93*($FH50-1)))))</x:f>
      </x:c>
      <x:c r="FJ50" s="133" t="str">
        <x:f>IF($A50="","",IF($FI50="","",MIN('Setari model'!$B$101,MAX(0.002,$DZ50*$FI50))))</x:f>
      </x:c>
      <x:c r="FK50" s="131" t="str">
        <x:f t="shared" si="84">IF($A50="","",IF(AND(COUNT($EV50:$FA50)=6,COUNT($O50,$V50,$FC50,$FD50)=4),"DA","NU"))</x:f>
      </x:c>
      <x:c r="FL50" s="131" t="str">
        <x:f>IF($A50="","",IF($FK50&lt;&gt;"DA","NEDETERMINAT",IF($FI50&lt;='Setari model'!$B$99,"SCĂZUT",IF($FI50&lt;='Setari model'!$B$100,"MEDIU","RIDICAT"))))</x:f>
      </x:c>
      <x:c r="FM50" s="131" t="str">
        <x:f>IF($A50="","",IF(AND($AR50&gt;1,$EC50&gt;='Setari model'!$B$106),"DA","NU"))</x:f>
      </x:c>
      <x:c r="FN50" s="131" t="str">
        <x:f t="shared" si="85">IF($A50="","",IF(AND($AU50=1,COUNT($CY50:$DB50)=4),"DA","NU"))</x:f>
      </x:c>
      <x:c r="FO50" s="133" t="str">
        <x:f>IF($A50="","",IF(OR($FK50&lt;&gt;"DA",$FL50="RIDICAT"),'Setari model'!$B$102,IF($FL50="MEDIU",'Setari model'!$B$103,IF(AND($FM50="DA",$FN50="DA"),'Setari model'!$B$105,'Setari model'!$B$104))))</x:f>
      </x:c>
      <x:c r="FP50" s="133" t="str">
        <x:f t="shared" si="86">IF($A50="","",IF($FJ50="","",MIN(1-$FJ50,$FO50)))</x:f>
      </x:c>
      <x:c r="FQ50" s="135" t="str">
        <x:f t="shared" si="87">IF($A50="","",IF($FP50="","",IF($FP50&gt;0,1/$FP50,"")))</x:f>
      </x:c>
      <x:c r="FR50" s="133" t="str">
        <x:f t="shared" si="88">IF($A50="","",IF($EC50="","",$FP50-$EC50))</x:f>
      </x:c>
      <x:c r="FS50" s="133" t="str">
        <x:f t="shared" si="89">IF($A50="","",IF($AR50&gt;1,$FP50*$AR50-1,""))</x:f>
      </x:c>
      <x:c r="FT50" s="136" t="str">
        <x:f>IF($A50="","",MAX(0,MIN(100,$EF50-IF($FK50&lt;&gt;"DA",'Setari model'!$B$107,0)-IF($FL50="MEDIU",'Setari model'!$B$108,0)-IF($FL50="RIDICAT",'Setari model'!$B$109,0))))</x:f>
      </x:c>
      <x:c r="FU50" s="131" t="str">
        <x:f t="shared" si="90">IF($A50="","",IF($AR50&lt;=1,"NU – LIPSEȘTE COTA REALĂ",IF($FK50&lt;&gt;"DA","NU – ZERO-RISK INCOMPLET",IF($FL50&lt;&gt;"SCĂZUT","NU – RISC 0-0 "&amp;$FL50,IF($FN50&lt;&gt;"DA","NU – LINEUP NECONFIRMAT",IF($FM50&lt;&gt;"DA","NU – PIAȚĂ NECONFIRMATĂ",IF($EP50&lt;&gt;"DA","NU – PORTOFOLIU","DA")))))))</x:f>
      </x:c>
      <x:c r="FV50" s="131" t="str">
        <x:f>IF($A50="","",IF($FU50&lt;&gt;"DA","WATCH / NO BET",IF(AND($FP50&gt;='Setari model'!$B$35,$FT50&gt;=100*'Setari model'!$B$76,$FS50&gt;0),"PARIU RECOMANDAT",IF(AND($FP50&gt;='Setari model'!$B$39,$FT50&gt;=100*'Setari model'!$B$40,$FS50&gt;0),"WATCH – APROAPE DE PRAG","PARIU EVITAT"))))</x:f>
      </x:c>
      <x:c r="FW50" s="131" t="str">
        <x:f t="shared" si="91">IF($A50="","",IF($FU50&lt;&gt;"DA",$FU50,IF($FT50&lt;75,"Confidence v3 sub 75.",IF($FP50&lt;0.92,"P v3 sub 92%.",IF($FS50&lt;=0,"EV v3 nepozitiv.","P0 v3, lineup și piață confirmate.")))))</x:f>
      </x:c>
      <x:c r="FX50" s="131" t="str">
        <x:f t="shared" si="92">IF($A50="","","P v3="&amp;TEXT($FP50,"0.0%")&amp;"; P0 v3="&amp;TEXT($FJ50,"0.0%")&amp;"; factor zero="&amp;IF($FI50="","n/a",TEXT($FI50,"0.00x"))&amp;" ("&amp;$FL50&amp;"); cap="&amp;TEXT($FO50,"0.0%")&amp;"; Confidence="&amp;TEXT($FT50,"0")&amp;"/100; lineup="&amp;$FN50&amp;"; piață="&amp;$FM50&amp;"; EV="&amp;IF($FS50="","n/a",TEXT($FS50,"0.0%"))&amp;"; gate="&amp;$FU50&amp;"; verdict="&amp;$FV50&amp;". "&amp;$FW50)</x:f>
      </x:c>
      <x:c r="FY50" s="159"/>
      <x:c r="FZ50" s="159"/>
      <x:c r="GA50" s="157"/>
      <x:c r="GB50" s="157"/>
      <x:c r="GC50" s="161" t="str">
        <x:f t="shared" si="93">IF($A50="","",IF(OR($X50="",$Z50="",$Z50&lt;=0),"",MAX(0.5,MIN(1.5,$X50/$Z50))))</x:f>
      </x:c>
      <x:c r="GD50" s="161" t="str">
        <x:f t="shared" si="94">IF($A50="","",IF(OR($AC50="",$AE50="",$AE50&lt;=0),"",MAX(0.5,MIN(1.5,$AC50/$AE50))))</x:f>
      </x:c>
      <x:c r="GE50" s="162" t="str">
        <x:f t="shared" si="95">IF($A50="","",IF(COUNT($Z50,$AE50)&lt;2,"",AVERAGE($Z50,$AE50)))</x:f>
      </x:c>
      <x:c r="GF50" s="158" t="str">
        <x:f>IF($A50="","",IF(COUNT($FY50:$FZ50)&lt;2,"NEDETERMINAT",IF(AND($FY50&gt;='Setari model'!$B$113,$FZ50&gt;='Setari model'!$B$113),"DA","NU")))</x:f>
      </x:c>
      <x:c r="GG50" s="158" t="str">
        <x:f>IF($A50="","",IF(COUNT($FY50:$FZ50,$EX50:$EY50)&lt;4,"NEDETERMINAT",IF(OR(AND($FY50&gt;='Setari model'!$B$113,$EY50&gt;='Setari model'!$B$114),AND($FZ50&gt;='Setari model'!$B$113,$EX50&gt;='Setari model'!$B$114)),"DA","NU")))</x:f>
      </x:c>
      <x:c r="GH50" s="158" t="str">
        <x:f>IF($A50="","",IF(COUNT($BJ50:$BN50,$GC50:$GE50)&lt;8,"NEDETERMINAT",IF(AND((($BJ50*INDEX('Setari model'!$B$5:$B$11,MATCH($E50,'Setari model'!$A$5:$A$11,0))+$BK50*INDEX('Setari model'!$C$5:$C$11,MATCH($E50,'Setari model'!$A$5:$A$11,0))+$BL50*INDEX('Setari model'!$D$5:$D$11,MATCH($E50,'Setari model'!$A$5:$A$11,0))+$BM50*INDEX('Setari model'!$E$5:$E$11,MATCH($E50,'Setari model'!$A$5:$A$11,0))+$BN50*INDEX('Setari model'!$F$5:$F$11,MATCH($E50,'Setari model'!$A$5:$A$11,0)))/(INDEX('Setari model'!$B$5:$B$11,MATCH($E50,'Setari model'!$A$5:$A$11,0))+INDEX('Setari model'!$C$5:$C$11,MATCH($E50,'Setari model'!$A$5:$A$11,0))+INDEX('Setari model'!$D$5:$D$11,MATCH($E50,'Setari model'!$A$5:$A$11,0))+INDEX('Setari model'!$E$5:$E$11,MATCH($E50,'Setari model'!$A$5:$A$11,0))+INDEX('Setari model'!$F$5:$F$11,MATCH($E50,'Setari model'!$A$5:$A$11,0))))*$BR50&gt;='Setari model'!$B$115,(($BJ50*INDEX('Setari model'!$B$5:$B$11,MATCH($E50,'Setari model'!$A$5:$A$11,0))+$BK50*INDEX('Setari model'!$C$5:$C$11,MATCH($E50,'Setari model'!$A$5:$A$11,0))+$BL50*INDEX('Setari model'!$D$5:$D$11,MATCH($E50,'Setari model'!$A$5:$A$11,0))+$BM50*INDEX('Setari model'!$E$5:$E$11,MATCH($E50,'Setari model'!$A$5:$A$11,0))+$BN50*INDEX('Setari model'!$F$5:$F$11,MATCH($E50,'Setari model'!$A$5:$A$11,0)))/(INDEX('Setari model'!$B$5:$B$11,MATCH($E50,'Setari model'!$A$5:$A$11,0))+INDEX('Setari model'!$C$5:$C$11,MATCH($E50,'Setari model'!$A$5:$A$11,0))+INDEX('Setari model'!$D$5:$D$11,MATCH($E50,'Setari model'!$A$5:$A$11,0))+INDEX('Setari model'!$E$5:$E$11,MATCH($E50,'Setari model'!$A$5:$A$11,0))+INDEX('Setari model'!$F$5:$F$11,MATCH($E50,'Setari model'!$A$5:$A$11,0))))*$BR50&lt;='Setari model'!$B$116,AVERAGE($GC50:$GD50)&lt;='Setari model'!$B$117,$GE50&gt;='Setari model'!$B$118),"DA","NU")))</x:f>
      </x:c>
      <x:c r="GI50" s="158" t="str">
        <x:f>IF($A50="","",IF(COUNT($W50,$AB50,$GA50:$GB50)&lt;4,"NEDETERMINAT",IF(AND($W50&gt;='Setari model'!$B$120,$AB50&gt;='Setari model'!$B$120,OR(IFERROR($GA50/$W50,0)&gt;='Setari model'!$B$119,IFERROR($GB50/$AB50,0)&gt;='Setari model'!$B$119)),"DA","NU")))</x:f>
      </x:c>
      <x:c r="GJ50" s="160" t="str">
        <x:f>IF($A50="","",IF(COUNT($FY50:$GB50)&lt;4,"",IF($GH50&lt;&gt;"DA",0,'Setari model'!$B$121*IF($GF50="DA",1,0)+'Setari model'!$B$122*IF($GG50="DA",1,0)+'Setari model'!$B$123+'Setari model'!$B$124*IF($GI50="DA",1,0))))</x:f>
      </x:c>
      <x:c r="GK50" s="161" t="str">
        <x:f>IF($A50="","",IF(COUNT($GJ50)=0,"",1+'Setari model'!$B$125*$GJ50))</x:f>
      </x:c>
      <x:c r="GL50" s="160" t="str">
        <x:f>IF($A50="","",IF($GM50&lt;&gt;"DA",$FJ50,MIN('Setari model'!$B$101,MAX(0.002,$FJ50*$GK50))))</x:f>
      </x:c>
      <x:c r="GM50" s="158" t="str">
        <x:f>IF($A50="","",IF(AND($FK50="DA",COUNT($FY50:$GB50)=4,COUNT($I50,$P50,$W50,$AB50,$Z50,$AE50,$EX50,$EY50,$GC50,$GD50)=10,COUNT($BJ50:$BN50)=5),"DA","NU"))</x:f>
      </x:c>
      <x:c r="GN50" s="158" t="str">
        <x:f>IF($A50="","",IF($GM50&lt;&gt;"DA","NEDETERMINAT",IF($FI50*$GK50&lt;='Setari model'!$B$99,"SCĂZUT",IF($FI50*$GK50&lt;='Setari model'!$B$100,"MEDIU","RIDICAT"))))</x:f>
      </x:c>
      <x:c r="GO50" s="160" t="str">
        <x:f>IF($A50="","",IF(OR($GM50&lt;&gt;"DA",$GN50="RIDICAT"),'Setari model'!$B$102,IF($GN50="MEDIU",'Setari model'!$B$103,IF(AND($FM50="DA",$FN50="DA"),'Setari model'!$B$105,'Setari model'!$B$104))))</x:f>
      </x:c>
      <x:c r="GP50" s="160" t="str">
        <x:f t="shared" si="96">IF($A50="","",IF($GL50="","",MIN(1-$GL50,$GO50)))</x:f>
      </x:c>
      <x:c r="GQ50" s="162" t="str">
        <x:f t="shared" si="97">IF($A50="","",IF($GP50="","",IF($GP50&gt;0,1/$GP50,"")))</x:f>
      </x:c>
      <x:c r="GR50" s="160" t="str">
        <x:f t="shared" si="98">IF($A50="","",IF($EC50="","",$GP50-$EC50))</x:f>
      </x:c>
      <x:c r="GS50" s="160" t="str">
        <x:f t="shared" si="99">IF($A50="","",IF($AR50&gt;1,$GP50*$AR50-1,""))</x:f>
      </x:c>
      <x:c r="GT50" s="163" t="str">
        <x:f>IF($A50="","",MAX(0,MIN(100,$FT50-IF(AND($GM50&lt;&gt;"DA",$FK50="DA"),'Setari model'!$B$107,0)-'Setari model'!$B$126*IF($GJ50="",0,$GJ50))))</x:f>
      </x:c>
      <x:c r="GU50" s="158" t="str">
        <x:f t="shared" si="100">IF($A50="","",IF($AR50&lt;=1,"NU – LIPSEȘTE COTA REALĂ",IF($GM50&lt;&gt;"DA","NU – DATE LOW-CONVERSION INCOMPLETE",IF($GN50&lt;&gt;"SCĂZUT","NU – RISC 0-0 "&amp;$GN50,IF($FN50&lt;&gt;"DA","NU – LINEUP NECONFIRMAT",IF($FM50&lt;&gt;"DA","NU – PIAȚĂ NECONFIRMATĂ",IF($EP50&lt;&gt;"DA","NU – PORTOFOLIU","DA")))))))</x:f>
      </x:c>
      <x:c r="GV50" s="158" t="str">
        <x:f>IF($A50="","",IF($GU50&lt;&gt;"DA","WATCH / NO BET",IF(AND($GP50&gt;='Setari model'!$B$35,$GT50&gt;=100*'Setari model'!$B$76,$GS50&gt;0),"PARIU RECOMANDAT",IF(AND($GP50&gt;='Setari model'!$B$39,$GT50&gt;=100*'Setari model'!$B$40,$GS50&gt;0),"WATCH – APROAPE DE PRAG","PARIU EVITAT"))))</x:f>
      </x:c>
      <x:c r="GW50" s="158" t="str">
        <x:f t="shared" si="101">IF($A50="","",IF($GU50&lt;&gt;"DA",$GU50,IF($GT50&lt;75,"Confidence v5 sub 75.",IF($GP50&lt;0.92,"P v5 sub 92%.",IF($GS50&lt;=0,"EV v5 nepozitiv.",IF($GJ50&gt;0,"Low-conversion absorbit în P0; toate porțile rămân trecute.","Toate porțile v5 sunt trecute."))))))</x:f>
      </x:c>
      <x:c r="GX50" s="158" t="str">
        <x:f t="shared" si="102">IF($A50="","","P v5="&amp;TEXT($GP50,"0.0%")&amp;"; P0 v5="&amp;TEXT($GL50,"0.0%")&amp;"; low-conv="&amp;IF(COUNT($GJ50)=0,"n/a",TEXT($GJ50,"0%"))&amp;"; mult.P0="&amp;IF(COUNT($GK50)=0,"n/a",TEXT($GK50,"0.00"))&amp;"; clasă="&amp;$GN50&amp;"; cap="&amp;TEXT($GO50,"0.0%")&amp;"; Confidence="&amp;TEXT($GT50,"0")&amp;"/100; lineup="&amp;$FN50&amp;"; piață="&amp;$FM50&amp;"; EV="&amp;IF($GS50="","n/a",TEXT($GS50,"0.0%"))&amp;"; gate="&amp;$GU50&amp;"; verdict="&amp;$GV50&amp;". "&amp;$GW50)</x:f>
      </x:c>
      <x:c r="GY50" s="174" t="str">
        <x:f>IF($A50="","",IF($GM50&lt;&gt;"DA","SOURCING INCOMPLETE – REVIEW REQUIRED",IF(MIN($I50,$P50,$W50,$AB50)&lt;'Setari model'!$B$58,"SMALL SAMPLE + PRIOR / SHRINKAGE","VERIFIED / PRIOR / SHRINKAGE")))</x:f>
      </x:c>
      <x:c r="GZ50" s="175" t="str">
        <x:f t="shared" si="103">IF($A50="","",MAX(0,MIN(100,100*(1-AVERAGE(IF($GM50="DA",1,0),MIN(1,$AT50/5))))))</x:f>
      </x:c>
      <x:c r="HA50" s="175" t="str">
        <x:f>IF($A50="","",IF($GM50&lt;&gt;"DA","",MAX(0,MIN(100,100*(($FI50*$GK50)-'Setari model'!$B$97)/('Setari model'!$B$98-'Setari model'!$B$97)))))</x:f>
      </x:c>
      <x:c r="HB50" s="175" t="str">
        <x:f>IF($A50="","",MAX(0,MIN(100,100*(ABS($BR50-1)/MAX(1-'Setari model'!$B$53,'Setari model'!$B$54-1)+MIN(1,$BG50/2))/2)))</x:f>
      </x:c>
      <x:c r="HC50" s="175" t="str">
        <x:f t="shared" si="104">IF($A50="","",MAX(0,MIN(100,100*(1-AVERAGE($CC50,MAX(0,1-(MAX($BJ50:$BN50)-MIN($BJ50:$BN50))/(AVERAGE($BJ50:$BN50)*'Setari model'!$B$45)))))))</x:f>
      </x:c>
      <x:c r="HD50" s="175" t="str">
        <x:f t="shared" si="105">IF($A50="","",MAX(0,MIN(100,100*MAX(IF($GJ50="",0,$GJ50),MIN(1,$BG50/2)))))</x:f>
      </x:c>
      <x:c r="HE50" s="175" t="str">
        <x:f>IF($A50="","",IF(COUNT($GZ50:$HD50)&lt;5,"",$GZ50*Risk_Classification!$E$28+$HA50*Risk_Classification!$E$29+$HB50*Risk_Classification!$E$30+$HC50*Risk_Classification!$E$31+$HD50*Risk_Classification!$E$32))</x:f>
      </x:c>
      <x:c r="HF50" s="176" t="str">
        <x:f t="shared" si="106">IF($A50="","",IF($HE50="","",IF($HE50&lt;=20,1,IF($HE50&lt;=40,2,IF($HE50&lt;=60,3,IF($HE50&lt;=80,4,5))))))</x:f>
      </x:c>
      <x:c r="HG50" s="176" t="str">
        <x:f t="shared" si="107">IF($A50="","",IF($GM50="DA","PASS","FAIL – DATE CRITICE ZERO-MASS INCOMPLETE"))</x:f>
      </x:c>
      <x:c r="HH50" s="176" t="str">
        <x:f t="shared" si="108">IF($A50="","",IF($HG50&lt;&gt;"PASS",5,$HF50))</x:f>
      </x:c>
      <x:c r="HI50" s="174" t="str">
        <x:f t="shared" si="109">IF($A50="","",IF($HH50="","N/A",IF($HH50=1,"DEFENSIV",IF($HH50=2,"PRUDENT",IF($HH50=3,"MODERAT",IF($HH50=4,"RIDICAT","WATCH / NO BET"))))))</x:f>
      </x:c>
      <x:c r="HJ50" s="177" t="str">
        <x:f t="shared" si="110">IF($A50="","","Data="&amp;$GY50&amp;"; DQ="&amp;TEXT($GZ50,"0.0")&amp;"; ZM="&amp;IF($HA50="","n/a",TEXT($HA50,"0.0"))&amp;"; Context="&amp;TEXT($HB50,"0.0")&amp;"; Uncertainty="&amp;TEXT($HC50,"0.0")&amp;"; Compound="&amp;TEXT($HD50,"0.0")&amp;"; Risk Score="&amp;IF($HE50="","n/a",TEXT($HE50,"0.0"))&amp;"; Base="&amp;IF($HF50="","n/a",$HF50)&amp;"; G0="&amp;$HG50&amp;"; Final="&amp;$HH50&amp;". Cota, EV si lineup sunt informative si nu intra in recomandare.")</x:f>
      </x:c>
      <x:c r="HK50" s="174" t="str">
        <x:f t="shared" si="111">IF($A50="","",$HI50)</x:f>
      </x:c>
    </x:row>
    <x:row r="51" ht="24" customHeight="1">
      <x:c r="A51" s="58"/>
      <x:c r="B51" s="24"/>
      <x:c r="C51" s="59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18"/>
      <x:c r="O51" s="18"/>
      <x:c r="P51" s="24"/>
      <x:c r="Q51" s="24"/>
      <x:c r="R51" s="24"/>
      <x:c r="S51" s="24"/>
      <x:c r="T51" s="24"/>
      <x:c r="U51" s="18"/>
      <x:c r="V51" s="18"/>
      <x:c r="W51" s="24"/>
      <x:c r="X51" s="24"/>
      <x:c r="Y51" s="24"/>
      <x:c r="Z51" s="24"/>
      <x:c r="AA51" s="24"/>
      <x:c r="AB51" s="24"/>
      <x:c r="AC51" s="24"/>
      <x:c r="AD51" s="24"/>
      <x:c r="AE51" s="24"/>
      <x:c r="AF51" s="24"/>
      <x:c r="AG51" s="24"/>
      <x:c r="AH51" s="24"/>
      <x:c r="AI51" s="18"/>
      <x:c r="AJ51" s="24"/>
      <x:c r="AK51" s="24"/>
      <x:c r="AL51" s="24"/>
      <x:c r="AM51" s="18"/>
      <x:c r="AN51" s="24"/>
      <x:c r="AO51" s="60"/>
      <x:c r="AP51" s="60"/>
      <x:c r="AQ51" s="60"/>
      <x:c r="AR51" s="60"/>
      <x:c r="AS51" s="60"/>
      <x:c r="AT51" s="24"/>
      <x:c r="AU51" s="24"/>
      <x:c r="AV51" s="24"/>
      <x:c r="AW51" s="24"/>
      <x:c r="AX51" s="24"/>
      <x:c r="AY51" s="24"/>
      <x:c r="AZ51" s="24"/>
      <x:c r="BA51" s="24"/>
      <x:c r="BB51" s="24"/>
      <x:c r="BC51" s="24"/>
      <x:c r="BD51" s="24"/>
      <x:c r="BE51" s="24"/>
      <x:c r="BF51" s="24"/>
      <x:c r="BG51" s="24"/>
      <x:c r="BH51" s="61"/>
      <x:c r="BI51" s="61"/>
      <x:c r="BJ51" s="62" t="str">
        <x:f>IF($A51="","",SQRT((($I51*IF($J51="",$AJ51,$J51)+'Setari model'!$B$30*$AJ51)/($I51+'Setari model'!$B$30))*(($P51*IF($R51="",$AJ51,$R51)+'Setari model'!$B$30*$AJ51)/($P51+'Setari model'!$B$30)))+SQRT((($P51*IF($Q51="",$AK51,$Q51)+'Setari model'!$B$30*$AK51)/($P51+'Setari model'!$B$30))*(($I51*IF($K51="",$AK51,$K51)+'Setari model'!$B$30*$AK51)/($I51+'Setari model'!$B$30))))</x:f>
      </x:c>
      <x:c r="BK51" s="62" t="str">
        <x:f>IF($A51="","",SQRT((($I51*IF($L51="",IF($J51="",$AJ51,$J51),$L51)+'Setari model'!$B$30*$AJ51)/($I51+'Setari model'!$B$30))*(($P51*IF($T51="",IF($R51="",$AJ51,$R51),$T51)+'Setari model'!$B$30*$AJ51)/($P51+'Setari model'!$B$30)))+SQRT((($P51*IF($S51="",IF($Q51="",$AK51,$Q51),$S51)+'Setari model'!$B$30*$AK51)/($P51+'Setari model'!$B$30))*(($I51*IF($M51="",IF($K51="",$AK51,$K51),$M51)+'Setari model'!$B$30*$AK51)/($I51+'Setari model'!$B$30))))</x:f>
      </x:c>
      <x:c r="BL51" s="62" t="str">
        <x:f>IF($A51="","",SQRT((($W51*IF($X51="",$AL51/2,$X51)+'Setari model'!$B$31*$AL51/2)/($W51+'Setari model'!$B$31))*(($AB51*IF($AD51="",$AL51/2,$AD51)+'Setari model'!$B$31*$AL51/2)/($AB51+'Setari model'!$B$31)))+SQRT((($AB51*IF($AC51="",$AL51/2,$AC51)+'Setari model'!$B$31*$AL51/2)/($AB51+'Setari model'!$B$31))*(($W51*IF($Y51="",$AL51/2,$Y51)+'Setari model'!$B$31*$AL51/2)/($W51+'Setari model'!$B$31))))</x:f>
      </x:c>
      <x:c r="BM51" s="62" t="str">
        <x:f>IF($A51="","",SQRT((($W51*IF($Z51="",IF($X51="",$AL51/2,$X51),$Z51)+'Setari model'!$B$31*$AL51/2)/($W51+'Setari model'!$B$31))*(($AB51*IF($AF51="",IF($AD51="",$AL51/2,$AD51),$AF51)+'Setari model'!$B$31*$AL51/2)/($AB51+'Setari model'!$B$31)))+SQRT((($AB51*IF($AE51="",IF($AC51="",$AL51/2,$AC51),$AE51)+'Setari model'!$B$31*$AL51/2)/($AB51+'Setari model'!$B$31))*(($W51*IF($AA51="",IF($Y51="",$AL51/2,$Y51),$AA51)+'Setari model'!$B$31*$AL51/2)/($W51+'Setari model'!$B$31))))</x:f>
      </x:c>
      <x:c r="BN51" s="62" t="str">
        <x:f t="shared" si="56">IF($A51="","",IF($AG51&gt;0,($AG51*IF($AH51="",$AL51,$AH51)+5*$AL51)/($AG51+5),$AL51))</x:f>
      </x:c>
      <x:c r="BO51" s="63" t="str">
        <x:f>IF($A51="","",IF($AR51&gt;1,IF($AS51&gt;1,(1/$AR51)/((1/$AR51+1/$AS51)),MIN(0.995,(1/$AR51)/(1+'Setari model'!$B$32))),1-EXP(-$AL51)))</x:f>
      </x:c>
      <x:c r="BP51" s="62" t="str">
        <x:f t="shared" si="57">IF($A51="","",-LN(1-$BO51))</x:f>
      </x:c>
      <x:c r="BQ51" s="62" t="str">
        <x:f>IF($A51="","",$BJ51*INDEX('Setari model'!$B$5:$B$11,MATCH($E51,'Setari model'!$A$5:$A$11,0))+$BK51*INDEX('Setari model'!$C$5:$C$11,MATCH($E51,'Setari model'!$A$5:$A$11,0))+$BL51*INDEX('Setari model'!$D$5:$D$11,MATCH($E51,'Setari model'!$A$5:$A$11,0))+$BM51*INDEX('Setari model'!$E$5:$E$11,MATCH($E51,'Setari model'!$A$5:$A$11,0))+$BN51*INDEX('Setari model'!$F$5:$F$11,MATCH($E51,'Setari model'!$A$5:$A$11,0))+$BP51*INDEX('Setari model'!$G$5:$G$11,MATCH($E51,'Setari model'!$A$5:$A$11,0)))</x:f>
      </x:c>
      <x:c r="BR51" s="64" t="str">
        <x:f>IF($A51="","",MAX('Setari model'!$B$53,MIN('Setari model'!$B$54,1+($AV51*'Setari model'!$B$15+$AW51*'Setari model'!$B$16+$AX51*'Setari model'!$B$17+$AY51*'Setari model'!$B$18+$AZ51*'Setari model'!$B$19+$BA51*'Setari model'!$B$20+$BB51*'Setari model'!$B$21+$BC51*'Setari model'!$B$22+$BD51*'Setari model'!$B$23+$BE51*'Setari model'!$B$24+$BF51*'Setari model'!$B$25)*INDEX('Setari model'!$H$5:$H$11,MATCH($E51,'Setari model'!$A$5:$A$11,0)))))</x:f>
      </x:c>
      <x:c r="BS51" s="62" t="str">
        <x:f t="shared" si="58">IF($A51="","",$BQ51*$BR51)</x:f>
      </x:c>
      <x:c r="BT51" s="63" t="str">
        <x:f t="shared" si="59">IF($A51="","",EXP(-$BS51))</x:f>
      </x:c>
      <x:c r="BU51" s="65" t="str">
        <x:f>IF($A51="","",IF(OR($AM51="",$AN51=""),1,1+MIN('Setari model'!$B$33,$AN51/100*'Setari model'!$B$33)*($AM51/EXP(-$AL51)-1)))</x:f>
      </x:c>
      <x:c r="BV51" s="63" t="str">
        <x:f>IF($A51="","",MIN(0.45,MAX(0.005,(1-'Setari model'!$B$34*MIN(1,($I51+$P51)/20))*MIN(0.45,$BT51*$BU51)+'Setari model'!$B$34*MIN(1,($I51+$P51)/20)*IF(COUNT($N51,$U51)=2,SQRT(MAX(0,1-$N51)*MAX(0,1-$U51)),IF($AM51="",EXP(-$AL51),$AM51)))))</x:f>
      </x:c>
      <x:c r="BW51" s="63" t="str">
        <x:f t="shared" si="60">IF($A51="","",1-$BV51)</x:f>
      </x:c>
      <x:c r="BX51" s="62" t="str">
        <x:f t="shared" si="61">IF($A51="","",1/$BW51)</x:f>
      </x:c>
      <x:c r="BY51" s="63" t="str">
        <x:f t="shared" si="62">IF($A51="","",$BO51)</x:f>
      </x:c>
      <x:c r="BZ51" s="63" t="str">
        <x:f t="shared" si="63">IF($A51="","",$BW51-$BY51)</x:f>
      </x:c>
      <x:c r="CA51" s="63" t="str">
        <x:f t="shared" si="64">IF($A51="","",IF($AR51&gt;1,$BW51*$AR51-1,""))</x:f>
      </x:c>
      <x:c r="CB51" s="63" t="str">
        <x:f>IF($A51="","",MIN(1,COUNT($I51:$AN51,$AR51:$BG51)/'Setari model'!$B$46))</x:f>
      </x:c>
      <x:c r="CC51" s="63" t="str">
        <x:f t="shared" si="65">IF($A51="","",0.25*MIN(1,$I51/10)+0.25*MIN(1,$P51/10)+0.15*MIN(1,$W51/5)+0.15*MIN(1,$AB51/5)+0.1*MIN(1,$AG51/5)+0.1*MIN(1,$AN51/100))</x:f>
      </x:c>
      <x:c r="CD51" s="63" t="str">
        <x:f>IF($A51="","",MAX(0,1-(MAX($BJ51:$BN51,$BP51)-MIN($BJ51:$BN51,$BP51))/(AVERAGE($BJ51:$BN51,$BP51)*'Setari model'!$B$45)))</x:f>
      </x:c>
      <x:c r="CE51" s="66" t="str">
        <x:f>IF($A51="","",MAX(0,MIN(100,100*INDEX('Setari model'!$I$5:$I$11,MATCH($E51,'Setari model'!$A$5:$A$11,0))*('Setari model'!$B$47*$CB51+'Setari model'!$B$48*$CC51+'Setari model'!$B$49*$CD51+'Setari model'!$B$50*$AT51/5+'Setari model'!$B$51*$AU51)-100*'Setari model'!$B$52*$BG51)))</x:f>
      </x:c>
      <x:c r="CF51" s="65" t="str">
        <x:f t="shared" si="66">IF($A51="","",IF(OR($AT51&lt;3,$BG51&gt;=2,$CB51&lt;0.55,$CC51&lt;0.4),"RIDICAT",IF(OR($AU51=0,$CD51&lt;0.45,$BR51&lt;0.9),"MEDIU","SCĂZUT")))</x:f>
      </x:c>
      <x:c r="CG51" s="65" t="str">
        <x:f>IF($A51="","",IF($AR51&gt;1,IF(AND($BW51&gt;= 'Setari model'!$B$35,$CE51&gt;=100*'Setari model'!$B$36,$BZ51&gt;= 'Setari model'!$B$37,$CA51&gt;= 'Setari model'!$B$38,$CF51&lt;&gt;"RIDICAT"),"PARIU RECOMANDAT",IF(AND($BW51&gt;= 'Setari model'!$B$39,$CE51&gt;=100*'Setari model'!$B$40,$BZ51&gt;= 'Setari model'!$B$41,$CA51&gt;=0,$CF51&lt;&gt;"RIDICAT"),"RECOMANDAT CU PRUDENȚĂ",IF(AND($BW51&gt;= 'Setari model'!$B$42,$CE51&gt;=100*'Setari model'!$B$43),"ANALIZĂ NECONCLUDENTĂ","PARIU EVITAT"))),IF(AND($BW51&gt;= 'Setari model'!$B$35,$CE51&gt;=100*'Setari model'!$B$36,$CF51&lt;&gt;"RIDICAT"),"FAVORABIL STATISTIC – VERIFICĂ COTA",IF(AND($BW51&gt;= 'Setari model'!$B$42,$CE51&gt;=100*'Setari model'!$B$43),"ANALIZĂ NECONCLUDENTĂ","PARIU EVITAT"))))</x:f>
      </x:c>
      <x:c r="CH51" s="67" t="str">
        <x:f t="shared" si="67">IF($A51="","","P(O0,5)="&amp;TEXT($BW51,"0.0%")&amp;"; λ ajustat="&amp;TEXT($BS51,"0.00")&amp;"; Confidence="&amp;TEXT($CE51,"0")&amp;"/100; Edge="&amp;TEXT($BZ51,"0.0%")&amp;"; risc="&amp;$CF51&amp;". "&amp;$BH51)</x:f>
      </x:c>
      <x:c r="CI51" s="68" t="str">
        <x:f t="shared" si="68">IF($A51="","",$BI51)</x:f>
      </x:c>
      <x:c r="CJ51" s="112"/>
      <x:c r="CK51" s="112"/>
      <x:c r="CL51" s="112"/>
      <x:c r="CM51" s="112"/>
      <x:c r="CN51" s="112"/>
      <x:c r="CO51" s="112"/>
      <x:c r="CP51" s="112"/>
      <x:c r="CQ51" s="112"/>
      <x:c r="CR51" s="112"/>
      <x:c r="CS51" s="112"/>
      <x:c r="CT51" s="112"/>
      <x:c r="CU51" s="112"/>
      <x:c r="CV51" s="112"/>
      <x:c r="CW51" s="112"/>
      <x:c r="CX51" s="112"/>
      <x:c r="CY51" s="112"/>
      <x:c r="CZ51" s="112"/>
      <x:c r="DA51" s="112"/>
      <x:c r="DB51" s="112"/>
      <x:c r="DC51" s="114"/>
      <x:c r="DD51" s="114"/>
      <x:c r="DE51" s="112" t="s">
        <x:v>266</x:v>
      </x:c>
      <x:c r="DF51" s="112"/>
      <x:c r="DG51" s="112"/>
      <x:c r="DH51" s="112"/>
      <x:c r="DI51" s="112"/>
      <x:c r="DJ51" s="112"/>
      <x:c r="DK51" s="112"/>
      <x:c r="DL51" s="112"/>
      <x:c r="DM51" s="112"/>
      <x:c r="DN51" s="112"/>
      <x:c r="DO51" s="112"/>
      <x:c r="DP51" s="112"/>
      <x:c r="DQ51" s="114"/>
      <x:c r="DR51" s="112">
        <x:v>1</x:v>
      </x:c>
      <x:c r="DS51" s="116">
        <x:v>0</x:v>
      </x:c>
      <x:c r="DT51" s="120"/>
      <x:c r="DU51" s="116">
        <x:v>0.02</x:v>
      </x:c>
      <x:c r="DV51" s="116">
        <x:v>0.25</x:v>
      </x:c>
      <x:c r="DW51" s="118" t="str">
        <x:f>IF($A51="","",MAX('Setari model'!$B$71,MIN('Setari model'!$B$72,1+0.08*(IFERROR(AVERAGE($CM51:$CN51)/'Setari model'!$B$66,1)-1)+0.08*(IFERROR(AVERAGE($CO51:$CP51)/'Setari model'!$B$67,1)-1)+0.06*(IFERROR(AVERAGE($CQ51:$CR51)/'Setari model'!$B$68,1)-1)+0.04*(IFERROR(AVERAGE($CS51:$CT51)/'Setari model'!$B$69,1)-1)+0.04*(IFERROR(AVERAGE($CU51:$CV51)/'Setari model'!$B$70,1)-1)-'Setari model'!$B$73*IFERROR(AVERAGE($CW51:$CX51),0))))</x:f>
      </x:c>
      <x:c r="DX51" s="118" t="str">
        <x:f>IF($A51="","",1+'Setari model'!$B$62*MAX(IF(OR($CK51=1,$CL51=1),1,0),IF(AND($CJ51&lt;&gt;"",$CJ51&lt;=1),1,0))+'Setari model'!$B$63*IF(AND($CJ51&gt;1,$CJ51&lt;=3),1,0))</x:f>
      </x:c>
      <x:c r="DY51" s="118" t="str">
        <x:f>IF($A51="","",1+'Setari model'!$B$74*(IF($CY51="",0,IF($CY51=0,1,0))+IF($CZ51="",0,IF($CZ51=0,1,0)))+'Setari model'!$B$75*(IF($DA51="",0,IF($DA51=0,1,0))+IF($DB51="",0,IF($DB51=0,1,0))))</x:f>
      </x:c>
      <x:c r="DZ51" s="117" t="str">
        <x:f>IF($A51="","",MIN(0.6,MAX(0.002,(((1-'Setari model'!$B$34*MIN(1,($I51+$P51)/20))*$BT51+'Setari model'!$B$34*MIN(1,($I51+$P51)/20)*IF(COUNT($N51,$U51)=2,SQRT(MAX(0,1-$N51)*MAX(0,1-$U51)),$BT51))*(1-'Setari model'!$B$65*MIN(1,IF($AN51="",0,$AN51/'Setari model'!$B$64)))+'Setari model'!$B$65*MIN(1,IF($AN51="",0,$AN51/'Setari model'!$B$64))*IF($AM51="",$BT51,$AM51))*$DX51*$DY51/$DW51)))</x:f>
      </x:c>
      <x:c r="EA51" s="117" t="str">
        <x:f>IF($A51="","",MIN(1-$DZ51,IF(OR(MIN($I51,$P51)&lt;'Setari model'!$B$58,$CK51=1,$CL51=1,AND($CJ51&lt;&gt;"",$CJ51&lt;=1)),'Setari model'!$B$59,IF(AND($AU51=1,$AR51&gt;1,COUNT($CY51:$DB51)=4),'Setari model'!$B$61,'Setari model'!$B$60))))</x:f>
      </x:c>
      <x:c r="EB51" s="115" t="str">
        <x:f t="shared" si="69">IF($A51="","",1/$EA51)</x:f>
      </x:c>
      <x:c r="EC51" s="117" t="str">
        <x:f t="shared" si="70">IF($A51="","",IF($AR51&gt;1,IF($AS51&gt;1,(1/$AR51)/((1/$AR51)+(1/$AS51)),1/$AR51),""))</x:f>
      </x:c>
      <x:c r="ED51" s="117" t="str">
        <x:f t="shared" si="71">IF($A51="","",IF($EC51="","",$EA51-$EC51))</x:f>
      </x:c>
      <x:c r="EE51" s="117" t="str">
        <x:f t="shared" si="72">""</x:f>
      </x:c>
      <x:c r="EF51" s="119" t="str">
        <x:f>IF($A51="","",MAX(0,MIN(100,$CE51-200*MAX(0,$EG51-'Setari model'!$B$77)-IF($AU51&lt;&gt;1,10,0)-IF(COUNT($CY51:$DB51)&lt;4,4,0))))</x:f>
      </x:c>
      <x:c r="EG51" s="117" t="str">
        <x:f>IF($A51="","",'Setari model'!$B$77+IF(MIN($I51,$P51)&lt;'Setari model'!$B$58,0.03,0)+IF(OR($CK51=1,$CL51=1,AND($CJ51&lt;&gt;"",$CJ51&lt;=1)),0.03,0)+IF($AG51=0,0.02,0)+0.03*(1-MIN(1,COUNT($CM51:$CV51)/10))+0.03*(1-MIN(1,IF($AN51="",0,$AN51/'Setari model'!$B$64)))+IF($AR51&lt;=1,0.02,0))</x:f>
      </x:c>
      <x:c r="EH51" s="113" t="str">
        <x:f>IF($A51="","",IF(OR(MIN($I51,$P51)&lt;'Setari model'!$B$58,$CK51=1,$CL51=1,AND($CJ51&lt;&gt;"",$CJ51&lt;=1)),"92% – early/regim",IF(AND($AU51=1,$AR51&gt;1,COUNT($CY51:$DB51)=4),"94% – confirmat","93% – standard")))</x:f>
      </x:c>
      <x:c r="EI51" s="113" t="str">
        <x:f t="shared" si="73">IF($A51="","",IF(AND($EA51&gt;0.9,$AU51&lt;&gt;1),"WAIT XI – HIGH P",IF(AND($EA51&gt;0.9,COUNT($CY51:$DB51)&lt;4),"WAIT DATE CHEIE – HIGH P",IF($EP51&lt;&gt;"DA","NU – PORTOFOLIU","DA"))))</x:f>
      </x:c>
      <x:c r="EJ51" s="117" t="str">
        <x:f t="shared" si="74">IF($A51="","",IF($DE51&lt;&gt;"Live 20-30","",IF(SUM($DG51:$DH51)&gt;0,1,IF($EU51="","",1-MIN(0.95,MAX(0.001,EXP(-$EU51)*$DX51*$DY51/$DW51))))))</x:f>
      </x:c>
      <x:c r="EK51" s="117" t="str">
        <x:f t="shared" si="75">""</x:f>
      </x:c>
      <x:c r="EL51" s="113" t="str">
        <x:f>IF($A51="","",IF($DE51="Live 20-30",IF(SUM($DG51:$DH51)&gt;0,"EVENIMENT ÎNDEPLINIT",IF(OR($DF51="",COUNT($DI51:$DN51)&lt;4),"LIVE – WATCH",IF($EJ51&gt;=0.75,"LIVE – FEZABIL TEHNIC","LIVE – NO BET"))),IF($EI51&lt;&gt;"DA","WATCH / NO BET",IF(AND($EA51&gt;=INDEX('Setari model'!$B$35:$B$40,1),$EF51&gt;=100*'Setari model'!$B$76),"PARIU RECOMANDAT",IF(AND($EA51&gt;=INDEX('Setari model'!$B$35:$B$40,5),$EF51&gt;=100*'Setari model'!$B$40),"WATCH – APROAPE DE PRAG","PARIU EVITAT")))))</x:f>
      </x:c>
      <x:c r="EM51" s="113" t="str">
        <x:f t="shared" si="76">IF($A51="","",IF($DE51="Live 20-30",IF(SUM($DG51:$DH51)&gt;0,"Gol deja marcat.",IF($DF51="","Minut live lipsă.",IF(COUNT($DI51:$DN51)&lt;4,"Lipsesc xG/SOT/big chances live.",IF($EJ51&lt;0.75,"P live sub prag.","Semnal live tehnic complet; EV ignorat.")))),IF($EI51&lt;&gt;"DA",$EI51,IF($EF51&lt;75,"Confidence sub 75.",IF($EA51&lt;0.92,"P sub 92%.","G0/Zero-Mass + confidence trecute; EV ignorat.")))))</x:f>
      </x:c>
      <x:c r="EN51" s="117" t="str">
        <x:f>IF($A51="","",IF(OR($EL51="PARIU RECOMANDAT",$EL51="LIVE – FEZABIL"),MIN(IF($DU51&gt;0,$DU51,'Setari model'!$B$81)/MAX(1,$DR51),IF($DV51&gt;0,$DV51,'Setari model'!$B$80)*MAX(0,((IF($DE51="Live 20-30",$EJ51,$EA51)*IF($DE51="Live 20-30",$DQ51,$AR51)-1)/(IF($DE51="Live 20-30",$DQ51,$AR51)-1)))),0))</x:f>
      </x:c>
      <x:c r="EO51" s="121" t="str">
        <x:f t="shared" si="77">IF($A51="","",IF(AND($EN51&gt;0,$DT51&gt;0),$EN51*$DT51,""))</x:f>
      </x:c>
      <x:c r="EP51" s="113" t="str">
        <x:f>IF($A51="","",IF(OR($DR51&lt;1,$DR51&gt;'Setari model'!$B$78),"NU – 1–5 selecții",IF($DS51&gt;'Setari model'!$B$79,"NU – corelație", "DA")))</x:f>
      </x:c>
      <x:c r="EQ51" s="117" t="str">
        <x:f t="shared" si="78">IF($A51="","",IF(AND($DC51&gt;1,$DD51&gt;1),$DC51/$DD51-1,""))</x:f>
      </x:c>
      <x:c r="ER51" s="113" t="str">
        <x:f t="shared" si="79">IF($A51="","","P v2="&amp;TEXT($EA51,"0.0%")&amp;" ±"&amp;TEXT($EG51,"0.0%")&amp;"; P0 ZIP="&amp;TEXT($DZ51,"0.0%")&amp;"; Confidence="&amp;TEXT($EF51,"0")&amp;"/100; piață reală="&amp;IF($EC51="","NU","DA")&amp;"; EV="&amp;IF($EE51="","n/a",TEXT($EE51,"0.0%"))&amp;"; gate="&amp;$EI51&amp;"; verdict="&amp;$EL51&amp;". "&amp;$EM51)</x:f>
      </x:c>
      <x:c r="ES51" s="119" t="str">
        <x:f>IF($A51="","",'Setari model'!$B$82)</x:f>
      </x:c>
      <x:c r="ET51" s="118" t="str">
        <x:f>IF($A51="","",'Setari model'!$B$83)</x:f>
      </x:c>
      <x:c r="EU51" s="115" t="str">
        <x:f t="shared" si="80">IF(OR($A51="",$DE51&lt;&gt;"Live 20-30",$DF51="",$DF51&lt;$ES51,$DF51&gt;=90),"",MAX(0.05,MIN($BS51*$ET51,$BS51*(90-$DF51)/90+0.35*($DI51+$DJ51)+0.06*($DK51+$DL51)+0.15*($DM51+$DN51)+0.1*(MAX($DO51,$DP51)-MIN($DO51,$DP51)))))</x:f>
      </x:c>
      <x:c r="EV51" s="132"/>
      <x:c r="EW51" s="132"/>
      <x:c r="EX51" s="132"/>
      <x:c r="EY51" s="132"/>
      <x:c r="EZ51" s="132"/>
      <x:c r="FA51" s="132"/>
      <x:c r="FB51" s="247"/>
      <x:c r="FC51" s="134" t="str">
        <x:f t="shared" si="81">IF($A51="","",IF(OR($J51="",$L51="",$L51&lt;=0),"",MAX(0.5,MIN(1.5,$J51/$L51))))</x:f>
      </x:c>
      <x:c r="FD51" s="134" t="str">
        <x:f t="shared" si="82">IF($A51="","",IF(OR($Q51="",$S51="",$S51&lt;=0),"",MAX(0.5,MIN(1.5,$Q51/$S51))))</x:f>
      </x:c>
      <x:c r="FE51" s="134" t="str">
        <x:f>IF($A51="","",IF(COUNT($EV51:$EW51)&lt;2,"",SQRT($EV51*$EW51)/'Setari model'!$B$87))</x:f>
      </x:c>
      <x:c r="FF51" s="134" t="str">
        <x:f>IF($A51="","",IF(COUNT($O51,$V51,$EX51,$EY51)&lt;4,"",AVERAGE(SQRT($O51*$EY51),SQRT($V51*$EX51))/'Setari model'!$B$88))</x:f>
      </x:c>
      <x:c r="FG51" s="134" t="str">
        <x:f t="shared" si="83">IF($A51="","",IF(COUNT($FC51:$FD51)&lt;2,"",MAX(0,1-AVERAGE($FC51:$FD51))))</x:f>
      </x:c>
      <x:c r="FH51" s="134" t="str">
        <x:f>IF($A51="","",IF(COUNT($EZ51:$FA51)&lt;2,"",'Setari model'!$B$94*AVERAGE($EZ51:$FA51)/'Setari model'!$B$89))</x:f>
      </x:c>
      <x:c r="FI51" s="134" t="str">
        <x:f>IF($A51="","",IF(COUNT($FE51:$FH51)&lt;4,"",MAX('Setari model'!$B$97,MIN('Setari model'!$B$98,1+'Setari model'!$B$90*($FE51-1)+'Setari model'!$B$91*($FF51-1)+'Setari model'!$B$92*$FG51+'Setari model'!$B$93*($FH51-1)))))</x:f>
      </x:c>
      <x:c r="FJ51" s="133" t="str">
        <x:f>IF($A51="","",IF($FI51="","",MIN('Setari model'!$B$101,MAX(0.002,$DZ51*$FI51))))</x:f>
      </x:c>
      <x:c r="FK51" s="131" t="str">
        <x:f t="shared" si="84">IF($A51="","",IF(AND(COUNT($EV51:$FA51)=6,COUNT($O51,$V51,$FC51,$FD51)=4),"DA","NU"))</x:f>
      </x:c>
      <x:c r="FL51" s="131" t="str">
        <x:f>IF($A51="","",IF($FK51&lt;&gt;"DA","NEDETERMINAT",IF($FI51&lt;='Setari model'!$B$99,"SCĂZUT",IF($FI51&lt;='Setari model'!$B$100,"MEDIU","RIDICAT"))))</x:f>
      </x:c>
      <x:c r="FM51" s="131" t="str">
        <x:f>IF($A51="","",IF(AND($AR51&gt;1,$EC51&gt;='Setari model'!$B$106),"DA","NU"))</x:f>
      </x:c>
      <x:c r="FN51" s="131" t="str">
        <x:f t="shared" si="85">IF($A51="","",IF(AND($AU51=1,COUNT($CY51:$DB51)=4),"DA","NU"))</x:f>
      </x:c>
      <x:c r="FO51" s="133" t="str">
        <x:f>IF($A51="","",IF(OR($FK51&lt;&gt;"DA",$FL51="RIDICAT"),'Setari model'!$B$102,IF($FL51="MEDIU",'Setari model'!$B$103,IF(AND($FM51="DA",$FN51="DA"),'Setari model'!$B$105,'Setari model'!$B$104))))</x:f>
      </x:c>
      <x:c r="FP51" s="133" t="str">
        <x:f t="shared" si="86">IF($A51="","",IF($FJ51="","",MIN(1-$FJ51,$FO51)))</x:f>
      </x:c>
      <x:c r="FQ51" s="135" t="str">
        <x:f t="shared" si="87">IF($A51="","",IF($FP51="","",IF($FP51&gt;0,1/$FP51,"")))</x:f>
      </x:c>
      <x:c r="FR51" s="133" t="str">
        <x:f t="shared" si="88">IF($A51="","",IF($EC51="","",$FP51-$EC51))</x:f>
      </x:c>
      <x:c r="FS51" s="133" t="str">
        <x:f t="shared" si="89">IF($A51="","",IF($AR51&gt;1,$FP51*$AR51-1,""))</x:f>
      </x:c>
      <x:c r="FT51" s="136" t="str">
        <x:f>IF($A51="","",MAX(0,MIN(100,$EF51-IF($FK51&lt;&gt;"DA",'Setari model'!$B$107,0)-IF($FL51="MEDIU",'Setari model'!$B$108,0)-IF($FL51="RIDICAT",'Setari model'!$B$109,0))))</x:f>
      </x:c>
      <x:c r="FU51" s="131" t="str">
        <x:f t="shared" si="90">IF($A51="","",IF($AR51&lt;=1,"NU – LIPSEȘTE COTA REALĂ",IF($FK51&lt;&gt;"DA","NU – ZERO-RISK INCOMPLET",IF($FL51&lt;&gt;"SCĂZUT","NU – RISC 0-0 "&amp;$FL51,IF($FN51&lt;&gt;"DA","NU – LINEUP NECONFIRMAT",IF($FM51&lt;&gt;"DA","NU – PIAȚĂ NECONFIRMATĂ",IF($EP51&lt;&gt;"DA","NU – PORTOFOLIU","DA")))))))</x:f>
      </x:c>
      <x:c r="FV51" s="131" t="str">
        <x:f>IF($A51="","",IF($FU51&lt;&gt;"DA","WATCH / NO BET",IF(AND($FP51&gt;='Setari model'!$B$35,$FT51&gt;=100*'Setari model'!$B$76,$FS51&gt;0),"PARIU RECOMANDAT",IF(AND($FP51&gt;='Setari model'!$B$39,$FT51&gt;=100*'Setari model'!$B$40,$FS51&gt;0),"WATCH – APROAPE DE PRAG","PARIU EVITAT"))))</x:f>
      </x:c>
      <x:c r="FW51" s="131" t="str">
        <x:f t="shared" si="91">IF($A51="","",IF($FU51&lt;&gt;"DA",$FU51,IF($FT51&lt;75,"Confidence v3 sub 75.",IF($FP51&lt;0.92,"P v3 sub 92%.",IF($FS51&lt;=0,"EV v3 nepozitiv.","P0 v3, lineup și piață confirmate.")))))</x:f>
      </x:c>
      <x:c r="FX51" s="131" t="str">
        <x:f t="shared" si="92">IF($A51="","","P v3="&amp;TEXT($FP51,"0.0%")&amp;"; P0 v3="&amp;TEXT($FJ51,"0.0%")&amp;"; factor zero="&amp;IF($FI51="","n/a",TEXT($FI51,"0.00x"))&amp;" ("&amp;$FL51&amp;"); cap="&amp;TEXT($FO51,"0.0%")&amp;"; Confidence="&amp;TEXT($FT51,"0")&amp;"/100; lineup="&amp;$FN51&amp;"; piață="&amp;$FM51&amp;"; EV="&amp;IF($FS51="","n/a",TEXT($FS51,"0.0%"))&amp;"; gate="&amp;$FU51&amp;"; verdict="&amp;$FV51&amp;". "&amp;$FW51)</x:f>
      </x:c>
      <x:c r="FY51" s="159"/>
      <x:c r="FZ51" s="159"/>
      <x:c r="GA51" s="157"/>
      <x:c r="GB51" s="157"/>
      <x:c r="GC51" s="161" t="str">
        <x:f t="shared" si="93">IF($A51="","",IF(OR($X51="",$Z51="",$Z51&lt;=0),"",MAX(0.5,MIN(1.5,$X51/$Z51))))</x:f>
      </x:c>
      <x:c r="GD51" s="161" t="str">
        <x:f t="shared" si="94">IF($A51="","",IF(OR($AC51="",$AE51="",$AE51&lt;=0),"",MAX(0.5,MIN(1.5,$AC51/$AE51))))</x:f>
      </x:c>
      <x:c r="GE51" s="162" t="str">
        <x:f t="shared" si="95">IF($A51="","",IF(COUNT($Z51,$AE51)&lt;2,"",AVERAGE($Z51,$AE51)))</x:f>
      </x:c>
      <x:c r="GF51" s="158" t="str">
        <x:f>IF($A51="","",IF(COUNT($FY51:$FZ51)&lt;2,"NEDETERMINAT",IF(AND($FY51&gt;='Setari model'!$B$113,$FZ51&gt;='Setari model'!$B$113),"DA","NU")))</x:f>
      </x:c>
      <x:c r="GG51" s="158" t="str">
        <x:f>IF($A51="","",IF(COUNT($FY51:$FZ51,$EX51:$EY51)&lt;4,"NEDETERMINAT",IF(OR(AND($FY51&gt;='Setari model'!$B$113,$EY51&gt;='Setari model'!$B$114),AND($FZ51&gt;='Setari model'!$B$113,$EX51&gt;='Setari model'!$B$114)),"DA","NU")))</x:f>
      </x:c>
      <x:c r="GH51" s="158" t="str">
        <x:f>IF($A51="","",IF(COUNT($BJ51:$BN51,$GC51:$GE51)&lt;8,"NEDETERMINAT",IF(AND((($BJ51*INDEX('Setari model'!$B$5:$B$11,MATCH($E51,'Setari model'!$A$5:$A$11,0))+$BK51*INDEX('Setari model'!$C$5:$C$11,MATCH($E51,'Setari model'!$A$5:$A$11,0))+$BL51*INDEX('Setari model'!$D$5:$D$11,MATCH($E51,'Setari model'!$A$5:$A$11,0))+$BM51*INDEX('Setari model'!$E$5:$E$11,MATCH($E51,'Setari model'!$A$5:$A$11,0))+$BN51*INDEX('Setari model'!$F$5:$F$11,MATCH($E51,'Setari model'!$A$5:$A$11,0)))/(INDEX('Setari model'!$B$5:$B$11,MATCH($E51,'Setari model'!$A$5:$A$11,0))+INDEX('Setari model'!$C$5:$C$11,MATCH($E51,'Setari model'!$A$5:$A$11,0))+INDEX('Setari model'!$D$5:$D$11,MATCH($E51,'Setari model'!$A$5:$A$11,0))+INDEX('Setari model'!$E$5:$E$11,MATCH($E51,'Setari model'!$A$5:$A$11,0))+INDEX('Setari model'!$F$5:$F$11,MATCH($E51,'Setari model'!$A$5:$A$11,0))))*$BR51&gt;='Setari model'!$B$115,(($BJ51*INDEX('Setari model'!$B$5:$B$11,MATCH($E51,'Setari model'!$A$5:$A$11,0))+$BK51*INDEX('Setari model'!$C$5:$C$11,MATCH($E51,'Setari model'!$A$5:$A$11,0))+$BL51*INDEX('Setari model'!$D$5:$D$11,MATCH($E51,'Setari model'!$A$5:$A$11,0))+$BM51*INDEX('Setari model'!$E$5:$E$11,MATCH($E51,'Setari model'!$A$5:$A$11,0))+$BN51*INDEX('Setari model'!$F$5:$F$11,MATCH($E51,'Setari model'!$A$5:$A$11,0)))/(INDEX('Setari model'!$B$5:$B$11,MATCH($E51,'Setari model'!$A$5:$A$11,0))+INDEX('Setari model'!$C$5:$C$11,MATCH($E51,'Setari model'!$A$5:$A$11,0))+INDEX('Setari model'!$D$5:$D$11,MATCH($E51,'Setari model'!$A$5:$A$11,0))+INDEX('Setari model'!$E$5:$E$11,MATCH($E51,'Setari model'!$A$5:$A$11,0))+INDEX('Setari model'!$F$5:$F$11,MATCH($E51,'Setari model'!$A$5:$A$11,0))))*$BR51&lt;='Setari model'!$B$116,AVERAGE($GC51:$GD51)&lt;='Setari model'!$B$117,$GE51&gt;='Setari model'!$B$118),"DA","NU")))</x:f>
      </x:c>
      <x:c r="GI51" s="158" t="str">
        <x:f>IF($A51="","",IF(COUNT($W51,$AB51,$GA51:$GB51)&lt;4,"NEDETERMINAT",IF(AND($W51&gt;='Setari model'!$B$120,$AB51&gt;='Setari model'!$B$120,OR(IFERROR($GA51/$W51,0)&gt;='Setari model'!$B$119,IFERROR($GB51/$AB51,0)&gt;='Setari model'!$B$119)),"DA","NU")))</x:f>
      </x:c>
      <x:c r="GJ51" s="160" t="str">
        <x:f>IF($A51="","",IF(COUNT($FY51:$GB51)&lt;4,"",IF($GH51&lt;&gt;"DA",0,'Setari model'!$B$121*IF($GF51="DA",1,0)+'Setari model'!$B$122*IF($GG51="DA",1,0)+'Setari model'!$B$123+'Setari model'!$B$124*IF($GI51="DA",1,0))))</x:f>
      </x:c>
      <x:c r="GK51" s="161" t="str">
        <x:f>IF($A51="","",IF(COUNT($GJ51)=0,"",1+'Setari model'!$B$125*$GJ51))</x:f>
      </x:c>
      <x:c r="GL51" s="160" t="str">
        <x:f>IF($A51="","",IF($GM51&lt;&gt;"DA",$FJ51,MIN('Setari model'!$B$101,MAX(0.002,$FJ51*$GK51))))</x:f>
      </x:c>
      <x:c r="GM51" s="158" t="str">
        <x:f>IF($A51="","",IF(AND($FK51="DA",COUNT($FY51:$GB51)=4,COUNT($I51,$P51,$W51,$AB51,$Z51,$AE51,$EX51,$EY51,$GC51,$GD51)=10,COUNT($BJ51:$BN51)=5),"DA","NU"))</x:f>
      </x:c>
      <x:c r="GN51" s="158" t="str">
        <x:f>IF($A51="","",IF($GM51&lt;&gt;"DA","NEDETERMINAT",IF($FI51*$GK51&lt;='Setari model'!$B$99,"SCĂZUT",IF($FI51*$GK51&lt;='Setari model'!$B$100,"MEDIU","RIDICAT"))))</x:f>
      </x:c>
      <x:c r="GO51" s="160" t="str">
        <x:f>IF($A51="","",IF(OR($GM51&lt;&gt;"DA",$GN51="RIDICAT"),'Setari model'!$B$102,IF($GN51="MEDIU",'Setari model'!$B$103,IF(AND($FM51="DA",$FN51="DA"),'Setari model'!$B$105,'Setari model'!$B$104))))</x:f>
      </x:c>
      <x:c r="GP51" s="160" t="str">
        <x:f t="shared" si="96">IF($A51="","",IF($GL51="","",MIN(1-$GL51,$GO51)))</x:f>
      </x:c>
      <x:c r="GQ51" s="162" t="str">
        <x:f t="shared" si="97">IF($A51="","",IF($GP51="","",IF($GP51&gt;0,1/$GP51,"")))</x:f>
      </x:c>
      <x:c r="GR51" s="160" t="str">
        <x:f t="shared" si="98">IF($A51="","",IF($EC51="","",$GP51-$EC51))</x:f>
      </x:c>
      <x:c r="GS51" s="160" t="str">
        <x:f t="shared" si="99">IF($A51="","",IF($AR51&gt;1,$GP51*$AR51-1,""))</x:f>
      </x:c>
      <x:c r="GT51" s="163" t="str">
        <x:f>IF($A51="","",MAX(0,MIN(100,$FT51-IF(AND($GM51&lt;&gt;"DA",$FK51="DA"),'Setari model'!$B$107,0)-'Setari model'!$B$126*IF($GJ51="",0,$GJ51))))</x:f>
      </x:c>
      <x:c r="GU51" s="158" t="str">
        <x:f t="shared" si="100">IF($A51="","",IF($AR51&lt;=1,"NU – LIPSEȘTE COTA REALĂ",IF($GM51&lt;&gt;"DA","NU – DATE LOW-CONVERSION INCOMPLETE",IF($GN51&lt;&gt;"SCĂZUT","NU – RISC 0-0 "&amp;$GN51,IF($FN51&lt;&gt;"DA","NU – LINEUP NECONFIRMAT",IF($FM51&lt;&gt;"DA","NU – PIAȚĂ NECONFIRMATĂ",IF($EP51&lt;&gt;"DA","NU – PORTOFOLIU","DA")))))))</x:f>
      </x:c>
      <x:c r="GV51" s="158" t="str">
        <x:f>IF($A51="","",IF($GU51&lt;&gt;"DA","WATCH / NO BET",IF(AND($GP51&gt;='Setari model'!$B$35,$GT51&gt;=100*'Setari model'!$B$76,$GS51&gt;0),"PARIU RECOMANDAT",IF(AND($GP51&gt;='Setari model'!$B$39,$GT51&gt;=100*'Setari model'!$B$40,$GS51&gt;0),"WATCH – APROAPE DE PRAG","PARIU EVITAT"))))</x:f>
      </x:c>
      <x:c r="GW51" s="158" t="str">
        <x:f t="shared" si="101">IF($A51="","",IF($GU51&lt;&gt;"DA",$GU51,IF($GT51&lt;75,"Confidence v5 sub 75.",IF($GP51&lt;0.92,"P v5 sub 92%.",IF($GS51&lt;=0,"EV v5 nepozitiv.",IF($GJ51&gt;0,"Low-conversion absorbit în P0; toate porțile rămân trecute.","Toate porțile v5 sunt trecute."))))))</x:f>
      </x:c>
      <x:c r="GX51" s="158" t="str">
        <x:f t="shared" si="102">IF($A51="","","P v5="&amp;TEXT($GP51,"0.0%")&amp;"; P0 v5="&amp;TEXT($GL51,"0.0%")&amp;"; low-conv="&amp;IF(COUNT($GJ51)=0,"n/a",TEXT($GJ51,"0%"))&amp;"; mult.P0="&amp;IF(COUNT($GK51)=0,"n/a",TEXT($GK51,"0.00"))&amp;"; clasă="&amp;$GN51&amp;"; cap="&amp;TEXT($GO51,"0.0%")&amp;"; Confidence="&amp;TEXT($GT51,"0")&amp;"/100; lineup="&amp;$FN51&amp;"; piață="&amp;$FM51&amp;"; EV="&amp;IF($GS51="","n/a",TEXT($GS51,"0.0%"))&amp;"; gate="&amp;$GU51&amp;"; verdict="&amp;$GV51&amp;". "&amp;$GW51)</x:f>
      </x:c>
      <x:c r="GY51" s="174" t="str">
        <x:f>IF($A51="","",IF($GM51&lt;&gt;"DA","SOURCING INCOMPLETE – REVIEW REQUIRED",IF(MIN($I51,$P51,$W51,$AB51)&lt;'Setari model'!$B$58,"SMALL SAMPLE + PRIOR / SHRINKAGE","VERIFIED / PRIOR / SHRINKAGE")))</x:f>
      </x:c>
      <x:c r="GZ51" s="175" t="str">
        <x:f t="shared" si="103">IF($A51="","",MAX(0,MIN(100,100*(1-AVERAGE(IF($GM51="DA",1,0),MIN(1,$AT51/5))))))</x:f>
      </x:c>
      <x:c r="HA51" s="175" t="str">
        <x:f>IF($A51="","",IF($GM51&lt;&gt;"DA","",MAX(0,MIN(100,100*(($FI51*$GK51)-'Setari model'!$B$97)/('Setari model'!$B$98-'Setari model'!$B$97)))))</x:f>
      </x:c>
      <x:c r="HB51" s="175" t="str">
        <x:f>IF($A51="","",MAX(0,MIN(100,100*(ABS($BR51-1)/MAX(1-'Setari model'!$B$53,'Setari model'!$B$54-1)+MIN(1,$BG51/2))/2)))</x:f>
      </x:c>
      <x:c r="HC51" s="175" t="str">
        <x:f t="shared" si="104">IF($A51="","",MAX(0,MIN(100,100*(1-AVERAGE($CC51,MAX(0,1-(MAX($BJ51:$BN51)-MIN($BJ51:$BN51))/(AVERAGE($BJ51:$BN51)*'Setari model'!$B$45)))))))</x:f>
      </x:c>
      <x:c r="HD51" s="175" t="str">
        <x:f t="shared" si="105">IF($A51="","",MAX(0,MIN(100,100*MAX(IF($GJ51="",0,$GJ51),MIN(1,$BG51/2)))))</x:f>
      </x:c>
      <x:c r="HE51" s="175" t="str">
        <x:f>IF($A51="","",IF(COUNT($GZ51:$HD51)&lt;5,"",$GZ51*Risk_Classification!$E$28+$HA51*Risk_Classification!$E$29+$HB51*Risk_Classification!$E$30+$HC51*Risk_Classification!$E$31+$HD51*Risk_Classification!$E$32))</x:f>
      </x:c>
      <x:c r="HF51" s="176" t="str">
        <x:f t="shared" si="106">IF($A51="","",IF($HE51="","",IF($HE51&lt;=20,1,IF($HE51&lt;=40,2,IF($HE51&lt;=60,3,IF($HE51&lt;=80,4,5))))))</x:f>
      </x:c>
      <x:c r="HG51" s="176" t="str">
        <x:f t="shared" si="107">IF($A51="","",IF($GM51="DA","PASS","FAIL – DATE CRITICE ZERO-MASS INCOMPLETE"))</x:f>
      </x:c>
      <x:c r="HH51" s="176" t="str">
        <x:f t="shared" si="108">IF($A51="","",IF($HG51&lt;&gt;"PASS",5,$HF51))</x:f>
      </x:c>
      <x:c r="HI51" s="174" t="str">
        <x:f t="shared" si="109">IF($A51="","",IF($HH51="","N/A",IF($HH51=1,"DEFENSIV",IF($HH51=2,"PRUDENT",IF($HH51=3,"MODERAT",IF($HH51=4,"RIDICAT","WATCH / NO BET"))))))</x:f>
      </x:c>
      <x:c r="HJ51" s="177" t="str">
        <x:f t="shared" si="110">IF($A51="","","Data="&amp;$GY51&amp;"; DQ="&amp;TEXT($GZ51,"0.0")&amp;"; ZM="&amp;IF($HA51="","n/a",TEXT($HA51,"0.0"))&amp;"; Context="&amp;TEXT($HB51,"0.0")&amp;"; Uncertainty="&amp;TEXT($HC51,"0.0")&amp;"; Compound="&amp;TEXT($HD51,"0.0")&amp;"; Risk Score="&amp;IF($HE51="","n/a",TEXT($HE51,"0.0"))&amp;"; Base="&amp;IF($HF51="","n/a",$HF51)&amp;"; G0="&amp;$HG51&amp;"; Final="&amp;$HH51&amp;". Cota, EV si lineup sunt informative si nu intra in recomandare.")</x:f>
      </x:c>
      <x:c r="HK51" s="174" t="str">
        <x:f t="shared" si="111">IF($A51="","",$HI51)</x:f>
      </x:c>
    </x:row>
    <x:row r="52" ht="24" customHeight="1">
      <x:c r="A52" s="58"/>
      <x:c r="B52" s="24"/>
      <x:c r="C52" s="59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18"/>
      <x:c r="O52" s="18"/>
      <x:c r="P52" s="24"/>
      <x:c r="Q52" s="24"/>
      <x:c r="R52" s="24"/>
      <x:c r="S52" s="24"/>
      <x:c r="T52" s="24"/>
      <x:c r="U52" s="18"/>
      <x:c r="V52" s="18"/>
      <x:c r="W52" s="24"/>
      <x:c r="X52" s="24"/>
      <x:c r="Y52" s="24"/>
      <x:c r="Z52" s="24"/>
      <x:c r="AA52" s="24"/>
      <x:c r="AB52" s="24"/>
      <x:c r="AC52" s="24"/>
      <x:c r="AD52" s="24"/>
      <x:c r="AE52" s="24"/>
      <x:c r="AF52" s="24"/>
      <x:c r="AG52" s="24"/>
      <x:c r="AH52" s="24"/>
      <x:c r="AI52" s="18"/>
      <x:c r="AJ52" s="24"/>
      <x:c r="AK52" s="24"/>
      <x:c r="AL52" s="24"/>
      <x:c r="AM52" s="18"/>
      <x:c r="AN52" s="24"/>
      <x:c r="AO52" s="60"/>
      <x:c r="AP52" s="60"/>
      <x:c r="AQ52" s="60"/>
      <x:c r="AR52" s="60"/>
      <x:c r="AS52" s="60"/>
      <x:c r="AT52" s="24"/>
      <x:c r="AU52" s="24"/>
      <x:c r="AV52" s="24"/>
      <x:c r="AW52" s="24"/>
      <x:c r="AX52" s="24"/>
      <x:c r="AY52" s="24"/>
      <x:c r="AZ52" s="24"/>
      <x:c r="BA52" s="24"/>
      <x:c r="BB52" s="24"/>
      <x:c r="BC52" s="24"/>
      <x:c r="BD52" s="24"/>
      <x:c r="BE52" s="24"/>
      <x:c r="BF52" s="24"/>
      <x:c r="BG52" s="24"/>
      <x:c r="BH52" s="61"/>
      <x:c r="BI52" s="61"/>
      <x:c r="BJ52" s="62" t="str">
        <x:f>IF($A52="","",SQRT((($I52*IF($J52="",$AJ52,$J52)+'Setari model'!$B$30*$AJ52)/($I52+'Setari model'!$B$30))*(($P52*IF($R52="",$AJ52,$R52)+'Setari model'!$B$30*$AJ52)/($P52+'Setari model'!$B$30)))+SQRT((($P52*IF($Q52="",$AK52,$Q52)+'Setari model'!$B$30*$AK52)/($P52+'Setari model'!$B$30))*(($I52*IF($K52="",$AK52,$K52)+'Setari model'!$B$30*$AK52)/($I52+'Setari model'!$B$30))))</x:f>
      </x:c>
      <x:c r="BK52" s="62" t="str">
        <x:f>IF($A52="","",SQRT((($I52*IF($L52="",IF($J52="",$AJ52,$J52),$L52)+'Setari model'!$B$30*$AJ52)/($I52+'Setari model'!$B$30))*(($P52*IF($T52="",IF($R52="",$AJ52,$R52),$T52)+'Setari model'!$B$30*$AJ52)/($P52+'Setari model'!$B$30)))+SQRT((($P52*IF($S52="",IF($Q52="",$AK52,$Q52),$S52)+'Setari model'!$B$30*$AK52)/($P52+'Setari model'!$B$30))*(($I52*IF($M52="",IF($K52="",$AK52,$K52),$M52)+'Setari model'!$B$30*$AK52)/($I52+'Setari model'!$B$30))))</x:f>
      </x:c>
      <x:c r="BL52" s="62" t="str">
        <x:f>IF($A52="","",SQRT((($W52*IF($X52="",$AL52/2,$X52)+'Setari model'!$B$31*$AL52/2)/($W52+'Setari model'!$B$31))*(($AB52*IF($AD52="",$AL52/2,$AD52)+'Setari model'!$B$31*$AL52/2)/($AB52+'Setari model'!$B$31)))+SQRT((($AB52*IF($AC52="",$AL52/2,$AC52)+'Setari model'!$B$31*$AL52/2)/($AB52+'Setari model'!$B$31))*(($W52*IF($Y52="",$AL52/2,$Y52)+'Setari model'!$B$31*$AL52/2)/($W52+'Setari model'!$B$31))))</x:f>
      </x:c>
      <x:c r="BM52" s="62" t="str">
        <x:f>IF($A52="","",SQRT((($W52*IF($Z52="",IF($X52="",$AL52/2,$X52),$Z52)+'Setari model'!$B$31*$AL52/2)/($W52+'Setari model'!$B$31))*(($AB52*IF($AF52="",IF($AD52="",$AL52/2,$AD52),$AF52)+'Setari model'!$B$31*$AL52/2)/($AB52+'Setari model'!$B$31)))+SQRT((($AB52*IF($AE52="",IF($AC52="",$AL52/2,$AC52),$AE52)+'Setari model'!$B$31*$AL52/2)/($AB52+'Setari model'!$B$31))*(($W52*IF($AA52="",IF($Y52="",$AL52/2,$Y52),$AA52)+'Setari model'!$B$31*$AL52/2)/($W52+'Setari model'!$B$31))))</x:f>
      </x:c>
      <x:c r="BN52" s="62" t="str">
        <x:f t="shared" si="56">IF($A52="","",IF($AG52&gt;0,($AG52*IF($AH52="",$AL52,$AH52)+5*$AL52)/($AG52+5),$AL52))</x:f>
      </x:c>
      <x:c r="BO52" s="63" t="str">
        <x:f>IF($A52="","",IF($AR52&gt;1,IF($AS52&gt;1,(1/$AR52)/((1/$AR52+1/$AS52)),MIN(0.995,(1/$AR52)/(1+'Setari model'!$B$32))),1-EXP(-$AL52)))</x:f>
      </x:c>
      <x:c r="BP52" s="62" t="str">
        <x:f t="shared" si="57">IF($A52="","",-LN(1-$BO52))</x:f>
      </x:c>
      <x:c r="BQ52" s="62" t="str">
        <x:f>IF($A52="","",$BJ52*INDEX('Setari model'!$B$5:$B$11,MATCH($E52,'Setari model'!$A$5:$A$11,0))+$BK52*INDEX('Setari model'!$C$5:$C$11,MATCH($E52,'Setari model'!$A$5:$A$11,0))+$BL52*INDEX('Setari model'!$D$5:$D$11,MATCH($E52,'Setari model'!$A$5:$A$11,0))+$BM52*INDEX('Setari model'!$E$5:$E$11,MATCH($E52,'Setari model'!$A$5:$A$11,0))+$BN52*INDEX('Setari model'!$F$5:$F$11,MATCH($E52,'Setari model'!$A$5:$A$11,0))+$BP52*INDEX('Setari model'!$G$5:$G$11,MATCH($E52,'Setari model'!$A$5:$A$11,0)))</x:f>
      </x:c>
      <x:c r="BR52" s="64" t="str">
        <x:f>IF($A52="","",MAX('Setari model'!$B$53,MIN('Setari model'!$B$54,1+($AV52*'Setari model'!$B$15+$AW52*'Setari model'!$B$16+$AX52*'Setari model'!$B$17+$AY52*'Setari model'!$B$18+$AZ52*'Setari model'!$B$19+$BA52*'Setari model'!$B$20+$BB52*'Setari model'!$B$21+$BC52*'Setari model'!$B$22+$BD52*'Setari model'!$B$23+$BE52*'Setari model'!$B$24+$BF52*'Setari model'!$B$25)*INDEX('Setari model'!$H$5:$H$11,MATCH($E52,'Setari model'!$A$5:$A$11,0)))))</x:f>
      </x:c>
      <x:c r="BS52" s="62" t="str">
        <x:f t="shared" si="58">IF($A52="","",$BQ52*$BR52)</x:f>
      </x:c>
      <x:c r="BT52" s="63" t="str">
        <x:f t="shared" si="59">IF($A52="","",EXP(-$BS52))</x:f>
      </x:c>
      <x:c r="BU52" s="65" t="str">
        <x:f>IF($A52="","",IF(OR($AM52="",$AN52=""),1,1+MIN('Setari model'!$B$33,$AN52/100*'Setari model'!$B$33)*($AM52/EXP(-$AL52)-1)))</x:f>
      </x:c>
      <x:c r="BV52" s="63" t="str">
        <x:f>IF($A52="","",MIN(0.45,MAX(0.005,(1-'Setari model'!$B$34*MIN(1,($I52+$P52)/20))*MIN(0.45,$BT52*$BU52)+'Setari model'!$B$34*MIN(1,($I52+$P52)/20)*IF(COUNT($N52,$U52)=2,SQRT(MAX(0,1-$N52)*MAX(0,1-$U52)),IF($AM52="",EXP(-$AL52),$AM52)))))</x:f>
      </x:c>
      <x:c r="BW52" s="63" t="str">
        <x:f t="shared" si="60">IF($A52="","",1-$BV52)</x:f>
      </x:c>
      <x:c r="BX52" s="62" t="str">
        <x:f t="shared" si="61">IF($A52="","",1/$BW52)</x:f>
      </x:c>
      <x:c r="BY52" s="63" t="str">
        <x:f t="shared" si="62">IF($A52="","",$BO52)</x:f>
      </x:c>
      <x:c r="BZ52" s="63" t="str">
        <x:f t="shared" si="63">IF($A52="","",$BW52-$BY52)</x:f>
      </x:c>
      <x:c r="CA52" s="63" t="str">
        <x:f t="shared" si="64">IF($A52="","",IF($AR52&gt;1,$BW52*$AR52-1,""))</x:f>
      </x:c>
      <x:c r="CB52" s="63" t="str">
        <x:f>IF($A52="","",MIN(1,COUNT($I52:$AN52,$AR52:$BG52)/'Setari model'!$B$46))</x:f>
      </x:c>
      <x:c r="CC52" s="63" t="str">
        <x:f t="shared" si="65">IF($A52="","",0.25*MIN(1,$I52/10)+0.25*MIN(1,$P52/10)+0.15*MIN(1,$W52/5)+0.15*MIN(1,$AB52/5)+0.1*MIN(1,$AG52/5)+0.1*MIN(1,$AN52/100))</x:f>
      </x:c>
      <x:c r="CD52" s="63" t="str">
        <x:f>IF($A52="","",MAX(0,1-(MAX($BJ52:$BN52,$BP52)-MIN($BJ52:$BN52,$BP52))/(AVERAGE($BJ52:$BN52,$BP52)*'Setari model'!$B$45)))</x:f>
      </x:c>
      <x:c r="CE52" s="66" t="str">
        <x:f>IF($A52="","",MAX(0,MIN(100,100*INDEX('Setari model'!$I$5:$I$11,MATCH($E52,'Setari model'!$A$5:$A$11,0))*('Setari model'!$B$47*$CB52+'Setari model'!$B$48*$CC52+'Setari model'!$B$49*$CD52+'Setari model'!$B$50*$AT52/5+'Setari model'!$B$51*$AU52)-100*'Setari model'!$B$52*$BG52)))</x:f>
      </x:c>
      <x:c r="CF52" s="65" t="str">
        <x:f t="shared" si="66">IF($A52="","",IF(OR($AT52&lt;3,$BG52&gt;=2,$CB52&lt;0.55,$CC52&lt;0.4),"RIDICAT",IF(OR($AU52=0,$CD52&lt;0.45,$BR52&lt;0.9),"MEDIU","SCĂZUT")))</x:f>
      </x:c>
      <x:c r="CG52" s="65" t="str">
        <x:f>IF($A52="","",IF($AR52&gt;1,IF(AND($BW52&gt;= 'Setari model'!$B$35,$CE52&gt;=100*'Setari model'!$B$36,$BZ52&gt;= 'Setari model'!$B$37,$CA52&gt;= 'Setari model'!$B$38,$CF52&lt;&gt;"RIDICAT"),"PARIU RECOMANDAT",IF(AND($BW52&gt;= 'Setari model'!$B$39,$CE52&gt;=100*'Setari model'!$B$40,$BZ52&gt;= 'Setari model'!$B$41,$CA52&gt;=0,$CF52&lt;&gt;"RIDICAT"),"RECOMANDAT CU PRUDENȚĂ",IF(AND($BW52&gt;= 'Setari model'!$B$42,$CE52&gt;=100*'Setari model'!$B$43),"ANALIZĂ NECONCLUDENTĂ","PARIU EVITAT"))),IF(AND($BW52&gt;= 'Setari model'!$B$35,$CE52&gt;=100*'Setari model'!$B$36,$CF52&lt;&gt;"RIDICAT"),"FAVORABIL STATISTIC – VERIFICĂ COTA",IF(AND($BW52&gt;= 'Setari model'!$B$42,$CE52&gt;=100*'Setari model'!$B$43),"ANALIZĂ NECONCLUDENTĂ","PARIU EVITAT"))))</x:f>
      </x:c>
      <x:c r="CH52" s="67" t="str">
        <x:f t="shared" si="67">IF($A52="","","P(O0,5)="&amp;TEXT($BW52,"0.0%")&amp;"; λ ajustat="&amp;TEXT($BS52,"0.00")&amp;"; Confidence="&amp;TEXT($CE52,"0")&amp;"/100; Edge="&amp;TEXT($BZ52,"0.0%")&amp;"; risc="&amp;$CF52&amp;". "&amp;$BH52)</x:f>
      </x:c>
      <x:c r="CI52" s="68" t="str">
        <x:f t="shared" si="68">IF($A52="","",$BI52)</x:f>
      </x:c>
      <x:c r="CJ52" s="112"/>
      <x:c r="CK52" s="112"/>
      <x:c r="CL52" s="112"/>
      <x:c r="CM52" s="112"/>
      <x:c r="CN52" s="112"/>
      <x:c r="CO52" s="112"/>
      <x:c r="CP52" s="112"/>
      <x:c r="CQ52" s="112"/>
      <x:c r="CR52" s="112"/>
      <x:c r="CS52" s="112"/>
      <x:c r="CT52" s="112"/>
      <x:c r="CU52" s="112"/>
      <x:c r="CV52" s="112"/>
      <x:c r="CW52" s="112"/>
      <x:c r="CX52" s="112"/>
      <x:c r="CY52" s="112"/>
      <x:c r="CZ52" s="112"/>
      <x:c r="DA52" s="112"/>
      <x:c r="DB52" s="112"/>
      <x:c r="DC52" s="114"/>
      <x:c r="DD52" s="114"/>
      <x:c r="DE52" s="112" t="s">
        <x:v>266</x:v>
      </x:c>
      <x:c r="DF52" s="112"/>
      <x:c r="DG52" s="112"/>
      <x:c r="DH52" s="112"/>
      <x:c r="DI52" s="112"/>
      <x:c r="DJ52" s="112"/>
      <x:c r="DK52" s="112"/>
      <x:c r="DL52" s="112"/>
      <x:c r="DM52" s="112"/>
      <x:c r="DN52" s="112"/>
      <x:c r="DO52" s="112"/>
      <x:c r="DP52" s="112"/>
      <x:c r="DQ52" s="114"/>
      <x:c r="DR52" s="112">
        <x:v>1</x:v>
      </x:c>
      <x:c r="DS52" s="116">
        <x:v>0</x:v>
      </x:c>
      <x:c r="DT52" s="120"/>
      <x:c r="DU52" s="116">
        <x:v>0.02</x:v>
      </x:c>
      <x:c r="DV52" s="116">
        <x:v>0.25</x:v>
      </x:c>
      <x:c r="DW52" s="118" t="str">
        <x:f>IF($A52="","",MAX('Setari model'!$B$71,MIN('Setari model'!$B$72,1+0.08*(IFERROR(AVERAGE($CM52:$CN52)/'Setari model'!$B$66,1)-1)+0.08*(IFERROR(AVERAGE($CO52:$CP52)/'Setari model'!$B$67,1)-1)+0.06*(IFERROR(AVERAGE($CQ52:$CR52)/'Setari model'!$B$68,1)-1)+0.04*(IFERROR(AVERAGE($CS52:$CT52)/'Setari model'!$B$69,1)-1)+0.04*(IFERROR(AVERAGE($CU52:$CV52)/'Setari model'!$B$70,1)-1)-'Setari model'!$B$73*IFERROR(AVERAGE($CW52:$CX52),0))))</x:f>
      </x:c>
      <x:c r="DX52" s="118" t="str">
        <x:f>IF($A52="","",1+'Setari model'!$B$62*MAX(IF(OR($CK52=1,$CL52=1),1,0),IF(AND($CJ52&lt;&gt;"",$CJ52&lt;=1),1,0))+'Setari model'!$B$63*IF(AND($CJ52&gt;1,$CJ52&lt;=3),1,0))</x:f>
      </x:c>
      <x:c r="DY52" s="118" t="str">
        <x:f>IF($A52="","",1+'Setari model'!$B$74*(IF($CY52="",0,IF($CY52=0,1,0))+IF($CZ52="",0,IF($CZ52=0,1,0)))+'Setari model'!$B$75*(IF($DA52="",0,IF($DA52=0,1,0))+IF($DB52="",0,IF($DB52=0,1,0))))</x:f>
      </x:c>
      <x:c r="DZ52" s="117" t="str">
        <x:f>IF($A52="","",MIN(0.6,MAX(0.002,(((1-'Setari model'!$B$34*MIN(1,($I52+$P52)/20))*$BT52+'Setari model'!$B$34*MIN(1,($I52+$P52)/20)*IF(COUNT($N52,$U52)=2,SQRT(MAX(0,1-$N52)*MAX(0,1-$U52)),$BT52))*(1-'Setari model'!$B$65*MIN(1,IF($AN52="",0,$AN52/'Setari model'!$B$64)))+'Setari model'!$B$65*MIN(1,IF($AN52="",0,$AN52/'Setari model'!$B$64))*IF($AM52="",$BT52,$AM52))*$DX52*$DY52/$DW52)))</x:f>
      </x:c>
      <x:c r="EA52" s="117" t="str">
        <x:f>IF($A52="","",MIN(1-$DZ52,IF(OR(MIN($I52,$P52)&lt;'Setari model'!$B$58,$CK52=1,$CL52=1,AND($CJ52&lt;&gt;"",$CJ52&lt;=1)),'Setari model'!$B$59,IF(AND($AU52=1,$AR52&gt;1,COUNT($CY52:$DB52)=4),'Setari model'!$B$61,'Setari model'!$B$60))))</x:f>
      </x:c>
      <x:c r="EB52" s="115" t="str">
        <x:f t="shared" si="69">IF($A52="","",1/$EA52)</x:f>
      </x:c>
      <x:c r="EC52" s="117" t="str">
        <x:f t="shared" si="70">IF($A52="","",IF($AR52&gt;1,IF($AS52&gt;1,(1/$AR52)/((1/$AR52)+(1/$AS52)),1/$AR52),""))</x:f>
      </x:c>
      <x:c r="ED52" s="117" t="str">
        <x:f t="shared" si="71">IF($A52="","",IF($EC52="","",$EA52-$EC52))</x:f>
      </x:c>
      <x:c r="EE52" s="117" t="str">
        <x:f t="shared" si="72">""</x:f>
      </x:c>
      <x:c r="EF52" s="119" t="str">
        <x:f>IF($A52="","",MAX(0,MIN(100,$CE52-200*MAX(0,$EG52-'Setari model'!$B$77)-IF($AU52&lt;&gt;1,10,0)-IF(COUNT($CY52:$DB52)&lt;4,4,0))))</x:f>
      </x:c>
      <x:c r="EG52" s="117" t="str">
        <x:f>IF($A52="","",'Setari model'!$B$77+IF(MIN($I52,$P52)&lt;'Setari model'!$B$58,0.03,0)+IF(OR($CK52=1,$CL52=1,AND($CJ52&lt;&gt;"",$CJ52&lt;=1)),0.03,0)+IF($AG52=0,0.02,0)+0.03*(1-MIN(1,COUNT($CM52:$CV52)/10))+0.03*(1-MIN(1,IF($AN52="",0,$AN52/'Setari model'!$B$64)))+IF($AR52&lt;=1,0.02,0))</x:f>
      </x:c>
      <x:c r="EH52" s="113" t="str">
        <x:f>IF($A52="","",IF(OR(MIN($I52,$P52)&lt;'Setari model'!$B$58,$CK52=1,$CL52=1,AND($CJ52&lt;&gt;"",$CJ52&lt;=1)),"92% – early/regim",IF(AND($AU52=1,$AR52&gt;1,COUNT($CY52:$DB52)=4),"94% – confirmat","93% – standard")))</x:f>
      </x:c>
      <x:c r="EI52" s="113" t="str">
        <x:f t="shared" si="73">IF($A52="","",IF(AND($EA52&gt;0.9,$AU52&lt;&gt;1),"WAIT XI – HIGH P",IF(AND($EA52&gt;0.9,COUNT($CY52:$DB52)&lt;4),"WAIT DATE CHEIE – HIGH P",IF($EP52&lt;&gt;"DA","NU – PORTOFOLIU","DA"))))</x:f>
      </x:c>
      <x:c r="EJ52" s="117" t="str">
        <x:f t="shared" si="74">IF($A52="","",IF($DE52&lt;&gt;"Live 20-30","",IF(SUM($DG52:$DH52)&gt;0,1,IF($EU52="","",1-MIN(0.95,MAX(0.001,EXP(-$EU52)*$DX52*$DY52/$DW52))))))</x:f>
      </x:c>
      <x:c r="EK52" s="117" t="str">
        <x:f t="shared" si="75">""</x:f>
      </x:c>
      <x:c r="EL52" s="113" t="str">
        <x:f>IF($A52="","",IF($DE52="Live 20-30",IF(SUM($DG52:$DH52)&gt;0,"EVENIMENT ÎNDEPLINIT",IF(OR($DF52="",COUNT($DI52:$DN52)&lt;4),"LIVE – WATCH",IF($EJ52&gt;=0.75,"LIVE – FEZABIL TEHNIC","LIVE – NO BET"))),IF($EI52&lt;&gt;"DA","WATCH / NO BET",IF(AND($EA52&gt;=INDEX('Setari model'!$B$35:$B$40,1),$EF52&gt;=100*'Setari model'!$B$76),"PARIU RECOMANDAT",IF(AND($EA52&gt;=INDEX('Setari model'!$B$35:$B$40,5),$EF52&gt;=100*'Setari model'!$B$40),"WATCH – APROAPE DE PRAG","PARIU EVITAT")))))</x:f>
      </x:c>
      <x:c r="EM52" s="113" t="str">
        <x:f t="shared" si="76">IF($A52="","",IF($DE52="Live 20-30",IF(SUM($DG52:$DH52)&gt;0,"Gol deja marcat.",IF($DF52="","Minut live lipsă.",IF(COUNT($DI52:$DN52)&lt;4,"Lipsesc xG/SOT/big chances live.",IF($EJ52&lt;0.75,"P live sub prag.","Semnal live tehnic complet; EV ignorat.")))),IF($EI52&lt;&gt;"DA",$EI52,IF($EF52&lt;75,"Confidence sub 75.",IF($EA52&lt;0.92,"P sub 92%.","G0/Zero-Mass + confidence trecute; EV ignorat.")))))</x:f>
      </x:c>
      <x:c r="EN52" s="117" t="str">
        <x:f>IF($A52="","",IF(OR($EL52="PARIU RECOMANDAT",$EL52="LIVE – FEZABIL"),MIN(IF($DU52&gt;0,$DU52,'Setari model'!$B$81)/MAX(1,$DR52),IF($DV52&gt;0,$DV52,'Setari model'!$B$80)*MAX(0,((IF($DE52="Live 20-30",$EJ52,$EA52)*IF($DE52="Live 20-30",$DQ52,$AR52)-1)/(IF($DE52="Live 20-30",$DQ52,$AR52)-1)))),0))</x:f>
      </x:c>
      <x:c r="EO52" s="121" t="str">
        <x:f t="shared" si="77">IF($A52="","",IF(AND($EN52&gt;0,$DT52&gt;0),$EN52*$DT52,""))</x:f>
      </x:c>
      <x:c r="EP52" s="113" t="str">
        <x:f>IF($A52="","",IF(OR($DR52&lt;1,$DR52&gt;'Setari model'!$B$78),"NU – 1–5 selecții",IF($DS52&gt;'Setari model'!$B$79,"NU – corelație", "DA")))</x:f>
      </x:c>
      <x:c r="EQ52" s="117" t="str">
        <x:f t="shared" si="78">IF($A52="","",IF(AND($DC52&gt;1,$DD52&gt;1),$DC52/$DD52-1,""))</x:f>
      </x:c>
      <x:c r="ER52" s="113" t="str">
        <x:f t="shared" si="79">IF($A52="","","P v2="&amp;TEXT($EA52,"0.0%")&amp;" ±"&amp;TEXT($EG52,"0.0%")&amp;"; P0 ZIP="&amp;TEXT($DZ52,"0.0%")&amp;"; Confidence="&amp;TEXT($EF52,"0")&amp;"/100; piață reală="&amp;IF($EC52="","NU","DA")&amp;"; EV="&amp;IF($EE52="","n/a",TEXT($EE52,"0.0%"))&amp;"; gate="&amp;$EI52&amp;"; verdict="&amp;$EL52&amp;". "&amp;$EM52)</x:f>
      </x:c>
      <x:c r="ES52" s="119" t="str">
        <x:f>IF($A52="","",'Setari model'!$B$82)</x:f>
      </x:c>
      <x:c r="ET52" s="118" t="str">
        <x:f>IF($A52="","",'Setari model'!$B$83)</x:f>
      </x:c>
      <x:c r="EU52" s="115" t="str">
        <x:f t="shared" si="80">IF(OR($A52="",$DE52&lt;&gt;"Live 20-30",$DF52="",$DF52&lt;$ES52,$DF52&gt;=90),"",MAX(0.05,MIN($BS52*$ET52,$BS52*(90-$DF52)/90+0.35*($DI52+$DJ52)+0.06*($DK52+$DL52)+0.15*($DM52+$DN52)+0.1*(MAX($DO52,$DP52)-MIN($DO52,$DP52)))))</x:f>
      </x:c>
      <x:c r="EV52" s="132"/>
      <x:c r="EW52" s="132"/>
      <x:c r="EX52" s="132"/>
      <x:c r="EY52" s="132"/>
      <x:c r="EZ52" s="132"/>
      <x:c r="FA52" s="132"/>
      <x:c r="FB52" s="247"/>
      <x:c r="FC52" s="134" t="str">
        <x:f t="shared" si="81">IF($A52="","",IF(OR($J52="",$L52="",$L52&lt;=0),"",MAX(0.5,MIN(1.5,$J52/$L52))))</x:f>
      </x:c>
      <x:c r="FD52" s="134" t="str">
        <x:f t="shared" si="82">IF($A52="","",IF(OR($Q52="",$S52="",$S52&lt;=0),"",MAX(0.5,MIN(1.5,$Q52/$S52))))</x:f>
      </x:c>
      <x:c r="FE52" s="134" t="str">
        <x:f>IF($A52="","",IF(COUNT($EV52:$EW52)&lt;2,"",SQRT($EV52*$EW52)/'Setari model'!$B$87))</x:f>
      </x:c>
      <x:c r="FF52" s="134" t="str">
        <x:f>IF($A52="","",IF(COUNT($O52,$V52,$EX52,$EY52)&lt;4,"",AVERAGE(SQRT($O52*$EY52),SQRT($V52*$EX52))/'Setari model'!$B$88))</x:f>
      </x:c>
      <x:c r="FG52" s="134" t="str">
        <x:f t="shared" si="83">IF($A52="","",IF(COUNT($FC52:$FD52)&lt;2,"",MAX(0,1-AVERAGE($FC52:$FD52))))</x:f>
      </x:c>
      <x:c r="FH52" s="134" t="str">
        <x:f>IF($A52="","",IF(COUNT($EZ52:$FA52)&lt;2,"",'Setari model'!$B$94*AVERAGE($EZ52:$FA52)/'Setari model'!$B$89))</x:f>
      </x:c>
      <x:c r="FI52" s="134" t="str">
        <x:f>IF($A52="","",IF(COUNT($FE52:$FH52)&lt;4,"",MAX('Setari model'!$B$97,MIN('Setari model'!$B$98,1+'Setari model'!$B$90*($FE52-1)+'Setari model'!$B$91*($FF52-1)+'Setari model'!$B$92*$FG52+'Setari model'!$B$93*($FH52-1)))))</x:f>
      </x:c>
      <x:c r="FJ52" s="133" t="str">
        <x:f>IF($A52="","",IF($FI52="","",MIN('Setari model'!$B$101,MAX(0.002,$DZ52*$FI52))))</x:f>
      </x:c>
      <x:c r="FK52" s="131" t="str">
        <x:f t="shared" si="84">IF($A52="","",IF(AND(COUNT($EV52:$FA52)=6,COUNT($O52,$V52,$FC52,$FD52)=4),"DA","NU"))</x:f>
      </x:c>
      <x:c r="FL52" s="131" t="str">
        <x:f>IF($A52="","",IF($FK52&lt;&gt;"DA","NEDETERMINAT",IF($FI52&lt;='Setari model'!$B$99,"SCĂZUT",IF($FI52&lt;='Setari model'!$B$100,"MEDIU","RIDICAT"))))</x:f>
      </x:c>
      <x:c r="FM52" s="131" t="str">
        <x:f>IF($A52="","",IF(AND($AR52&gt;1,$EC52&gt;='Setari model'!$B$106),"DA","NU"))</x:f>
      </x:c>
      <x:c r="FN52" s="131" t="str">
        <x:f t="shared" si="85">IF($A52="","",IF(AND($AU52=1,COUNT($CY52:$DB52)=4),"DA","NU"))</x:f>
      </x:c>
      <x:c r="FO52" s="133" t="str">
        <x:f>IF($A52="","",IF(OR($FK52&lt;&gt;"DA",$FL52="RIDICAT"),'Setari model'!$B$102,IF($FL52="MEDIU",'Setari model'!$B$103,IF(AND($FM52="DA",$FN52="DA"),'Setari model'!$B$105,'Setari model'!$B$104))))</x:f>
      </x:c>
      <x:c r="FP52" s="133" t="str">
        <x:f t="shared" si="86">IF($A52="","",IF($FJ52="","",MIN(1-$FJ52,$FO52)))</x:f>
      </x:c>
      <x:c r="FQ52" s="135" t="str">
        <x:f t="shared" si="87">IF($A52="","",IF($FP52="","",IF($FP52&gt;0,1/$FP52,"")))</x:f>
      </x:c>
      <x:c r="FR52" s="133" t="str">
        <x:f t="shared" si="88">IF($A52="","",IF($EC52="","",$FP52-$EC52))</x:f>
      </x:c>
      <x:c r="FS52" s="133" t="str">
        <x:f t="shared" si="89">IF($A52="","",IF($AR52&gt;1,$FP52*$AR52-1,""))</x:f>
      </x:c>
      <x:c r="FT52" s="136" t="str">
        <x:f>IF($A52="","",MAX(0,MIN(100,$EF52-IF($FK52&lt;&gt;"DA",'Setari model'!$B$107,0)-IF($FL52="MEDIU",'Setari model'!$B$108,0)-IF($FL52="RIDICAT",'Setari model'!$B$109,0))))</x:f>
      </x:c>
      <x:c r="FU52" s="131" t="str">
        <x:f t="shared" si="90">IF($A52="","",IF($AR52&lt;=1,"NU – LIPSEȘTE COTA REALĂ",IF($FK52&lt;&gt;"DA","NU – ZERO-RISK INCOMPLET",IF($FL52&lt;&gt;"SCĂZUT","NU – RISC 0-0 "&amp;$FL52,IF($FN52&lt;&gt;"DA","NU – LINEUP NECONFIRMAT",IF($FM52&lt;&gt;"DA","NU – PIAȚĂ NECONFIRMATĂ",IF($EP52&lt;&gt;"DA","NU – PORTOFOLIU","DA")))))))</x:f>
      </x:c>
      <x:c r="FV52" s="131" t="str">
        <x:f>IF($A52="","",IF($FU52&lt;&gt;"DA","WATCH / NO BET",IF(AND($FP52&gt;='Setari model'!$B$35,$FT52&gt;=100*'Setari model'!$B$76,$FS52&gt;0),"PARIU RECOMANDAT",IF(AND($FP52&gt;='Setari model'!$B$39,$FT52&gt;=100*'Setari model'!$B$40,$FS52&gt;0),"WATCH – APROAPE DE PRAG","PARIU EVITAT"))))</x:f>
      </x:c>
      <x:c r="FW52" s="131" t="str">
        <x:f t="shared" si="91">IF($A52="","",IF($FU52&lt;&gt;"DA",$FU52,IF($FT52&lt;75,"Confidence v3 sub 75.",IF($FP52&lt;0.92,"P v3 sub 92%.",IF($FS52&lt;=0,"EV v3 nepozitiv.","P0 v3, lineup și piață confirmate.")))))</x:f>
      </x:c>
      <x:c r="FX52" s="131" t="str">
        <x:f t="shared" si="92">IF($A52="","","P v3="&amp;TEXT($FP52,"0.0%")&amp;"; P0 v3="&amp;TEXT($FJ52,"0.0%")&amp;"; factor zero="&amp;IF($FI52="","n/a",TEXT($FI52,"0.00x"))&amp;" ("&amp;$FL52&amp;"); cap="&amp;TEXT($FO52,"0.0%")&amp;"; Confidence="&amp;TEXT($FT52,"0")&amp;"/100; lineup="&amp;$FN52&amp;"; piață="&amp;$FM52&amp;"; EV="&amp;IF($FS52="","n/a",TEXT($FS52,"0.0%"))&amp;"; gate="&amp;$FU52&amp;"; verdict="&amp;$FV52&amp;". "&amp;$FW52)</x:f>
      </x:c>
      <x:c r="FY52" s="159"/>
      <x:c r="FZ52" s="159"/>
      <x:c r="GA52" s="157"/>
      <x:c r="GB52" s="157"/>
      <x:c r="GC52" s="161" t="str">
        <x:f t="shared" si="93">IF($A52="","",IF(OR($X52="",$Z52="",$Z52&lt;=0),"",MAX(0.5,MIN(1.5,$X52/$Z52))))</x:f>
      </x:c>
      <x:c r="GD52" s="161" t="str">
        <x:f t="shared" si="94">IF($A52="","",IF(OR($AC52="",$AE52="",$AE52&lt;=0),"",MAX(0.5,MIN(1.5,$AC52/$AE52))))</x:f>
      </x:c>
      <x:c r="GE52" s="162" t="str">
        <x:f t="shared" si="95">IF($A52="","",IF(COUNT($Z52,$AE52)&lt;2,"",AVERAGE($Z52,$AE52)))</x:f>
      </x:c>
      <x:c r="GF52" s="158" t="str">
        <x:f>IF($A52="","",IF(COUNT($FY52:$FZ52)&lt;2,"NEDETERMINAT",IF(AND($FY52&gt;='Setari model'!$B$113,$FZ52&gt;='Setari model'!$B$113),"DA","NU")))</x:f>
      </x:c>
      <x:c r="GG52" s="158" t="str">
        <x:f>IF($A52="","",IF(COUNT($FY52:$FZ52,$EX52:$EY52)&lt;4,"NEDETERMINAT",IF(OR(AND($FY52&gt;='Setari model'!$B$113,$EY52&gt;='Setari model'!$B$114),AND($FZ52&gt;='Setari model'!$B$113,$EX52&gt;='Setari model'!$B$114)),"DA","NU")))</x:f>
      </x:c>
      <x:c r="GH52" s="158" t="str">
        <x:f>IF($A52="","",IF(COUNT($BJ52:$BN52,$GC52:$GE52)&lt;8,"NEDETERMINAT",IF(AND((($BJ52*INDEX('Setari model'!$B$5:$B$11,MATCH($E52,'Setari model'!$A$5:$A$11,0))+$BK52*INDEX('Setari model'!$C$5:$C$11,MATCH($E52,'Setari model'!$A$5:$A$11,0))+$BL52*INDEX('Setari model'!$D$5:$D$11,MATCH($E52,'Setari model'!$A$5:$A$11,0))+$BM52*INDEX('Setari model'!$E$5:$E$11,MATCH($E52,'Setari model'!$A$5:$A$11,0))+$BN52*INDEX('Setari model'!$F$5:$F$11,MATCH($E52,'Setari model'!$A$5:$A$11,0)))/(INDEX('Setari model'!$B$5:$B$11,MATCH($E52,'Setari model'!$A$5:$A$11,0))+INDEX('Setari model'!$C$5:$C$11,MATCH($E52,'Setari model'!$A$5:$A$11,0))+INDEX('Setari model'!$D$5:$D$11,MATCH($E52,'Setari model'!$A$5:$A$11,0))+INDEX('Setari model'!$E$5:$E$11,MATCH($E52,'Setari model'!$A$5:$A$11,0))+INDEX('Setari model'!$F$5:$F$11,MATCH($E52,'Setari model'!$A$5:$A$11,0))))*$BR52&gt;='Setari model'!$B$115,(($BJ52*INDEX('Setari model'!$B$5:$B$11,MATCH($E52,'Setari model'!$A$5:$A$11,0))+$BK52*INDEX('Setari model'!$C$5:$C$11,MATCH($E52,'Setari model'!$A$5:$A$11,0))+$BL52*INDEX('Setari model'!$D$5:$D$11,MATCH($E52,'Setari model'!$A$5:$A$11,0))+$BM52*INDEX('Setari model'!$E$5:$E$11,MATCH($E52,'Setari model'!$A$5:$A$11,0))+$BN52*INDEX('Setari model'!$F$5:$F$11,MATCH($E52,'Setari model'!$A$5:$A$11,0)))/(INDEX('Setari model'!$B$5:$B$11,MATCH($E52,'Setari model'!$A$5:$A$11,0))+INDEX('Setari model'!$C$5:$C$11,MATCH($E52,'Setari model'!$A$5:$A$11,0))+INDEX('Setari model'!$D$5:$D$11,MATCH($E52,'Setari model'!$A$5:$A$11,0))+INDEX('Setari model'!$E$5:$E$11,MATCH($E52,'Setari model'!$A$5:$A$11,0))+INDEX('Setari model'!$F$5:$F$11,MATCH($E52,'Setari model'!$A$5:$A$11,0))))*$BR52&lt;='Setari model'!$B$116,AVERAGE($GC52:$GD52)&lt;='Setari model'!$B$117,$GE52&gt;='Setari model'!$B$118),"DA","NU")))</x:f>
      </x:c>
      <x:c r="GI52" s="158" t="str">
        <x:f>IF($A52="","",IF(COUNT($W52,$AB52,$GA52:$GB52)&lt;4,"NEDETERMINAT",IF(AND($W52&gt;='Setari model'!$B$120,$AB52&gt;='Setari model'!$B$120,OR(IFERROR($GA52/$W52,0)&gt;='Setari model'!$B$119,IFERROR($GB52/$AB52,0)&gt;='Setari model'!$B$119)),"DA","NU")))</x:f>
      </x:c>
      <x:c r="GJ52" s="160" t="str">
        <x:f>IF($A52="","",IF(COUNT($FY52:$GB52)&lt;4,"",IF($GH52&lt;&gt;"DA",0,'Setari model'!$B$121*IF($GF52="DA",1,0)+'Setari model'!$B$122*IF($GG52="DA",1,0)+'Setari model'!$B$123+'Setari model'!$B$124*IF($GI52="DA",1,0))))</x:f>
      </x:c>
      <x:c r="GK52" s="161" t="str">
        <x:f>IF($A52="","",IF(COUNT($GJ52)=0,"",1+'Setari model'!$B$125*$GJ52))</x:f>
      </x:c>
      <x:c r="GL52" s="160" t="str">
        <x:f>IF($A52="","",IF($GM52&lt;&gt;"DA",$FJ52,MIN('Setari model'!$B$101,MAX(0.002,$FJ52*$GK52))))</x:f>
      </x:c>
      <x:c r="GM52" s="158" t="str">
        <x:f>IF($A52="","",IF(AND($FK52="DA",COUNT($FY52:$GB52)=4,COUNT($I52,$P52,$W52,$AB52,$Z52,$AE52,$EX52,$EY52,$GC52,$GD52)=10,COUNT($BJ52:$BN52)=5),"DA","NU"))</x:f>
      </x:c>
      <x:c r="GN52" s="158" t="str">
        <x:f>IF($A52="","",IF($GM52&lt;&gt;"DA","NEDETERMINAT",IF($FI52*$GK52&lt;='Setari model'!$B$99,"SCĂZUT",IF($FI52*$GK52&lt;='Setari model'!$B$100,"MEDIU","RIDICAT"))))</x:f>
      </x:c>
      <x:c r="GO52" s="160" t="str">
        <x:f>IF($A52="","",IF(OR($GM52&lt;&gt;"DA",$GN52="RIDICAT"),'Setari model'!$B$102,IF($GN52="MEDIU",'Setari model'!$B$103,IF(AND($FM52="DA",$FN52="DA"),'Setari model'!$B$105,'Setari model'!$B$104))))</x:f>
      </x:c>
      <x:c r="GP52" s="160" t="str">
        <x:f t="shared" si="96">IF($A52="","",IF($GL52="","",MIN(1-$GL52,$GO52)))</x:f>
      </x:c>
      <x:c r="GQ52" s="162" t="str">
        <x:f t="shared" si="97">IF($A52="","",IF($GP52="","",IF($GP52&gt;0,1/$GP52,"")))</x:f>
      </x:c>
      <x:c r="GR52" s="160" t="str">
        <x:f t="shared" si="98">IF($A52="","",IF($EC52="","",$GP52-$EC52))</x:f>
      </x:c>
      <x:c r="GS52" s="160" t="str">
        <x:f t="shared" si="99">IF($A52="","",IF($AR52&gt;1,$GP52*$AR52-1,""))</x:f>
      </x:c>
      <x:c r="GT52" s="163" t="str">
        <x:f>IF($A52="","",MAX(0,MIN(100,$FT52-IF(AND($GM52&lt;&gt;"DA",$FK52="DA"),'Setari model'!$B$107,0)-'Setari model'!$B$126*IF($GJ52="",0,$GJ52))))</x:f>
      </x:c>
      <x:c r="GU52" s="158" t="str">
        <x:f t="shared" si="100">IF($A52="","",IF($AR52&lt;=1,"NU – LIPSEȘTE COTA REALĂ",IF($GM52&lt;&gt;"DA","NU – DATE LOW-CONVERSION INCOMPLETE",IF($GN52&lt;&gt;"SCĂZUT","NU – RISC 0-0 "&amp;$GN52,IF($FN52&lt;&gt;"DA","NU – LINEUP NECONFIRMAT",IF($FM52&lt;&gt;"DA","NU – PIAȚĂ NECONFIRMATĂ",IF($EP52&lt;&gt;"DA","NU – PORTOFOLIU","DA")))))))</x:f>
      </x:c>
      <x:c r="GV52" s="158" t="str">
        <x:f>IF($A52="","",IF($GU52&lt;&gt;"DA","WATCH / NO BET",IF(AND($GP52&gt;='Setari model'!$B$35,$GT52&gt;=100*'Setari model'!$B$76,$GS52&gt;0),"PARIU RECOMANDAT",IF(AND($GP52&gt;='Setari model'!$B$39,$GT52&gt;=100*'Setari model'!$B$40,$GS52&gt;0),"WATCH – APROAPE DE PRAG","PARIU EVITAT"))))</x:f>
      </x:c>
      <x:c r="GW52" s="158" t="str">
        <x:f t="shared" si="101">IF($A52="","",IF($GU52&lt;&gt;"DA",$GU52,IF($GT52&lt;75,"Confidence v5 sub 75.",IF($GP52&lt;0.92,"P v5 sub 92%.",IF($GS52&lt;=0,"EV v5 nepozitiv.",IF($GJ52&gt;0,"Low-conversion absorbit în P0; toate porțile rămân trecute.","Toate porțile v5 sunt trecute."))))))</x:f>
      </x:c>
      <x:c r="GX52" s="158" t="str">
        <x:f t="shared" si="102">IF($A52="","","P v5="&amp;TEXT($GP52,"0.0%")&amp;"; P0 v5="&amp;TEXT($GL52,"0.0%")&amp;"; low-conv="&amp;IF(COUNT($GJ52)=0,"n/a",TEXT($GJ52,"0%"))&amp;"; mult.P0="&amp;IF(COUNT($GK52)=0,"n/a",TEXT($GK52,"0.00"))&amp;"; clasă="&amp;$GN52&amp;"; cap="&amp;TEXT($GO52,"0.0%")&amp;"; Confidence="&amp;TEXT($GT52,"0")&amp;"/100; lineup="&amp;$FN52&amp;"; piață="&amp;$FM52&amp;"; EV="&amp;IF($GS52="","n/a",TEXT($GS52,"0.0%"))&amp;"; gate="&amp;$GU52&amp;"; verdict="&amp;$GV52&amp;". "&amp;$GW52)</x:f>
      </x:c>
      <x:c r="GY52" s="174" t="str">
        <x:f>IF($A52="","",IF($GM52&lt;&gt;"DA","SOURCING INCOMPLETE – REVIEW REQUIRED",IF(MIN($I52,$P52,$W52,$AB52)&lt;'Setari model'!$B$58,"SMALL SAMPLE + PRIOR / SHRINKAGE","VERIFIED / PRIOR / SHRINKAGE")))</x:f>
      </x:c>
      <x:c r="GZ52" s="175" t="str">
        <x:f t="shared" si="103">IF($A52="","",MAX(0,MIN(100,100*(1-AVERAGE(IF($GM52="DA",1,0),MIN(1,$AT52/5))))))</x:f>
      </x:c>
      <x:c r="HA52" s="175" t="str">
        <x:f>IF($A52="","",IF($GM52&lt;&gt;"DA","",MAX(0,MIN(100,100*(($FI52*$GK52)-'Setari model'!$B$97)/('Setari model'!$B$98-'Setari model'!$B$97)))))</x:f>
      </x:c>
      <x:c r="HB52" s="175" t="str">
        <x:f>IF($A52="","",MAX(0,MIN(100,100*(ABS($BR52-1)/MAX(1-'Setari model'!$B$53,'Setari model'!$B$54-1)+MIN(1,$BG52/2))/2)))</x:f>
      </x:c>
      <x:c r="HC52" s="175" t="str">
        <x:f t="shared" si="104">IF($A52="","",MAX(0,MIN(100,100*(1-AVERAGE($CC52,MAX(0,1-(MAX($BJ52:$BN52)-MIN($BJ52:$BN52))/(AVERAGE($BJ52:$BN52)*'Setari model'!$B$45)))))))</x:f>
      </x:c>
      <x:c r="HD52" s="175" t="str">
        <x:f t="shared" si="105">IF($A52="","",MAX(0,MIN(100,100*MAX(IF($GJ52="",0,$GJ52),MIN(1,$BG52/2)))))</x:f>
      </x:c>
      <x:c r="HE52" s="175" t="str">
        <x:f>IF($A52="","",IF(COUNT($GZ52:$HD52)&lt;5,"",$GZ52*Risk_Classification!$E$28+$HA52*Risk_Classification!$E$29+$HB52*Risk_Classification!$E$30+$HC52*Risk_Classification!$E$31+$HD52*Risk_Classification!$E$32))</x:f>
      </x:c>
      <x:c r="HF52" s="176" t="str">
        <x:f t="shared" si="106">IF($A52="","",IF($HE52="","",IF($HE52&lt;=20,1,IF($HE52&lt;=40,2,IF($HE52&lt;=60,3,IF($HE52&lt;=80,4,5))))))</x:f>
      </x:c>
      <x:c r="HG52" s="176" t="str">
        <x:f t="shared" si="107">IF($A52="","",IF($GM52="DA","PASS","FAIL – DATE CRITICE ZERO-MASS INCOMPLETE"))</x:f>
      </x:c>
      <x:c r="HH52" s="176" t="str">
        <x:f t="shared" si="108">IF($A52="","",IF($HG52&lt;&gt;"PASS",5,$HF52))</x:f>
      </x:c>
      <x:c r="HI52" s="174" t="str">
        <x:f t="shared" si="109">IF($A52="","",IF($HH52="","N/A",IF($HH52=1,"DEFENSIV",IF($HH52=2,"PRUDENT",IF($HH52=3,"MODERAT",IF($HH52=4,"RIDICAT","WATCH / NO BET"))))))</x:f>
      </x:c>
      <x:c r="HJ52" s="177" t="str">
        <x:f t="shared" si="110">IF($A52="","","Data="&amp;$GY52&amp;"; DQ="&amp;TEXT($GZ52,"0.0")&amp;"; ZM="&amp;IF($HA52="","n/a",TEXT($HA52,"0.0"))&amp;"; Context="&amp;TEXT($HB52,"0.0")&amp;"; Uncertainty="&amp;TEXT($HC52,"0.0")&amp;"; Compound="&amp;TEXT($HD52,"0.0")&amp;"; Risk Score="&amp;IF($HE52="","n/a",TEXT($HE52,"0.0"))&amp;"; Base="&amp;IF($HF52="","n/a",$HF52)&amp;"; G0="&amp;$HG52&amp;"; Final="&amp;$HH52&amp;". Cota, EV si lineup sunt informative si nu intra in recomandare.")</x:f>
      </x:c>
      <x:c r="HK52" s="174" t="str">
        <x:f t="shared" si="111">IF($A52="","",$HI52)</x:f>
      </x:c>
    </x:row>
    <x:row r="53" ht="24" customHeight="1">
      <x:c r="A53" s="58"/>
      <x:c r="B53" s="24"/>
      <x:c r="C53" s="59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18"/>
      <x:c r="O53" s="18"/>
      <x:c r="P53" s="24"/>
      <x:c r="Q53" s="24"/>
      <x:c r="R53" s="24"/>
      <x:c r="S53" s="24"/>
      <x:c r="T53" s="24"/>
      <x:c r="U53" s="18"/>
      <x:c r="V53" s="18"/>
      <x:c r="W53" s="24"/>
      <x:c r="X53" s="24"/>
      <x:c r="Y53" s="24"/>
      <x:c r="Z53" s="24"/>
      <x:c r="AA53" s="24"/>
      <x:c r="AB53" s="24"/>
      <x:c r="AC53" s="24"/>
      <x:c r="AD53" s="24"/>
      <x:c r="AE53" s="24"/>
      <x:c r="AF53" s="24"/>
      <x:c r="AG53" s="24"/>
      <x:c r="AH53" s="24"/>
      <x:c r="AI53" s="18"/>
      <x:c r="AJ53" s="24"/>
      <x:c r="AK53" s="24"/>
      <x:c r="AL53" s="24"/>
      <x:c r="AM53" s="18"/>
      <x:c r="AN53" s="24"/>
      <x:c r="AO53" s="60"/>
      <x:c r="AP53" s="60"/>
      <x:c r="AQ53" s="60"/>
      <x:c r="AR53" s="60"/>
      <x:c r="AS53" s="60"/>
      <x:c r="AT53" s="24"/>
      <x:c r="AU53" s="24"/>
      <x:c r="AV53" s="24"/>
      <x:c r="AW53" s="24"/>
      <x:c r="AX53" s="24"/>
      <x:c r="AY53" s="24"/>
      <x:c r="AZ53" s="24"/>
      <x:c r="BA53" s="24"/>
      <x:c r="BB53" s="24"/>
      <x:c r="BC53" s="24"/>
      <x:c r="BD53" s="24"/>
      <x:c r="BE53" s="24"/>
      <x:c r="BF53" s="24"/>
      <x:c r="BG53" s="24"/>
      <x:c r="BH53" s="61"/>
      <x:c r="BI53" s="61"/>
      <x:c r="BJ53" s="62" t="str">
        <x:f>IF($A53="","",SQRT((($I53*IF($J53="",$AJ53,$J53)+'Setari model'!$B$30*$AJ53)/($I53+'Setari model'!$B$30))*(($P53*IF($R53="",$AJ53,$R53)+'Setari model'!$B$30*$AJ53)/($P53+'Setari model'!$B$30)))+SQRT((($P53*IF($Q53="",$AK53,$Q53)+'Setari model'!$B$30*$AK53)/($P53+'Setari model'!$B$30))*(($I53*IF($K53="",$AK53,$K53)+'Setari model'!$B$30*$AK53)/($I53+'Setari model'!$B$30))))</x:f>
      </x:c>
      <x:c r="BK53" s="62" t="str">
        <x:f>IF($A53="","",SQRT((($I53*IF($L53="",IF($J53="",$AJ53,$J53),$L53)+'Setari model'!$B$30*$AJ53)/($I53+'Setari model'!$B$30))*(($P53*IF($T53="",IF($R53="",$AJ53,$R53),$T53)+'Setari model'!$B$30*$AJ53)/($P53+'Setari model'!$B$30)))+SQRT((($P53*IF($S53="",IF($Q53="",$AK53,$Q53),$S53)+'Setari model'!$B$30*$AK53)/($P53+'Setari model'!$B$30))*(($I53*IF($M53="",IF($K53="",$AK53,$K53),$M53)+'Setari model'!$B$30*$AK53)/($I53+'Setari model'!$B$30))))</x:f>
      </x:c>
      <x:c r="BL53" s="62" t="str">
        <x:f>IF($A53="","",SQRT((($W53*IF($X53="",$AL53/2,$X53)+'Setari model'!$B$31*$AL53/2)/($W53+'Setari model'!$B$31))*(($AB53*IF($AD53="",$AL53/2,$AD53)+'Setari model'!$B$31*$AL53/2)/($AB53+'Setari model'!$B$31)))+SQRT((($AB53*IF($AC53="",$AL53/2,$AC53)+'Setari model'!$B$31*$AL53/2)/($AB53+'Setari model'!$B$31))*(($W53*IF($Y53="",$AL53/2,$Y53)+'Setari model'!$B$31*$AL53/2)/($W53+'Setari model'!$B$31))))</x:f>
      </x:c>
      <x:c r="BM53" s="62" t="str">
        <x:f>IF($A53="","",SQRT((($W53*IF($Z53="",IF($X53="",$AL53/2,$X53),$Z53)+'Setari model'!$B$31*$AL53/2)/($W53+'Setari model'!$B$31))*(($AB53*IF($AF53="",IF($AD53="",$AL53/2,$AD53),$AF53)+'Setari model'!$B$31*$AL53/2)/($AB53+'Setari model'!$B$31)))+SQRT((($AB53*IF($AE53="",IF($AC53="",$AL53/2,$AC53),$AE53)+'Setari model'!$B$31*$AL53/2)/($AB53+'Setari model'!$B$31))*(($W53*IF($AA53="",IF($Y53="",$AL53/2,$Y53),$AA53)+'Setari model'!$B$31*$AL53/2)/($W53+'Setari model'!$B$31))))</x:f>
      </x:c>
      <x:c r="BN53" s="62" t="str">
        <x:f t="shared" si="56">IF($A53="","",IF($AG53&gt;0,($AG53*IF($AH53="",$AL53,$AH53)+5*$AL53)/($AG53+5),$AL53))</x:f>
      </x:c>
      <x:c r="BO53" s="63" t="str">
        <x:f>IF($A53="","",IF($AR53&gt;1,IF($AS53&gt;1,(1/$AR53)/((1/$AR53+1/$AS53)),MIN(0.995,(1/$AR53)/(1+'Setari model'!$B$32))),1-EXP(-$AL53)))</x:f>
      </x:c>
      <x:c r="BP53" s="62" t="str">
        <x:f t="shared" si="57">IF($A53="","",-LN(1-$BO53))</x:f>
      </x:c>
      <x:c r="BQ53" s="62" t="str">
        <x:f>IF($A53="","",$BJ53*INDEX('Setari model'!$B$5:$B$11,MATCH($E53,'Setari model'!$A$5:$A$11,0))+$BK53*INDEX('Setari model'!$C$5:$C$11,MATCH($E53,'Setari model'!$A$5:$A$11,0))+$BL53*INDEX('Setari model'!$D$5:$D$11,MATCH($E53,'Setari model'!$A$5:$A$11,0))+$BM53*INDEX('Setari model'!$E$5:$E$11,MATCH($E53,'Setari model'!$A$5:$A$11,0))+$BN53*INDEX('Setari model'!$F$5:$F$11,MATCH($E53,'Setari model'!$A$5:$A$11,0))+$BP53*INDEX('Setari model'!$G$5:$G$11,MATCH($E53,'Setari model'!$A$5:$A$11,0)))</x:f>
      </x:c>
      <x:c r="BR53" s="64" t="str">
        <x:f>IF($A53="","",MAX('Setari model'!$B$53,MIN('Setari model'!$B$54,1+($AV53*'Setari model'!$B$15+$AW53*'Setari model'!$B$16+$AX53*'Setari model'!$B$17+$AY53*'Setari model'!$B$18+$AZ53*'Setari model'!$B$19+$BA53*'Setari model'!$B$20+$BB53*'Setari model'!$B$21+$BC53*'Setari model'!$B$22+$BD53*'Setari model'!$B$23+$BE53*'Setari model'!$B$24+$BF53*'Setari model'!$B$25)*INDEX('Setari model'!$H$5:$H$11,MATCH($E53,'Setari model'!$A$5:$A$11,0)))))</x:f>
      </x:c>
      <x:c r="BS53" s="62" t="str">
        <x:f t="shared" si="58">IF($A53="","",$BQ53*$BR53)</x:f>
      </x:c>
      <x:c r="BT53" s="63" t="str">
        <x:f t="shared" si="59">IF($A53="","",EXP(-$BS53))</x:f>
      </x:c>
      <x:c r="BU53" s="65" t="str">
        <x:f>IF($A53="","",IF(OR($AM53="",$AN53=""),1,1+MIN('Setari model'!$B$33,$AN53/100*'Setari model'!$B$33)*($AM53/EXP(-$AL53)-1)))</x:f>
      </x:c>
      <x:c r="BV53" s="63" t="str">
        <x:f>IF($A53="","",MIN(0.45,MAX(0.005,(1-'Setari model'!$B$34*MIN(1,($I53+$P53)/20))*MIN(0.45,$BT53*$BU53)+'Setari model'!$B$34*MIN(1,($I53+$P53)/20)*IF(COUNT($N53,$U53)=2,SQRT(MAX(0,1-$N53)*MAX(0,1-$U53)),IF($AM53="",EXP(-$AL53),$AM53)))))</x:f>
      </x:c>
      <x:c r="BW53" s="63" t="str">
        <x:f t="shared" si="60">IF($A53="","",1-$BV53)</x:f>
      </x:c>
      <x:c r="BX53" s="62" t="str">
        <x:f t="shared" si="61">IF($A53="","",1/$BW53)</x:f>
      </x:c>
      <x:c r="BY53" s="63" t="str">
        <x:f t="shared" si="62">IF($A53="","",$BO53)</x:f>
      </x:c>
      <x:c r="BZ53" s="63" t="str">
        <x:f t="shared" si="63">IF($A53="","",$BW53-$BY53)</x:f>
      </x:c>
      <x:c r="CA53" s="63" t="str">
        <x:f t="shared" si="64">IF($A53="","",IF($AR53&gt;1,$BW53*$AR53-1,""))</x:f>
      </x:c>
      <x:c r="CB53" s="63" t="str">
        <x:f>IF($A53="","",MIN(1,COUNT($I53:$AN53,$AR53:$BG53)/'Setari model'!$B$46))</x:f>
      </x:c>
      <x:c r="CC53" s="63" t="str">
        <x:f t="shared" si="65">IF($A53="","",0.25*MIN(1,$I53/10)+0.25*MIN(1,$P53/10)+0.15*MIN(1,$W53/5)+0.15*MIN(1,$AB53/5)+0.1*MIN(1,$AG53/5)+0.1*MIN(1,$AN53/100))</x:f>
      </x:c>
      <x:c r="CD53" s="63" t="str">
        <x:f>IF($A53="","",MAX(0,1-(MAX($BJ53:$BN53,$BP53)-MIN($BJ53:$BN53,$BP53))/(AVERAGE($BJ53:$BN53,$BP53)*'Setari model'!$B$45)))</x:f>
      </x:c>
      <x:c r="CE53" s="66" t="str">
        <x:f>IF($A53="","",MAX(0,MIN(100,100*INDEX('Setari model'!$I$5:$I$11,MATCH($E53,'Setari model'!$A$5:$A$11,0))*('Setari model'!$B$47*$CB53+'Setari model'!$B$48*$CC53+'Setari model'!$B$49*$CD53+'Setari model'!$B$50*$AT53/5+'Setari model'!$B$51*$AU53)-100*'Setari model'!$B$52*$BG53)))</x:f>
      </x:c>
      <x:c r="CF53" s="65" t="str">
        <x:f t="shared" si="66">IF($A53="","",IF(OR($AT53&lt;3,$BG53&gt;=2,$CB53&lt;0.55,$CC53&lt;0.4),"RIDICAT",IF(OR($AU53=0,$CD53&lt;0.45,$BR53&lt;0.9),"MEDIU","SCĂZUT")))</x:f>
      </x:c>
      <x:c r="CG53" s="65" t="str">
        <x:f>IF($A53="","",IF($AR53&gt;1,IF(AND($BW53&gt;= 'Setari model'!$B$35,$CE53&gt;=100*'Setari model'!$B$36,$BZ53&gt;= 'Setari model'!$B$37,$CA53&gt;= 'Setari model'!$B$38,$CF53&lt;&gt;"RIDICAT"),"PARIU RECOMANDAT",IF(AND($BW53&gt;= 'Setari model'!$B$39,$CE53&gt;=100*'Setari model'!$B$40,$BZ53&gt;= 'Setari model'!$B$41,$CA53&gt;=0,$CF53&lt;&gt;"RIDICAT"),"RECOMANDAT CU PRUDENȚĂ",IF(AND($BW53&gt;= 'Setari model'!$B$42,$CE53&gt;=100*'Setari model'!$B$43),"ANALIZĂ NECONCLUDENTĂ","PARIU EVITAT"))),IF(AND($BW53&gt;= 'Setari model'!$B$35,$CE53&gt;=100*'Setari model'!$B$36,$CF53&lt;&gt;"RIDICAT"),"FAVORABIL STATISTIC – VERIFICĂ COTA",IF(AND($BW53&gt;= 'Setari model'!$B$42,$CE53&gt;=100*'Setari model'!$B$43),"ANALIZĂ NECONCLUDENTĂ","PARIU EVITAT"))))</x:f>
      </x:c>
      <x:c r="CH53" s="67" t="str">
        <x:f t="shared" si="67">IF($A53="","","P(O0,5)="&amp;TEXT($BW53,"0.0%")&amp;"; λ ajustat="&amp;TEXT($BS53,"0.00")&amp;"; Confidence="&amp;TEXT($CE53,"0")&amp;"/100; Edge="&amp;TEXT($BZ53,"0.0%")&amp;"; risc="&amp;$CF53&amp;". "&amp;$BH53)</x:f>
      </x:c>
      <x:c r="CI53" s="68" t="str">
        <x:f t="shared" si="68">IF($A53="","",$BI53)</x:f>
      </x:c>
      <x:c r="CJ53" s="112"/>
      <x:c r="CK53" s="112"/>
      <x:c r="CL53" s="112"/>
      <x:c r="CM53" s="112"/>
      <x:c r="CN53" s="112"/>
      <x:c r="CO53" s="112"/>
      <x:c r="CP53" s="112"/>
      <x:c r="CQ53" s="112"/>
      <x:c r="CR53" s="112"/>
      <x:c r="CS53" s="112"/>
      <x:c r="CT53" s="112"/>
      <x:c r="CU53" s="112"/>
      <x:c r="CV53" s="112"/>
      <x:c r="CW53" s="112"/>
      <x:c r="CX53" s="112"/>
      <x:c r="CY53" s="112"/>
      <x:c r="CZ53" s="112"/>
      <x:c r="DA53" s="112"/>
      <x:c r="DB53" s="112"/>
      <x:c r="DC53" s="114"/>
      <x:c r="DD53" s="114"/>
      <x:c r="DE53" s="112" t="s">
        <x:v>266</x:v>
      </x:c>
      <x:c r="DF53" s="112"/>
      <x:c r="DG53" s="112"/>
      <x:c r="DH53" s="112"/>
      <x:c r="DI53" s="112"/>
      <x:c r="DJ53" s="112"/>
      <x:c r="DK53" s="112"/>
      <x:c r="DL53" s="112"/>
      <x:c r="DM53" s="112"/>
      <x:c r="DN53" s="112"/>
      <x:c r="DO53" s="112"/>
      <x:c r="DP53" s="112"/>
      <x:c r="DQ53" s="114"/>
      <x:c r="DR53" s="112">
        <x:v>1</x:v>
      </x:c>
      <x:c r="DS53" s="116">
        <x:v>0</x:v>
      </x:c>
      <x:c r="DT53" s="120"/>
      <x:c r="DU53" s="116">
        <x:v>0.02</x:v>
      </x:c>
      <x:c r="DV53" s="116">
        <x:v>0.25</x:v>
      </x:c>
      <x:c r="DW53" s="118" t="str">
        <x:f>IF($A53="","",MAX('Setari model'!$B$71,MIN('Setari model'!$B$72,1+0.08*(IFERROR(AVERAGE($CM53:$CN53)/'Setari model'!$B$66,1)-1)+0.08*(IFERROR(AVERAGE($CO53:$CP53)/'Setari model'!$B$67,1)-1)+0.06*(IFERROR(AVERAGE($CQ53:$CR53)/'Setari model'!$B$68,1)-1)+0.04*(IFERROR(AVERAGE($CS53:$CT53)/'Setari model'!$B$69,1)-1)+0.04*(IFERROR(AVERAGE($CU53:$CV53)/'Setari model'!$B$70,1)-1)-'Setari model'!$B$73*IFERROR(AVERAGE($CW53:$CX53),0))))</x:f>
      </x:c>
      <x:c r="DX53" s="118" t="str">
        <x:f>IF($A53="","",1+'Setari model'!$B$62*MAX(IF(OR($CK53=1,$CL53=1),1,0),IF(AND($CJ53&lt;&gt;"",$CJ53&lt;=1),1,0))+'Setari model'!$B$63*IF(AND($CJ53&gt;1,$CJ53&lt;=3),1,0))</x:f>
      </x:c>
      <x:c r="DY53" s="118" t="str">
        <x:f>IF($A53="","",1+'Setari model'!$B$74*(IF($CY53="",0,IF($CY53=0,1,0))+IF($CZ53="",0,IF($CZ53=0,1,0)))+'Setari model'!$B$75*(IF($DA53="",0,IF($DA53=0,1,0))+IF($DB53="",0,IF($DB53=0,1,0))))</x:f>
      </x:c>
      <x:c r="DZ53" s="117" t="str">
        <x:f>IF($A53="","",MIN(0.6,MAX(0.002,(((1-'Setari model'!$B$34*MIN(1,($I53+$P53)/20))*$BT53+'Setari model'!$B$34*MIN(1,($I53+$P53)/20)*IF(COUNT($N53,$U53)=2,SQRT(MAX(0,1-$N53)*MAX(0,1-$U53)),$BT53))*(1-'Setari model'!$B$65*MIN(1,IF($AN53="",0,$AN53/'Setari model'!$B$64)))+'Setari model'!$B$65*MIN(1,IF($AN53="",0,$AN53/'Setari model'!$B$64))*IF($AM53="",$BT53,$AM53))*$DX53*$DY53/$DW53)))</x:f>
      </x:c>
      <x:c r="EA53" s="117" t="str">
        <x:f>IF($A53="","",MIN(1-$DZ53,IF(OR(MIN($I53,$P53)&lt;'Setari model'!$B$58,$CK53=1,$CL53=1,AND($CJ53&lt;&gt;"",$CJ53&lt;=1)),'Setari model'!$B$59,IF(AND($AU53=1,$AR53&gt;1,COUNT($CY53:$DB53)=4),'Setari model'!$B$61,'Setari model'!$B$60))))</x:f>
      </x:c>
      <x:c r="EB53" s="115" t="str">
        <x:f t="shared" si="69">IF($A53="","",1/$EA53)</x:f>
      </x:c>
      <x:c r="EC53" s="117" t="str">
        <x:f t="shared" si="70">IF($A53="","",IF($AR53&gt;1,IF($AS53&gt;1,(1/$AR53)/((1/$AR53)+(1/$AS53)),1/$AR53),""))</x:f>
      </x:c>
      <x:c r="ED53" s="117" t="str">
        <x:f t="shared" si="71">IF($A53="","",IF($EC53="","",$EA53-$EC53))</x:f>
      </x:c>
      <x:c r="EE53" s="117" t="str">
        <x:f t="shared" si="72">""</x:f>
      </x:c>
      <x:c r="EF53" s="119" t="str">
        <x:f>IF($A53="","",MAX(0,MIN(100,$CE53-200*MAX(0,$EG53-'Setari model'!$B$77)-IF($AU53&lt;&gt;1,10,0)-IF(COUNT($CY53:$DB53)&lt;4,4,0))))</x:f>
      </x:c>
      <x:c r="EG53" s="117" t="str">
        <x:f>IF($A53="","",'Setari model'!$B$77+IF(MIN($I53,$P53)&lt;'Setari model'!$B$58,0.03,0)+IF(OR($CK53=1,$CL53=1,AND($CJ53&lt;&gt;"",$CJ53&lt;=1)),0.03,0)+IF($AG53=0,0.02,0)+0.03*(1-MIN(1,COUNT($CM53:$CV53)/10))+0.03*(1-MIN(1,IF($AN53="",0,$AN53/'Setari model'!$B$64)))+IF($AR53&lt;=1,0.02,0))</x:f>
      </x:c>
      <x:c r="EH53" s="113" t="str">
        <x:f>IF($A53="","",IF(OR(MIN($I53,$P53)&lt;'Setari model'!$B$58,$CK53=1,$CL53=1,AND($CJ53&lt;&gt;"",$CJ53&lt;=1)),"92% – early/regim",IF(AND($AU53=1,$AR53&gt;1,COUNT($CY53:$DB53)=4),"94% – confirmat","93% – standard")))</x:f>
      </x:c>
      <x:c r="EI53" s="113" t="str">
        <x:f t="shared" si="73">IF($A53="","",IF(AND($EA53&gt;0.9,$AU53&lt;&gt;1),"WAIT XI – HIGH P",IF(AND($EA53&gt;0.9,COUNT($CY53:$DB53)&lt;4),"WAIT DATE CHEIE – HIGH P",IF($EP53&lt;&gt;"DA","NU – PORTOFOLIU","DA"))))</x:f>
      </x:c>
      <x:c r="EJ53" s="117" t="str">
        <x:f t="shared" si="74">IF($A53="","",IF($DE53&lt;&gt;"Live 20-30","",IF(SUM($DG53:$DH53)&gt;0,1,IF($EU53="","",1-MIN(0.95,MAX(0.001,EXP(-$EU53)*$DX53*$DY53/$DW53))))))</x:f>
      </x:c>
      <x:c r="EK53" s="117" t="str">
        <x:f t="shared" si="75">""</x:f>
      </x:c>
      <x:c r="EL53" s="113" t="str">
        <x:f>IF($A53="","",IF($DE53="Live 20-30",IF(SUM($DG53:$DH53)&gt;0,"EVENIMENT ÎNDEPLINIT",IF(OR($DF53="",COUNT($DI53:$DN53)&lt;4),"LIVE – WATCH",IF($EJ53&gt;=0.75,"LIVE – FEZABIL TEHNIC","LIVE – NO BET"))),IF($EI53&lt;&gt;"DA","WATCH / NO BET",IF(AND($EA53&gt;=INDEX('Setari model'!$B$35:$B$40,1),$EF53&gt;=100*'Setari model'!$B$76),"PARIU RECOMANDAT",IF(AND($EA53&gt;=INDEX('Setari model'!$B$35:$B$40,5),$EF53&gt;=100*'Setari model'!$B$40),"WATCH – APROAPE DE PRAG","PARIU EVITAT")))))</x:f>
      </x:c>
      <x:c r="EM53" s="113" t="str">
        <x:f t="shared" si="76">IF($A53="","",IF($DE53="Live 20-30",IF(SUM($DG53:$DH53)&gt;0,"Gol deja marcat.",IF($DF53="","Minut live lipsă.",IF(COUNT($DI53:$DN53)&lt;4,"Lipsesc xG/SOT/big chances live.",IF($EJ53&lt;0.75,"P live sub prag.","Semnal live tehnic complet; EV ignorat.")))),IF($EI53&lt;&gt;"DA",$EI53,IF($EF53&lt;75,"Confidence sub 75.",IF($EA53&lt;0.92,"P sub 92%.","G0/Zero-Mass + confidence trecute; EV ignorat.")))))</x:f>
      </x:c>
      <x:c r="EN53" s="117" t="str">
        <x:f>IF($A53="","",IF(OR($EL53="PARIU RECOMANDAT",$EL53="LIVE – FEZABIL"),MIN(IF($DU53&gt;0,$DU53,'Setari model'!$B$81)/MAX(1,$DR53),IF($DV53&gt;0,$DV53,'Setari model'!$B$80)*MAX(0,((IF($DE53="Live 20-30",$EJ53,$EA53)*IF($DE53="Live 20-30",$DQ53,$AR53)-1)/(IF($DE53="Live 20-30",$DQ53,$AR53)-1)))),0))</x:f>
      </x:c>
      <x:c r="EO53" s="121" t="str">
        <x:f t="shared" si="77">IF($A53="","",IF(AND($EN53&gt;0,$DT53&gt;0),$EN53*$DT53,""))</x:f>
      </x:c>
      <x:c r="EP53" s="113" t="str">
        <x:f>IF($A53="","",IF(OR($DR53&lt;1,$DR53&gt;'Setari model'!$B$78),"NU – 1–5 selecții",IF($DS53&gt;'Setari model'!$B$79,"NU – corelație", "DA")))</x:f>
      </x:c>
      <x:c r="EQ53" s="117" t="str">
        <x:f t="shared" si="78">IF($A53="","",IF(AND($DC53&gt;1,$DD53&gt;1),$DC53/$DD53-1,""))</x:f>
      </x:c>
      <x:c r="ER53" s="113" t="str">
        <x:f t="shared" si="79">IF($A53="","","P v2="&amp;TEXT($EA53,"0.0%")&amp;" ±"&amp;TEXT($EG53,"0.0%")&amp;"; P0 ZIP="&amp;TEXT($DZ53,"0.0%")&amp;"; Confidence="&amp;TEXT($EF53,"0")&amp;"/100; piață reală="&amp;IF($EC53="","NU","DA")&amp;"; EV="&amp;IF($EE53="","n/a",TEXT($EE53,"0.0%"))&amp;"; gate="&amp;$EI53&amp;"; verdict="&amp;$EL53&amp;". "&amp;$EM53)</x:f>
      </x:c>
      <x:c r="ES53" s="119" t="str">
        <x:f>IF($A53="","",'Setari model'!$B$82)</x:f>
      </x:c>
      <x:c r="ET53" s="118" t="str">
        <x:f>IF($A53="","",'Setari model'!$B$83)</x:f>
      </x:c>
      <x:c r="EU53" s="115" t="str">
        <x:f t="shared" si="80">IF(OR($A53="",$DE53&lt;&gt;"Live 20-30",$DF53="",$DF53&lt;$ES53,$DF53&gt;=90),"",MAX(0.05,MIN($BS53*$ET53,$BS53*(90-$DF53)/90+0.35*($DI53+$DJ53)+0.06*($DK53+$DL53)+0.15*($DM53+$DN53)+0.1*(MAX($DO53,$DP53)-MIN($DO53,$DP53)))))</x:f>
      </x:c>
      <x:c r="EV53" s="132"/>
      <x:c r="EW53" s="132"/>
      <x:c r="EX53" s="132"/>
      <x:c r="EY53" s="132"/>
      <x:c r="EZ53" s="132"/>
      <x:c r="FA53" s="132"/>
      <x:c r="FB53" s="247"/>
      <x:c r="FC53" s="134" t="str">
        <x:f t="shared" si="81">IF($A53="","",IF(OR($J53="",$L53="",$L53&lt;=0),"",MAX(0.5,MIN(1.5,$J53/$L53))))</x:f>
      </x:c>
      <x:c r="FD53" s="134" t="str">
        <x:f t="shared" si="82">IF($A53="","",IF(OR($Q53="",$S53="",$S53&lt;=0),"",MAX(0.5,MIN(1.5,$Q53/$S53))))</x:f>
      </x:c>
      <x:c r="FE53" s="134" t="str">
        <x:f>IF($A53="","",IF(COUNT($EV53:$EW53)&lt;2,"",SQRT($EV53*$EW53)/'Setari model'!$B$87))</x:f>
      </x:c>
      <x:c r="FF53" s="134" t="str">
        <x:f>IF($A53="","",IF(COUNT($O53,$V53,$EX53,$EY53)&lt;4,"",AVERAGE(SQRT($O53*$EY53),SQRT($V53*$EX53))/'Setari model'!$B$88))</x:f>
      </x:c>
      <x:c r="FG53" s="134" t="str">
        <x:f t="shared" si="83">IF($A53="","",IF(COUNT($FC53:$FD53)&lt;2,"",MAX(0,1-AVERAGE($FC53:$FD53))))</x:f>
      </x:c>
      <x:c r="FH53" s="134" t="str">
        <x:f>IF($A53="","",IF(COUNT($EZ53:$FA53)&lt;2,"",'Setari model'!$B$94*AVERAGE($EZ53:$FA53)/'Setari model'!$B$89))</x:f>
      </x:c>
      <x:c r="FI53" s="134" t="str">
        <x:f>IF($A53="","",IF(COUNT($FE53:$FH53)&lt;4,"",MAX('Setari model'!$B$97,MIN('Setari model'!$B$98,1+'Setari model'!$B$90*($FE53-1)+'Setari model'!$B$91*($FF53-1)+'Setari model'!$B$92*$FG53+'Setari model'!$B$93*($FH53-1)))))</x:f>
      </x:c>
      <x:c r="FJ53" s="133" t="str">
        <x:f>IF($A53="","",IF($FI53="","",MIN('Setari model'!$B$101,MAX(0.002,$DZ53*$FI53))))</x:f>
      </x:c>
      <x:c r="FK53" s="131" t="str">
        <x:f t="shared" si="84">IF($A53="","",IF(AND(COUNT($EV53:$FA53)=6,COUNT($O53,$V53,$FC53,$FD53)=4),"DA","NU"))</x:f>
      </x:c>
      <x:c r="FL53" s="131" t="str">
        <x:f>IF($A53="","",IF($FK53&lt;&gt;"DA","NEDETERMINAT",IF($FI53&lt;='Setari model'!$B$99,"SCĂZUT",IF($FI53&lt;='Setari model'!$B$100,"MEDIU","RIDICAT"))))</x:f>
      </x:c>
      <x:c r="FM53" s="131" t="str">
        <x:f>IF($A53="","",IF(AND($AR53&gt;1,$EC53&gt;='Setari model'!$B$106),"DA","NU"))</x:f>
      </x:c>
      <x:c r="FN53" s="131" t="str">
        <x:f t="shared" si="85">IF($A53="","",IF(AND($AU53=1,COUNT($CY53:$DB53)=4),"DA","NU"))</x:f>
      </x:c>
      <x:c r="FO53" s="133" t="str">
        <x:f>IF($A53="","",IF(OR($FK53&lt;&gt;"DA",$FL53="RIDICAT"),'Setari model'!$B$102,IF($FL53="MEDIU",'Setari model'!$B$103,IF(AND($FM53="DA",$FN53="DA"),'Setari model'!$B$105,'Setari model'!$B$104))))</x:f>
      </x:c>
      <x:c r="FP53" s="133" t="str">
        <x:f t="shared" si="86">IF($A53="","",IF($FJ53="","",MIN(1-$FJ53,$FO53)))</x:f>
      </x:c>
      <x:c r="FQ53" s="135" t="str">
        <x:f t="shared" si="87">IF($A53="","",IF($FP53="","",IF($FP53&gt;0,1/$FP53,"")))</x:f>
      </x:c>
      <x:c r="FR53" s="133" t="str">
        <x:f t="shared" si="88">IF($A53="","",IF($EC53="","",$FP53-$EC53))</x:f>
      </x:c>
      <x:c r="FS53" s="133" t="str">
        <x:f t="shared" si="89">IF($A53="","",IF($AR53&gt;1,$FP53*$AR53-1,""))</x:f>
      </x:c>
      <x:c r="FT53" s="136" t="str">
        <x:f>IF($A53="","",MAX(0,MIN(100,$EF53-IF($FK53&lt;&gt;"DA",'Setari model'!$B$107,0)-IF($FL53="MEDIU",'Setari model'!$B$108,0)-IF($FL53="RIDICAT",'Setari model'!$B$109,0))))</x:f>
      </x:c>
      <x:c r="FU53" s="131" t="str">
        <x:f t="shared" si="90">IF($A53="","",IF($AR53&lt;=1,"NU – LIPSEȘTE COTA REALĂ",IF($FK53&lt;&gt;"DA","NU – ZERO-RISK INCOMPLET",IF($FL53&lt;&gt;"SCĂZUT","NU – RISC 0-0 "&amp;$FL53,IF($FN53&lt;&gt;"DA","NU – LINEUP NECONFIRMAT",IF($FM53&lt;&gt;"DA","NU – PIAȚĂ NECONFIRMATĂ",IF($EP53&lt;&gt;"DA","NU – PORTOFOLIU","DA")))))))</x:f>
      </x:c>
      <x:c r="FV53" s="131" t="str">
        <x:f>IF($A53="","",IF($FU53&lt;&gt;"DA","WATCH / NO BET",IF(AND($FP53&gt;='Setari model'!$B$35,$FT53&gt;=100*'Setari model'!$B$76,$FS53&gt;0),"PARIU RECOMANDAT",IF(AND($FP53&gt;='Setari model'!$B$39,$FT53&gt;=100*'Setari model'!$B$40,$FS53&gt;0),"WATCH – APROAPE DE PRAG","PARIU EVITAT"))))</x:f>
      </x:c>
      <x:c r="FW53" s="131" t="str">
        <x:f t="shared" si="91">IF($A53="","",IF($FU53&lt;&gt;"DA",$FU53,IF($FT53&lt;75,"Confidence v3 sub 75.",IF($FP53&lt;0.92,"P v3 sub 92%.",IF($FS53&lt;=0,"EV v3 nepozitiv.","P0 v3, lineup și piață confirmate.")))))</x:f>
      </x:c>
      <x:c r="FX53" s="131" t="str">
        <x:f t="shared" si="92">IF($A53="","","P v3="&amp;TEXT($FP53,"0.0%")&amp;"; P0 v3="&amp;TEXT($FJ53,"0.0%")&amp;"; factor zero="&amp;IF($FI53="","n/a",TEXT($FI53,"0.00x"))&amp;" ("&amp;$FL53&amp;"); cap="&amp;TEXT($FO53,"0.0%")&amp;"; Confidence="&amp;TEXT($FT53,"0")&amp;"/100; lineup="&amp;$FN53&amp;"; piață="&amp;$FM53&amp;"; EV="&amp;IF($FS53="","n/a",TEXT($FS53,"0.0%"))&amp;"; gate="&amp;$FU53&amp;"; verdict="&amp;$FV53&amp;". "&amp;$FW53)</x:f>
      </x:c>
      <x:c r="FY53" s="159"/>
      <x:c r="FZ53" s="159"/>
      <x:c r="GA53" s="157"/>
      <x:c r="GB53" s="157"/>
      <x:c r="GC53" s="161" t="str">
        <x:f t="shared" si="93">IF($A53="","",IF(OR($X53="",$Z53="",$Z53&lt;=0),"",MAX(0.5,MIN(1.5,$X53/$Z53))))</x:f>
      </x:c>
      <x:c r="GD53" s="161" t="str">
        <x:f t="shared" si="94">IF($A53="","",IF(OR($AC53="",$AE53="",$AE53&lt;=0),"",MAX(0.5,MIN(1.5,$AC53/$AE53))))</x:f>
      </x:c>
      <x:c r="GE53" s="162" t="str">
        <x:f t="shared" si="95">IF($A53="","",IF(COUNT($Z53,$AE53)&lt;2,"",AVERAGE($Z53,$AE53)))</x:f>
      </x:c>
      <x:c r="GF53" s="158" t="str">
        <x:f>IF($A53="","",IF(COUNT($FY53:$FZ53)&lt;2,"NEDETERMINAT",IF(AND($FY53&gt;='Setari model'!$B$113,$FZ53&gt;='Setari model'!$B$113),"DA","NU")))</x:f>
      </x:c>
      <x:c r="GG53" s="158" t="str">
        <x:f>IF($A53="","",IF(COUNT($FY53:$FZ53,$EX53:$EY53)&lt;4,"NEDETERMINAT",IF(OR(AND($FY53&gt;='Setari model'!$B$113,$EY53&gt;='Setari model'!$B$114),AND($FZ53&gt;='Setari model'!$B$113,$EX53&gt;='Setari model'!$B$114)),"DA","NU")))</x:f>
      </x:c>
      <x:c r="GH53" s="158" t="str">
        <x:f>IF($A53="","",IF(COUNT($BJ53:$BN53,$GC53:$GE53)&lt;8,"NEDETERMINAT",IF(AND((($BJ53*INDEX('Setari model'!$B$5:$B$11,MATCH($E53,'Setari model'!$A$5:$A$11,0))+$BK53*INDEX('Setari model'!$C$5:$C$11,MATCH($E53,'Setari model'!$A$5:$A$11,0))+$BL53*INDEX('Setari model'!$D$5:$D$11,MATCH($E53,'Setari model'!$A$5:$A$11,0))+$BM53*INDEX('Setari model'!$E$5:$E$11,MATCH($E53,'Setari model'!$A$5:$A$11,0))+$BN53*INDEX('Setari model'!$F$5:$F$11,MATCH($E53,'Setari model'!$A$5:$A$11,0)))/(INDEX('Setari model'!$B$5:$B$11,MATCH($E53,'Setari model'!$A$5:$A$11,0))+INDEX('Setari model'!$C$5:$C$11,MATCH($E53,'Setari model'!$A$5:$A$11,0))+INDEX('Setari model'!$D$5:$D$11,MATCH($E53,'Setari model'!$A$5:$A$11,0))+INDEX('Setari model'!$E$5:$E$11,MATCH($E53,'Setari model'!$A$5:$A$11,0))+INDEX('Setari model'!$F$5:$F$11,MATCH($E53,'Setari model'!$A$5:$A$11,0))))*$BR53&gt;='Setari model'!$B$115,(($BJ53*INDEX('Setari model'!$B$5:$B$11,MATCH($E53,'Setari model'!$A$5:$A$11,0))+$BK53*INDEX('Setari model'!$C$5:$C$11,MATCH($E53,'Setari model'!$A$5:$A$11,0))+$BL53*INDEX('Setari model'!$D$5:$D$11,MATCH($E53,'Setari model'!$A$5:$A$11,0))+$BM53*INDEX('Setari model'!$E$5:$E$11,MATCH($E53,'Setari model'!$A$5:$A$11,0))+$BN53*INDEX('Setari model'!$F$5:$F$11,MATCH($E53,'Setari model'!$A$5:$A$11,0)))/(INDEX('Setari model'!$B$5:$B$11,MATCH($E53,'Setari model'!$A$5:$A$11,0))+INDEX('Setari model'!$C$5:$C$11,MATCH($E53,'Setari model'!$A$5:$A$11,0))+INDEX('Setari model'!$D$5:$D$11,MATCH($E53,'Setari model'!$A$5:$A$11,0))+INDEX('Setari model'!$E$5:$E$11,MATCH($E53,'Setari model'!$A$5:$A$11,0))+INDEX('Setari model'!$F$5:$F$11,MATCH($E53,'Setari model'!$A$5:$A$11,0))))*$BR53&lt;='Setari model'!$B$116,AVERAGE($GC53:$GD53)&lt;='Setari model'!$B$117,$GE53&gt;='Setari model'!$B$118),"DA","NU")))</x:f>
      </x:c>
      <x:c r="GI53" s="158" t="str">
        <x:f>IF($A53="","",IF(COUNT($W53,$AB53,$GA53:$GB53)&lt;4,"NEDETERMINAT",IF(AND($W53&gt;='Setari model'!$B$120,$AB53&gt;='Setari model'!$B$120,OR(IFERROR($GA53/$W53,0)&gt;='Setari model'!$B$119,IFERROR($GB53/$AB53,0)&gt;='Setari model'!$B$119)),"DA","NU")))</x:f>
      </x:c>
      <x:c r="GJ53" s="160" t="str">
        <x:f>IF($A53="","",IF(COUNT($FY53:$GB53)&lt;4,"",IF($GH53&lt;&gt;"DA",0,'Setari model'!$B$121*IF($GF53="DA",1,0)+'Setari model'!$B$122*IF($GG53="DA",1,0)+'Setari model'!$B$123+'Setari model'!$B$124*IF($GI53="DA",1,0))))</x:f>
      </x:c>
      <x:c r="GK53" s="161" t="str">
        <x:f>IF($A53="","",IF(COUNT($GJ53)=0,"",1+'Setari model'!$B$125*$GJ53))</x:f>
      </x:c>
      <x:c r="GL53" s="160" t="str">
        <x:f>IF($A53="","",IF($GM53&lt;&gt;"DA",$FJ53,MIN('Setari model'!$B$101,MAX(0.002,$FJ53*$GK53))))</x:f>
      </x:c>
      <x:c r="GM53" s="158" t="str">
        <x:f>IF($A53="","",IF(AND($FK53="DA",COUNT($FY53:$GB53)=4,COUNT($I53,$P53,$W53,$AB53,$Z53,$AE53,$EX53,$EY53,$GC53,$GD53)=10,COUNT($BJ53:$BN53)=5),"DA","NU"))</x:f>
      </x:c>
      <x:c r="GN53" s="158" t="str">
        <x:f>IF($A53="","",IF($GM53&lt;&gt;"DA","NEDETERMINAT",IF($FI53*$GK53&lt;='Setari model'!$B$99,"SCĂZUT",IF($FI53*$GK53&lt;='Setari model'!$B$100,"MEDIU","RIDICAT"))))</x:f>
      </x:c>
      <x:c r="GO53" s="160" t="str">
        <x:f>IF($A53="","",IF(OR($GM53&lt;&gt;"DA",$GN53="RIDICAT"),'Setari model'!$B$102,IF($GN53="MEDIU",'Setari model'!$B$103,IF(AND($FM53="DA",$FN53="DA"),'Setari model'!$B$105,'Setari model'!$B$104))))</x:f>
      </x:c>
      <x:c r="GP53" s="160" t="str">
        <x:f t="shared" si="96">IF($A53="","",IF($GL53="","",MIN(1-$GL53,$GO53)))</x:f>
      </x:c>
      <x:c r="GQ53" s="162" t="str">
        <x:f t="shared" si="97">IF($A53="","",IF($GP53="","",IF($GP53&gt;0,1/$GP53,"")))</x:f>
      </x:c>
      <x:c r="GR53" s="160" t="str">
        <x:f t="shared" si="98">IF($A53="","",IF($EC53="","",$GP53-$EC53))</x:f>
      </x:c>
      <x:c r="GS53" s="160" t="str">
        <x:f t="shared" si="99">IF($A53="","",IF($AR53&gt;1,$GP53*$AR53-1,""))</x:f>
      </x:c>
      <x:c r="GT53" s="163" t="str">
        <x:f>IF($A53="","",MAX(0,MIN(100,$FT53-IF(AND($GM53&lt;&gt;"DA",$FK53="DA"),'Setari model'!$B$107,0)-'Setari model'!$B$126*IF($GJ53="",0,$GJ53))))</x:f>
      </x:c>
      <x:c r="GU53" s="158" t="str">
        <x:f t="shared" si="100">IF($A53="","",IF($AR53&lt;=1,"NU – LIPSEȘTE COTA REALĂ",IF($GM53&lt;&gt;"DA","NU – DATE LOW-CONVERSION INCOMPLETE",IF($GN53&lt;&gt;"SCĂZUT","NU – RISC 0-0 "&amp;$GN53,IF($FN53&lt;&gt;"DA","NU – LINEUP NECONFIRMAT",IF($FM53&lt;&gt;"DA","NU – PIAȚĂ NECONFIRMATĂ",IF($EP53&lt;&gt;"DA","NU – PORTOFOLIU","DA")))))))</x:f>
      </x:c>
      <x:c r="GV53" s="158" t="str">
        <x:f>IF($A53="","",IF($GU53&lt;&gt;"DA","WATCH / NO BET",IF(AND($GP53&gt;='Setari model'!$B$35,$GT53&gt;=100*'Setari model'!$B$76,$GS53&gt;0),"PARIU RECOMANDAT",IF(AND($GP53&gt;='Setari model'!$B$39,$GT53&gt;=100*'Setari model'!$B$40,$GS53&gt;0),"WATCH – APROAPE DE PRAG","PARIU EVITAT"))))</x:f>
      </x:c>
      <x:c r="GW53" s="158" t="str">
        <x:f t="shared" si="101">IF($A53="","",IF($GU53&lt;&gt;"DA",$GU53,IF($GT53&lt;75,"Confidence v5 sub 75.",IF($GP53&lt;0.92,"P v5 sub 92%.",IF($GS53&lt;=0,"EV v5 nepozitiv.",IF($GJ53&gt;0,"Low-conversion absorbit în P0; toate porțile rămân trecute.","Toate porțile v5 sunt trecute."))))))</x:f>
      </x:c>
      <x:c r="GX53" s="158" t="str">
        <x:f t="shared" si="102">IF($A53="","","P v5="&amp;TEXT($GP53,"0.0%")&amp;"; P0 v5="&amp;TEXT($GL53,"0.0%")&amp;"; low-conv="&amp;IF(COUNT($GJ53)=0,"n/a",TEXT($GJ53,"0%"))&amp;"; mult.P0="&amp;IF(COUNT($GK53)=0,"n/a",TEXT($GK53,"0.00"))&amp;"; clasă="&amp;$GN53&amp;"; cap="&amp;TEXT($GO53,"0.0%")&amp;"; Confidence="&amp;TEXT($GT53,"0")&amp;"/100; lineup="&amp;$FN53&amp;"; piață="&amp;$FM53&amp;"; EV="&amp;IF($GS53="","n/a",TEXT($GS53,"0.0%"))&amp;"; gate="&amp;$GU53&amp;"; verdict="&amp;$GV53&amp;". "&amp;$GW53)</x:f>
      </x:c>
      <x:c r="GY53" s="174" t="str">
        <x:f>IF($A53="","",IF($GM53&lt;&gt;"DA","SOURCING INCOMPLETE – REVIEW REQUIRED",IF(MIN($I53,$P53,$W53,$AB53)&lt;'Setari model'!$B$58,"SMALL SAMPLE + PRIOR / SHRINKAGE","VERIFIED / PRIOR / SHRINKAGE")))</x:f>
      </x:c>
      <x:c r="GZ53" s="175" t="str">
        <x:f t="shared" si="103">IF($A53="","",MAX(0,MIN(100,100*(1-AVERAGE(IF($GM53="DA",1,0),MIN(1,$AT53/5))))))</x:f>
      </x:c>
      <x:c r="HA53" s="175" t="str">
        <x:f>IF($A53="","",IF($GM53&lt;&gt;"DA","",MAX(0,MIN(100,100*(($FI53*$GK53)-'Setari model'!$B$97)/('Setari model'!$B$98-'Setari model'!$B$97)))))</x:f>
      </x:c>
      <x:c r="HB53" s="175" t="str">
        <x:f>IF($A53="","",MAX(0,MIN(100,100*(ABS($BR53-1)/MAX(1-'Setari model'!$B$53,'Setari model'!$B$54-1)+MIN(1,$BG53/2))/2)))</x:f>
      </x:c>
      <x:c r="HC53" s="175" t="str">
        <x:f t="shared" si="104">IF($A53="","",MAX(0,MIN(100,100*(1-AVERAGE($CC53,MAX(0,1-(MAX($BJ53:$BN53)-MIN($BJ53:$BN53))/(AVERAGE($BJ53:$BN53)*'Setari model'!$B$45)))))))</x:f>
      </x:c>
      <x:c r="HD53" s="175" t="str">
        <x:f t="shared" si="105">IF($A53="","",MAX(0,MIN(100,100*MAX(IF($GJ53="",0,$GJ53),MIN(1,$BG53/2)))))</x:f>
      </x:c>
      <x:c r="HE53" s="175" t="str">
        <x:f>IF($A53="","",IF(COUNT($GZ53:$HD53)&lt;5,"",$GZ53*Risk_Classification!$E$28+$HA53*Risk_Classification!$E$29+$HB53*Risk_Classification!$E$30+$HC53*Risk_Classification!$E$31+$HD53*Risk_Classification!$E$32))</x:f>
      </x:c>
      <x:c r="HF53" s="176" t="str">
        <x:f t="shared" si="106">IF($A53="","",IF($HE53="","",IF($HE53&lt;=20,1,IF($HE53&lt;=40,2,IF($HE53&lt;=60,3,IF($HE53&lt;=80,4,5))))))</x:f>
      </x:c>
      <x:c r="HG53" s="176" t="str">
        <x:f t="shared" si="107">IF($A53="","",IF($GM53="DA","PASS","FAIL – DATE CRITICE ZERO-MASS INCOMPLETE"))</x:f>
      </x:c>
      <x:c r="HH53" s="176" t="str">
        <x:f t="shared" si="108">IF($A53="","",IF($HG53&lt;&gt;"PASS",5,$HF53))</x:f>
      </x:c>
      <x:c r="HI53" s="174" t="str">
        <x:f t="shared" si="109">IF($A53="","",IF($HH53="","N/A",IF($HH53=1,"DEFENSIV",IF($HH53=2,"PRUDENT",IF($HH53=3,"MODERAT",IF($HH53=4,"RIDICAT","WATCH / NO BET"))))))</x:f>
      </x:c>
      <x:c r="HJ53" s="177" t="str">
        <x:f t="shared" si="110">IF($A53="","","Data="&amp;$GY53&amp;"; DQ="&amp;TEXT($GZ53,"0.0")&amp;"; ZM="&amp;IF($HA53="","n/a",TEXT($HA53,"0.0"))&amp;"; Context="&amp;TEXT($HB53,"0.0")&amp;"; Uncertainty="&amp;TEXT($HC53,"0.0")&amp;"; Compound="&amp;TEXT($HD53,"0.0")&amp;"; Risk Score="&amp;IF($HE53="","n/a",TEXT($HE53,"0.0"))&amp;"; Base="&amp;IF($HF53="","n/a",$HF53)&amp;"; G0="&amp;$HG53&amp;"; Final="&amp;$HH53&amp;". Cota, EV si lineup sunt informative si nu intra in recomandare.")</x:f>
      </x:c>
      <x:c r="HK53" s="174" t="str">
        <x:f t="shared" si="111">IF($A53="","",$HI53)</x:f>
      </x:c>
    </x:row>
    <x:row r="54" ht="24" customHeight="1">
      <x:c r="A54" s="58"/>
      <x:c r="B54" s="24"/>
      <x:c r="C54" s="59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18"/>
      <x:c r="O54" s="18"/>
      <x:c r="P54" s="24"/>
      <x:c r="Q54" s="24"/>
      <x:c r="R54" s="24"/>
      <x:c r="S54" s="24"/>
      <x:c r="T54" s="24"/>
      <x:c r="U54" s="18"/>
      <x:c r="V54" s="18"/>
      <x:c r="W54" s="24"/>
      <x:c r="X54" s="24"/>
      <x:c r="Y54" s="24"/>
      <x:c r="Z54" s="24"/>
      <x:c r="AA54" s="24"/>
      <x:c r="AB54" s="24"/>
      <x:c r="AC54" s="24"/>
      <x:c r="AD54" s="24"/>
      <x:c r="AE54" s="24"/>
      <x:c r="AF54" s="24"/>
      <x:c r="AG54" s="24"/>
      <x:c r="AH54" s="24"/>
      <x:c r="AI54" s="18"/>
      <x:c r="AJ54" s="24"/>
      <x:c r="AK54" s="24"/>
      <x:c r="AL54" s="24"/>
      <x:c r="AM54" s="18"/>
      <x:c r="AN54" s="24"/>
      <x:c r="AO54" s="60"/>
      <x:c r="AP54" s="60"/>
      <x:c r="AQ54" s="60"/>
      <x:c r="AR54" s="60"/>
      <x:c r="AS54" s="60"/>
      <x:c r="AT54" s="24"/>
      <x:c r="AU54" s="24"/>
      <x:c r="AV54" s="24"/>
      <x:c r="AW54" s="24"/>
      <x:c r="AX54" s="24"/>
      <x:c r="AY54" s="24"/>
      <x:c r="AZ54" s="24"/>
      <x:c r="BA54" s="24"/>
      <x:c r="BB54" s="24"/>
      <x:c r="BC54" s="24"/>
      <x:c r="BD54" s="24"/>
      <x:c r="BE54" s="24"/>
      <x:c r="BF54" s="24"/>
      <x:c r="BG54" s="24"/>
      <x:c r="BH54" s="61"/>
      <x:c r="BI54" s="61"/>
      <x:c r="BJ54" s="62" t="str">
        <x:f>IF($A54="","",SQRT((($I54*IF($J54="",$AJ54,$J54)+'Setari model'!$B$30*$AJ54)/($I54+'Setari model'!$B$30))*(($P54*IF($R54="",$AJ54,$R54)+'Setari model'!$B$30*$AJ54)/($P54+'Setari model'!$B$30)))+SQRT((($P54*IF($Q54="",$AK54,$Q54)+'Setari model'!$B$30*$AK54)/($P54+'Setari model'!$B$30))*(($I54*IF($K54="",$AK54,$K54)+'Setari model'!$B$30*$AK54)/($I54+'Setari model'!$B$30))))</x:f>
      </x:c>
      <x:c r="BK54" s="62" t="str">
        <x:f>IF($A54="","",SQRT((($I54*IF($L54="",IF($J54="",$AJ54,$J54),$L54)+'Setari model'!$B$30*$AJ54)/($I54+'Setari model'!$B$30))*(($P54*IF($T54="",IF($R54="",$AJ54,$R54),$T54)+'Setari model'!$B$30*$AJ54)/($P54+'Setari model'!$B$30)))+SQRT((($P54*IF($S54="",IF($Q54="",$AK54,$Q54),$S54)+'Setari model'!$B$30*$AK54)/($P54+'Setari model'!$B$30))*(($I54*IF($M54="",IF($K54="",$AK54,$K54),$M54)+'Setari model'!$B$30*$AK54)/($I54+'Setari model'!$B$30))))</x:f>
      </x:c>
      <x:c r="BL54" s="62" t="str">
        <x:f>IF($A54="","",SQRT((($W54*IF($X54="",$AL54/2,$X54)+'Setari model'!$B$31*$AL54/2)/($W54+'Setari model'!$B$31))*(($AB54*IF($AD54="",$AL54/2,$AD54)+'Setari model'!$B$31*$AL54/2)/($AB54+'Setari model'!$B$31)))+SQRT((($AB54*IF($AC54="",$AL54/2,$AC54)+'Setari model'!$B$31*$AL54/2)/($AB54+'Setari model'!$B$31))*(($W54*IF($Y54="",$AL54/2,$Y54)+'Setari model'!$B$31*$AL54/2)/($W54+'Setari model'!$B$31))))</x:f>
      </x:c>
      <x:c r="BM54" s="62" t="str">
        <x:f>IF($A54="","",SQRT((($W54*IF($Z54="",IF($X54="",$AL54/2,$X54),$Z54)+'Setari model'!$B$31*$AL54/2)/($W54+'Setari model'!$B$31))*(($AB54*IF($AF54="",IF($AD54="",$AL54/2,$AD54),$AF54)+'Setari model'!$B$31*$AL54/2)/($AB54+'Setari model'!$B$31)))+SQRT((($AB54*IF($AE54="",IF($AC54="",$AL54/2,$AC54),$AE54)+'Setari model'!$B$31*$AL54/2)/($AB54+'Setari model'!$B$31))*(($W54*IF($AA54="",IF($Y54="",$AL54/2,$Y54),$AA54)+'Setari model'!$B$31*$AL54/2)/($W54+'Setari model'!$B$31))))</x:f>
      </x:c>
      <x:c r="BN54" s="62" t="str">
        <x:f t="shared" si="56">IF($A54="","",IF($AG54&gt;0,($AG54*IF($AH54="",$AL54,$AH54)+5*$AL54)/($AG54+5),$AL54))</x:f>
      </x:c>
      <x:c r="BO54" s="63" t="str">
        <x:f>IF($A54="","",IF($AR54&gt;1,IF($AS54&gt;1,(1/$AR54)/((1/$AR54+1/$AS54)),MIN(0.995,(1/$AR54)/(1+'Setari model'!$B$32))),1-EXP(-$AL54)))</x:f>
      </x:c>
      <x:c r="BP54" s="62" t="str">
        <x:f t="shared" si="57">IF($A54="","",-LN(1-$BO54))</x:f>
      </x:c>
      <x:c r="BQ54" s="62" t="str">
        <x:f>IF($A54="","",$BJ54*INDEX('Setari model'!$B$5:$B$11,MATCH($E54,'Setari model'!$A$5:$A$11,0))+$BK54*INDEX('Setari model'!$C$5:$C$11,MATCH($E54,'Setari model'!$A$5:$A$11,0))+$BL54*INDEX('Setari model'!$D$5:$D$11,MATCH($E54,'Setari model'!$A$5:$A$11,0))+$BM54*INDEX('Setari model'!$E$5:$E$11,MATCH($E54,'Setari model'!$A$5:$A$11,0))+$BN54*INDEX('Setari model'!$F$5:$F$11,MATCH($E54,'Setari model'!$A$5:$A$11,0))+$BP54*INDEX('Setari model'!$G$5:$G$11,MATCH($E54,'Setari model'!$A$5:$A$11,0)))</x:f>
      </x:c>
      <x:c r="BR54" s="64" t="str">
        <x:f>IF($A54="","",MAX('Setari model'!$B$53,MIN('Setari model'!$B$54,1+($AV54*'Setari model'!$B$15+$AW54*'Setari model'!$B$16+$AX54*'Setari model'!$B$17+$AY54*'Setari model'!$B$18+$AZ54*'Setari model'!$B$19+$BA54*'Setari model'!$B$20+$BB54*'Setari model'!$B$21+$BC54*'Setari model'!$B$22+$BD54*'Setari model'!$B$23+$BE54*'Setari model'!$B$24+$BF54*'Setari model'!$B$25)*INDEX('Setari model'!$H$5:$H$11,MATCH($E54,'Setari model'!$A$5:$A$11,0)))))</x:f>
      </x:c>
      <x:c r="BS54" s="62" t="str">
        <x:f t="shared" si="58">IF($A54="","",$BQ54*$BR54)</x:f>
      </x:c>
      <x:c r="BT54" s="63" t="str">
        <x:f t="shared" si="59">IF($A54="","",EXP(-$BS54))</x:f>
      </x:c>
      <x:c r="BU54" s="65" t="str">
        <x:f>IF($A54="","",IF(OR($AM54="",$AN54=""),1,1+MIN('Setari model'!$B$33,$AN54/100*'Setari model'!$B$33)*($AM54/EXP(-$AL54)-1)))</x:f>
      </x:c>
      <x:c r="BV54" s="63" t="str">
        <x:f>IF($A54="","",MIN(0.45,MAX(0.005,(1-'Setari model'!$B$34*MIN(1,($I54+$P54)/20))*MIN(0.45,$BT54*$BU54)+'Setari model'!$B$34*MIN(1,($I54+$P54)/20)*IF(COUNT($N54,$U54)=2,SQRT(MAX(0,1-$N54)*MAX(0,1-$U54)),IF($AM54="",EXP(-$AL54),$AM54)))))</x:f>
      </x:c>
      <x:c r="BW54" s="63" t="str">
        <x:f t="shared" si="60">IF($A54="","",1-$BV54)</x:f>
      </x:c>
      <x:c r="BX54" s="62" t="str">
        <x:f t="shared" si="61">IF($A54="","",1/$BW54)</x:f>
      </x:c>
      <x:c r="BY54" s="63" t="str">
        <x:f t="shared" si="62">IF($A54="","",$BO54)</x:f>
      </x:c>
      <x:c r="BZ54" s="63" t="str">
        <x:f t="shared" si="63">IF($A54="","",$BW54-$BY54)</x:f>
      </x:c>
      <x:c r="CA54" s="63" t="str">
        <x:f t="shared" si="64">IF($A54="","",IF($AR54&gt;1,$BW54*$AR54-1,""))</x:f>
      </x:c>
      <x:c r="CB54" s="63" t="str">
        <x:f>IF($A54="","",MIN(1,COUNT($I54:$AN54,$AR54:$BG54)/'Setari model'!$B$46))</x:f>
      </x:c>
      <x:c r="CC54" s="63" t="str">
        <x:f t="shared" si="65">IF($A54="","",0.25*MIN(1,$I54/10)+0.25*MIN(1,$P54/10)+0.15*MIN(1,$W54/5)+0.15*MIN(1,$AB54/5)+0.1*MIN(1,$AG54/5)+0.1*MIN(1,$AN54/100))</x:f>
      </x:c>
      <x:c r="CD54" s="63" t="str">
        <x:f>IF($A54="","",MAX(0,1-(MAX($BJ54:$BN54,$BP54)-MIN($BJ54:$BN54,$BP54))/(AVERAGE($BJ54:$BN54,$BP54)*'Setari model'!$B$45)))</x:f>
      </x:c>
      <x:c r="CE54" s="66" t="str">
        <x:f>IF($A54="","",MAX(0,MIN(100,100*INDEX('Setari model'!$I$5:$I$11,MATCH($E54,'Setari model'!$A$5:$A$11,0))*('Setari model'!$B$47*$CB54+'Setari model'!$B$48*$CC54+'Setari model'!$B$49*$CD54+'Setari model'!$B$50*$AT54/5+'Setari model'!$B$51*$AU54)-100*'Setari model'!$B$52*$BG54)))</x:f>
      </x:c>
      <x:c r="CF54" s="65" t="str">
        <x:f t="shared" si="66">IF($A54="","",IF(OR($AT54&lt;3,$BG54&gt;=2,$CB54&lt;0.55,$CC54&lt;0.4),"RIDICAT",IF(OR($AU54=0,$CD54&lt;0.45,$BR54&lt;0.9),"MEDIU","SCĂZUT")))</x:f>
      </x:c>
      <x:c r="CG54" s="65" t="str">
        <x:f>IF($A54="","",IF($AR54&gt;1,IF(AND($BW54&gt;= 'Setari model'!$B$35,$CE54&gt;=100*'Setari model'!$B$36,$BZ54&gt;= 'Setari model'!$B$37,$CA54&gt;= 'Setari model'!$B$38,$CF54&lt;&gt;"RIDICAT"),"PARIU RECOMANDAT",IF(AND($BW54&gt;= 'Setari model'!$B$39,$CE54&gt;=100*'Setari model'!$B$40,$BZ54&gt;= 'Setari model'!$B$41,$CA54&gt;=0,$CF54&lt;&gt;"RIDICAT"),"RECOMANDAT CU PRUDENȚĂ",IF(AND($BW54&gt;= 'Setari model'!$B$42,$CE54&gt;=100*'Setari model'!$B$43),"ANALIZĂ NECONCLUDENTĂ","PARIU EVITAT"))),IF(AND($BW54&gt;= 'Setari model'!$B$35,$CE54&gt;=100*'Setari model'!$B$36,$CF54&lt;&gt;"RIDICAT"),"FAVORABIL STATISTIC – VERIFICĂ COTA",IF(AND($BW54&gt;= 'Setari model'!$B$42,$CE54&gt;=100*'Setari model'!$B$43),"ANALIZĂ NECONCLUDENTĂ","PARIU EVITAT"))))</x:f>
      </x:c>
      <x:c r="CH54" s="67" t="str">
        <x:f t="shared" si="67">IF($A54="","","P(O0,5)="&amp;TEXT($BW54,"0.0%")&amp;"; λ ajustat="&amp;TEXT($BS54,"0.00")&amp;"; Confidence="&amp;TEXT($CE54,"0")&amp;"/100; Edge="&amp;TEXT($BZ54,"0.0%")&amp;"; risc="&amp;$CF54&amp;". "&amp;$BH54)</x:f>
      </x:c>
      <x:c r="CI54" s="68" t="str">
        <x:f t="shared" si="68">IF($A54="","",$BI54)</x:f>
      </x:c>
      <x:c r="CJ54" s="112"/>
      <x:c r="CK54" s="112"/>
      <x:c r="CL54" s="112"/>
      <x:c r="CM54" s="112"/>
      <x:c r="CN54" s="112"/>
      <x:c r="CO54" s="112"/>
      <x:c r="CP54" s="112"/>
      <x:c r="CQ54" s="112"/>
      <x:c r="CR54" s="112"/>
      <x:c r="CS54" s="112"/>
      <x:c r="CT54" s="112"/>
      <x:c r="CU54" s="112"/>
      <x:c r="CV54" s="112"/>
      <x:c r="CW54" s="112"/>
      <x:c r="CX54" s="112"/>
      <x:c r="CY54" s="112"/>
      <x:c r="CZ54" s="112"/>
      <x:c r="DA54" s="112"/>
      <x:c r="DB54" s="112"/>
      <x:c r="DC54" s="114"/>
      <x:c r="DD54" s="114"/>
      <x:c r="DE54" s="112" t="s">
        <x:v>266</x:v>
      </x:c>
      <x:c r="DF54" s="112"/>
      <x:c r="DG54" s="112"/>
      <x:c r="DH54" s="112"/>
      <x:c r="DI54" s="112"/>
      <x:c r="DJ54" s="112"/>
      <x:c r="DK54" s="112"/>
      <x:c r="DL54" s="112"/>
      <x:c r="DM54" s="112"/>
      <x:c r="DN54" s="112"/>
      <x:c r="DO54" s="112"/>
      <x:c r="DP54" s="112"/>
      <x:c r="DQ54" s="114"/>
      <x:c r="DR54" s="112">
        <x:v>1</x:v>
      </x:c>
      <x:c r="DS54" s="116">
        <x:v>0</x:v>
      </x:c>
      <x:c r="DT54" s="120"/>
      <x:c r="DU54" s="116">
        <x:v>0.02</x:v>
      </x:c>
      <x:c r="DV54" s="116">
        <x:v>0.25</x:v>
      </x:c>
      <x:c r="DW54" s="118" t="str">
        <x:f>IF($A54="","",MAX('Setari model'!$B$71,MIN('Setari model'!$B$72,1+0.08*(IFERROR(AVERAGE($CM54:$CN54)/'Setari model'!$B$66,1)-1)+0.08*(IFERROR(AVERAGE($CO54:$CP54)/'Setari model'!$B$67,1)-1)+0.06*(IFERROR(AVERAGE($CQ54:$CR54)/'Setari model'!$B$68,1)-1)+0.04*(IFERROR(AVERAGE($CS54:$CT54)/'Setari model'!$B$69,1)-1)+0.04*(IFERROR(AVERAGE($CU54:$CV54)/'Setari model'!$B$70,1)-1)-'Setari model'!$B$73*IFERROR(AVERAGE($CW54:$CX54),0))))</x:f>
      </x:c>
      <x:c r="DX54" s="118" t="str">
        <x:f>IF($A54="","",1+'Setari model'!$B$62*MAX(IF(OR($CK54=1,$CL54=1),1,0),IF(AND($CJ54&lt;&gt;"",$CJ54&lt;=1),1,0))+'Setari model'!$B$63*IF(AND($CJ54&gt;1,$CJ54&lt;=3),1,0))</x:f>
      </x:c>
      <x:c r="DY54" s="118" t="str">
        <x:f>IF($A54="","",1+'Setari model'!$B$74*(IF($CY54="",0,IF($CY54=0,1,0))+IF($CZ54="",0,IF($CZ54=0,1,0)))+'Setari model'!$B$75*(IF($DA54="",0,IF($DA54=0,1,0))+IF($DB54="",0,IF($DB54=0,1,0))))</x:f>
      </x:c>
      <x:c r="DZ54" s="117" t="str">
        <x:f>IF($A54="","",MIN(0.6,MAX(0.002,(((1-'Setari model'!$B$34*MIN(1,($I54+$P54)/20))*$BT54+'Setari model'!$B$34*MIN(1,($I54+$P54)/20)*IF(COUNT($N54,$U54)=2,SQRT(MAX(0,1-$N54)*MAX(0,1-$U54)),$BT54))*(1-'Setari model'!$B$65*MIN(1,IF($AN54="",0,$AN54/'Setari model'!$B$64)))+'Setari model'!$B$65*MIN(1,IF($AN54="",0,$AN54/'Setari model'!$B$64))*IF($AM54="",$BT54,$AM54))*$DX54*$DY54/$DW54)))</x:f>
      </x:c>
      <x:c r="EA54" s="117" t="str">
        <x:f>IF($A54="","",MIN(1-$DZ54,IF(OR(MIN($I54,$P54)&lt;'Setari model'!$B$58,$CK54=1,$CL54=1,AND($CJ54&lt;&gt;"",$CJ54&lt;=1)),'Setari model'!$B$59,IF(AND($AU54=1,$AR54&gt;1,COUNT($CY54:$DB54)=4),'Setari model'!$B$61,'Setari model'!$B$60))))</x:f>
      </x:c>
      <x:c r="EB54" s="115" t="str">
        <x:f t="shared" si="69">IF($A54="","",1/$EA54)</x:f>
      </x:c>
      <x:c r="EC54" s="117" t="str">
        <x:f t="shared" si="70">IF($A54="","",IF($AR54&gt;1,IF($AS54&gt;1,(1/$AR54)/((1/$AR54)+(1/$AS54)),1/$AR54),""))</x:f>
      </x:c>
      <x:c r="ED54" s="117" t="str">
        <x:f t="shared" si="71">IF($A54="","",IF($EC54="","",$EA54-$EC54))</x:f>
      </x:c>
      <x:c r="EE54" s="117" t="str">
        <x:f t="shared" si="72">""</x:f>
      </x:c>
      <x:c r="EF54" s="119" t="str">
        <x:f>IF($A54="","",MAX(0,MIN(100,$CE54-200*MAX(0,$EG54-'Setari model'!$B$77)-IF($AU54&lt;&gt;1,10,0)-IF(COUNT($CY54:$DB54)&lt;4,4,0))))</x:f>
      </x:c>
      <x:c r="EG54" s="117" t="str">
        <x:f>IF($A54="","",'Setari model'!$B$77+IF(MIN($I54,$P54)&lt;'Setari model'!$B$58,0.03,0)+IF(OR($CK54=1,$CL54=1,AND($CJ54&lt;&gt;"",$CJ54&lt;=1)),0.03,0)+IF($AG54=0,0.02,0)+0.03*(1-MIN(1,COUNT($CM54:$CV54)/10))+0.03*(1-MIN(1,IF($AN54="",0,$AN54/'Setari model'!$B$64)))+IF($AR54&lt;=1,0.02,0))</x:f>
      </x:c>
      <x:c r="EH54" s="113" t="str">
        <x:f>IF($A54="","",IF(OR(MIN($I54,$P54)&lt;'Setari model'!$B$58,$CK54=1,$CL54=1,AND($CJ54&lt;&gt;"",$CJ54&lt;=1)),"92% – early/regim",IF(AND($AU54=1,$AR54&gt;1,COUNT($CY54:$DB54)=4),"94% – confirmat","93% – standard")))</x:f>
      </x:c>
      <x:c r="EI54" s="113" t="str">
        <x:f t="shared" si="73">IF($A54="","",IF(AND($EA54&gt;0.9,$AU54&lt;&gt;1),"WAIT XI – HIGH P",IF(AND($EA54&gt;0.9,COUNT($CY54:$DB54)&lt;4),"WAIT DATE CHEIE – HIGH P",IF($EP54&lt;&gt;"DA","NU – PORTOFOLIU","DA"))))</x:f>
      </x:c>
      <x:c r="EJ54" s="117" t="str">
        <x:f t="shared" si="74">IF($A54="","",IF($DE54&lt;&gt;"Live 20-30","",IF(SUM($DG54:$DH54)&gt;0,1,IF($EU54="","",1-MIN(0.95,MAX(0.001,EXP(-$EU54)*$DX54*$DY54/$DW54))))))</x:f>
      </x:c>
      <x:c r="EK54" s="117" t="str">
        <x:f t="shared" si="75">""</x:f>
      </x:c>
      <x:c r="EL54" s="113" t="str">
        <x:f>IF($A54="","",IF($DE54="Live 20-30",IF(SUM($DG54:$DH54)&gt;0,"EVENIMENT ÎNDEPLINIT",IF(OR($DF54="",COUNT($DI54:$DN54)&lt;4),"LIVE – WATCH",IF($EJ54&gt;=0.75,"LIVE – FEZABIL TEHNIC","LIVE – NO BET"))),IF($EI54&lt;&gt;"DA","WATCH / NO BET",IF(AND($EA54&gt;=INDEX('Setari model'!$B$35:$B$40,1),$EF54&gt;=100*'Setari model'!$B$76),"PARIU RECOMANDAT",IF(AND($EA54&gt;=INDEX('Setari model'!$B$35:$B$40,5),$EF54&gt;=100*'Setari model'!$B$40),"WATCH – APROAPE DE PRAG","PARIU EVITAT")))))</x:f>
      </x:c>
      <x:c r="EM54" s="113" t="str">
        <x:f t="shared" si="76">IF($A54="","",IF($DE54="Live 20-30",IF(SUM($DG54:$DH54)&gt;0,"Gol deja marcat.",IF($DF54="","Minut live lipsă.",IF(COUNT($DI54:$DN54)&lt;4,"Lipsesc xG/SOT/big chances live.",IF($EJ54&lt;0.75,"P live sub prag.","Semnal live tehnic complet; EV ignorat.")))),IF($EI54&lt;&gt;"DA",$EI54,IF($EF54&lt;75,"Confidence sub 75.",IF($EA54&lt;0.92,"P sub 92%.","G0/Zero-Mass + confidence trecute; EV ignorat.")))))</x:f>
      </x:c>
      <x:c r="EN54" s="117" t="str">
        <x:f>IF($A54="","",IF(OR($EL54="PARIU RECOMANDAT",$EL54="LIVE – FEZABIL"),MIN(IF($DU54&gt;0,$DU54,'Setari model'!$B$81)/MAX(1,$DR54),IF($DV54&gt;0,$DV54,'Setari model'!$B$80)*MAX(0,((IF($DE54="Live 20-30",$EJ54,$EA54)*IF($DE54="Live 20-30",$DQ54,$AR54)-1)/(IF($DE54="Live 20-30",$DQ54,$AR54)-1)))),0))</x:f>
      </x:c>
      <x:c r="EO54" s="121" t="str">
        <x:f t="shared" si="77">IF($A54="","",IF(AND($EN54&gt;0,$DT54&gt;0),$EN54*$DT54,""))</x:f>
      </x:c>
      <x:c r="EP54" s="113" t="str">
        <x:f>IF($A54="","",IF(OR($DR54&lt;1,$DR54&gt;'Setari model'!$B$78),"NU – 1–5 selecții",IF($DS54&gt;'Setari model'!$B$79,"NU – corelație", "DA")))</x:f>
      </x:c>
      <x:c r="EQ54" s="117" t="str">
        <x:f t="shared" si="78">IF($A54="","",IF(AND($DC54&gt;1,$DD54&gt;1),$DC54/$DD54-1,""))</x:f>
      </x:c>
      <x:c r="ER54" s="113" t="str">
        <x:f t="shared" si="79">IF($A54="","","P v2="&amp;TEXT($EA54,"0.0%")&amp;" ±"&amp;TEXT($EG54,"0.0%")&amp;"; P0 ZIP="&amp;TEXT($DZ54,"0.0%")&amp;"; Confidence="&amp;TEXT($EF54,"0")&amp;"/100; piață reală="&amp;IF($EC54="","NU","DA")&amp;"; EV="&amp;IF($EE54="","n/a",TEXT($EE54,"0.0%"))&amp;"; gate="&amp;$EI54&amp;"; verdict="&amp;$EL54&amp;". "&amp;$EM54)</x:f>
      </x:c>
      <x:c r="ES54" s="119" t="str">
        <x:f>IF($A54="","",'Setari model'!$B$82)</x:f>
      </x:c>
      <x:c r="ET54" s="118" t="str">
        <x:f>IF($A54="","",'Setari model'!$B$83)</x:f>
      </x:c>
      <x:c r="EU54" s="115" t="str">
        <x:f t="shared" si="80">IF(OR($A54="",$DE54&lt;&gt;"Live 20-30",$DF54="",$DF54&lt;$ES54,$DF54&gt;=90),"",MAX(0.05,MIN($BS54*$ET54,$BS54*(90-$DF54)/90+0.35*($DI54+$DJ54)+0.06*($DK54+$DL54)+0.15*($DM54+$DN54)+0.1*(MAX($DO54,$DP54)-MIN($DO54,$DP54)))))</x:f>
      </x:c>
      <x:c r="EV54" s="132"/>
      <x:c r="EW54" s="132"/>
      <x:c r="EX54" s="132"/>
      <x:c r="EY54" s="132"/>
      <x:c r="EZ54" s="132"/>
      <x:c r="FA54" s="132"/>
      <x:c r="FB54" s="247"/>
      <x:c r="FC54" s="134" t="str">
        <x:f t="shared" si="81">IF($A54="","",IF(OR($J54="",$L54="",$L54&lt;=0),"",MAX(0.5,MIN(1.5,$J54/$L54))))</x:f>
      </x:c>
      <x:c r="FD54" s="134" t="str">
        <x:f t="shared" si="82">IF($A54="","",IF(OR($Q54="",$S54="",$S54&lt;=0),"",MAX(0.5,MIN(1.5,$Q54/$S54))))</x:f>
      </x:c>
      <x:c r="FE54" s="134" t="str">
        <x:f>IF($A54="","",IF(COUNT($EV54:$EW54)&lt;2,"",SQRT($EV54*$EW54)/'Setari model'!$B$87))</x:f>
      </x:c>
      <x:c r="FF54" s="134" t="str">
        <x:f>IF($A54="","",IF(COUNT($O54,$V54,$EX54,$EY54)&lt;4,"",AVERAGE(SQRT($O54*$EY54),SQRT($V54*$EX54))/'Setari model'!$B$88))</x:f>
      </x:c>
      <x:c r="FG54" s="134" t="str">
        <x:f t="shared" si="83">IF($A54="","",IF(COUNT($FC54:$FD54)&lt;2,"",MAX(0,1-AVERAGE($FC54:$FD54))))</x:f>
      </x:c>
      <x:c r="FH54" s="134" t="str">
        <x:f>IF($A54="","",IF(COUNT($EZ54:$FA54)&lt;2,"",'Setari model'!$B$94*AVERAGE($EZ54:$FA54)/'Setari model'!$B$89))</x:f>
      </x:c>
      <x:c r="FI54" s="134" t="str">
        <x:f>IF($A54="","",IF(COUNT($FE54:$FH54)&lt;4,"",MAX('Setari model'!$B$97,MIN('Setari model'!$B$98,1+'Setari model'!$B$90*($FE54-1)+'Setari model'!$B$91*($FF54-1)+'Setari model'!$B$92*$FG54+'Setari model'!$B$93*($FH54-1)))))</x:f>
      </x:c>
      <x:c r="FJ54" s="133" t="str">
        <x:f>IF($A54="","",IF($FI54="","",MIN('Setari model'!$B$101,MAX(0.002,$DZ54*$FI54))))</x:f>
      </x:c>
      <x:c r="FK54" s="131" t="str">
        <x:f t="shared" si="84">IF($A54="","",IF(AND(COUNT($EV54:$FA54)=6,COUNT($O54,$V54,$FC54,$FD54)=4),"DA","NU"))</x:f>
      </x:c>
      <x:c r="FL54" s="131" t="str">
        <x:f>IF($A54="","",IF($FK54&lt;&gt;"DA","NEDETERMINAT",IF($FI54&lt;='Setari model'!$B$99,"SCĂZUT",IF($FI54&lt;='Setari model'!$B$100,"MEDIU","RIDICAT"))))</x:f>
      </x:c>
      <x:c r="FM54" s="131" t="str">
        <x:f>IF($A54="","",IF(AND($AR54&gt;1,$EC54&gt;='Setari model'!$B$106),"DA","NU"))</x:f>
      </x:c>
      <x:c r="FN54" s="131" t="str">
        <x:f t="shared" si="85">IF($A54="","",IF(AND($AU54=1,COUNT($CY54:$DB54)=4),"DA","NU"))</x:f>
      </x:c>
      <x:c r="FO54" s="133" t="str">
        <x:f>IF($A54="","",IF(OR($FK54&lt;&gt;"DA",$FL54="RIDICAT"),'Setari model'!$B$102,IF($FL54="MEDIU",'Setari model'!$B$103,IF(AND($FM54="DA",$FN54="DA"),'Setari model'!$B$105,'Setari model'!$B$104))))</x:f>
      </x:c>
      <x:c r="FP54" s="133" t="str">
        <x:f t="shared" si="86">IF($A54="","",IF($FJ54="","",MIN(1-$FJ54,$FO54)))</x:f>
      </x:c>
      <x:c r="FQ54" s="135" t="str">
        <x:f t="shared" si="87">IF($A54="","",IF($FP54="","",IF($FP54&gt;0,1/$FP54,"")))</x:f>
      </x:c>
      <x:c r="FR54" s="133" t="str">
        <x:f t="shared" si="88">IF($A54="","",IF($EC54="","",$FP54-$EC54))</x:f>
      </x:c>
      <x:c r="FS54" s="133" t="str">
        <x:f t="shared" si="89">IF($A54="","",IF($AR54&gt;1,$FP54*$AR54-1,""))</x:f>
      </x:c>
      <x:c r="FT54" s="136" t="str">
        <x:f>IF($A54="","",MAX(0,MIN(100,$EF54-IF($FK54&lt;&gt;"DA",'Setari model'!$B$107,0)-IF($FL54="MEDIU",'Setari model'!$B$108,0)-IF($FL54="RIDICAT",'Setari model'!$B$109,0))))</x:f>
      </x:c>
      <x:c r="FU54" s="131" t="str">
        <x:f t="shared" si="90">IF($A54="","",IF($AR54&lt;=1,"NU – LIPSEȘTE COTA REALĂ",IF($FK54&lt;&gt;"DA","NU – ZERO-RISK INCOMPLET",IF($FL54&lt;&gt;"SCĂZUT","NU – RISC 0-0 "&amp;$FL54,IF($FN54&lt;&gt;"DA","NU – LINEUP NECONFIRMAT",IF($FM54&lt;&gt;"DA","NU – PIAȚĂ NECONFIRMATĂ",IF($EP54&lt;&gt;"DA","NU – PORTOFOLIU","DA")))))))</x:f>
      </x:c>
      <x:c r="FV54" s="131" t="str">
        <x:f>IF($A54="","",IF($FU54&lt;&gt;"DA","WATCH / NO BET",IF(AND($FP54&gt;='Setari model'!$B$35,$FT54&gt;=100*'Setari model'!$B$76,$FS54&gt;0),"PARIU RECOMANDAT",IF(AND($FP54&gt;='Setari model'!$B$39,$FT54&gt;=100*'Setari model'!$B$40,$FS54&gt;0),"WATCH – APROAPE DE PRAG","PARIU EVITAT"))))</x:f>
      </x:c>
      <x:c r="FW54" s="131" t="str">
        <x:f t="shared" si="91">IF($A54="","",IF($FU54&lt;&gt;"DA",$FU54,IF($FT54&lt;75,"Confidence v3 sub 75.",IF($FP54&lt;0.92,"P v3 sub 92%.",IF($FS54&lt;=0,"EV v3 nepozitiv.","P0 v3, lineup și piață confirmate.")))))</x:f>
      </x:c>
      <x:c r="FX54" s="131" t="str">
        <x:f t="shared" si="92">IF($A54="","","P v3="&amp;TEXT($FP54,"0.0%")&amp;"; P0 v3="&amp;TEXT($FJ54,"0.0%")&amp;"; factor zero="&amp;IF($FI54="","n/a",TEXT($FI54,"0.00x"))&amp;" ("&amp;$FL54&amp;"); cap="&amp;TEXT($FO54,"0.0%")&amp;"; Confidence="&amp;TEXT($FT54,"0")&amp;"/100; lineup="&amp;$FN54&amp;"; piață="&amp;$FM54&amp;"; EV="&amp;IF($FS54="","n/a",TEXT($FS54,"0.0%"))&amp;"; gate="&amp;$FU54&amp;"; verdict="&amp;$FV54&amp;". "&amp;$FW54)</x:f>
      </x:c>
      <x:c r="FY54" s="159"/>
      <x:c r="FZ54" s="159"/>
      <x:c r="GA54" s="157"/>
      <x:c r="GB54" s="157"/>
      <x:c r="GC54" s="161" t="str">
        <x:f t="shared" si="93">IF($A54="","",IF(OR($X54="",$Z54="",$Z54&lt;=0),"",MAX(0.5,MIN(1.5,$X54/$Z54))))</x:f>
      </x:c>
      <x:c r="GD54" s="161" t="str">
        <x:f t="shared" si="94">IF($A54="","",IF(OR($AC54="",$AE54="",$AE54&lt;=0),"",MAX(0.5,MIN(1.5,$AC54/$AE54))))</x:f>
      </x:c>
      <x:c r="GE54" s="162" t="str">
        <x:f t="shared" si="95">IF($A54="","",IF(COUNT($Z54,$AE54)&lt;2,"",AVERAGE($Z54,$AE54)))</x:f>
      </x:c>
      <x:c r="GF54" s="158" t="str">
        <x:f>IF($A54="","",IF(COUNT($FY54:$FZ54)&lt;2,"NEDETERMINAT",IF(AND($FY54&gt;='Setari model'!$B$113,$FZ54&gt;='Setari model'!$B$113),"DA","NU")))</x:f>
      </x:c>
      <x:c r="GG54" s="158" t="str">
        <x:f>IF($A54="","",IF(COUNT($FY54:$FZ54,$EX54:$EY54)&lt;4,"NEDETERMINAT",IF(OR(AND($FY54&gt;='Setari model'!$B$113,$EY54&gt;='Setari model'!$B$114),AND($FZ54&gt;='Setari model'!$B$113,$EX54&gt;='Setari model'!$B$114)),"DA","NU")))</x:f>
      </x:c>
      <x:c r="GH54" s="158" t="str">
        <x:f>IF($A54="","",IF(COUNT($BJ54:$BN54,$GC54:$GE54)&lt;8,"NEDETERMINAT",IF(AND((($BJ54*INDEX('Setari model'!$B$5:$B$11,MATCH($E54,'Setari model'!$A$5:$A$11,0))+$BK54*INDEX('Setari model'!$C$5:$C$11,MATCH($E54,'Setari model'!$A$5:$A$11,0))+$BL54*INDEX('Setari model'!$D$5:$D$11,MATCH($E54,'Setari model'!$A$5:$A$11,0))+$BM54*INDEX('Setari model'!$E$5:$E$11,MATCH($E54,'Setari model'!$A$5:$A$11,0))+$BN54*INDEX('Setari model'!$F$5:$F$11,MATCH($E54,'Setari model'!$A$5:$A$11,0)))/(INDEX('Setari model'!$B$5:$B$11,MATCH($E54,'Setari model'!$A$5:$A$11,0))+INDEX('Setari model'!$C$5:$C$11,MATCH($E54,'Setari model'!$A$5:$A$11,0))+INDEX('Setari model'!$D$5:$D$11,MATCH($E54,'Setari model'!$A$5:$A$11,0))+INDEX('Setari model'!$E$5:$E$11,MATCH($E54,'Setari model'!$A$5:$A$11,0))+INDEX('Setari model'!$F$5:$F$11,MATCH($E54,'Setari model'!$A$5:$A$11,0))))*$BR54&gt;='Setari model'!$B$115,(($BJ54*INDEX('Setari model'!$B$5:$B$11,MATCH($E54,'Setari model'!$A$5:$A$11,0))+$BK54*INDEX('Setari model'!$C$5:$C$11,MATCH($E54,'Setari model'!$A$5:$A$11,0))+$BL54*INDEX('Setari model'!$D$5:$D$11,MATCH($E54,'Setari model'!$A$5:$A$11,0))+$BM54*INDEX('Setari model'!$E$5:$E$11,MATCH($E54,'Setari model'!$A$5:$A$11,0))+$BN54*INDEX('Setari model'!$F$5:$F$11,MATCH($E54,'Setari model'!$A$5:$A$11,0)))/(INDEX('Setari model'!$B$5:$B$11,MATCH($E54,'Setari model'!$A$5:$A$11,0))+INDEX('Setari model'!$C$5:$C$11,MATCH($E54,'Setari model'!$A$5:$A$11,0))+INDEX('Setari model'!$D$5:$D$11,MATCH($E54,'Setari model'!$A$5:$A$11,0))+INDEX('Setari model'!$E$5:$E$11,MATCH($E54,'Setari model'!$A$5:$A$11,0))+INDEX('Setari model'!$F$5:$F$11,MATCH($E54,'Setari model'!$A$5:$A$11,0))))*$BR54&lt;='Setari model'!$B$116,AVERAGE($GC54:$GD54)&lt;='Setari model'!$B$117,$GE54&gt;='Setari model'!$B$118),"DA","NU")))</x:f>
      </x:c>
      <x:c r="GI54" s="158" t="str">
        <x:f>IF($A54="","",IF(COUNT($W54,$AB54,$GA54:$GB54)&lt;4,"NEDETERMINAT",IF(AND($W54&gt;='Setari model'!$B$120,$AB54&gt;='Setari model'!$B$120,OR(IFERROR($GA54/$W54,0)&gt;='Setari model'!$B$119,IFERROR($GB54/$AB54,0)&gt;='Setari model'!$B$119)),"DA","NU")))</x:f>
      </x:c>
      <x:c r="GJ54" s="160" t="str">
        <x:f>IF($A54="","",IF(COUNT($FY54:$GB54)&lt;4,"",IF($GH54&lt;&gt;"DA",0,'Setari model'!$B$121*IF($GF54="DA",1,0)+'Setari model'!$B$122*IF($GG54="DA",1,0)+'Setari model'!$B$123+'Setari model'!$B$124*IF($GI54="DA",1,0))))</x:f>
      </x:c>
      <x:c r="GK54" s="161" t="str">
        <x:f>IF($A54="","",IF(COUNT($GJ54)=0,"",1+'Setari model'!$B$125*$GJ54))</x:f>
      </x:c>
      <x:c r="GL54" s="160" t="str">
        <x:f>IF($A54="","",IF($GM54&lt;&gt;"DA",$FJ54,MIN('Setari model'!$B$101,MAX(0.002,$FJ54*$GK54))))</x:f>
      </x:c>
      <x:c r="GM54" s="158" t="str">
        <x:f>IF($A54="","",IF(AND($FK54="DA",COUNT($FY54:$GB54)=4,COUNT($I54,$P54,$W54,$AB54,$Z54,$AE54,$EX54,$EY54,$GC54,$GD54)=10,COUNT($BJ54:$BN54)=5),"DA","NU"))</x:f>
      </x:c>
      <x:c r="GN54" s="158" t="str">
        <x:f>IF($A54="","",IF($GM54&lt;&gt;"DA","NEDETERMINAT",IF($FI54*$GK54&lt;='Setari model'!$B$99,"SCĂZUT",IF($FI54*$GK54&lt;='Setari model'!$B$100,"MEDIU","RIDICAT"))))</x:f>
      </x:c>
      <x:c r="GO54" s="160" t="str">
        <x:f>IF($A54="","",IF(OR($GM54&lt;&gt;"DA",$GN54="RIDICAT"),'Setari model'!$B$102,IF($GN54="MEDIU",'Setari model'!$B$103,IF(AND($FM54="DA",$FN54="DA"),'Setari model'!$B$105,'Setari model'!$B$104))))</x:f>
      </x:c>
      <x:c r="GP54" s="160" t="str">
        <x:f t="shared" si="96">IF($A54="","",IF($GL54="","",MIN(1-$GL54,$GO54)))</x:f>
      </x:c>
      <x:c r="GQ54" s="162" t="str">
        <x:f t="shared" si="97">IF($A54="","",IF($GP54="","",IF($GP54&gt;0,1/$GP54,"")))</x:f>
      </x:c>
      <x:c r="GR54" s="160" t="str">
        <x:f t="shared" si="98">IF($A54="","",IF($EC54="","",$GP54-$EC54))</x:f>
      </x:c>
      <x:c r="GS54" s="160" t="str">
        <x:f t="shared" si="99">IF($A54="","",IF($AR54&gt;1,$GP54*$AR54-1,""))</x:f>
      </x:c>
      <x:c r="GT54" s="163" t="str">
        <x:f>IF($A54="","",MAX(0,MIN(100,$FT54-IF(AND($GM54&lt;&gt;"DA",$FK54="DA"),'Setari model'!$B$107,0)-'Setari model'!$B$126*IF($GJ54="",0,$GJ54))))</x:f>
      </x:c>
      <x:c r="GU54" s="158" t="str">
        <x:f t="shared" si="100">IF($A54="","",IF($AR54&lt;=1,"NU – LIPSEȘTE COTA REALĂ",IF($GM54&lt;&gt;"DA","NU – DATE LOW-CONVERSION INCOMPLETE",IF($GN54&lt;&gt;"SCĂZUT","NU – RISC 0-0 "&amp;$GN54,IF($FN54&lt;&gt;"DA","NU – LINEUP NECONFIRMAT",IF($FM54&lt;&gt;"DA","NU – PIAȚĂ NECONFIRMATĂ",IF($EP54&lt;&gt;"DA","NU – PORTOFOLIU","DA")))))))</x:f>
      </x:c>
      <x:c r="GV54" s="158" t="str">
        <x:f>IF($A54="","",IF($GU54&lt;&gt;"DA","WATCH / NO BET",IF(AND($GP54&gt;='Setari model'!$B$35,$GT54&gt;=100*'Setari model'!$B$76,$GS54&gt;0),"PARIU RECOMANDAT",IF(AND($GP54&gt;='Setari model'!$B$39,$GT54&gt;=100*'Setari model'!$B$40,$GS54&gt;0),"WATCH – APROAPE DE PRAG","PARIU EVITAT"))))</x:f>
      </x:c>
      <x:c r="GW54" s="158" t="str">
        <x:f t="shared" si="101">IF($A54="","",IF($GU54&lt;&gt;"DA",$GU54,IF($GT54&lt;75,"Confidence v5 sub 75.",IF($GP54&lt;0.92,"P v5 sub 92%.",IF($GS54&lt;=0,"EV v5 nepozitiv.",IF($GJ54&gt;0,"Low-conversion absorbit în P0; toate porțile rămân trecute.","Toate porțile v5 sunt trecute."))))))</x:f>
      </x:c>
      <x:c r="GX54" s="158" t="str">
        <x:f t="shared" si="102">IF($A54="","","P v5="&amp;TEXT($GP54,"0.0%")&amp;"; P0 v5="&amp;TEXT($GL54,"0.0%")&amp;"; low-conv="&amp;IF(COUNT($GJ54)=0,"n/a",TEXT($GJ54,"0%"))&amp;"; mult.P0="&amp;IF(COUNT($GK54)=0,"n/a",TEXT($GK54,"0.00"))&amp;"; clasă="&amp;$GN54&amp;"; cap="&amp;TEXT($GO54,"0.0%")&amp;"; Confidence="&amp;TEXT($GT54,"0")&amp;"/100; lineup="&amp;$FN54&amp;"; piață="&amp;$FM54&amp;"; EV="&amp;IF($GS54="","n/a",TEXT($GS54,"0.0%"))&amp;"; gate="&amp;$GU54&amp;"; verdict="&amp;$GV54&amp;". "&amp;$GW54)</x:f>
      </x:c>
      <x:c r="GY54" s="174" t="str">
        <x:f>IF($A54="","",IF($GM54&lt;&gt;"DA","SOURCING INCOMPLETE – REVIEW REQUIRED",IF(MIN($I54,$P54,$W54,$AB54)&lt;'Setari model'!$B$58,"SMALL SAMPLE + PRIOR / SHRINKAGE","VERIFIED / PRIOR / SHRINKAGE")))</x:f>
      </x:c>
      <x:c r="GZ54" s="175" t="str">
        <x:f t="shared" si="103">IF($A54="","",MAX(0,MIN(100,100*(1-AVERAGE(IF($GM54="DA",1,0),MIN(1,$AT54/5))))))</x:f>
      </x:c>
      <x:c r="HA54" s="175" t="str">
        <x:f>IF($A54="","",IF($GM54&lt;&gt;"DA","",MAX(0,MIN(100,100*(($FI54*$GK54)-'Setari model'!$B$97)/('Setari model'!$B$98-'Setari model'!$B$97)))))</x:f>
      </x:c>
      <x:c r="HB54" s="175" t="str">
        <x:f>IF($A54="","",MAX(0,MIN(100,100*(ABS($BR54-1)/MAX(1-'Setari model'!$B$53,'Setari model'!$B$54-1)+MIN(1,$BG54/2))/2)))</x:f>
      </x:c>
      <x:c r="HC54" s="175" t="str">
        <x:f t="shared" si="104">IF($A54="","",MAX(0,MIN(100,100*(1-AVERAGE($CC54,MAX(0,1-(MAX($BJ54:$BN54)-MIN($BJ54:$BN54))/(AVERAGE($BJ54:$BN54)*'Setari model'!$B$45)))))))</x:f>
      </x:c>
      <x:c r="HD54" s="175" t="str">
        <x:f t="shared" si="105">IF($A54="","",MAX(0,MIN(100,100*MAX(IF($GJ54="",0,$GJ54),MIN(1,$BG54/2)))))</x:f>
      </x:c>
      <x:c r="HE54" s="175" t="str">
        <x:f>IF($A54="","",IF(COUNT($GZ54:$HD54)&lt;5,"",$GZ54*Risk_Classification!$E$28+$HA54*Risk_Classification!$E$29+$HB54*Risk_Classification!$E$30+$HC54*Risk_Classification!$E$31+$HD54*Risk_Classification!$E$32))</x:f>
      </x:c>
      <x:c r="HF54" s="176" t="str">
        <x:f t="shared" si="106">IF($A54="","",IF($HE54="","",IF($HE54&lt;=20,1,IF($HE54&lt;=40,2,IF($HE54&lt;=60,3,IF($HE54&lt;=80,4,5))))))</x:f>
      </x:c>
      <x:c r="HG54" s="176" t="str">
        <x:f t="shared" si="107">IF($A54="","",IF($GM54="DA","PASS","FAIL – DATE CRITICE ZERO-MASS INCOMPLETE"))</x:f>
      </x:c>
      <x:c r="HH54" s="176" t="str">
        <x:f t="shared" si="108">IF($A54="","",IF($HG54&lt;&gt;"PASS",5,$HF54))</x:f>
      </x:c>
      <x:c r="HI54" s="174" t="str">
        <x:f t="shared" si="109">IF($A54="","",IF($HH54="","N/A",IF($HH54=1,"DEFENSIV",IF($HH54=2,"PRUDENT",IF($HH54=3,"MODERAT",IF($HH54=4,"RIDICAT","WATCH / NO BET"))))))</x:f>
      </x:c>
      <x:c r="HJ54" s="177" t="str">
        <x:f t="shared" si="110">IF($A54="","","Data="&amp;$GY54&amp;"; DQ="&amp;TEXT($GZ54,"0.0")&amp;"; ZM="&amp;IF($HA54="","n/a",TEXT($HA54,"0.0"))&amp;"; Context="&amp;TEXT($HB54,"0.0")&amp;"; Uncertainty="&amp;TEXT($HC54,"0.0")&amp;"; Compound="&amp;TEXT($HD54,"0.0")&amp;"; Risk Score="&amp;IF($HE54="","n/a",TEXT($HE54,"0.0"))&amp;"; Base="&amp;IF($HF54="","n/a",$HF54)&amp;"; G0="&amp;$HG54&amp;"; Final="&amp;$HH54&amp;". Cota, EV si lineup sunt informative si nu intra in recomandare.")</x:f>
      </x:c>
      <x:c r="HK54" s="174" t="str">
        <x:f t="shared" si="111">IF($A54="","",$HI54)</x:f>
      </x:c>
    </x:row>
    <x:row r="55" ht="24" customHeight="1">
      <x:c r="A55" s="58"/>
      <x:c r="B55" s="24"/>
      <x:c r="C55" s="59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18"/>
      <x:c r="O55" s="18"/>
      <x:c r="P55" s="24"/>
      <x:c r="Q55" s="24"/>
      <x:c r="R55" s="24"/>
      <x:c r="S55" s="24"/>
      <x:c r="T55" s="24"/>
      <x:c r="U55" s="18"/>
      <x:c r="V55" s="18"/>
      <x:c r="W55" s="24"/>
      <x:c r="X55" s="24"/>
      <x:c r="Y55" s="24"/>
      <x:c r="Z55" s="24"/>
      <x:c r="AA55" s="24"/>
      <x:c r="AB55" s="24"/>
      <x:c r="AC55" s="24"/>
      <x:c r="AD55" s="24"/>
      <x:c r="AE55" s="24"/>
      <x:c r="AF55" s="24"/>
      <x:c r="AG55" s="24"/>
      <x:c r="AH55" s="24"/>
      <x:c r="AI55" s="18"/>
      <x:c r="AJ55" s="24"/>
      <x:c r="AK55" s="24"/>
      <x:c r="AL55" s="24"/>
      <x:c r="AM55" s="18"/>
      <x:c r="AN55" s="24"/>
      <x:c r="AO55" s="60"/>
      <x:c r="AP55" s="60"/>
      <x:c r="AQ55" s="60"/>
      <x:c r="AR55" s="60"/>
      <x:c r="AS55" s="60"/>
      <x:c r="AT55" s="24"/>
      <x:c r="AU55" s="24"/>
      <x:c r="AV55" s="24"/>
      <x:c r="AW55" s="24"/>
      <x:c r="AX55" s="24"/>
      <x:c r="AY55" s="24"/>
      <x:c r="AZ55" s="24"/>
      <x:c r="BA55" s="24"/>
      <x:c r="BB55" s="24"/>
      <x:c r="BC55" s="24"/>
      <x:c r="BD55" s="24"/>
      <x:c r="BE55" s="24"/>
      <x:c r="BF55" s="24"/>
      <x:c r="BG55" s="24"/>
      <x:c r="BH55" s="61"/>
      <x:c r="BI55" s="61"/>
      <x:c r="BJ55" s="62" t="str">
        <x:f>IF($A55="","",SQRT((($I55*IF($J55="",$AJ55,$J55)+'Setari model'!$B$30*$AJ55)/($I55+'Setari model'!$B$30))*(($P55*IF($R55="",$AJ55,$R55)+'Setari model'!$B$30*$AJ55)/($P55+'Setari model'!$B$30)))+SQRT((($P55*IF($Q55="",$AK55,$Q55)+'Setari model'!$B$30*$AK55)/($P55+'Setari model'!$B$30))*(($I55*IF($K55="",$AK55,$K55)+'Setari model'!$B$30*$AK55)/($I55+'Setari model'!$B$30))))</x:f>
      </x:c>
      <x:c r="BK55" s="62" t="str">
        <x:f>IF($A55="","",SQRT((($I55*IF($L55="",IF($J55="",$AJ55,$J55),$L55)+'Setari model'!$B$30*$AJ55)/($I55+'Setari model'!$B$30))*(($P55*IF($T55="",IF($R55="",$AJ55,$R55),$T55)+'Setari model'!$B$30*$AJ55)/($P55+'Setari model'!$B$30)))+SQRT((($P55*IF($S55="",IF($Q55="",$AK55,$Q55),$S55)+'Setari model'!$B$30*$AK55)/($P55+'Setari model'!$B$30))*(($I55*IF($M55="",IF($K55="",$AK55,$K55),$M55)+'Setari model'!$B$30*$AK55)/($I55+'Setari model'!$B$30))))</x:f>
      </x:c>
      <x:c r="BL55" s="62" t="str">
        <x:f>IF($A55="","",SQRT((($W55*IF($X55="",$AL55/2,$X55)+'Setari model'!$B$31*$AL55/2)/($W55+'Setari model'!$B$31))*(($AB55*IF($AD55="",$AL55/2,$AD55)+'Setari model'!$B$31*$AL55/2)/($AB55+'Setari model'!$B$31)))+SQRT((($AB55*IF($AC55="",$AL55/2,$AC55)+'Setari model'!$B$31*$AL55/2)/($AB55+'Setari model'!$B$31))*(($W55*IF($Y55="",$AL55/2,$Y55)+'Setari model'!$B$31*$AL55/2)/($W55+'Setari model'!$B$31))))</x:f>
      </x:c>
      <x:c r="BM55" s="62" t="str">
        <x:f>IF($A55="","",SQRT((($W55*IF($Z55="",IF($X55="",$AL55/2,$X55),$Z55)+'Setari model'!$B$31*$AL55/2)/($W55+'Setari model'!$B$31))*(($AB55*IF($AF55="",IF($AD55="",$AL55/2,$AD55),$AF55)+'Setari model'!$B$31*$AL55/2)/($AB55+'Setari model'!$B$31)))+SQRT((($AB55*IF($AE55="",IF($AC55="",$AL55/2,$AC55),$AE55)+'Setari model'!$B$31*$AL55/2)/($AB55+'Setari model'!$B$31))*(($W55*IF($AA55="",IF($Y55="",$AL55/2,$Y55),$AA55)+'Setari model'!$B$31*$AL55/2)/($W55+'Setari model'!$B$31))))</x:f>
      </x:c>
      <x:c r="BN55" s="62" t="str">
        <x:f t="shared" si="56">IF($A55="","",IF($AG55&gt;0,($AG55*IF($AH55="",$AL55,$AH55)+5*$AL55)/($AG55+5),$AL55))</x:f>
      </x:c>
      <x:c r="BO55" s="63" t="str">
        <x:f>IF($A55="","",IF($AR55&gt;1,IF($AS55&gt;1,(1/$AR55)/((1/$AR55+1/$AS55)),MIN(0.995,(1/$AR55)/(1+'Setari model'!$B$32))),1-EXP(-$AL55)))</x:f>
      </x:c>
      <x:c r="BP55" s="62" t="str">
        <x:f t="shared" si="57">IF($A55="","",-LN(1-$BO55))</x:f>
      </x:c>
      <x:c r="BQ55" s="62" t="str">
        <x:f>IF($A55="","",$BJ55*INDEX('Setari model'!$B$5:$B$11,MATCH($E55,'Setari model'!$A$5:$A$11,0))+$BK55*INDEX('Setari model'!$C$5:$C$11,MATCH($E55,'Setari model'!$A$5:$A$11,0))+$BL55*INDEX('Setari model'!$D$5:$D$11,MATCH($E55,'Setari model'!$A$5:$A$11,0))+$BM55*INDEX('Setari model'!$E$5:$E$11,MATCH($E55,'Setari model'!$A$5:$A$11,0))+$BN55*INDEX('Setari model'!$F$5:$F$11,MATCH($E55,'Setari model'!$A$5:$A$11,0))+$BP55*INDEX('Setari model'!$G$5:$G$11,MATCH($E55,'Setari model'!$A$5:$A$11,0)))</x:f>
      </x:c>
      <x:c r="BR55" s="64" t="str">
        <x:f>IF($A55="","",MAX('Setari model'!$B$53,MIN('Setari model'!$B$54,1+($AV55*'Setari model'!$B$15+$AW55*'Setari model'!$B$16+$AX55*'Setari model'!$B$17+$AY55*'Setari model'!$B$18+$AZ55*'Setari model'!$B$19+$BA55*'Setari model'!$B$20+$BB55*'Setari model'!$B$21+$BC55*'Setari model'!$B$22+$BD55*'Setari model'!$B$23+$BE55*'Setari model'!$B$24+$BF55*'Setari model'!$B$25)*INDEX('Setari model'!$H$5:$H$11,MATCH($E55,'Setari model'!$A$5:$A$11,0)))))</x:f>
      </x:c>
      <x:c r="BS55" s="62" t="str">
        <x:f t="shared" si="58">IF($A55="","",$BQ55*$BR55)</x:f>
      </x:c>
      <x:c r="BT55" s="63" t="str">
        <x:f t="shared" si="59">IF($A55="","",EXP(-$BS55))</x:f>
      </x:c>
      <x:c r="BU55" s="65" t="str">
        <x:f>IF($A55="","",IF(OR($AM55="",$AN55=""),1,1+MIN('Setari model'!$B$33,$AN55/100*'Setari model'!$B$33)*($AM55/EXP(-$AL55)-1)))</x:f>
      </x:c>
      <x:c r="BV55" s="63" t="str">
        <x:f>IF($A55="","",MIN(0.45,MAX(0.005,(1-'Setari model'!$B$34*MIN(1,($I55+$P55)/20))*MIN(0.45,$BT55*$BU55)+'Setari model'!$B$34*MIN(1,($I55+$P55)/20)*IF(COUNT($N55,$U55)=2,SQRT(MAX(0,1-$N55)*MAX(0,1-$U55)),IF($AM55="",EXP(-$AL55),$AM55)))))</x:f>
      </x:c>
      <x:c r="BW55" s="63" t="str">
        <x:f t="shared" si="60">IF($A55="","",1-$BV55)</x:f>
      </x:c>
      <x:c r="BX55" s="62" t="str">
        <x:f t="shared" si="61">IF($A55="","",1/$BW55)</x:f>
      </x:c>
      <x:c r="BY55" s="63" t="str">
        <x:f t="shared" si="62">IF($A55="","",$BO55)</x:f>
      </x:c>
      <x:c r="BZ55" s="63" t="str">
        <x:f t="shared" si="63">IF($A55="","",$BW55-$BY55)</x:f>
      </x:c>
      <x:c r="CA55" s="63" t="str">
        <x:f t="shared" si="64">IF($A55="","",IF($AR55&gt;1,$BW55*$AR55-1,""))</x:f>
      </x:c>
      <x:c r="CB55" s="63" t="str">
        <x:f>IF($A55="","",MIN(1,COUNT($I55:$AN55,$AR55:$BG55)/'Setari model'!$B$46))</x:f>
      </x:c>
      <x:c r="CC55" s="63" t="str">
        <x:f t="shared" si="65">IF($A55="","",0.25*MIN(1,$I55/10)+0.25*MIN(1,$P55/10)+0.15*MIN(1,$W55/5)+0.15*MIN(1,$AB55/5)+0.1*MIN(1,$AG55/5)+0.1*MIN(1,$AN55/100))</x:f>
      </x:c>
      <x:c r="CD55" s="63" t="str">
        <x:f>IF($A55="","",MAX(0,1-(MAX($BJ55:$BN55,$BP55)-MIN($BJ55:$BN55,$BP55))/(AVERAGE($BJ55:$BN55,$BP55)*'Setari model'!$B$45)))</x:f>
      </x:c>
      <x:c r="CE55" s="66" t="str">
        <x:f>IF($A55="","",MAX(0,MIN(100,100*INDEX('Setari model'!$I$5:$I$11,MATCH($E55,'Setari model'!$A$5:$A$11,0))*('Setari model'!$B$47*$CB55+'Setari model'!$B$48*$CC55+'Setari model'!$B$49*$CD55+'Setari model'!$B$50*$AT55/5+'Setari model'!$B$51*$AU55)-100*'Setari model'!$B$52*$BG55)))</x:f>
      </x:c>
      <x:c r="CF55" s="65" t="str">
        <x:f t="shared" si="66">IF($A55="","",IF(OR($AT55&lt;3,$BG55&gt;=2,$CB55&lt;0.55,$CC55&lt;0.4),"RIDICAT",IF(OR($AU55=0,$CD55&lt;0.45,$BR55&lt;0.9),"MEDIU","SCĂZUT")))</x:f>
      </x:c>
      <x:c r="CG55" s="65" t="str">
        <x:f>IF($A55="","",IF($AR55&gt;1,IF(AND($BW55&gt;= 'Setari model'!$B$35,$CE55&gt;=100*'Setari model'!$B$36,$BZ55&gt;= 'Setari model'!$B$37,$CA55&gt;= 'Setari model'!$B$38,$CF55&lt;&gt;"RIDICAT"),"PARIU RECOMANDAT",IF(AND($BW55&gt;= 'Setari model'!$B$39,$CE55&gt;=100*'Setari model'!$B$40,$BZ55&gt;= 'Setari model'!$B$41,$CA55&gt;=0,$CF55&lt;&gt;"RIDICAT"),"RECOMANDAT CU PRUDENȚĂ",IF(AND($BW55&gt;= 'Setari model'!$B$42,$CE55&gt;=100*'Setari model'!$B$43),"ANALIZĂ NECONCLUDENTĂ","PARIU EVITAT"))),IF(AND($BW55&gt;= 'Setari model'!$B$35,$CE55&gt;=100*'Setari model'!$B$36,$CF55&lt;&gt;"RIDICAT"),"FAVORABIL STATISTIC – VERIFICĂ COTA",IF(AND($BW55&gt;= 'Setari model'!$B$42,$CE55&gt;=100*'Setari model'!$B$43),"ANALIZĂ NECONCLUDENTĂ","PARIU EVITAT"))))</x:f>
      </x:c>
      <x:c r="CH55" s="67" t="str">
        <x:f t="shared" si="67">IF($A55="","","P(O0,5)="&amp;TEXT($BW55,"0.0%")&amp;"; λ ajustat="&amp;TEXT($BS55,"0.00")&amp;"; Confidence="&amp;TEXT($CE55,"0")&amp;"/100; Edge="&amp;TEXT($BZ55,"0.0%")&amp;"; risc="&amp;$CF55&amp;". "&amp;$BH55)</x:f>
      </x:c>
      <x:c r="CI55" s="68" t="str">
        <x:f t="shared" si="68">IF($A55="","",$BI55)</x:f>
      </x:c>
      <x:c r="CJ55" s="112"/>
      <x:c r="CK55" s="112"/>
      <x:c r="CL55" s="112"/>
      <x:c r="CM55" s="112"/>
      <x:c r="CN55" s="112"/>
      <x:c r="CO55" s="112"/>
      <x:c r="CP55" s="112"/>
      <x:c r="CQ55" s="112"/>
      <x:c r="CR55" s="112"/>
      <x:c r="CS55" s="112"/>
      <x:c r="CT55" s="112"/>
      <x:c r="CU55" s="112"/>
      <x:c r="CV55" s="112"/>
      <x:c r="CW55" s="112"/>
      <x:c r="CX55" s="112"/>
      <x:c r="CY55" s="112"/>
      <x:c r="CZ55" s="112"/>
      <x:c r="DA55" s="112"/>
      <x:c r="DB55" s="112"/>
      <x:c r="DC55" s="114"/>
      <x:c r="DD55" s="114"/>
      <x:c r="DE55" s="112" t="s">
        <x:v>266</x:v>
      </x:c>
      <x:c r="DF55" s="112"/>
      <x:c r="DG55" s="112"/>
      <x:c r="DH55" s="112"/>
      <x:c r="DI55" s="112"/>
      <x:c r="DJ55" s="112"/>
      <x:c r="DK55" s="112"/>
      <x:c r="DL55" s="112"/>
      <x:c r="DM55" s="112"/>
      <x:c r="DN55" s="112"/>
      <x:c r="DO55" s="112"/>
      <x:c r="DP55" s="112"/>
      <x:c r="DQ55" s="114"/>
      <x:c r="DR55" s="112">
        <x:v>1</x:v>
      </x:c>
      <x:c r="DS55" s="116">
        <x:v>0</x:v>
      </x:c>
      <x:c r="DT55" s="120"/>
      <x:c r="DU55" s="116">
        <x:v>0.02</x:v>
      </x:c>
      <x:c r="DV55" s="116">
        <x:v>0.25</x:v>
      </x:c>
      <x:c r="DW55" s="118" t="str">
        <x:f>IF($A55="","",MAX('Setari model'!$B$71,MIN('Setari model'!$B$72,1+0.08*(IFERROR(AVERAGE($CM55:$CN55)/'Setari model'!$B$66,1)-1)+0.08*(IFERROR(AVERAGE($CO55:$CP55)/'Setari model'!$B$67,1)-1)+0.06*(IFERROR(AVERAGE($CQ55:$CR55)/'Setari model'!$B$68,1)-1)+0.04*(IFERROR(AVERAGE($CS55:$CT55)/'Setari model'!$B$69,1)-1)+0.04*(IFERROR(AVERAGE($CU55:$CV55)/'Setari model'!$B$70,1)-1)-'Setari model'!$B$73*IFERROR(AVERAGE($CW55:$CX55),0))))</x:f>
      </x:c>
      <x:c r="DX55" s="118" t="str">
        <x:f>IF($A55="","",1+'Setari model'!$B$62*MAX(IF(OR($CK55=1,$CL55=1),1,0),IF(AND($CJ55&lt;&gt;"",$CJ55&lt;=1),1,0))+'Setari model'!$B$63*IF(AND($CJ55&gt;1,$CJ55&lt;=3),1,0))</x:f>
      </x:c>
      <x:c r="DY55" s="118" t="str">
        <x:f>IF($A55="","",1+'Setari model'!$B$74*(IF($CY55="",0,IF($CY55=0,1,0))+IF($CZ55="",0,IF($CZ55=0,1,0)))+'Setari model'!$B$75*(IF($DA55="",0,IF($DA55=0,1,0))+IF($DB55="",0,IF($DB55=0,1,0))))</x:f>
      </x:c>
      <x:c r="DZ55" s="117" t="str">
        <x:f>IF($A55="","",MIN(0.6,MAX(0.002,(((1-'Setari model'!$B$34*MIN(1,($I55+$P55)/20))*$BT55+'Setari model'!$B$34*MIN(1,($I55+$P55)/20)*IF(COUNT($N55,$U55)=2,SQRT(MAX(0,1-$N55)*MAX(0,1-$U55)),$BT55))*(1-'Setari model'!$B$65*MIN(1,IF($AN55="",0,$AN55/'Setari model'!$B$64)))+'Setari model'!$B$65*MIN(1,IF($AN55="",0,$AN55/'Setari model'!$B$64))*IF($AM55="",$BT55,$AM55))*$DX55*$DY55/$DW55)))</x:f>
      </x:c>
      <x:c r="EA55" s="117" t="str">
        <x:f>IF($A55="","",MIN(1-$DZ55,IF(OR(MIN($I55,$P55)&lt;'Setari model'!$B$58,$CK55=1,$CL55=1,AND($CJ55&lt;&gt;"",$CJ55&lt;=1)),'Setari model'!$B$59,IF(AND($AU55=1,$AR55&gt;1,COUNT($CY55:$DB55)=4),'Setari model'!$B$61,'Setari model'!$B$60))))</x:f>
      </x:c>
      <x:c r="EB55" s="115" t="str">
        <x:f t="shared" si="69">IF($A55="","",1/$EA55)</x:f>
      </x:c>
      <x:c r="EC55" s="117" t="str">
        <x:f t="shared" si="70">IF($A55="","",IF($AR55&gt;1,IF($AS55&gt;1,(1/$AR55)/((1/$AR55)+(1/$AS55)),1/$AR55),""))</x:f>
      </x:c>
      <x:c r="ED55" s="117" t="str">
        <x:f t="shared" si="71">IF($A55="","",IF($EC55="","",$EA55-$EC55))</x:f>
      </x:c>
      <x:c r="EE55" s="117" t="str">
        <x:f t="shared" si="72">""</x:f>
      </x:c>
      <x:c r="EF55" s="119" t="str">
        <x:f>IF($A55="","",MAX(0,MIN(100,$CE55-200*MAX(0,$EG55-'Setari model'!$B$77)-IF($AU55&lt;&gt;1,10,0)-IF(COUNT($CY55:$DB55)&lt;4,4,0))))</x:f>
      </x:c>
      <x:c r="EG55" s="117" t="str">
        <x:f>IF($A55="","",'Setari model'!$B$77+IF(MIN($I55,$P55)&lt;'Setari model'!$B$58,0.03,0)+IF(OR($CK55=1,$CL55=1,AND($CJ55&lt;&gt;"",$CJ55&lt;=1)),0.03,0)+IF($AG55=0,0.02,0)+0.03*(1-MIN(1,COUNT($CM55:$CV55)/10))+0.03*(1-MIN(1,IF($AN55="",0,$AN55/'Setari model'!$B$64)))+IF($AR55&lt;=1,0.02,0))</x:f>
      </x:c>
      <x:c r="EH55" s="113" t="str">
        <x:f>IF($A55="","",IF(OR(MIN($I55,$P55)&lt;'Setari model'!$B$58,$CK55=1,$CL55=1,AND($CJ55&lt;&gt;"",$CJ55&lt;=1)),"92% – early/regim",IF(AND($AU55=1,$AR55&gt;1,COUNT($CY55:$DB55)=4),"94% – confirmat","93% – standard")))</x:f>
      </x:c>
      <x:c r="EI55" s="113" t="str">
        <x:f t="shared" si="73">IF($A55="","",IF(AND($EA55&gt;0.9,$AU55&lt;&gt;1),"WAIT XI – HIGH P",IF(AND($EA55&gt;0.9,COUNT($CY55:$DB55)&lt;4),"WAIT DATE CHEIE – HIGH P",IF($EP55&lt;&gt;"DA","NU – PORTOFOLIU","DA"))))</x:f>
      </x:c>
      <x:c r="EJ55" s="117" t="str">
        <x:f t="shared" si="74">IF($A55="","",IF($DE55&lt;&gt;"Live 20-30","",IF(SUM($DG55:$DH55)&gt;0,1,IF($EU55="","",1-MIN(0.95,MAX(0.001,EXP(-$EU55)*$DX55*$DY55/$DW55))))))</x:f>
      </x:c>
      <x:c r="EK55" s="117" t="str">
        <x:f t="shared" si="75">""</x:f>
      </x:c>
      <x:c r="EL55" s="113" t="str">
        <x:f>IF($A55="","",IF($DE55="Live 20-30",IF(SUM($DG55:$DH55)&gt;0,"EVENIMENT ÎNDEPLINIT",IF(OR($DF55="",COUNT($DI55:$DN55)&lt;4),"LIVE – WATCH",IF($EJ55&gt;=0.75,"LIVE – FEZABIL TEHNIC","LIVE – NO BET"))),IF($EI55&lt;&gt;"DA","WATCH / NO BET",IF(AND($EA55&gt;=INDEX('Setari model'!$B$35:$B$40,1),$EF55&gt;=100*'Setari model'!$B$76),"PARIU RECOMANDAT",IF(AND($EA55&gt;=INDEX('Setari model'!$B$35:$B$40,5),$EF55&gt;=100*'Setari model'!$B$40),"WATCH – APROAPE DE PRAG","PARIU EVITAT")))))</x:f>
      </x:c>
      <x:c r="EM55" s="113" t="str">
        <x:f t="shared" si="76">IF($A55="","",IF($DE55="Live 20-30",IF(SUM($DG55:$DH55)&gt;0,"Gol deja marcat.",IF($DF55="","Minut live lipsă.",IF(COUNT($DI55:$DN55)&lt;4,"Lipsesc xG/SOT/big chances live.",IF($EJ55&lt;0.75,"P live sub prag.","Semnal live tehnic complet; EV ignorat.")))),IF($EI55&lt;&gt;"DA",$EI55,IF($EF55&lt;75,"Confidence sub 75.",IF($EA55&lt;0.92,"P sub 92%.","G0/Zero-Mass + confidence trecute; EV ignorat.")))))</x:f>
      </x:c>
      <x:c r="EN55" s="117" t="str">
        <x:f>IF($A55="","",IF(OR($EL55="PARIU RECOMANDAT",$EL55="LIVE – FEZABIL"),MIN(IF($DU55&gt;0,$DU55,'Setari model'!$B$81)/MAX(1,$DR55),IF($DV55&gt;0,$DV55,'Setari model'!$B$80)*MAX(0,((IF($DE55="Live 20-30",$EJ55,$EA55)*IF($DE55="Live 20-30",$DQ55,$AR55)-1)/(IF($DE55="Live 20-30",$DQ55,$AR55)-1)))),0))</x:f>
      </x:c>
      <x:c r="EO55" s="121" t="str">
        <x:f t="shared" si="77">IF($A55="","",IF(AND($EN55&gt;0,$DT55&gt;0),$EN55*$DT55,""))</x:f>
      </x:c>
      <x:c r="EP55" s="113" t="str">
        <x:f>IF($A55="","",IF(OR($DR55&lt;1,$DR55&gt;'Setari model'!$B$78),"NU – 1–5 selecții",IF($DS55&gt;'Setari model'!$B$79,"NU – corelație", "DA")))</x:f>
      </x:c>
      <x:c r="EQ55" s="117" t="str">
        <x:f t="shared" si="78">IF($A55="","",IF(AND($DC55&gt;1,$DD55&gt;1),$DC55/$DD55-1,""))</x:f>
      </x:c>
      <x:c r="ER55" s="113" t="str">
        <x:f t="shared" si="79">IF($A55="","","P v2="&amp;TEXT($EA55,"0.0%")&amp;" ±"&amp;TEXT($EG55,"0.0%")&amp;"; P0 ZIP="&amp;TEXT($DZ55,"0.0%")&amp;"; Confidence="&amp;TEXT($EF55,"0")&amp;"/100; piață reală="&amp;IF($EC55="","NU","DA")&amp;"; EV="&amp;IF($EE55="","n/a",TEXT($EE55,"0.0%"))&amp;"; gate="&amp;$EI55&amp;"; verdict="&amp;$EL55&amp;". "&amp;$EM55)</x:f>
      </x:c>
      <x:c r="ES55" s="119" t="str">
        <x:f>IF($A55="","",'Setari model'!$B$82)</x:f>
      </x:c>
      <x:c r="ET55" s="118" t="str">
        <x:f>IF($A55="","",'Setari model'!$B$83)</x:f>
      </x:c>
      <x:c r="EU55" s="115" t="str">
        <x:f t="shared" si="80">IF(OR($A55="",$DE55&lt;&gt;"Live 20-30",$DF55="",$DF55&lt;$ES55,$DF55&gt;=90),"",MAX(0.05,MIN($BS55*$ET55,$BS55*(90-$DF55)/90+0.35*($DI55+$DJ55)+0.06*($DK55+$DL55)+0.15*($DM55+$DN55)+0.1*(MAX($DO55,$DP55)-MIN($DO55,$DP55)))))</x:f>
      </x:c>
      <x:c r="EV55" s="132"/>
      <x:c r="EW55" s="132"/>
      <x:c r="EX55" s="132"/>
      <x:c r="EY55" s="132"/>
      <x:c r="EZ55" s="132"/>
      <x:c r="FA55" s="132"/>
      <x:c r="FB55" s="247"/>
      <x:c r="FC55" s="134" t="str">
        <x:f t="shared" si="81">IF($A55="","",IF(OR($J55="",$L55="",$L55&lt;=0),"",MAX(0.5,MIN(1.5,$J55/$L55))))</x:f>
      </x:c>
      <x:c r="FD55" s="134" t="str">
        <x:f t="shared" si="82">IF($A55="","",IF(OR($Q55="",$S55="",$S55&lt;=0),"",MAX(0.5,MIN(1.5,$Q55/$S55))))</x:f>
      </x:c>
      <x:c r="FE55" s="134" t="str">
        <x:f>IF($A55="","",IF(COUNT($EV55:$EW55)&lt;2,"",SQRT($EV55*$EW55)/'Setari model'!$B$87))</x:f>
      </x:c>
      <x:c r="FF55" s="134" t="str">
        <x:f>IF($A55="","",IF(COUNT($O55,$V55,$EX55,$EY55)&lt;4,"",AVERAGE(SQRT($O55*$EY55),SQRT($V55*$EX55))/'Setari model'!$B$88))</x:f>
      </x:c>
      <x:c r="FG55" s="134" t="str">
        <x:f t="shared" si="83">IF($A55="","",IF(COUNT($FC55:$FD55)&lt;2,"",MAX(0,1-AVERAGE($FC55:$FD55))))</x:f>
      </x:c>
      <x:c r="FH55" s="134" t="str">
        <x:f>IF($A55="","",IF(COUNT($EZ55:$FA55)&lt;2,"",'Setari model'!$B$94*AVERAGE($EZ55:$FA55)/'Setari model'!$B$89))</x:f>
      </x:c>
      <x:c r="FI55" s="134" t="str">
        <x:f>IF($A55="","",IF(COUNT($FE55:$FH55)&lt;4,"",MAX('Setari model'!$B$97,MIN('Setari model'!$B$98,1+'Setari model'!$B$90*($FE55-1)+'Setari model'!$B$91*($FF55-1)+'Setari model'!$B$92*$FG55+'Setari model'!$B$93*($FH55-1)))))</x:f>
      </x:c>
      <x:c r="FJ55" s="133" t="str">
        <x:f>IF($A55="","",IF($FI55="","",MIN('Setari model'!$B$101,MAX(0.002,$DZ55*$FI55))))</x:f>
      </x:c>
      <x:c r="FK55" s="131" t="str">
        <x:f t="shared" si="84">IF($A55="","",IF(AND(COUNT($EV55:$FA55)=6,COUNT($O55,$V55,$FC55,$FD55)=4),"DA","NU"))</x:f>
      </x:c>
      <x:c r="FL55" s="131" t="str">
        <x:f>IF($A55="","",IF($FK55&lt;&gt;"DA","NEDETERMINAT",IF($FI55&lt;='Setari model'!$B$99,"SCĂZUT",IF($FI55&lt;='Setari model'!$B$100,"MEDIU","RIDICAT"))))</x:f>
      </x:c>
      <x:c r="FM55" s="131" t="str">
        <x:f>IF($A55="","",IF(AND($AR55&gt;1,$EC55&gt;='Setari model'!$B$106),"DA","NU"))</x:f>
      </x:c>
      <x:c r="FN55" s="131" t="str">
        <x:f t="shared" si="85">IF($A55="","",IF(AND($AU55=1,COUNT($CY55:$DB55)=4),"DA","NU"))</x:f>
      </x:c>
      <x:c r="FO55" s="133" t="str">
        <x:f>IF($A55="","",IF(OR($FK55&lt;&gt;"DA",$FL55="RIDICAT"),'Setari model'!$B$102,IF($FL55="MEDIU",'Setari model'!$B$103,IF(AND($FM55="DA",$FN55="DA"),'Setari model'!$B$105,'Setari model'!$B$104))))</x:f>
      </x:c>
      <x:c r="FP55" s="133" t="str">
        <x:f t="shared" si="86">IF($A55="","",IF($FJ55="","",MIN(1-$FJ55,$FO55)))</x:f>
      </x:c>
      <x:c r="FQ55" s="135" t="str">
        <x:f t="shared" si="87">IF($A55="","",IF($FP55="","",IF($FP55&gt;0,1/$FP55,"")))</x:f>
      </x:c>
      <x:c r="FR55" s="133" t="str">
        <x:f t="shared" si="88">IF($A55="","",IF($EC55="","",$FP55-$EC55))</x:f>
      </x:c>
      <x:c r="FS55" s="133" t="str">
        <x:f t="shared" si="89">IF($A55="","",IF($AR55&gt;1,$FP55*$AR55-1,""))</x:f>
      </x:c>
      <x:c r="FT55" s="136" t="str">
        <x:f>IF($A55="","",MAX(0,MIN(100,$EF55-IF($FK55&lt;&gt;"DA",'Setari model'!$B$107,0)-IF($FL55="MEDIU",'Setari model'!$B$108,0)-IF($FL55="RIDICAT",'Setari model'!$B$109,0))))</x:f>
      </x:c>
      <x:c r="FU55" s="131" t="str">
        <x:f t="shared" si="90">IF($A55="","",IF($AR55&lt;=1,"NU – LIPSEȘTE COTA REALĂ",IF($FK55&lt;&gt;"DA","NU – ZERO-RISK INCOMPLET",IF($FL55&lt;&gt;"SCĂZUT","NU – RISC 0-0 "&amp;$FL55,IF($FN55&lt;&gt;"DA","NU – LINEUP NECONFIRMAT",IF($FM55&lt;&gt;"DA","NU – PIAȚĂ NECONFIRMATĂ",IF($EP55&lt;&gt;"DA","NU – PORTOFOLIU","DA")))))))</x:f>
      </x:c>
      <x:c r="FV55" s="131" t="str">
        <x:f>IF($A55="","",IF($FU55&lt;&gt;"DA","WATCH / NO BET",IF(AND($FP55&gt;='Setari model'!$B$35,$FT55&gt;=100*'Setari model'!$B$76,$FS55&gt;0),"PARIU RECOMANDAT",IF(AND($FP55&gt;='Setari model'!$B$39,$FT55&gt;=100*'Setari model'!$B$40,$FS55&gt;0),"WATCH – APROAPE DE PRAG","PARIU EVITAT"))))</x:f>
      </x:c>
      <x:c r="FW55" s="131" t="str">
        <x:f t="shared" si="91">IF($A55="","",IF($FU55&lt;&gt;"DA",$FU55,IF($FT55&lt;75,"Confidence v3 sub 75.",IF($FP55&lt;0.92,"P v3 sub 92%.",IF($FS55&lt;=0,"EV v3 nepozitiv.","P0 v3, lineup și piață confirmate.")))))</x:f>
      </x:c>
      <x:c r="FX55" s="131" t="str">
        <x:f t="shared" si="92">IF($A55="","","P v3="&amp;TEXT($FP55,"0.0%")&amp;"; P0 v3="&amp;TEXT($FJ55,"0.0%")&amp;"; factor zero="&amp;IF($FI55="","n/a",TEXT($FI55,"0.00x"))&amp;" ("&amp;$FL55&amp;"); cap="&amp;TEXT($FO55,"0.0%")&amp;"; Confidence="&amp;TEXT($FT55,"0")&amp;"/100; lineup="&amp;$FN55&amp;"; piață="&amp;$FM55&amp;"; EV="&amp;IF($FS55="","n/a",TEXT($FS55,"0.0%"))&amp;"; gate="&amp;$FU55&amp;"; verdict="&amp;$FV55&amp;". "&amp;$FW55)</x:f>
      </x:c>
      <x:c r="FY55" s="159"/>
      <x:c r="FZ55" s="159"/>
      <x:c r="GA55" s="157"/>
      <x:c r="GB55" s="157"/>
      <x:c r="GC55" s="161" t="str">
        <x:f t="shared" si="93">IF($A55="","",IF(OR($X55="",$Z55="",$Z55&lt;=0),"",MAX(0.5,MIN(1.5,$X55/$Z55))))</x:f>
      </x:c>
      <x:c r="GD55" s="161" t="str">
        <x:f t="shared" si="94">IF($A55="","",IF(OR($AC55="",$AE55="",$AE55&lt;=0),"",MAX(0.5,MIN(1.5,$AC55/$AE55))))</x:f>
      </x:c>
      <x:c r="GE55" s="162" t="str">
        <x:f t="shared" si="95">IF($A55="","",IF(COUNT($Z55,$AE55)&lt;2,"",AVERAGE($Z55,$AE55)))</x:f>
      </x:c>
      <x:c r="GF55" s="158" t="str">
        <x:f>IF($A55="","",IF(COUNT($FY55:$FZ55)&lt;2,"NEDETERMINAT",IF(AND($FY55&gt;='Setari model'!$B$113,$FZ55&gt;='Setari model'!$B$113),"DA","NU")))</x:f>
      </x:c>
      <x:c r="GG55" s="158" t="str">
        <x:f>IF($A55="","",IF(COUNT($FY55:$FZ55,$EX55:$EY55)&lt;4,"NEDETERMINAT",IF(OR(AND($FY55&gt;='Setari model'!$B$113,$EY55&gt;='Setari model'!$B$114),AND($FZ55&gt;='Setari model'!$B$113,$EX55&gt;='Setari model'!$B$114)),"DA","NU")))</x:f>
      </x:c>
      <x:c r="GH55" s="158" t="str">
        <x:f>IF($A55="","",IF(COUNT($BJ55:$BN55,$GC55:$GE55)&lt;8,"NEDETERMINAT",IF(AND((($BJ55*INDEX('Setari model'!$B$5:$B$11,MATCH($E55,'Setari model'!$A$5:$A$11,0))+$BK55*INDEX('Setari model'!$C$5:$C$11,MATCH($E55,'Setari model'!$A$5:$A$11,0))+$BL55*INDEX('Setari model'!$D$5:$D$11,MATCH($E55,'Setari model'!$A$5:$A$11,0))+$BM55*INDEX('Setari model'!$E$5:$E$11,MATCH($E55,'Setari model'!$A$5:$A$11,0))+$BN55*INDEX('Setari model'!$F$5:$F$11,MATCH($E55,'Setari model'!$A$5:$A$11,0)))/(INDEX('Setari model'!$B$5:$B$11,MATCH($E55,'Setari model'!$A$5:$A$11,0))+INDEX('Setari model'!$C$5:$C$11,MATCH($E55,'Setari model'!$A$5:$A$11,0))+INDEX('Setari model'!$D$5:$D$11,MATCH($E55,'Setari model'!$A$5:$A$11,0))+INDEX('Setari model'!$E$5:$E$11,MATCH($E55,'Setari model'!$A$5:$A$11,0))+INDEX('Setari model'!$F$5:$F$11,MATCH($E55,'Setari model'!$A$5:$A$11,0))))*$BR55&gt;='Setari model'!$B$115,(($BJ55*INDEX('Setari model'!$B$5:$B$11,MATCH($E55,'Setari model'!$A$5:$A$11,0))+$BK55*INDEX('Setari model'!$C$5:$C$11,MATCH($E55,'Setari model'!$A$5:$A$11,0))+$BL55*INDEX('Setari model'!$D$5:$D$11,MATCH($E55,'Setari model'!$A$5:$A$11,0))+$BM55*INDEX('Setari model'!$E$5:$E$11,MATCH($E55,'Setari model'!$A$5:$A$11,0))+$BN55*INDEX('Setari model'!$F$5:$F$11,MATCH($E55,'Setari model'!$A$5:$A$11,0)))/(INDEX('Setari model'!$B$5:$B$11,MATCH($E55,'Setari model'!$A$5:$A$11,0))+INDEX('Setari model'!$C$5:$C$11,MATCH($E55,'Setari model'!$A$5:$A$11,0))+INDEX('Setari model'!$D$5:$D$11,MATCH($E55,'Setari model'!$A$5:$A$11,0))+INDEX('Setari model'!$E$5:$E$11,MATCH($E55,'Setari model'!$A$5:$A$11,0))+INDEX('Setari model'!$F$5:$F$11,MATCH($E55,'Setari model'!$A$5:$A$11,0))))*$BR55&lt;='Setari model'!$B$116,AVERAGE($GC55:$GD55)&lt;='Setari model'!$B$117,$GE55&gt;='Setari model'!$B$118),"DA","NU")))</x:f>
      </x:c>
      <x:c r="GI55" s="158" t="str">
        <x:f>IF($A55="","",IF(COUNT($W55,$AB55,$GA55:$GB55)&lt;4,"NEDETERMINAT",IF(AND($W55&gt;='Setari model'!$B$120,$AB55&gt;='Setari model'!$B$120,OR(IFERROR($GA55/$W55,0)&gt;='Setari model'!$B$119,IFERROR($GB55/$AB55,0)&gt;='Setari model'!$B$119)),"DA","NU")))</x:f>
      </x:c>
      <x:c r="GJ55" s="160" t="str">
        <x:f>IF($A55="","",IF(COUNT($FY55:$GB55)&lt;4,"",IF($GH55&lt;&gt;"DA",0,'Setari model'!$B$121*IF($GF55="DA",1,0)+'Setari model'!$B$122*IF($GG55="DA",1,0)+'Setari model'!$B$123+'Setari model'!$B$124*IF($GI55="DA",1,0))))</x:f>
      </x:c>
      <x:c r="GK55" s="161" t="str">
        <x:f>IF($A55="","",IF(COUNT($GJ55)=0,"",1+'Setari model'!$B$125*$GJ55))</x:f>
      </x:c>
      <x:c r="GL55" s="160" t="str">
        <x:f>IF($A55="","",IF($GM55&lt;&gt;"DA",$FJ55,MIN('Setari model'!$B$101,MAX(0.002,$FJ55*$GK55))))</x:f>
      </x:c>
      <x:c r="GM55" s="158" t="str">
        <x:f>IF($A55="","",IF(AND($FK55="DA",COUNT($FY55:$GB55)=4,COUNT($I55,$P55,$W55,$AB55,$Z55,$AE55,$EX55,$EY55,$GC55,$GD55)=10,COUNT($BJ55:$BN55)=5),"DA","NU"))</x:f>
      </x:c>
      <x:c r="GN55" s="158" t="str">
        <x:f>IF($A55="","",IF($GM55&lt;&gt;"DA","NEDETERMINAT",IF($FI55*$GK55&lt;='Setari model'!$B$99,"SCĂZUT",IF($FI55*$GK55&lt;='Setari model'!$B$100,"MEDIU","RIDICAT"))))</x:f>
      </x:c>
      <x:c r="GO55" s="160" t="str">
        <x:f>IF($A55="","",IF(OR($GM55&lt;&gt;"DA",$GN55="RIDICAT"),'Setari model'!$B$102,IF($GN55="MEDIU",'Setari model'!$B$103,IF(AND($FM55="DA",$FN55="DA"),'Setari model'!$B$105,'Setari model'!$B$104))))</x:f>
      </x:c>
      <x:c r="GP55" s="160" t="str">
        <x:f t="shared" si="96">IF($A55="","",IF($GL55="","",MIN(1-$GL55,$GO55)))</x:f>
      </x:c>
      <x:c r="GQ55" s="162" t="str">
        <x:f t="shared" si="97">IF($A55="","",IF($GP55="","",IF($GP55&gt;0,1/$GP55,"")))</x:f>
      </x:c>
      <x:c r="GR55" s="160" t="str">
        <x:f t="shared" si="98">IF($A55="","",IF($EC55="","",$GP55-$EC55))</x:f>
      </x:c>
      <x:c r="GS55" s="160" t="str">
        <x:f t="shared" si="99">IF($A55="","",IF($AR55&gt;1,$GP55*$AR55-1,""))</x:f>
      </x:c>
      <x:c r="GT55" s="163" t="str">
        <x:f>IF($A55="","",MAX(0,MIN(100,$FT55-IF(AND($GM55&lt;&gt;"DA",$FK55="DA"),'Setari model'!$B$107,0)-'Setari model'!$B$126*IF($GJ55="",0,$GJ55))))</x:f>
      </x:c>
      <x:c r="GU55" s="158" t="str">
        <x:f t="shared" si="100">IF($A55="","",IF($AR55&lt;=1,"NU – LIPSEȘTE COTA REALĂ",IF($GM55&lt;&gt;"DA","NU – DATE LOW-CONVERSION INCOMPLETE",IF($GN55&lt;&gt;"SCĂZUT","NU – RISC 0-0 "&amp;$GN55,IF($FN55&lt;&gt;"DA","NU – LINEUP NECONFIRMAT",IF($FM55&lt;&gt;"DA","NU – PIAȚĂ NECONFIRMATĂ",IF($EP55&lt;&gt;"DA","NU – PORTOFOLIU","DA")))))))</x:f>
      </x:c>
      <x:c r="GV55" s="158" t="str">
        <x:f>IF($A55="","",IF($GU55&lt;&gt;"DA","WATCH / NO BET",IF(AND($GP55&gt;='Setari model'!$B$35,$GT55&gt;=100*'Setari model'!$B$76,$GS55&gt;0),"PARIU RECOMANDAT",IF(AND($GP55&gt;='Setari model'!$B$39,$GT55&gt;=100*'Setari model'!$B$40,$GS55&gt;0),"WATCH – APROAPE DE PRAG","PARIU EVITAT"))))</x:f>
      </x:c>
      <x:c r="GW55" s="158" t="str">
        <x:f t="shared" si="101">IF($A55="","",IF($GU55&lt;&gt;"DA",$GU55,IF($GT55&lt;75,"Confidence v5 sub 75.",IF($GP55&lt;0.92,"P v5 sub 92%.",IF($GS55&lt;=0,"EV v5 nepozitiv.",IF($GJ55&gt;0,"Low-conversion absorbit în P0; toate porțile rămân trecute.","Toate porțile v5 sunt trecute."))))))</x:f>
      </x:c>
      <x:c r="GX55" s="158" t="str">
        <x:f t="shared" si="102">IF($A55="","","P v5="&amp;TEXT($GP55,"0.0%")&amp;"; P0 v5="&amp;TEXT($GL55,"0.0%")&amp;"; low-conv="&amp;IF(COUNT($GJ55)=0,"n/a",TEXT($GJ55,"0%"))&amp;"; mult.P0="&amp;IF(COUNT($GK55)=0,"n/a",TEXT($GK55,"0.00"))&amp;"; clasă="&amp;$GN55&amp;"; cap="&amp;TEXT($GO55,"0.0%")&amp;"; Confidence="&amp;TEXT($GT55,"0")&amp;"/100; lineup="&amp;$FN55&amp;"; piață="&amp;$FM55&amp;"; EV="&amp;IF($GS55="","n/a",TEXT($GS55,"0.0%"))&amp;"; gate="&amp;$GU55&amp;"; verdict="&amp;$GV55&amp;". "&amp;$GW55)</x:f>
      </x:c>
      <x:c r="GY55" s="174" t="str">
        <x:f>IF($A55="","",IF($GM55&lt;&gt;"DA","SOURCING INCOMPLETE – REVIEW REQUIRED",IF(MIN($I55,$P55,$W55,$AB55)&lt;'Setari model'!$B$58,"SMALL SAMPLE + PRIOR / SHRINKAGE","VERIFIED / PRIOR / SHRINKAGE")))</x:f>
      </x:c>
      <x:c r="GZ55" s="175" t="str">
        <x:f t="shared" si="103">IF($A55="","",MAX(0,MIN(100,100*(1-AVERAGE(IF($GM55="DA",1,0),MIN(1,$AT55/5))))))</x:f>
      </x:c>
      <x:c r="HA55" s="175" t="str">
        <x:f>IF($A55="","",IF($GM55&lt;&gt;"DA","",MAX(0,MIN(100,100*(($FI55*$GK55)-'Setari model'!$B$97)/('Setari model'!$B$98-'Setari model'!$B$97)))))</x:f>
      </x:c>
      <x:c r="HB55" s="175" t="str">
        <x:f>IF($A55="","",MAX(0,MIN(100,100*(ABS($BR55-1)/MAX(1-'Setari model'!$B$53,'Setari model'!$B$54-1)+MIN(1,$BG55/2))/2)))</x:f>
      </x:c>
      <x:c r="HC55" s="175" t="str">
        <x:f t="shared" si="104">IF($A55="","",MAX(0,MIN(100,100*(1-AVERAGE($CC55,MAX(0,1-(MAX($BJ55:$BN55)-MIN($BJ55:$BN55))/(AVERAGE($BJ55:$BN55)*'Setari model'!$B$45)))))))</x:f>
      </x:c>
      <x:c r="HD55" s="175" t="str">
        <x:f t="shared" si="105">IF($A55="","",MAX(0,MIN(100,100*MAX(IF($GJ55="",0,$GJ55),MIN(1,$BG55/2)))))</x:f>
      </x:c>
      <x:c r="HE55" s="175" t="str">
        <x:f>IF($A55="","",IF(COUNT($GZ55:$HD55)&lt;5,"",$GZ55*Risk_Classification!$E$28+$HA55*Risk_Classification!$E$29+$HB55*Risk_Classification!$E$30+$HC55*Risk_Classification!$E$31+$HD55*Risk_Classification!$E$32))</x:f>
      </x:c>
      <x:c r="HF55" s="176" t="str">
        <x:f t="shared" si="106">IF($A55="","",IF($HE55="","",IF($HE55&lt;=20,1,IF($HE55&lt;=40,2,IF($HE55&lt;=60,3,IF($HE55&lt;=80,4,5))))))</x:f>
      </x:c>
      <x:c r="HG55" s="176" t="str">
        <x:f t="shared" si="107">IF($A55="","",IF($GM55="DA","PASS","FAIL – DATE CRITICE ZERO-MASS INCOMPLETE"))</x:f>
      </x:c>
      <x:c r="HH55" s="176" t="str">
        <x:f t="shared" si="108">IF($A55="","",IF($HG55&lt;&gt;"PASS",5,$HF55))</x:f>
      </x:c>
      <x:c r="HI55" s="174" t="str">
        <x:f t="shared" si="109">IF($A55="","",IF($HH55="","N/A",IF($HH55=1,"DEFENSIV",IF($HH55=2,"PRUDENT",IF($HH55=3,"MODERAT",IF($HH55=4,"RIDICAT","WATCH / NO BET"))))))</x:f>
      </x:c>
      <x:c r="HJ55" s="177" t="str">
        <x:f t="shared" si="110">IF($A55="","","Data="&amp;$GY55&amp;"; DQ="&amp;TEXT($GZ55,"0.0")&amp;"; ZM="&amp;IF($HA55="","n/a",TEXT($HA55,"0.0"))&amp;"; Context="&amp;TEXT($HB55,"0.0")&amp;"; Uncertainty="&amp;TEXT($HC55,"0.0")&amp;"; Compound="&amp;TEXT($HD55,"0.0")&amp;"; Risk Score="&amp;IF($HE55="","n/a",TEXT($HE55,"0.0"))&amp;"; Base="&amp;IF($HF55="","n/a",$HF55)&amp;"; G0="&amp;$HG55&amp;"; Final="&amp;$HH55&amp;". Cota, EV si lineup sunt informative si nu intra in recomandare.")</x:f>
      </x:c>
      <x:c r="HK55" s="174" t="str">
        <x:f t="shared" si="111">IF($A55="","",$HI55)</x:f>
      </x:c>
    </x:row>
    <x:row r="56" ht="24" customHeight="1">
      <x:c r="A56" s="58"/>
      <x:c r="B56" s="24"/>
      <x:c r="C56" s="59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18"/>
      <x:c r="O56" s="18"/>
      <x:c r="P56" s="24"/>
      <x:c r="Q56" s="24"/>
      <x:c r="R56" s="24"/>
      <x:c r="S56" s="24"/>
      <x:c r="T56" s="24"/>
      <x:c r="U56" s="18"/>
      <x:c r="V56" s="18"/>
      <x:c r="W56" s="24"/>
      <x:c r="X56" s="24"/>
      <x:c r="Y56" s="24"/>
      <x:c r="Z56" s="24"/>
      <x:c r="AA56" s="24"/>
      <x:c r="AB56" s="24"/>
      <x:c r="AC56" s="24"/>
      <x:c r="AD56" s="24"/>
      <x:c r="AE56" s="24"/>
      <x:c r="AF56" s="24"/>
      <x:c r="AG56" s="24"/>
      <x:c r="AH56" s="24"/>
      <x:c r="AI56" s="18"/>
      <x:c r="AJ56" s="24"/>
      <x:c r="AK56" s="24"/>
      <x:c r="AL56" s="24"/>
      <x:c r="AM56" s="18"/>
      <x:c r="AN56" s="24"/>
      <x:c r="AO56" s="60"/>
      <x:c r="AP56" s="60"/>
      <x:c r="AQ56" s="60"/>
      <x:c r="AR56" s="60"/>
      <x:c r="AS56" s="60"/>
      <x:c r="AT56" s="24"/>
      <x:c r="AU56" s="24"/>
      <x:c r="AV56" s="24"/>
      <x:c r="AW56" s="24"/>
      <x:c r="AX56" s="24"/>
      <x:c r="AY56" s="24"/>
      <x:c r="AZ56" s="24"/>
      <x:c r="BA56" s="24"/>
      <x:c r="BB56" s="24"/>
      <x:c r="BC56" s="24"/>
      <x:c r="BD56" s="24"/>
      <x:c r="BE56" s="24"/>
      <x:c r="BF56" s="24"/>
      <x:c r="BG56" s="24"/>
      <x:c r="BH56" s="61"/>
      <x:c r="BI56" s="61"/>
      <x:c r="BJ56" s="62" t="str">
        <x:f>IF($A56="","",SQRT((($I56*IF($J56="",$AJ56,$J56)+'Setari model'!$B$30*$AJ56)/($I56+'Setari model'!$B$30))*(($P56*IF($R56="",$AJ56,$R56)+'Setari model'!$B$30*$AJ56)/($P56+'Setari model'!$B$30)))+SQRT((($P56*IF($Q56="",$AK56,$Q56)+'Setari model'!$B$30*$AK56)/($P56+'Setari model'!$B$30))*(($I56*IF($K56="",$AK56,$K56)+'Setari model'!$B$30*$AK56)/($I56+'Setari model'!$B$30))))</x:f>
      </x:c>
      <x:c r="BK56" s="62" t="str">
        <x:f>IF($A56="","",SQRT((($I56*IF($L56="",IF($J56="",$AJ56,$J56),$L56)+'Setari model'!$B$30*$AJ56)/($I56+'Setari model'!$B$30))*(($P56*IF($T56="",IF($R56="",$AJ56,$R56),$T56)+'Setari model'!$B$30*$AJ56)/($P56+'Setari model'!$B$30)))+SQRT((($P56*IF($S56="",IF($Q56="",$AK56,$Q56),$S56)+'Setari model'!$B$30*$AK56)/($P56+'Setari model'!$B$30))*(($I56*IF($M56="",IF($K56="",$AK56,$K56),$M56)+'Setari model'!$B$30*$AK56)/($I56+'Setari model'!$B$30))))</x:f>
      </x:c>
      <x:c r="BL56" s="62" t="str">
        <x:f>IF($A56="","",SQRT((($W56*IF($X56="",$AL56/2,$X56)+'Setari model'!$B$31*$AL56/2)/($W56+'Setari model'!$B$31))*(($AB56*IF($AD56="",$AL56/2,$AD56)+'Setari model'!$B$31*$AL56/2)/($AB56+'Setari model'!$B$31)))+SQRT((($AB56*IF($AC56="",$AL56/2,$AC56)+'Setari model'!$B$31*$AL56/2)/($AB56+'Setari model'!$B$31))*(($W56*IF($Y56="",$AL56/2,$Y56)+'Setari model'!$B$31*$AL56/2)/($W56+'Setari model'!$B$31))))</x:f>
      </x:c>
      <x:c r="BM56" s="62" t="str">
        <x:f>IF($A56="","",SQRT((($W56*IF($Z56="",IF($X56="",$AL56/2,$X56),$Z56)+'Setari model'!$B$31*$AL56/2)/($W56+'Setari model'!$B$31))*(($AB56*IF($AF56="",IF($AD56="",$AL56/2,$AD56),$AF56)+'Setari model'!$B$31*$AL56/2)/($AB56+'Setari model'!$B$31)))+SQRT((($AB56*IF($AE56="",IF($AC56="",$AL56/2,$AC56),$AE56)+'Setari model'!$B$31*$AL56/2)/($AB56+'Setari model'!$B$31))*(($W56*IF($AA56="",IF($Y56="",$AL56/2,$Y56),$AA56)+'Setari model'!$B$31*$AL56/2)/($W56+'Setari model'!$B$31))))</x:f>
      </x:c>
      <x:c r="BN56" s="62" t="str">
        <x:f t="shared" si="56">IF($A56="","",IF($AG56&gt;0,($AG56*IF($AH56="",$AL56,$AH56)+5*$AL56)/($AG56+5),$AL56))</x:f>
      </x:c>
      <x:c r="BO56" s="63" t="str">
        <x:f>IF($A56="","",IF($AR56&gt;1,IF($AS56&gt;1,(1/$AR56)/((1/$AR56+1/$AS56)),MIN(0.995,(1/$AR56)/(1+'Setari model'!$B$32))),1-EXP(-$AL56)))</x:f>
      </x:c>
      <x:c r="BP56" s="62" t="str">
        <x:f t="shared" si="57">IF($A56="","",-LN(1-$BO56))</x:f>
      </x:c>
      <x:c r="BQ56" s="62" t="str">
        <x:f>IF($A56="","",$BJ56*INDEX('Setari model'!$B$5:$B$11,MATCH($E56,'Setari model'!$A$5:$A$11,0))+$BK56*INDEX('Setari model'!$C$5:$C$11,MATCH($E56,'Setari model'!$A$5:$A$11,0))+$BL56*INDEX('Setari model'!$D$5:$D$11,MATCH($E56,'Setari model'!$A$5:$A$11,0))+$BM56*INDEX('Setari model'!$E$5:$E$11,MATCH($E56,'Setari model'!$A$5:$A$11,0))+$BN56*INDEX('Setari model'!$F$5:$F$11,MATCH($E56,'Setari model'!$A$5:$A$11,0))+$BP56*INDEX('Setari model'!$G$5:$G$11,MATCH($E56,'Setari model'!$A$5:$A$11,0)))</x:f>
      </x:c>
      <x:c r="BR56" s="64" t="str">
        <x:f>IF($A56="","",MAX('Setari model'!$B$53,MIN('Setari model'!$B$54,1+($AV56*'Setari model'!$B$15+$AW56*'Setari model'!$B$16+$AX56*'Setari model'!$B$17+$AY56*'Setari model'!$B$18+$AZ56*'Setari model'!$B$19+$BA56*'Setari model'!$B$20+$BB56*'Setari model'!$B$21+$BC56*'Setari model'!$B$22+$BD56*'Setari model'!$B$23+$BE56*'Setari model'!$B$24+$BF56*'Setari model'!$B$25)*INDEX('Setari model'!$H$5:$H$11,MATCH($E56,'Setari model'!$A$5:$A$11,0)))))</x:f>
      </x:c>
      <x:c r="BS56" s="62" t="str">
        <x:f t="shared" si="58">IF($A56="","",$BQ56*$BR56)</x:f>
      </x:c>
      <x:c r="BT56" s="63" t="str">
        <x:f t="shared" si="59">IF($A56="","",EXP(-$BS56))</x:f>
      </x:c>
      <x:c r="BU56" s="65" t="str">
        <x:f>IF($A56="","",IF(OR($AM56="",$AN56=""),1,1+MIN('Setari model'!$B$33,$AN56/100*'Setari model'!$B$33)*($AM56/EXP(-$AL56)-1)))</x:f>
      </x:c>
      <x:c r="BV56" s="63" t="str">
        <x:f>IF($A56="","",MIN(0.45,MAX(0.005,(1-'Setari model'!$B$34*MIN(1,($I56+$P56)/20))*MIN(0.45,$BT56*$BU56)+'Setari model'!$B$34*MIN(1,($I56+$P56)/20)*IF(COUNT($N56,$U56)=2,SQRT(MAX(0,1-$N56)*MAX(0,1-$U56)),IF($AM56="",EXP(-$AL56),$AM56)))))</x:f>
      </x:c>
      <x:c r="BW56" s="63" t="str">
        <x:f t="shared" si="60">IF($A56="","",1-$BV56)</x:f>
      </x:c>
      <x:c r="BX56" s="62" t="str">
        <x:f t="shared" si="61">IF($A56="","",1/$BW56)</x:f>
      </x:c>
      <x:c r="BY56" s="63" t="str">
        <x:f t="shared" si="62">IF($A56="","",$BO56)</x:f>
      </x:c>
      <x:c r="BZ56" s="63" t="str">
        <x:f t="shared" si="63">IF($A56="","",$BW56-$BY56)</x:f>
      </x:c>
      <x:c r="CA56" s="63" t="str">
        <x:f t="shared" si="64">IF($A56="","",IF($AR56&gt;1,$BW56*$AR56-1,""))</x:f>
      </x:c>
      <x:c r="CB56" s="63" t="str">
        <x:f>IF($A56="","",MIN(1,COUNT($I56:$AN56,$AR56:$BG56)/'Setari model'!$B$46))</x:f>
      </x:c>
      <x:c r="CC56" s="63" t="str">
        <x:f t="shared" si="65">IF($A56="","",0.25*MIN(1,$I56/10)+0.25*MIN(1,$P56/10)+0.15*MIN(1,$W56/5)+0.15*MIN(1,$AB56/5)+0.1*MIN(1,$AG56/5)+0.1*MIN(1,$AN56/100))</x:f>
      </x:c>
      <x:c r="CD56" s="63" t="str">
        <x:f>IF($A56="","",MAX(0,1-(MAX($BJ56:$BN56,$BP56)-MIN($BJ56:$BN56,$BP56))/(AVERAGE($BJ56:$BN56,$BP56)*'Setari model'!$B$45)))</x:f>
      </x:c>
      <x:c r="CE56" s="66" t="str">
        <x:f>IF($A56="","",MAX(0,MIN(100,100*INDEX('Setari model'!$I$5:$I$11,MATCH($E56,'Setari model'!$A$5:$A$11,0))*('Setari model'!$B$47*$CB56+'Setari model'!$B$48*$CC56+'Setari model'!$B$49*$CD56+'Setari model'!$B$50*$AT56/5+'Setari model'!$B$51*$AU56)-100*'Setari model'!$B$52*$BG56)))</x:f>
      </x:c>
      <x:c r="CF56" s="65" t="str">
        <x:f t="shared" si="66">IF($A56="","",IF(OR($AT56&lt;3,$BG56&gt;=2,$CB56&lt;0.55,$CC56&lt;0.4),"RIDICAT",IF(OR($AU56=0,$CD56&lt;0.45,$BR56&lt;0.9),"MEDIU","SCĂZUT")))</x:f>
      </x:c>
      <x:c r="CG56" s="65" t="str">
        <x:f>IF($A56="","",IF($AR56&gt;1,IF(AND($BW56&gt;= 'Setari model'!$B$35,$CE56&gt;=100*'Setari model'!$B$36,$BZ56&gt;= 'Setari model'!$B$37,$CA56&gt;= 'Setari model'!$B$38,$CF56&lt;&gt;"RIDICAT"),"PARIU RECOMANDAT",IF(AND($BW56&gt;= 'Setari model'!$B$39,$CE56&gt;=100*'Setari model'!$B$40,$BZ56&gt;= 'Setari model'!$B$41,$CA56&gt;=0,$CF56&lt;&gt;"RIDICAT"),"RECOMANDAT CU PRUDENȚĂ",IF(AND($BW56&gt;= 'Setari model'!$B$42,$CE56&gt;=100*'Setari model'!$B$43),"ANALIZĂ NECONCLUDENTĂ","PARIU EVITAT"))),IF(AND($BW56&gt;= 'Setari model'!$B$35,$CE56&gt;=100*'Setari model'!$B$36,$CF56&lt;&gt;"RIDICAT"),"FAVORABIL STATISTIC – VERIFICĂ COTA",IF(AND($BW56&gt;= 'Setari model'!$B$42,$CE56&gt;=100*'Setari model'!$B$43),"ANALIZĂ NECONCLUDENTĂ","PARIU EVITAT"))))</x:f>
      </x:c>
      <x:c r="CH56" s="67" t="str">
        <x:f t="shared" si="67">IF($A56="","","P(O0,5)="&amp;TEXT($BW56,"0.0%")&amp;"; λ ajustat="&amp;TEXT($BS56,"0.00")&amp;"; Confidence="&amp;TEXT($CE56,"0")&amp;"/100; Edge="&amp;TEXT($BZ56,"0.0%")&amp;"; risc="&amp;$CF56&amp;". "&amp;$BH56)</x:f>
      </x:c>
      <x:c r="CI56" s="68" t="str">
        <x:f t="shared" si="68">IF($A56="","",$BI56)</x:f>
      </x:c>
      <x:c r="CJ56" s="112"/>
      <x:c r="CK56" s="112"/>
      <x:c r="CL56" s="112"/>
      <x:c r="CM56" s="112"/>
      <x:c r="CN56" s="112"/>
      <x:c r="CO56" s="112"/>
      <x:c r="CP56" s="112"/>
      <x:c r="CQ56" s="112"/>
      <x:c r="CR56" s="112"/>
      <x:c r="CS56" s="112"/>
      <x:c r="CT56" s="112"/>
      <x:c r="CU56" s="112"/>
      <x:c r="CV56" s="112"/>
      <x:c r="CW56" s="112"/>
      <x:c r="CX56" s="112"/>
      <x:c r="CY56" s="112"/>
      <x:c r="CZ56" s="112"/>
      <x:c r="DA56" s="112"/>
      <x:c r="DB56" s="112"/>
      <x:c r="DC56" s="114"/>
      <x:c r="DD56" s="114"/>
      <x:c r="DE56" s="112" t="s">
        <x:v>266</x:v>
      </x:c>
      <x:c r="DF56" s="112"/>
      <x:c r="DG56" s="112"/>
      <x:c r="DH56" s="112"/>
      <x:c r="DI56" s="112"/>
      <x:c r="DJ56" s="112"/>
      <x:c r="DK56" s="112"/>
      <x:c r="DL56" s="112"/>
      <x:c r="DM56" s="112"/>
      <x:c r="DN56" s="112"/>
      <x:c r="DO56" s="112"/>
      <x:c r="DP56" s="112"/>
      <x:c r="DQ56" s="114"/>
      <x:c r="DR56" s="112">
        <x:v>1</x:v>
      </x:c>
      <x:c r="DS56" s="116">
        <x:v>0</x:v>
      </x:c>
      <x:c r="DT56" s="120"/>
      <x:c r="DU56" s="116">
        <x:v>0.02</x:v>
      </x:c>
      <x:c r="DV56" s="116">
        <x:v>0.25</x:v>
      </x:c>
      <x:c r="DW56" s="118" t="str">
        <x:f>IF($A56="","",MAX('Setari model'!$B$71,MIN('Setari model'!$B$72,1+0.08*(IFERROR(AVERAGE($CM56:$CN56)/'Setari model'!$B$66,1)-1)+0.08*(IFERROR(AVERAGE($CO56:$CP56)/'Setari model'!$B$67,1)-1)+0.06*(IFERROR(AVERAGE($CQ56:$CR56)/'Setari model'!$B$68,1)-1)+0.04*(IFERROR(AVERAGE($CS56:$CT56)/'Setari model'!$B$69,1)-1)+0.04*(IFERROR(AVERAGE($CU56:$CV56)/'Setari model'!$B$70,1)-1)-'Setari model'!$B$73*IFERROR(AVERAGE($CW56:$CX56),0))))</x:f>
      </x:c>
      <x:c r="DX56" s="118" t="str">
        <x:f>IF($A56="","",1+'Setari model'!$B$62*MAX(IF(OR($CK56=1,$CL56=1),1,0),IF(AND($CJ56&lt;&gt;"",$CJ56&lt;=1),1,0))+'Setari model'!$B$63*IF(AND($CJ56&gt;1,$CJ56&lt;=3),1,0))</x:f>
      </x:c>
      <x:c r="DY56" s="118" t="str">
        <x:f>IF($A56="","",1+'Setari model'!$B$74*(IF($CY56="",0,IF($CY56=0,1,0))+IF($CZ56="",0,IF($CZ56=0,1,0)))+'Setari model'!$B$75*(IF($DA56="",0,IF($DA56=0,1,0))+IF($DB56="",0,IF($DB56=0,1,0))))</x:f>
      </x:c>
      <x:c r="DZ56" s="117" t="str">
        <x:f>IF($A56="","",MIN(0.6,MAX(0.002,(((1-'Setari model'!$B$34*MIN(1,($I56+$P56)/20))*$BT56+'Setari model'!$B$34*MIN(1,($I56+$P56)/20)*IF(COUNT($N56,$U56)=2,SQRT(MAX(0,1-$N56)*MAX(0,1-$U56)),$BT56))*(1-'Setari model'!$B$65*MIN(1,IF($AN56="",0,$AN56/'Setari model'!$B$64)))+'Setari model'!$B$65*MIN(1,IF($AN56="",0,$AN56/'Setari model'!$B$64))*IF($AM56="",$BT56,$AM56))*$DX56*$DY56/$DW56)))</x:f>
      </x:c>
      <x:c r="EA56" s="117" t="str">
        <x:f>IF($A56="","",MIN(1-$DZ56,IF(OR(MIN($I56,$P56)&lt;'Setari model'!$B$58,$CK56=1,$CL56=1,AND($CJ56&lt;&gt;"",$CJ56&lt;=1)),'Setari model'!$B$59,IF(AND($AU56=1,$AR56&gt;1,COUNT($CY56:$DB56)=4),'Setari model'!$B$61,'Setari model'!$B$60))))</x:f>
      </x:c>
      <x:c r="EB56" s="115" t="str">
        <x:f t="shared" si="69">IF($A56="","",1/$EA56)</x:f>
      </x:c>
      <x:c r="EC56" s="117" t="str">
        <x:f t="shared" si="70">IF($A56="","",IF($AR56&gt;1,IF($AS56&gt;1,(1/$AR56)/((1/$AR56)+(1/$AS56)),1/$AR56),""))</x:f>
      </x:c>
      <x:c r="ED56" s="117" t="str">
        <x:f t="shared" si="71">IF($A56="","",IF($EC56="","",$EA56-$EC56))</x:f>
      </x:c>
      <x:c r="EE56" s="117" t="str">
        <x:f t="shared" si="72">""</x:f>
      </x:c>
      <x:c r="EF56" s="119" t="str">
        <x:f>IF($A56="","",MAX(0,MIN(100,$CE56-200*MAX(0,$EG56-'Setari model'!$B$77)-IF($AU56&lt;&gt;1,10,0)-IF(COUNT($CY56:$DB56)&lt;4,4,0))))</x:f>
      </x:c>
      <x:c r="EG56" s="117" t="str">
        <x:f>IF($A56="","",'Setari model'!$B$77+IF(MIN($I56,$P56)&lt;'Setari model'!$B$58,0.03,0)+IF(OR($CK56=1,$CL56=1,AND($CJ56&lt;&gt;"",$CJ56&lt;=1)),0.03,0)+IF($AG56=0,0.02,0)+0.03*(1-MIN(1,COUNT($CM56:$CV56)/10))+0.03*(1-MIN(1,IF($AN56="",0,$AN56/'Setari model'!$B$64)))+IF($AR56&lt;=1,0.02,0))</x:f>
      </x:c>
      <x:c r="EH56" s="113" t="str">
        <x:f>IF($A56="","",IF(OR(MIN($I56,$P56)&lt;'Setari model'!$B$58,$CK56=1,$CL56=1,AND($CJ56&lt;&gt;"",$CJ56&lt;=1)),"92% – early/regim",IF(AND($AU56=1,$AR56&gt;1,COUNT($CY56:$DB56)=4),"94% – confirmat","93% – standard")))</x:f>
      </x:c>
      <x:c r="EI56" s="113" t="str">
        <x:f t="shared" si="73">IF($A56="","",IF(AND($EA56&gt;0.9,$AU56&lt;&gt;1),"WAIT XI – HIGH P",IF(AND($EA56&gt;0.9,COUNT($CY56:$DB56)&lt;4),"WAIT DATE CHEIE – HIGH P",IF($EP56&lt;&gt;"DA","NU – PORTOFOLIU","DA"))))</x:f>
      </x:c>
      <x:c r="EJ56" s="117" t="str">
        <x:f t="shared" si="74">IF($A56="","",IF($DE56&lt;&gt;"Live 20-30","",IF(SUM($DG56:$DH56)&gt;0,1,IF($EU56="","",1-MIN(0.95,MAX(0.001,EXP(-$EU56)*$DX56*$DY56/$DW56))))))</x:f>
      </x:c>
      <x:c r="EK56" s="117" t="str">
        <x:f t="shared" si="75">""</x:f>
      </x:c>
      <x:c r="EL56" s="113" t="str">
        <x:f>IF($A56="","",IF($DE56="Live 20-30",IF(SUM($DG56:$DH56)&gt;0,"EVENIMENT ÎNDEPLINIT",IF(OR($DF56="",COUNT($DI56:$DN56)&lt;4),"LIVE – WATCH",IF($EJ56&gt;=0.75,"LIVE – FEZABIL TEHNIC","LIVE – NO BET"))),IF($EI56&lt;&gt;"DA","WATCH / NO BET",IF(AND($EA56&gt;=INDEX('Setari model'!$B$35:$B$40,1),$EF56&gt;=100*'Setari model'!$B$76),"PARIU RECOMANDAT",IF(AND($EA56&gt;=INDEX('Setari model'!$B$35:$B$40,5),$EF56&gt;=100*'Setari model'!$B$40),"WATCH – APROAPE DE PRAG","PARIU EVITAT")))))</x:f>
      </x:c>
      <x:c r="EM56" s="113" t="str">
        <x:f t="shared" si="76">IF($A56="","",IF($DE56="Live 20-30",IF(SUM($DG56:$DH56)&gt;0,"Gol deja marcat.",IF($DF56="","Minut live lipsă.",IF(COUNT($DI56:$DN56)&lt;4,"Lipsesc xG/SOT/big chances live.",IF($EJ56&lt;0.75,"P live sub prag.","Semnal live tehnic complet; EV ignorat.")))),IF($EI56&lt;&gt;"DA",$EI56,IF($EF56&lt;75,"Confidence sub 75.",IF($EA56&lt;0.92,"P sub 92%.","G0/Zero-Mass + confidence trecute; EV ignorat.")))))</x:f>
      </x:c>
      <x:c r="EN56" s="117" t="str">
        <x:f>IF($A56="","",IF(OR($EL56="PARIU RECOMANDAT",$EL56="LIVE – FEZABIL"),MIN(IF($DU56&gt;0,$DU56,'Setari model'!$B$81)/MAX(1,$DR56),IF($DV56&gt;0,$DV56,'Setari model'!$B$80)*MAX(0,((IF($DE56="Live 20-30",$EJ56,$EA56)*IF($DE56="Live 20-30",$DQ56,$AR56)-1)/(IF($DE56="Live 20-30",$DQ56,$AR56)-1)))),0))</x:f>
      </x:c>
      <x:c r="EO56" s="121" t="str">
        <x:f t="shared" si="77">IF($A56="","",IF(AND($EN56&gt;0,$DT56&gt;0),$EN56*$DT56,""))</x:f>
      </x:c>
      <x:c r="EP56" s="113" t="str">
        <x:f>IF($A56="","",IF(OR($DR56&lt;1,$DR56&gt;'Setari model'!$B$78),"NU – 1–5 selecții",IF($DS56&gt;'Setari model'!$B$79,"NU – corelație", "DA")))</x:f>
      </x:c>
      <x:c r="EQ56" s="117" t="str">
        <x:f t="shared" si="78">IF($A56="","",IF(AND($DC56&gt;1,$DD56&gt;1),$DC56/$DD56-1,""))</x:f>
      </x:c>
      <x:c r="ER56" s="113" t="str">
        <x:f t="shared" si="79">IF($A56="","","P v2="&amp;TEXT($EA56,"0.0%")&amp;" ±"&amp;TEXT($EG56,"0.0%")&amp;"; P0 ZIP="&amp;TEXT($DZ56,"0.0%")&amp;"; Confidence="&amp;TEXT($EF56,"0")&amp;"/100; piață reală="&amp;IF($EC56="","NU","DA")&amp;"; EV="&amp;IF($EE56="","n/a",TEXT($EE56,"0.0%"))&amp;"; gate="&amp;$EI56&amp;"; verdict="&amp;$EL56&amp;". "&amp;$EM56)</x:f>
      </x:c>
      <x:c r="ES56" s="119" t="str">
        <x:f>IF($A56="","",'Setari model'!$B$82)</x:f>
      </x:c>
      <x:c r="ET56" s="118" t="str">
        <x:f>IF($A56="","",'Setari model'!$B$83)</x:f>
      </x:c>
      <x:c r="EU56" s="115" t="str">
        <x:f t="shared" si="80">IF(OR($A56="",$DE56&lt;&gt;"Live 20-30",$DF56="",$DF56&lt;$ES56,$DF56&gt;=90),"",MAX(0.05,MIN($BS56*$ET56,$BS56*(90-$DF56)/90+0.35*($DI56+$DJ56)+0.06*($DK56+$DL56)+0.15*($DM56+$DN56)+0.1*(MAX($DO56,$DP56)-MIN($DO56,$DP56)))))</x:f>
      </x:c>
      <x:c r="EV56" s="132"/>
      <x:c r="EW56" s="132"/>
      <x:c r="EX56" s="132"/>
      <x:c r="EY56" s="132"/>
      <x:c r="EZ56" s="132"/>
      <x:c r="FA56" s="132"/>
      <x:c r="FB56" s="247"/>
      <x:c r="FC56" s="134" t="str">
        <x:f t="shared" si="81">IF($A56="","",IF(OR($J56="",$L56="",$L56&lt;=0),"",MAX(0.5,MIN(1.5,$J56/$L56))))</x:f>
      </x:c>
      <x:c r="FD56" s="134" t="str">
        <x:f t="shared" si="82">IF($A56="","",IF(OR($Q56="",$S56="",$S56&lt;=0),"",MAX(0.5,MIN(1.5,$Q56/$S56))))</x:f>
      </x:c>
      <x:c r="FE56" s="134" t="str">
        <x:f>IF($A56="","",IF(COUNT($EV56:$EW56)&lt;2,"",SQRT($EV56*$EW56)/'Setari model'!$B$87))</x:f>
      </x:c>
      <x:c r="FF56" s="134" t="str">
        <x:f>IF($A56="","",IF(COUNT($O56,$V56,$EX56,$EY56)&lt;4,"",AVERAGE(SQRT($O56*$EY56),SQRT($V56*$EX56))/'Setari model'!$B$88))</x:f>
      </x:c>
      <x:c r="FG56" s="134" t="str">
        <x:f t="shared" si="83">IF($A56="","",IF(COUNT($FC56:$FD56)&lt;2,"",MAX(0,1-AVERAGE($FC56:$FD56))))</x:f>
      </x:c>
      <x:c r="FH56" s="134" t="str">
        <x:f>IF($A56="","",IF(COUNT($EZ56:$FA56)&lt;2,"",'Setari model'!$B$94*AVERAGE($EZ56:$FA56)/'Setari model'!$B$89))</x:f>
      </x:c>
      <x:c r="FI56" s="134" t="str">
        <x:f>IF($A56="","",IF(COUNT($FE56:$FH56)&lt;4,"",MAX('Setari model'!$B$97,MIN('Setari model'!$B$98,1+'Setari model'!$B$90*($FE56-1)+'Setari model'!$B$91*($FF56-1)+'Setari model'!$B$92*$FG56+'Setari model'!$B$93*($FH56-1)))))</x:f>
      </x:c>
      <x:c r="FJ56" s="133" t="str">
        <x:f>IF($A56="","",IF($FI56="","",MIN('Setari model'!$B$101,MAX(0.002,$DZ56*$FI56))))</x:f>
      </x:c>
      <x:c r="FK56" s="131" t="str">
        <x:f t="shared" si="84">IF($A56="","",IF(AND(COUNT($EV56:$FA56)=6,COUNT($O56,$V56,$FC56,$FD56)=4),"DA","NU"))</x:f>
      </x:c>
      <x:c r="FL56" s="131" t="str">
        <x:f>IF($A56="","",IF($FK56&lt;&gt;"DA","NEDETERMINAT",IF($FI56&lt;='Setari model'!$B$99,"SCĂZUT",IF($FI56&lt;='Setari model'!$B$100,"MEDIU","RIDICAT"))))</x:f>
      </x:c>
      <x:c r="FM56" s="131" t="str">
        <x:f>IF($A56="","",IF(AND($AR56&gt;1,$EC56&gt;='Setari model'!$B$106),"DA","NU"))</x:f>
      </x:c>
      <x:c r="FN56" s="131" t="str">
        <x:f t="shared" si="85">IF($A56="","",IF(AND($AU56=1,COUNT($CY56:$DB56)=4),"DA","NU"))</x:f>
      </x:c>
      <x:c r="FO56" s="133" t="str">
        <x:f>IF($A56="","",IF(OR($FK56&lt;&gt;"DA",$FL56="RIDICAT"),'Setari model'!$B$102,IF($FL56="MEDIU",'Setari model'!$B$103,IF(AND($FM56="DA",$FN56="DA"),'Setari model'!$B$105,'Setari model'!$B$104))))</x:f>
      </x:c>
      <x:c r="FP56" s="133" t="str">
        <x:f t="shared" si="86">IF($A56="","",IF($FJ56="","",MIN(1-$FJ56,$FO56)))</x:f>
      </x:c>
      <x:c r="FQ56" s="135" t="str">
        <x:f t="shared" si="87">IF($A56="","",IF($FP56="","",IF($FP56&gt;0,1/$FP56,"")))</x:f>
      </x:c>
      <x:c r="FR56" s="133" t="str">
        <x:f t="shared" si="88">IF($A56="","",IF($EC56="","",$FP56-$EC56))</x:f>
      </x:c>
      <x:c r="FS56" s="133" t="str">
        <x:f t="shared" si="89">IF($A56="","",IF($AR56&gt;1,$FP56*$AR56-1,""))</x:f>
      </x:c>
      <x:c r="FT56" s="136" t="str">
        <x:f>IF($A56="","",MAX(0,MIN(100,$EF56-IF($FK56&lt;&gt;"DA",'Setari model'!$B$107,0)-IF($FL56="MEDIU",'Setari model'!$B$108,0)-IF($FL56="RIDICAT",'Setari model'!$B$109,0))))</x:f>
      </x:c>
      <x:c r="FU56" s="131" t="str">
        <x:f t="shared" si="90">IF($A56="","",IF($AR56&lt;=1,"NU – LIPSEȘTE COTA REALĂ",IF($FK56&lt;&gt;"DA","NU – ZERO-RISK INCOMPLET",IF($FL56&lt;&gt;"SCĂZUT","NU – RISC 0-0 "&amp;$FL56,IF($FN56&lt;&gt;"DA","NU – LINEUP NECONFIRMAT",IF($FM56&lt;&gt;"DA","NU – PIAȚĂ NECONFIRMATĂ",IF($EP56&lt;&gt;"DA","NU – PORTOFOLIU","DA")))))))</x:f>
      </x:c>
      <x:c r="FV56" s="131" t="str">
        <x:f>IF($A56="","",IF($FU56&lt;&gt;"DA","WATCH / NO BET",IF(AND($FP56&gt;='Setari model'!$B$35,$FT56&gt;=100*'Setari model'!$B$76,$FS56&gt;0),"PARIU RECOMANDAT",IF(AND($FP56&gt;='Setari model'!$B$39,$FT56&gt;=100*'Setari model'!$B$40,$FS56&gt;0),"WATCH – APROAPE DE PRAG","PARIU EVITAT"))))</x:f>
      </x:c>
      <x:c r="FW56" s="131" t="str">
        <x:f t="shared" si="91">IF($A56="","",IF($FU56&lt;&gt;"DA",$FU56,IF($FT56&lt;75,"Confidence v3 sub 75.",IF($FP56&lt;0.92,"P v3 sub 92%.",IF($FS56&lt;=0,"EV v3 nepozitiv.","P0 v3, lineup și piață confirmate.")))))</x:f>
      </x:c>
      <x:c r="FX56" s="131" t="str">
        <x:f t="shared" si="92">IF($A56="","","P v3="&amp;TEXT($FP56,"0.0%")&amp;"; P0 v3="&amp;TEXT($FJ56,"0.0%")&amp;"; factor zero="&amp;IF($FI56="","n/a",TEXT($FI56,"0.00x"))&amp;" ("&amp;$FL56&amp;"); cap="&amp;TEXT($FO56,"0.0%")&amp;"; Confidence="&amp;TEXT($FT56,"0")&amp;"/100; lineup="&amp;$FN56&amp;"; piață="&amp;$FM56&amp;"; EV="&amp;IF($FS56="","n/a",TEXT($FS56,"0.0%"))&amp;"; gate="&amp;$FU56&amp;"; verdict="&amp;$FV56&amp;". "&amp;$FW56)</x:f>
      </x:c>
      <x:c r="FY56" s="159"/>
      <x:c r="FZ56" s="159"/>
      <x:c r="GA56" s="157"/>
      <x:c r="GB56" s="157"/>
      <x:c r="GC56" s="161" t="str">
        <x:f t="shared" si="93">IF($A56="","",IF(OR($X56="",$Z56="",$Z56&lt;=0),"",MAX(0.5,MIN(1.5,$X56/$Z56))))</x:f>
      </x:c>
      <x:c r="GD56" s="161" t="str">
        <x:f t="shared" si="94">IF($A56="","",IF(OR($AC56="",$AE56="",$AE56&lt;=0),"",MAX(0.5,MIN(1.5,$AC56/$AE56))))</x:f>
      </x:c>
      <x:c r="GE56" s="162" t="str">
        <x:f t="shared" si="95">IF($A56="","",IF(COUNT($Z56,$AE56)&lt;2,"",AVERAGE($Z56,$AE56)))</x:f>
      </x:c>
      <x:c r="GF56" s="158" t="str">
        <x:f>IF($A56="","",IF(COUNT($FY56:$FZ56)&lt;2,"NEDETERMINAT",IF(AND($FY56&gt;='Setari model'!$B$113,$FZ56&gt;='Setari model'!$B$113),"DA","NU")))</x:f>
      </x:c>
      <x:c r="GG56" s="158" t="str">
        <x:f>IF($A56="","",IF(COUNT($FY56:$FZ56,$EX56:$EY56)&lt;4,"NEDETERMINAT",IF(OR(AND($FY56&gt;='Setari model'!$B$113,$EY56&gt;='Setari model'!$B$114),AND($FZ56&gt;='Setari model'!$B$113,$EX56&gt;='Setari model'!$B$114)),"DA","NU")))</x:f>
      </x:c>
      <x:c r="GH56" s="158" t="str">
        <x:f>IF($A56="","",IF(COUNT($BJ56:$BN56,$GC56:$GE56)&lt;8,"NEDETERMINAT",IF(AND((($BJ56*INDEX('Setari model'!$B$5:$B$11,MATCH($E56,'Setari model'!$A$5:$A$11,0))+$BK56*INDEX('Setari model'!$C$5:$C$11,MATCH($E56,'Setari model'!$A$5:$A$11,0))+$BL56*INDEX('Setari model'!$D$5:$D$11,MATCH($E56,'Setari model'!$A$5:$A$11,0))+$BM56*INDEX('Setari model'!$E$5:$E$11,MATCH($E56,'Setari model'!$A$5:$A$11,0))+$BN56*INDEX('Setari model'!$F$5:$F$11,MATCH($E56,'Setari model'!$A$5:$A$11,0)))/(INDEX('Setari model'!$B$5:$B$11,MATCH($E56,'Setari model'!$A$5:$A$11,0))+INDEX('Setari model'!$C$5:$C$11,MATCH($E56,'Setari model'!$A$5:$A$11,0))+INDEX('Setari model'!$D$5:$D$11,MATCH($E56,'Setari model'!$A$5:$A$11,0))+INDEX('Setari model'!$E$5:$E$11,MATCH($E56,'Setari model'!$A$5:$A$11,0))+INDEX('Setari model'!$F$5:$F$11,MATCH($E56,'Setari model'!$A$5:$A$11,0))))*$BR56&gt;='Setari model'!$B$115,(($BJ56*INDEX('Setari model'!$B$5:$B$11,MATCH($E56,'Setari model'!$A$5:$A$11,0))+$BK56*INDEX('Setari model'!$C$5:$C$11,MATCH($E56,'Setari model'!$A$5:$A$11,0))+$BL56*INDEX('Setari model'!$D$5:$D$11,MATCH($E56,'Setari model'!$A$5:$A$11,0))+$BM56*INDEX('Setari model'!$E$5:$E$11,MATCH($E56,'Setari model'!$A$5:$A$11,0))+$BN56*INDEX('Setari model'!$F$5:$F$11,MATCH($E56,'Setari model'!$A$5:$A$11,0)))/(INDEX('Setari model'!$B$5:$B$11,MATCH($E56,'Setari model'!$A$5:$A$11,0))+INDEX('Setari model'!$C$5:$C$11,MATCH($E56,'Setari model'!$A$5:$A$11,0))+INDEX('Setari model'!$D$5:$D$11,MATCH($E56,'Setari model'!$A$5:$A$11,0))+INDEX('Setari model'!$E$5:$E$11,MATCH($E56,'Setari model'!$A$5:$A$11,0))+INDEX('Setari model'!$F$5:$F$11,MATCH($E56,'Setari model'!$A$5:$A$11,0))))*$BR56&lt;='Setari model'!$B$116,AVERAGE($GC56:$GD56)&lt;='Setari model'!$B$117,$GE56&gt;='Setari model'!$B$118),"DA","NU")))</x:f>
      </x:c>
      <x:c r="GI56" s="158" t="str">
        <x:f>IF($A56="","",IF(COUNT($W56,$AB56,$GA56:$GB56)&lt;4,"NEDETERMINAT",IF(AND($W56&gt;='Setari model'!$B$120,$AB56&gt;='Setari model'!$B$120,OR(IFERROR($GA56/$W56,0)&gt;='Setari model'!$B$119,IFERROR($GB56/$AB56,0)&gt;='Setari model'!$B$119)),"DA","NU")))</x:f>
      </x:c>
      <x:c r="GJ56" s="160" t="str">
        <x:f>IF($A56="","",IF(COUNT($FY56:$GB56)&lt;4,"",IF($GH56&lt;&gt;"DA",0,'Setari model'!$B$121*IF($GF56="DA",1,0)+'Setari model'!$B$122*IF($GG56="DA",1,0)+'Setari model'!$B$123+'Setari model'!$B$124*IF($GI56="DA",1,0))))</x:f>
      </x:c>
      <x:c r="GK56" s="161" t="str">
        <x:f>IF($A56="","",IF(COUNT($GJ56)=0,"",1+'Setari model'!$B$125*$GJ56))</x:f>
      </x:c>
      <x:c r="GL56" s="160" t="str">
        <x:f>IF($A56="","",IF($GM56&lt;&gt;"DA",$FJ56,MIN('Setari model'!$B$101,MAX(0.002,$FJ56*$GK56))))</x:f>
      </x:c>
      <x:c r="GM56" s="158" t="str">
        <x:f>IF($A56="","",IF(AND($FK56="DA",COUNT($FY56:$GB56)=4,COUNT($I56,$P56,$W56,$AB56,$Z56,$AE56,$EX56,$EY56,$GC56,$GD56)=10,COUNT($BJ56:$BN56)=5),"DA","NU"))</x:f>
      </x:c>
      <x:c r="GN56" s="158" t="str">
        <x:f>IF($A56="","",IF($GM56&lt;&gt;"DA","NEDETERMINAT",IF($FI56*$GK56&lt;='Setari model'!$B$99,"SCĂZUT",IF($FI56*$GK56&lt;='Setari model'!$B$100,"MEDIU","RIDICAT"))))</x:f>
      </x:c>
      <x:c r="GO56" s="160" t="str">
        <x:f>IF($A56="","",IF(OR($GM56&lt;&gt;"DA",$GN56="RIDICAT"),'Setari model'!$B$102,IF($GN56="MEDIU",'Setari model'!$B$103,IF(AND($FM56="DA",$FN56="DA"),'Setari model'!$B$105,'Setari model'!$B$104))))</x:f>
      </x:c>
      <x:c r="GP56" s="160" t="str">
        <x:f t="shared" si="96">IF($A56="","",IF($GL56="","",MIN(1-$GL56,$GO56)))</x:f>
      </x:c>
      <x:c r="GQ56" s="162" t="str">
        <x:f t="shared" si="97">IF($A56="","",IF($GP56="","",IF($GP56&gt;0,1/$GP56,"")))</x:f>
      </x:c>
      <x:c r="GR56" s="160" t="str">
        <x:f t="shared" si="98">IF($A56="","",IF($EC56="","",$GP56-$EC56))</x:f>
      </x:c>
      <x:c r="GS56" s="160" t="str">
        <x:f t="shared" si="99">IF($A56="","",IF($AR56&gt;1,$GP56*$AR56-1,""))</x:f>
      </x:c>
      <x:c r="GT56" s="163" t="str">
        <x:f>IF($A56="","",MAX(0,MIN(100,$FT56-IF(AND($GM56&lt;&gt;"DA",$FK56="DA"),'Setari model'!$B$107,0)-'Setari model'!$B$126*IF($GJ56="",0,$GJ56))))</x:f>
      </x:c>
      <x:c r="GU56" s="158" t="str">
        <x:f t="shared" si="100">IF($A56="","",IF($AR56&lt;=1,"NU – LIPSEȘTE COTA REALĂ",IF($GM56&lt;&gt;"DA","NU – DATE LOW-CONVERSION INCOMPLETE",IF($GN56&lt;&gt;"SCĂZUT","NU – RISC 0-0 "&amp;$GN56,IF($FN56&lt;&gt;"DA","NU – LINEUP NECONFIRMAT",IF($FM56&lt;&gt;"DA","NU – PIAȚĂ NECONFIRMATĂ",IF($EP56&lt;&gt;"DA","NU – PORTOFOLIU","DA")))))))</x:f>
      </x:c>
      <x:c r="GV56" s="158" t="str">
        <x:f>IF($A56="","",IF($GU56&lt;&gt;"DA","WATCH / NO BET",IF(AND($GP56&gt;='Setari model'!$B$35,$GT56&gt;=100*'Setari model'!$B$76,$GS56&gt;0),"PARIU RECOMANDAT",IF(AND($GP56&gt;='Setari model'!$B$39,$GT56&gt;=100*'Setari model'!$B$40,$GS56&gt;0),"WATCH – APROAPE DE PRAG","PARIU EVITAT"))))</x:f>
      </x:c>
      <x:c r="GW56" s="158" t="str">
        <x:f t="shared" si="101">IF($A56="","",IF($GU56&lt;&gt;"DA",$GU56,IF($GT56&lt;75,"Confidence v5 sub 75.",IF($GP56&lt;0.92,"P v5 sub 92%.",IF($GS56&lt;=0,"EV v5 nepozitiv.",IF($GJ56&gt;0,"Low-conversion absorbit în P0; toate porțile rămân trecute.","Toate porțile v5 sunt trecute."))))))</x:f>
      </x:c>
      <x:c r="GX56" s="158" t="str">
        <x:f t="shared" si="102">IF($A56="","","P v5="&amp;TEXT($GP56,"0.0%")&amp;"; P0 v5="&amp;TEXT($GL56,"0.0%")&amp;"; low-conv="&amp;IF(COUNT($GJ56)=0,"n/a",TEXT($GJ56,"0%"))&amp;"; mult.P0="&amp;IF(COUNT($GK56)=0,"n/a",TEXT($GK56,"0.00"))&amp;"; clasă="&amp;$GN56&amp;"; cap="&amp;TEXT($GO56,"0.0%")&amp;"; Confidence="&amp;TEXT($GT56,"0")&amp;"/100; lineup="&amp;$FN56&amp;"; piață="&amp;$FM56&amp;"; EV="&amp;IF($GS56="","n/a",TEXT($GS56,"0.0%"))&amp;"; gate="&amp;$GU56&amp;"; verdict="&amp;$GV56&amp;". "&amp;$GW56)</x:f>
      </x:c>
      <x:c r="GY56" s="174" t="str">
        <x:f>IF($A56="","",IF($GM56&lt;&gt;"DA","SOURCING INCOMPLETE – REVIEW REQUIRED",IF(MIN($I56,$P56,$W56,$AB56)&lt;'Setari model'!$B$58,"SMALL SAMPLE + PRIOR / SHRINKAGE","VERIFIED / PRIOR / SHRINKAGE")))</x:f>
      </x:c>
      <x:c r="GZ56" s="175" t="str">
        <x:f t="shared" si="103">IF($A56="","",MAX(0,MIN(100,100*(1-AVERAGE(IF($GM56="DA",1,0),MIN(1,$AT56/5))))))</x:f>
      </x:c>
      <x:c r="HA56" s="175" t="str">
        <x:f>IF($A56="","",IF($GM56&lt;&gt;"DA","",MAX(0,MIN(100,100*(($FI56*$GK56)-'Setari model'!$B$97)/('Setari model'!$B$98-'Setari model'!$B$97)))))</x:f>
      </x:c>
      <x:c r="HB56" s="175" t="str">
        <x:f>IF($A56="","",MAX(0,MIN(100,100*(ABS($BR56-1)/MAX(1-'Setari model'!$B$53,'Setari model'!$B$54-1)+MIN(1,$BG56/2))/2)))</x:f>
      </x:c>
      <x:c r="HC56" s="175" t="str">
        <x:f t="shared" si="104">IF($A56="","",MAX(0,MIN(100,100*(1-AVERAGE($CC56,MAX(0,1-(MAX($BJ56:$BN56)-MIN($BJ56:$BN56))/(AVERAGE($BJ56:$BN56)*'Setari model'!$B$45)))))))</x:f>
      </x:c>
      <x:c r="HD56" s="175" t="str">
        <x:f t="shared" si="105">IF($A56="","",MAX(0,MIN(100,100*MAX(IF($GJ56="",0,$GJ56),MIN(1,$BG56/2)))))</x:f>
      </x:c>
      <x:c r="HE56" s="175" t="str">
        <x:f>IF($A56="","",IF(COUNT($GZ56:$HD56)&lt;5,"",$GZ56*Risk_Classification!$E$28+$HA56*Risk_Classification!$E$29+$HB56*Risk_Classification!$E$30+$HC56*Risk_Classification!$E$31+$HD56*Risk_Classification!$E$32))</x:f>
      </x:c>
      <x:c r="HF56" s="176" t="str">
        <x:f t="shared" si="106">IF($A56="","",IF($HE56="","",IF($HE56&lt;=20,1,IF($HE56&lt;=40,2,IF($HE56&lt;=60,3,IF($HE56&lt;=80,4,5))))))</x:f>
      </x:c>
      <x:c r="HG56" s="176" t="str">
        <x:f t="shared" si="107">IF($A56="","",IF($GM56="DA","PASS","FAIL – DATE CRITICE ZERO-MASS INCOMPLETE"))</x:f>
      </x:c>
      <x:c r="HH56" s="176" t="str">
        <x:f t="shared" si="108">IF($A56="","",IF($HG56&lt;&gt;"PASS",5,$HF56))</x:f>
      </x:c>
      <x:c r="HI56" s="174" t="str">
        <x:f t="shared" si="109">IF($A56="","",IF($HH56="","N/A",IF($HH56=1,"DEFENSIV",IF($HH56=2,"PRUDENT",IF($HH56=3,"MODERAT",IF($HH56=4,"RIDICAT","WATCH / NO BET"))))))</x:f>
      </x:c>
      <x:c r="HJ56" s="177" t="str">
        <x:f t="shared" si="110">IF($A56="","","Data="&amp;$GY56&amp;"; DQ="&amp;TEXT($GZ56,"0.0")&amp;"; ZM="&amp;IF($HA56="","n/a",TEXT($HA56,"0.0"))&amp;"; Context="&amp;TEXT($HB56,"0.0")&amp;"; Uncertainty="&amp;TEXT($HC56,"0.0")&amp;"; Compound="&amp;TEXT($HD56,"0.0")&amp;"; Risk Score="&amp;IF($HE56="","n/a",TEXT($HE56,"0.0"))&amp;"; Base="&amp;IF($HF56="","n/a",$HF56)&amp;"; G0="&amp;$HG56&amp;"; Final="&amp;$HH56&amp;". Cota, EV si lineup sunt informative si nu intra in recomandare.")</x:f>
      </x:c>
      <x:c r="HK56" s="174" t="str">
        <x:f t="shared" si="111">IF($A56="","",$HI56)</x:f>
      </x:c>
    </x:row>
    <x:row r="57" ht="24" customHeight="1">
      <x:c r="A57" s="58"/>
      <x:c r="B57" s="24"/>
      <x:c r="C57" s="59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18"/>
      <x:c r="O57" s="18"/>
      <x:c r="P57" s="24"/>
      <x:c r="Q57" s="24"/>
      <x:c r="R57" s="24"/>
      <x:c r="S57" s="24"/>
      <x:c r="T57" s="24"/>
      <x:c r="U57" s="18"/>
      <x:c r="V57" s="18"/>
      <x:c r="W57" s="24"/>
      <x:c r="X57" s="24"/>
      <x:c r="Y57" s="24"/>
      <x:c r="Z57" s="24"/>
      <x:c r="AA57" s="24"/>
      <x:c r="AB57" s="24"/>
      <x:c r="AC57" s="24"/>
      <x:c r="AD57" s="24"/>
      <x:c r="AE57" s="24"/>
      <x:c r="AF57" s="24"/>
      <x:c r="AG57" s="24"/>
      <x:c r="AH57" s="24"/>
      <x:c r="AI57" s="18"/>
      <x:c r="AJ57" s="24"/>
      <x:c r="AK57" s="24"/>
      <x:c r="AL57" s="24"/>
      <x:c r="AM57" s="18"/>
      <x:c r="AN57" s="24"/>
      <x:c r="AO57" s="60"/>
      <x:c r="AP57" s="60"/>
      <x:c r="AQ57" s="60"/>
      <x:c r="AR57" s="60"/>
      <x:c r="AS57" s="60"/>
      <x:c r="AT57" s="24"/>
      <x:c r="AU57" s="24"/>
      <x:c r="AV57" s="24"/>
      <x:c r="AW57" s="24"/>
      <x:c r="AX57" s="24"/>
      <x:c r="AY57" s="24"/>
      <x:c r="AZ57" s="24"/>
      <x:c r="BA57" s="24"/>
      <x:c r="BB57" s="24"/>
      <x:c r="BC57" s="24"/>
      <x:c r="BD57" s="24"/>
      <x:c r="BE57" s="24"/>
      <x:c r="BF57" s="24"/>
      <x:c r="BG57" s="24"/>
      <x:c r="BH57" s="61"/>
      <x:c r="BI57" s="61"/>
      <x:c r="BJ57" s="62" t="str">
        <x:f>IF($A57="","",SQRT((($I57*IF($J57="",$AJ57,$J57)+'Setari model'!$B$30*$AJ57)/($I57+'Setari model'!$B$30))*(($P57*IF($R57="",$AJ57,$R57)+'Setari model'!$B$30*$AJ57)/($P57+'Setari model'!$B$30)))+SQRT((($P57*IF($Q57="",$AK57,$Q57)+'Setari model'!$B$30*$AK57)/($P57+'Setari model'!$B$30))*(($I57*IF($K57="",$AK57,$K57)+'Setari model'!$B$30*$AK57)/($I57+'Setari model'!$B$30))))</x:f>
      </x:c>
      <x:c r="BK57" s="62" t="str">
        <x:f>IF($A57="","",SQRT((($I57*IF($L57="",IF($J57="",$AJ57,$J57),$L57)+'Setari model'!$B$30*$AJ57)/($I57+'Setari model'!$B$30))*(($P57*IF($T57="",IF($R57="",$AJ57,$R57),$T57)+'Setari model'!$B$30*$AJ57)/($P57+'Setari model'!$B$30)))+SQRT((($P57*IF($S57="",IF($Q57="",$AK57,$Q57),$S57)+'Setari model'!$B$30*$AK57)/($P57+'Setari model'!$B$30))*(($I57*IF($M57="",IF($K57="",$AK57,$K57),$M57)+'Setari model'!$B$30*$AK57)/($I57+'Setari model'!$B$30))))</x:f>
      </x:c>
      <x:c r="BL57" s="62" t="str">
        <x:f>IF($A57="","",SQRT((($W57*IF($X57="",$AL57/2,$X57)+'Setari model'!$B$31*$AL57/2)/($W57+'Setari model'!$B$31))*(($AB57*IF($AD57="",$AL57/2,$AD57)+'Setari model'!$B$31*$AL57/2)/($AB57+'Setari model'!$B$31)))+SQRT((($AB57*IF($AC57="",$AL57/2,$AC57)+'Setari model'!$B$31*$AL57/2)/($AB57+'Setari model'!$B$31))*(($W57*IF($Y57="",$AL57/2,$Y57)+'Setari model'!$B$31*$AL57/2)/($W57+'Setari model'!$B$31))))</x:f>
      </x:c>
      <x:c r="BM57" s="62" t="str">
        <x:f>IF($A57="","",SQRT((($W57*IF($Z57="",IF($X57="",$AL57/2,$X57),$Z57)+'Setari model'!$B$31*$AL57/2)/($W57+'Setari model'!$B$31))*(($AB57*IF($AF57="",IF($AD57="",$AL57/2,$AD57),$AF57)+'Setari model'!$B$31*$AL57/2)/($AB57+'Setari model'!$B$31)))+SQRT((($AB57*IF($AE57="",IF($AC57="",$AL57/2,$AC57),$AE57)+'Setari model'!$B$31*$AL57/2)/($AB57+'Setari model'!$B$31))*(($W57*IF($AA57="",IF($Y57="",$AL57/2,$Y57),$AA57)+'Setari model'!$B$31*$AL57/2)/($W57+'Setari model'!$B$31))))</x:f>
      </x:c>
      <x:c r="BN57" s="62" t="str">
        <x:f t="shared" si="56">IF($A57="","",IF($AG57&gt;0,($AG57*IF($AH57="",$AL57,$AH57)+5*$AL57)/($AG57+5),$AL57))</x:f>
      </x:c>
      <x:c r="BO57" s="63" t="str">
        <x:f>IF($A57="","",IF($AR57&gt;1,IF($AS57&gt;1,(1/$AR57)/((1/$AR57+1/$AS57)),MIN(0.995,(1/$AR57)/(1+'Setari model'!$B$32))),1-EXP(-$AL57)))</x:f>
      </x:c>
      <x:c r="BP57" s="62" t="str">
        <x:f t="shared" si="57">IF($A57="","",-LN(1-$BO57))</x:f>
      </x:c>
      <x:c r="BQ57" s="62" t="str">
        <x:f>IF($A57="","",$BJ57*INDEX('Setari model'!$B$5:$B$11,MATCH($E57,'Setari model'!$A$5:$A$11,0))+$BK57*INDEX('Setari model'!$C$5:$C$11,MATCH($E57,'Setari model'!$A$5:$A$11,0))+$BL57*INDEX('Setari model'!$D$5:$D$11,MATCH($E57,'Setari model'!$A$5:$A$11,0))+$BM57*INDEX('Setari model'!$E$5:$E$11,MATCH($E57,'Setari model'!$A$5:$A$11,0))+$BN57*INDEX('Setari model'!$F$5:$F$11,MATCH($E57,'Setari model'!$A$5:$A$11,0))+$BP57*INDEX('Setari model'!$G$5:$G$11,MATCH($E57,'Setari model'!$A$5:$A$11,0)))</x:f>
      </x:c>
      <x:c r="BR57" s="64" t="str">
        <x:f>IF($A57="","",MAX('Setari model'!$B$53,MIN('Setari model'!$B$54,1+($AV57*'Setari model'!$B$15+$AW57*'Setari model'!$B$16+$AX57*'Setari model'!$B$17+$AY57*'Setari model'!$B$18+$AZ57*'Setari model'!$B$19+$BA57*'Setari model'!$B$20+$BB57*'Setari model'!$B$21+$BC57*'Setari model'!$B$22+$BD57*'Setari model'!$B$23+$BE57*'Setari model'!$B$24+$BF57*'Setari model'!$B$25)*INDEX('Setari model'!$H$5:$H$11,MATCH($E57,'Setari model'!$A$5:$A$11,0)))))</x:f>
      </x:c>
      <x:c r="BS57" s="62" t="str">
        <x:f t="shared" si="58">IF($A57="","",$BQ57*$BR57)</x:f>
      </x:c>
      <x:c r="BT57" s="63" t="str">
        <x:f t="shared" si="59">IF($A57="","",EXP(-$BS57))</x:f>
      </x:c>
      <x:c r="BU57" s="65" t="str">
        <x:f>IF($A57="","",IF(OR($AM57="",$AN57=""),1,1+MIN('Setari model'!$B$33,$AN57/100*'Setari model'!$B$33)*($AM57/EXP(-$AL57)-1)))</x:f>
      </x:c>
      <x:c r="BV57" s="63" t="str">
        <x:f>IF($A57="","",MIN(0.45,MAX(0.005,(1-'Setari model'!$B$34*MIN(1,($I57+$P57)/20))*MIN(0.45,$BT57*$BU57)+'Setari model'!$B$34*MIN(1,($I57+$P57)/20)*IF(COUNT($N57,$U57)=2,SQRT(MAX(0,1-$N57)*MAX(0,1-$U57)),IF($AM57="",EXP(-$AL57),$AM57)))))</x:f>
      </x:c>
      <x:c r="BW57" s="63" t="str">
        <x:f t="shared" si="60">IF($A57="","",1-$BV57)</x:f>
      </x:c>
      <x:c r="BX57" s="62" t="str">
        <x:f t="shared" si="61">IF($A57="","",1/$BW57)</x:f>
      </x:c>
      <x:c r="BY57" s="63" t="str">
        <x:f t="shared" si="62">IF($A57="","",$BO57)</x:f>
      </x:c>
      <x:c r="BZ57" s="63" t="str">
        <x:f t="shared" si="63">IF($A57="","",$BW57-$BY57)</x:f>
      </x:c>
      <x:c r="CA57" s="63" t="str">
        <x:f t="shared" si="64">IF($A57="","",IF($AR57&gt;1,$BW57*$AR57-1,""))</x:f>
      </x:c>
      <x:c r="CB57" s="63" t="str">
        <x:f>IF($A57="","",MIN(1,COUNT($I57:$AN57,$AR57:$BG57)/'Setari model'!$B$46))</x:f>
      </x:c>
      <x:c r="CC57" s="63" t="str">
        <x:f t="shared" si="65">IF($A57="","",0.25*MIN(1,$I57/10)+0.25*MIN(1,$P57/10)+0.15*MIN(1,$W57/5)+0.15*MIN(1,$AB57/5)+0.1*MIN(1,$AG57/5)+0.1*MIN(1,$AN57/100))</x:f>
      </x:c>
      <x:c r="CD57" s="63" t="str">
        <x:f>IF($A57="","",MAX(0,1-(MAX($BJ57:$BN57,$BP57)-MIN($BJ57:$BN57,$BP57))/(AVERAGE($BJ57:$BN57,$BP57)*'Setari model'!$B$45)))</x:f>
      </x:c>
      <x:c r="CE57" s="66" t="str">
        <x:f>IF($A57="","",MAX(0,MIN(100,100*INDEX('Setari model'!$I$5:$I$11,MATCH($E57,'Setari model'!$A$5:$A$11,0))*('Setari model'!$B$47*$CB57+'Setari model'!$B$48*$CC57+'Setari model'!$B$49*$CD57+'Setari model'!$B$50*$AT57/5+'Setari model'!$B$51*$AU57)-100*'Setari model'!$B$52*$BG57)))</x:f>
      </x:c>
      <x:c r="CF57" s="65" t="str">
        <x:f t="shared" si="66">IF($A57="","",IF(OR($AT57&lt;3,$BG57&gt;=2,$CB57&lt;0.55,$CC57&lt;0.4),"RIDICAT",IF(OR($AU57=0,$CD57&lt;0.45,$BR57&lt;0.9),"MEDIU","SCĂZUT")))</x:f>
      </x:c>
      <x:c r="CG57" s="65" t="str">
        <x:f>IF($A57="","",IF($AR57&gt;1,IF(AND($BW57&gt;= 'Setari model'!$B$35,$CE57&gt;=100*'Setari model'!$B$36,$BZ57&gt;= 'Setari model'!$B$37,$CA57&gt;= 'Setari model'!$B$38,$CF57&lt;&gt;"RIDICAT"),"PARIU RECOMANDAT",IF(AND($BW57&gt;= 'Setari model'!$B$39,$CE57&gt;=100*'Setari model'!$B$40,$BZ57&gt;= 'Setari model'!$B$41,$CA57&gt;=0,$CF57&lt;&gt;"RIDICAT"),"RECOMANDAT CU PRUDENȚĂ",IF(AND($BW57&gt;= 'Setari model'!$B$42,$CE57&gt;=100*'Setari model'!$B$43),"ANALIZĂ NECONCLUDENTĂ","PARIU EVITAT"))),IF(AND($BW57&gt;= 'Setari model'!$B$35,$CE57&gt;=100*'Setari model'!$B$36,$CF57&lt;&gt;"RIDICAT"),"FAVORABIL STATISTIC – VERIFICĂ COTA",IF(AND($BW57&gt;= 'Setari model'!$B$42,$CE57&gt;=100*'Setari model'!$B$43),"ANALIZĂ NECONCLUDENTĂ","PARIU EVITAT"))))</x:f>
      </x:c>
      <x:c r="CH57" s="67" t="str">
        <x:f t="shared" si="67">IF($A57="","","P(O0,5)="&amp;TEXT($BW57,"0.0%")&amp;"; λ ajustat="&amp;TEXT($BS57,"0.00")&amp;"; Confidence="&amp;TEXT($CE57,"0")&amp;"/100; Edge="&amp;TEXT($BZ57,"0.0%")&amp;"; risc="&amp;$CF57&amp;". "&amp;$BH57)</x:f>
      </x:c>
      <x:c r="CI57" s="68" t="str">
        <x:f t="shared" si="68">IF($A57="","",$BI57)</x:f>
      </x:c>
      <x:c r="CJ57" s="112"/>
      <x:c r="CK57" s="112"/>
      <x:c r="CL57" s="112"/>
      <x:c r="CM57" s="112"/>
      <x:c r="CN57" s="112"/>
      <x:c r="CO57" s="112"/>
      <x:c r="CP57" s="112"/>
      <x:c r="CQ57" s="112"/>
      <x:c r="CR57" s="112"/>
      <x:c r="CS57" s="112"/>
      <x:c r="CT57" s="112"/>
      <x:c r="CU57" s="112"/>
      <x:c r="CV57" s="112"/>
      <x:c r="CW57" s="112"/>
      <x:c r="CX57" s="112"/>
      <x:c r="CY57" s="112"/>
      <x:c r="CZ57" s="112"/>
      <x:c r="DA57" s="112"/>
      <x:c r="DB57" s="112"/>
      <x:c r="DC57" s="114"/>
      <x:c r="DD57" s="114"/>
      <x:c r="DE57" s="112" t="s">
        <x:v>266</x:v>
      </x:c>
      <x:c r="DF57" s="112"/>
      <x:c r="DG57" s="112"/>
      <x:c r="DH57" s="112"/>
      <x:c r="DI57" s="112"/>
      <x:c r="DJ57" s="112"/>
      <x:c r="DK57" s="112"/>
      <x:c r="DL57" s="112"/>
      <x:c r="DM57" s="112"/>
      <x:c r="DN57" s="112"/>
      <x:c r="DO57" s="112"/>
      <x:c r="DP57" s="112"/>
      <x:c r="DQ57" s="114"/>
      <x:c r="DR57" s="112">
        <x:v>1</x:v>
      </x:c>
      <x:c r="DS57" s="116">
        <x:v>0</x:v>
      </x:c>
      <x:c r="DT57" s="120"/>
      <x:c r="DU57" s="116">
        <x:v>0.02</x:v>
      </x:c>
      <x:c r="DV57" s="116">
        <x:v>0.25</x:v>
      </x:c>
      <x:c r="DW57" s="118" t="str">
        <x:f>IF($A57="","",MAX('Setari model'!$B$71,MIN('Setari model'!$B$72,1+0.08*(IFERROR(AVERAGE($CM57:$CN57)/'Setari model'!$B$66,1)-1)+0.08*(IFERROR(AVERAGE($CO57:$CP57)/'Setari model'!$B$67,1)-1)+0.06*(IFERROR(AVERAGE($CQ57:$CR57)/'Setari model'!$B$68,1)-1)+0.04*(IFERROR(AVERAGE($CS57:$CT57)/'Setari model'!$B$69,1)-1)+0.04*(IFERROR(AVERAGE($CU57:$CV57)/'Setari model'!$B$70,1)-1)-'Setari model'!$B$73*IFERROR(AVERAGE($CW57:$CX57),0))))</x:f>
      </x:c>
      <x:c r="DX57" s="118" t="str">
        <x:f>IF($A57="","",1+'Setari model'!$B$62*MAX(IF(OR($CK57=1,$CL57=1),1,0),IF(AND($CJ57&lt;&gt;"",$CJ57&lt;=1),1,0))+'Setari model'!$B$63*IF(AND($CJ57&gt;1,$CJ57&lt;=3),1,0))</x:f>
      </x:c>
      <x:c r="DY57" s="118" t="str">
        <x:f>IF($A57="","",1+'Setari model'!$B$74*(IF($CY57="",0,IF($CY57=0,1,0))+IF($CZ57="",0,IF($CZ57=0,1,0)))+'Setari model'!$B$75*(IF($DA57="",0,IF($DA57=0,1,0))+IF($DB57="",0,IF($DB57=0,1,0))))</x:f>
      </x:c>
      <x:c r="DZ57" s="117" t="str">
        <x:f>IF($A57="","",MIN(0.6,MAX(0.002,(((1-'Setari model'!$B$34*MIN(1,($I57+$P57)/20))*$BT57+'Setari model'!$B$34*MIN(1,($I57+$P57)/20)*IF(COUNT($N57,$U57)=2,SQRT(MAX(0,1-$N57)*MAX(0,1-$U57)),$BT57))*(1-'Setari model'!$B$65*MIN(1,IF($AN57="",0,$AN57/'Setari model'!$B$64)))+'Setari model'!$B$65*MIN(1,IF($AN57="",0,$AN57/'Setari model'!$B$64))*IF($AM57="",$BT57,$AM57))*$DX57*$DY57/$DW57)))</x:f>
      </x:c>
      <x:c r="EA57" s="117" t="str">
        <x:f>IF($A57="","",MIN(1-$DZ57,IF(OR(MIN($I57,$P57)&lt;'Setari model'!$B$58,$CK57=1,$CL57=1,AND($CJ57&lt;&gt;"",$CJ57&lt;=1)),'Setari model'!$B$59,IF(AND($AU57=1,$AR57&gt;1,COUNT($CY57:$DB57)=4),'Setari model'!$B$61,'Setari model'!$B$60))))</x:f>
      </x:c>
      <x:c r="EB57" s="115" t="str">
        <x:f t="shared" si="69">IF($A57="","",1/$EA57)</x:f>
      </x:c>
      <x:c r="EC57" s="117" t="str">
        <x:f t="shared" si="70">IF($A57="","",IF($AR57&gt;1,IF($AS57&gt;1,(1/$AR57)/((1/$AR57)+(1/$AS57)),1/$AR57),""))</x:f>
      </x:c>
      <x:c r="ED57" s="117" t="str">
        <x:f t="shared" si="71">IF($A57="","",IF($EC57="","",$EA57-$EC57))</x:f>
      </x:c>
      <x:c r="EE57" s="117" t="str">
        <x:f t="shared" si="72">""</x:f>
      </x:c>
      <x:c r="EF57" s="119" t="str">
        <x:f>IF($A57="","",MAX(0,MIN(100,$CE57-200*MAX(0,$EG57-'Setari model'!$B$77)-IF($AU57&lt;&gt;1,10,0)-IF(COUNT($CY57:$DB57)&lt;4,4,0))))</x:f>
      </x:c>
      <x:c r="EG57" s="117" t="str">
        <x:f>IF($A57="","",'Setari model'!$B$77+IF(MIN($I57,$P57)&lt;'Setari model'!$B$58,0.03,0)+IF(OR($CK57=1,$CL57=1,AND($CJ57&lt;&gt;"",$CJ57&lt;=1)),0.03,0)+IF($AG57=0,0.02,0)+0.03*(1-MIN(1,COUNT($CM57:$CV57)/10))+0.03*(1-MIN(1,IF($AN57="",0,$AN57/'Setari model'!$B$64)))+IF($AR57&lt;=1,0.02,0))</x:f>
      </x:c>
      <x:c r="EH57" s="113" t="str">
        <x:f>IF($A57="","",IF(OR(MIN($I57,$P57)&lt;'Setari model'!$B$58,$CK57=1,$CL57=1,AND($CJ57&lt;&gt;"",$CJ57&lt;=1)),"92% – early/regim",IF(AND($AU57=1,$AR57&gt;1,COUNT($CY57:$DB57)=4),"94% – confirmat","93% – standard")))</x:f>
      </x:c>
      <x:c r="EI57" s="113" t="str">
        <x:f t="shared" si="73">IF($A57="","",IF(AND($EA57&gt;0.9,$AU57&lt;&gt;1),"WAIT XI – HIGH P",IF(AND($EA57&gt;0.9,COUNT($CY57:$DB57)&lt;4),"WAIT DATE CHEIE – HIGH P",IF($EP57&lt;&gt;"DA","NU – PORTOFOLIU","DA"))))</x:f>
      </x:c>
      <x:c r="EJ57" s="117" t="str">
        <x:f t="shared" si="74">IF($A57="","",IF($DE57&lt;&gt;"Live 20-30","",IF(SUM($DG57:$DH57)&gt;0,1,IF($EU57="","",1-MIN(0.95,MAX(0.001,EXP(-$EU57)*$DX57*$DY57/$DW57))))))</x:f>
      </x:c>
      <x:c r="EK57" s="117" t="str">
        <x:f t="shared" si="75">""</x:f>
      </x:c>
      <x:c r="EL57" s="113" t="str">
        <x:f>IF($A57="","",IF($DE57="Live 20-30",IF(SUM($DG57:$DH57)&gt;0,"EVENIMENT ÎNDEPLINIT",IF(OR($DF57="",COUNT($DI57:$DN57)&lt;4),"LIVE – WATCH",IF($EJ57&gt;=0.75,"LIVE – FEZABIL TEHNIC","LIVE – NO BET"))),IF($EI57&lt;&gt;"DA","WATCH / NO BET",IF(AND($EA57&gt;=INDEX('Setari model'!$B$35:$B$40,1),$EF57&gt;=100*'Setari model'!$B$76),"PARIU RECOMANDAT",IF(AND($EA57&gt;=INDEX('Setari model'!$B$35:$B$40,5),$EF57&gt;=100*'Setari model'!$B$40),"WATCH – APROAPE DE PRAG","PARIU EVITAT")))))</x:f>
      </x:c>
      <x:c r="EM57" s="113" t="str">
        <x:f t="shared" si="76">IF($A57="","",IF($DE57="Live 20-30",IF(SUM($DG57:$DH57)&gt;0,"Gol deja marcat.",IF($DF57="","Minut live lipsă.",IF(COUNT($DI57:$DN57)&lt;4,"Lipsesc xG/SOT/big chances live.",IF($EJ57&lt;0.75,"P live sub prag.","Semnal live tehnic complet; EV ignorat.")))),IF($EI57&lt;&gt;"DA",$EI57,IF($EF57&lt;75,"Confidence sub 75.",IF($EA57&lt;0.92,"P sub 92%.","G0/Zero-Mass + confidence trecute; EV ignorat.")))))</x:f>
      </x:c>
      <x:c r="EN57" s="117" t="str">
        <x:f>IF($A57="","",IF(OR($EL57="PARIU RECOMANDAT",$EL57="LIVE – FEZABIL"),MIN(IF($DU57&gt;0,$DU57,'Setari model'!$B$81)/MAX(1,$DR57),IF($DV57&gt;0,$DV57,'Setari model'!$B$80)*MAX(0,((IF($DE57="Live 20-30",$EJ57,$EA57)*IF($DE57="Live 20-30",$DQ57,$AR57)-1)/(IF($DE57="Live 20-30",$DQ57,$AR57)-1)))),0))</x:f>
      </x:c>
      <x:c r="EO57" s="121" t="str">
        <x:f t="shared" si="77">IF($A57="","",IF(AND($EN57&gt;0,$DT57&gt;0),$EN57*$DT57,""))</x:f>
      </x:c>
      <x:c r="EP57" s="113" t="str">
        <x:f>IF($A57="","",IF(OR($DR57&lt;1,$DR57&gt;'Setari model'!$B$78),"NU – 1–5 selecții",IF($DS57&gt;'Setari model'!$B$79,"NU – corelație", "DA")))</x:f>
      </x:c>
      <x:c r="EQ57" s="117" t="str">
        <x:f t="shared" si="78">IF($A57="","",IF(AND($DC57&gt;1,$DD57&gt;1),$DC57/$DD57-1,""))</x:f>
      </x:c>
      <x:c r="ER57" s="113" t="str">
        <x:f t="shared" si="79">IF($A57="","","P v2="&amp;TEXT($EA57,"0.0%")&amp;" ±"&amp;TEXT($EG57,"0.0%")&amp;"; P0 ZIP="&amp;TEXT($DZ57,"0.0%")&amp;"; Confidence="&amp;TEXT($EF57,"0")&amp;"/100; piață reală="&amp;IF($EC57="","NU","DA")&amp;"; EV="&amp;IF($EE57="","n/a",TEXT($EE57,"0.0%"))&amp;"; gate="&amp;$EI57&amp;"; verdict="&amp;$EL57&amp;". "&amp;$EM57)</x:f>
      </x:c>
      <x:c r="ES57" s="119" t="str">
        <x:f>IF($A57="","",'Setari model'!$B$82)</x:f>
      </x:c>
      <x:c r="ET57" s="118" t="str">
        <x:f>IF($A57="","",'Setari model'!$B$83)</x:f>
      </x:c>
      <x:c r="EU57" s="115" t="str">
        <x:f t="shared" si="80">IF(OR($A57="",$DE57&lt;&gt;"Live 20-30",$DF57="",$DF57&lt;$ES57,$DF57&gt;=90),"",MAX(0.05,MIN($BS57*$ET57,$BS57*(90-$DF57)/90+0.35*($DI57+$DJ57)+0.06*($DK57+$DL57)+0.15*($DM57+$DN57)+0.1*(MAX($DO57,$DP57)-MIN($DO57,$DP57)))))</x:f>
      </x:c>
      <x:c r="EV57" s="132"/>
      <x:c r="EW57" s="132"/>
      <x:c r="EX57" s="132"/>
      <x:c r="EY57" s="132"/>
      <x:c r="EZ57" s="132"/>
      <x:c r="FA57" s="132"/>
      <x:c r="FB57" s="247"/>
      <x:c r="FC57" s="134" t="str">
        <x:f t="shared" si="81">IF($A57="","",IF(OR($J57="",$L57="",$L57&lt;=0),"",MAX(0.5,MIN(1.5,$J57/$L57))))</x:f>
      </x:c>
      <x:c r="FD57" s="134" t="str">
        <x:f t="shared" si="82">IF($A57="","",IF(OR($Q57="",$S57="",$S57&lt;=0),"",MAX(0.5,MIN(1.5,$Q57/$S57))))</x:f>
      </x:c>
      <x:c r="FE57" s="134" t="str">
        <x:f>IF($A57="","",IF(COUNT($EV57:$EW57)&lt;2,"",SQRT($EV57*$EW57)/'Setari model'!$B$87))</x:f>
      </x:c>
      <x:c r="FF57" s="134" t="str">
        <x:f>IF($A57="","",IF(COUNT($O57,$V57,$EX57,$EY57)&lt;4,"",AVERAGE(SQRT($O57*$EY57),SQRT($V57*$EX57))/'Setari model'!$B$88))</x:f>
      </x:c>
      <x:c r="FG57" s="134" t="str">
        <x:f t="shared" si="83">IF($A57="","",IF(COUNT($FC57:$FD57)&lt;2,"",MAX(0,1-AVERAGE($FC57:$FD57))))</x:f>
      </x:c>
      <x:c r="FH57" s="134" t="str">
        <x:f>IF($A57="","",IF(COUNT($EZ57:$FA57)&lt;2,"",'Setari model'!$B$94*AVERAGE($EZ57:$FA57)/'Setari model'!$B$89))</x:f>
      </x:c>
      <x:c r="FI57" s="134" t="str">
        <x:f>IF($A57="","",IF(COUNT($FE57:$FH57)&lt;4,"",MAX('Setari model'!$B$97,MIN('Setari model'!$B$98,1+'Setari model'!$B$90*($FE57-1)+'Setari model'!$B$91*($FF57-1)+'Setari model'!$B$92*$FG57+'Setari model'!$B$93*($FH57-1)))))</x:f>
      </x:c>
      <x:c r="FJ57" s="133" t="str">
        <x:f>IF($A57="","",IF($FI57="","",MIN('Setari model'!$B$101,MAX(0.002,$DZ57*$FI57))))</x:f>
      </x:c>
      <x:c r="FK57" s="131" t="str">
        <x:f t="shared" si="84">IF($A57="","",IF(AND(COUNT($EV57:$FA57)=6,COUNT($O57,$V57,$FC57,$FD57)=4),"DA","NU"))</x:f>
      </x:c>
      <x:c r="FL57" s="131" t="str">
        <x:f>IF($A57="","",IF($FK57&lt;&gt;"DA","NEDETERMINAT",IF($FI57&lt;='Setari model'!$B$99,"SCĂZUT",IF($FI57&lt;='Setari model'!$B$100,"MEDIU","RIDICAT"))))</x:f>
      </x:c>
      <x:c r="FM57" s="131" t="str">
        <x:f>IF($A57="","",IF(AND($AR57&gt;1,$EC57&gt;='Setari model'!$B$106),"DA","NU"))</x:f>
      </x:c>
      <x:c r="FN57" s="131" t="str">
        <x:f t="shared" si="85">IF($A57="","",IF(AND($AU57=1,COUNT($CY57:$DB57)=4),"DA","NU"))</x:f>
      </x:c>
      <x:c r="FO57" s="133" t="str">
        <x:f>IF($A57="","",IF(OR($FK57&lt;&gt;"DA",$FL57="RIDICAT"),'Setari model'!$B$102,IF($FL57="MEDIU",'Setari model'!$B$103,IF(AND($FM57="DA",$FN57="DA"),'Setari model'!$B$105,'Setari model'!$B$104))))</x:f>
      </x:c>
      <x:c r="FP57" s="133" t="str">
        <x:f t="shared" si="86">IF($A57="","",IF($FJ57="","",MIN(1-$FJ57,$FO57)))</x:f>
      </x:c>
      <x:c r="FQ57" s="135" t="str">
        <x:f t="shared" si="87">IF($A57="","",IF($FP57="","",IF($FP57&gt;0,1/$FP57,"")))</x:f>
      </x:c>
      <x:c r="FR57" s="133" t="str">
        <x:f t="shared" si="88">IF($A57="","",IF($EC57="","",$FP57-$EC57))</x:f>
      </x:c>
      <x:c r="FS57" s="133" t="str">
        <x:f t="shared" si="89">IF($A57="","",IF($AR57&gt;1,$FP57*$AR57-1,""))</x:f>
      </x:c>
      <x:c r="FT57" s="136" t="str">
        <x:f>IF($A57="","",MAX(0,MIN(100,$EF57-IF($FK57&lt;&gt;"DA",'Setari model'!$B$107,0)-IF($FL57="MEDIU",'Setari model'!$B$108,0)-IF($FL57="RIDICAT",'Setari model'!$B$109,0))))</x:f>
      </x:c>
      <x:c r="FU57" s="131" t="str">
        <x:f t="shared" si="90">IF($A57="","",IF($AR57&lt;=1,"NU – LIPSEȘTE COTA REALĂ",IF($FK57&lt;&gt;"DA","NU – ZERO-RISK INCOMPLET",IF($FL57&lt;&gt;"SCĂZUT","NU – RISC 0-0 "&amp;$FL57,IF($FN57&lt;&gt;"DA","NU – LINEUP NECONFIRMAT",IF($FM57&lt;&gt;"DA","NU – PIAȚĂ NECONFIRMATĂ",IF($EP57&lt;&gt;"DA","NU – PORTOFOLIU","DA")))))))</x:f>
      </x:c>
      <x:c r="FV57" s="131" t="str">
        <x:f>IF($A57="","",IF($FU57&lt;&gt;"DA","WATCH / NO BET",IF(AND($FP57&gt;='Setari model'!$B$35,$FT57&gt;=100*'Setari model'!$B$76,$FS57&gt;0),"PARIU RECOMANDAT",IF(AND($FP57&gt;='Setari model'!$B$39,$FT57&gt;=100*'Setari model'!$B$40,$FS57&gt;0),"WATCH – APROAPE DE PRAG","PARIU EVITAT"))))</x:f>
      </x:c>
      <x:c r="FW57" s="131" t="str">
        <x:f t="shared" si="91">IF($A57="","",IF($FU57&lt;&gt;"DA",$FU57,IF($FT57&lt;75,"Confidence v3 sub 75.",IF($FP57&lt;0.92,"P v3 sub 92%.",IF($FS57&lt;=0,"EV v3 nepozitiv.","P0 v3, lineup și piață confirmate.")))))</x:f>
      </x:c>
      <x:c r="FX57" s="131" t="str">
        <x:f t="shared" si="92">IF($A57="","","P v3="&amp;TEXT($FP57,"0.0%")&amp;"; P0 v3="&amp;TEXT($FJ57,"0.0%")&amp;"; factor zero="&amp;IF($FI57="","n/a",TEXT($FI57,"0.00x"))&amp;" ("&amp;$FL57&amp;"); cap="&amp;TEXT($FO57,"0.0%")&amp;"; Confidence="&amp;TEXT($FT57,"0")&amp;"/100; lineup="&amp;$FN57&amp;"; piață="&amp;$FM57&amp;"; EV="&amp;IF($FS57="","n/a",TEXT($FS57,"0.0%"))&amp;"; gate="&amp;$FU57&amp;"; verdict="&amp;$FV57&amp;". "&amp;$FW57)</x:f>
      </x:c>
      <x:c r="FY57" s="159"/>
      <x:c r="FZ57" s="159"/>
      <x:c r="GA57" s="157"/>
      <x:c r="GB57" s="157"/>
      <x:c r="GC57" s="161" t="str">
        <x:f t="shared" si="93">IF($A57="","",IF(OR($X57="",$Z57="",$Z57&lt;=0),"",MAX(0.5,MIN(1.5,$X57/$Z57))))</x:f>
      </x:c>
      <x:c r="GD57" s="161" t="str">
        <x:f t="shared" si="94">IF($A57="","",IF(OR($AC57="",$AE57="",$AE57&lt;=0),"",MAX(0.5,MIN(1.5,$AC57/$AE57))))</x:f>
      </x:c>
      <x:c r="GE57" s="162" t="str">
        <x:f t="shared" si="95">IF($A57="","",IF(COUNT($Z57,$AE57)&lt;2,"",AVERAGE($Z57,$AE57)))</x:f>
      </x:c>
      <x:c r="GF57" s="158" t="str">
        <x:f>IF($A57="","",IF(COUNT($FY57:$FZ57)&lt;2,"NEDETERMINAT",IF(AND($FY57&gt;='Setari model'!$B$113,$FZ57&gt;='Setari model'!$B$113),"DA","NU")))</x:f>
      </x:c>
      <x:c r="GG57" s="158" t="str">
        <x:f>IF($A57="","",IF(COUNT($FY57:$FZ57,$EX57:$EY57)&lt;4,"NEDETERMINAT",IF(OR(AND($FY57&gt;='Setari model'!$B$113,$EY57&gt;='Setari model'!$B$114),AND($FZ57&gt;='Setari model'!$B$113,$EX57&gt;='Setari model'!$B$114)),"DA","NU")))</x:f>
      </x:c>
      <x:c r="GH57" s="158" t="str">
        <x:f>IF($A57="","",IF(COUNT($BJ57:$BN57,$GC57:$GE57)&lt;8,"NEDETERMINAT",IF(AND((($BJ57*INDEX('Setari model'!$B$5:$B$11,MATCH($E57,'Setari model'!$A$5:$A$11,0))+$BK57*INDEX('Setari model'!$C$5:$C$11,MATCH($E57,'Setari model'!$A$5:$A$11,0))+$BL57*INDEX('Setari model'!$D$5:$D$11,MATCH($E57,'Setari model'!$A$5:$A$11,0))+$BM57*INDEX('Setari model'!$E$5:$E$11,MATCH($E57,'Setari model'!$A$5:$A$11,0))+$BN57*INDEX('Setari model'!$F$5:$F$11,MATCH($E57,'Setari model'!$A$5:$A$11,0)))/(INDEX('Setari model'!$B$5:$B$11,MATCH($E57,'Setari model'!$A$5:$A$11,0))+INDEX('Setari model'!$C$5:$C$11,MATCH($E57,'Setari model'!$A$5:$A$11,0))+INDEX('Setari model'!$D$5:$D$11,MATCH($E57,'Setari model'!$A$5:$A$11,0))+INDEX('Setari model'!$E$5:$E$11,MATCH($E57,'Setari model'!$A$5:$A$11,0))+INDEX('Setari model'!$F$5:$F$11,MATCH($E57,'Setari model'!$A$5:$A$11,0))))*$BR57&gt;='Setari model'!$B$115,(($BJ57*INDEX('Setari model'!$B$5:$B$11,MATCH($E57,'Setari model'!$A$5:$A$11,0))+$BK57*INDEX('Setari model'!$C$5:$C$11,MATCH($E57,'Setari model'!$A$5:$A$11,0))+$BL57*INDEX('Setari model'!$D$5:$D$11,MATCH($E57,'Setari model'!$A$5:$A$11,0))+$BM57*INDEX('Setari model'!$E$5:$E$11,MATCH($E57,'Setari model'!$A$5:$A$11,0))+$BN57*INDEX('Setari model'!$F$5:$F$11,MATCH($E57,'Setari model'!$A$5:$A$11,0)))/(INDEX('Setari model'!$B$5:$B$11,MATCH($E57,'Setari model'!$A$5:$A$11,0))+INDEX('Setari model'!$C$5:$C$11,MATCH($E57,'Setari model'!$A$5:$A$11,0))+INDEX('Setari model'!$D$5:$D$11,MATCH($E57,'Setari model'!$A$5:$A$11,0))+INDEX('Setari model'!$E$5:$E$11,MATCH($E57,'Setari model'!$A$5:$A$11,0))+INDEX('Setari model'!$F$5:$F$11,MATCH($E57,'Setari model'!$A$5:$A$11,0))))*$BR57&lt;='Setari model'!$B$116,AVERAGE($GC57:$GD57)&lt;='Setari model'!$B$117,$GE57&gt;='Setari model'!$B$118),"DA","NU")))</x:f>
      </x:c>
      <x:c r="GI57" s="158" t="str">
        <x:f>IF($A57="","",IF(COUNT($W57,$AB57,$GA57:$GB57)&lt;4,"NEDETERMINAT",IF(AND($W57&gt;='Setari model'!$B$120,$AB57&gt;='Setari model'!$B$120,OR(IFERROR($GA57/$W57,0)&gt;='Setari model'!$B$119,IFERROR($GB57/$AB57,0)&gt;='Setari model'!$B$119)),"DA","NU")))</x:f>
      </x:c>
      <x:c r="GJ57" s="160" t="str">
        <x:f>IF($A57="","",IF(COUNT($FY57:$GB57)&lt;4,"",IF($GH57&lt;&gt;"DA",0,'Setari model'!$B$121*IF($GF57="DA",1,0)+'Setari model'!$B$122*IF($GG57="DA",1,0)+'Setari model'!$B$123+'Setari model'!$B$124*IF($GI57="DA",1,0))))</x:f>
      </x:c>
      <x:c r="GK57" s="161" t="str">
        <x:f>IF($A57="","",IF(COUNT($GJ57)=0,"",1+'Setari model'!$B$125*$GJ57))</x:f>
      </x:c>
      <x:c r="GL57" s="160" t="str">
        <x:f>IF($A57="","",IF($GM57&lt;&gt;"DA",$FJ57,MIN('Setari model'!$B$101,MAX(0.002,$FJ57*$GK57))))</x:f>
      </x:c>
      <x:c r="GM57" s="158" t="str">
        <x:f>IF($A57="","",IF(AND($FK57="DA",COUNT($FY57:$GB57)=4,COUNT($I57,$P57,$W57,$AB57,$Z57,$AE57,$EX57,$EY57,$GC57,$GD57)=10,COUNT($BJ57:$BN57)=5),"DA","NU"))</x:f>
      </x:c>
      <x:c r="GN57" s="158" t="str">
        <x:f>IF($A57="","",IF($GM57&lt;&gt;"DA","NEDETERMINAT",IF($FI57*$GK57&lt;='Setari model'!$B$99,"SCĂZUT",IF($FI57*$GK57&lt;='Setari model'!$B$100,"MEDIU","RIDICAT"))))</x:f>
      </x:c>
      <x:c r="GO57" s="160" t="str">
        <x:f>IF($A57="","",IF(OR($GM57&lt;&gt;"DA",$GN57="RIDICAT"),'Setari model'!$B$102,IF($GN57="MEDIU",'Setari model'!$B$103,IF(AND($FM57="DA",$FN57="DA"),'Setari model'!$B$105,'Setari model'!$B$104))))</x:f>
      </x:c>
      <x:c r="GP57" s="160" t="str">
        <x:f t="shared" si="96">IF($A57="","",IF($GL57="","",MIN(1-$GL57,$GO57)))</x:f>
      </x:c>
      <x:c r="GQ57" s="162" t="str">
        <x:f t="shared" si="97">IF($A57="","",IF($GP57="","",IF($GP57&gt;0,1/$GP57,"")))</x:f>
      </x:c>
      <x:c r="GR57" s="160" t="str">
        <x:f t="shared" si="98">IF($A57="","",IF($EC57="","",$GP57-$EC57))</x:f>
      </x:c>
      <x:c r="GS57" s="160" t="str">
        <x:f t="shared" si="99">IF($A57="","",IF($AR57&gt;1,$GP57*$AR57-1,""))</x:f>
      </x:c>
      <x:c r="GT57" s="163" t="str">
        <x:f>IF($A57="","",MAX(0,MIN(100,$FT57-IF(AND($GM57&lt;&gt;"DA",$FK57="DA"),'Setari model'!$B$107,0)-'Setari model'!$B$126*IF($GJ57="",0,$GJ57))))</x:f>
      </x:c>
      <x:c r="GU57" s="158" t="str">
        <x:f t="shared" si="100">IF($A57="","",IF($AR57&lt;=1,"NU – LIPSEȘTE COTA REALĂ",IF($GM57&lt;&gt;"DA","NU – DATE LOW-CONVERSION INCOMPLETE",IF($GN57&lt;&gt;"SCĂZUT","NU – RISC 0-0 "&amp;$GN57,IF($FN57&lt;&gt;"DA","NU – LINEUP NECONFIRMAT",IF($FM57&lt;&gt;"DA","NU – PIAȚĂ NECONFIRMATĂ",IF($EP57&lt;&gt;"DA","NU – PORTOFOLIU","DA")))))))</x:f>
      </x:c>
      <x:c r="GV57" s="158" t="str">
        <x:f>IF($A57="","",IF($GU57&lt;&gt;"DA","WATCH / NO BET",IF(AND($GP57&gt;='Setari model'!$B$35,$GT57&gt;=100*'Setari model'!$B$76,$GS57&gt;0),"PARIU RECOMANDAT",IF(AND($GP57&gt;='Setari model'!$B$39,$GT57&gt;=100*'Setari model'!$B$40,$GS57&gt;0),"WATCH – APROAPE DE PRAG","PARIU EVITAT"))))</x:f>
      </x:c>
      <x:c r="GW57" s="158" t="str">
        <x:f t="shared" si="101">IF($A57="","",IF($GU57&lt;&gt;"DA",$GU57,IF($GT57&lt;75,"Confidence v5 sub 75.",IF($GP57&lt;0.92,"P v5 sub 92%.",IF($GS57&lt;=0,"EV v5 nepozitiv.",IF($GJ57&gt;0,"Low-conversion absorbit în P0; toate porțile rămân trecute.","Toate porțile v5 sunt trecute."))))))</x:f>
      </x:c>
      <x:c r="GX57" s="158" t="str">
        <x:f t="shared" si="102">IF($A57="","","P v5="&amp;TEXT($GP57,"0.0%")&amp;"; P0 v5="&amp;TEXT($GL57,"0.0%")&amp;"; low-conv="&amp;IF(COUNT($GJ57)=0,"n/a",TEXT($GJ57,"0%"))&amp;"; mult.P0="&amp;IF(COUNT($GK57)=0,"n/a",TEXT($GK57,"0.00"))&amp;"; clasă="&amp;$GN57&amp;"; cap="&amp;TEXT($GO57,"0.0%")&amp;"; Confidence="&amp;TEXT($GT57,"0")&amp;"/100; lineup="&amp;$FN57&amp;"; piață="&amp;$FM57&amp;"; EV="&amp;IF($GS57="","n/a",TEXT($GS57,"0.0%"))&amp;"; gate="&amp;$GU57&amp;"; verdict="&amp;$GV57&amp;". "&amp;$GW57)</x:f>
      </x:c>
      <x:c r="GY57" s="174" t="str">
        <x:f>IF($A57="","",IF($GM57&lt;&gt;"DA","SOURCING INCOMPLETE – REVIEW REQUIRED",IF(MIN($I57,$P57,$W57,$AB57)&lt;'Setari model'!$B$58,"SMALL SAMPLE + PRIOR / SHRINKAGE","VERIFIED / PRIOR / SHRINKAGE")))</x:f>
      </x:c>
      <x:c r="GZ57" s="175" t="str">
        <x:f t="shared" si="103">IF($A57="","",MAX(0,MIN(100,100*(1-AVERAGE(IF($GM57="DA",1,0),MIN(1,$AT57/5))))))</x:f>
      </x:c>
      <x:c r="HA57" s="175" t="str">
        <x:f>IF($A57="","",IF($GM57&lt;&gt;"DA","",MAX(0,MIN(100,100*(($FI57*$GK57)-'Setari model'!$B$97)/('Setari model'!$B$98-'Setari model'!$B$97)))))</x:f>
      </x:c>
      <x:c r="HB57" s="175" t="str">
        <x:f>IF($A57="","",MAX(0,MIN(100,100*(ABS($BR57-1)/MAX(1-'Setari model'!$B$53,'Setari model'!$B$54-1)+MIN(1,$BG57/2))/2)))</x:f>
      </x:c>
      <x:c r="HC57" s="175" t="str">
        <x:f t="shared" si="104">IF($A57="","",MAX(0,MIN(100,100*(1-AVERAGE($CC57,MAX(0,1-(MAX($BJ57:$BN57)-MIN($BJ57:$BN57))/(AVERAGE($BJ57:$BN57)*'Setari model'!$B$45)))))))</x:f>
      </x:c>
      <x:c r="HD57" s="175" t="str">
        <x:f t="shared" si="105">IF($A57="","",MAX(0,MIN(100,100*MAX(IF($GJ57="",0,$GJ57),MIN(1,$BG57/2)))))</x:f>
      </x:c>
      <x:c r="HE57" s="175" t="str">
        <x:f>IF($A57="","",IF(COUNT($GZ57:$HD57)&lt;5,"",$GZ57*Risk_Classification!$E$28+$HA57*Risk_Classification!$E$29+$HB57*Risk_Classification!$E$30+$HC57*Risk_Classification!$E$31+$HD57*Risk_Classification!$E$32))</x:f>
      </x:c>
      <x:c r="HF57" s="176" t="str">
        <x:f t="shared" si="106">IF($A57="","",IF($HE57="","",IF($HE57&lt;=20,1,IF($HE57&lt;=40,2,IF($HE57&lt;=60,3,IF($HE57&lt;=80,4,5))))))</x:f>
      </x:c>
      <x:c r="HG57" s="176" t="str">
        <x:f t="shared" si="107">IF($A57="","",IF($GM57="DA","PASS","FAIL – DATE CRITICE ZERO-MASS INCOMPLETE"))</x:f>
      </x:c>
      <x:c r="HH57" s="176" t="str">
        <x:f t="shared" si="108">IF($A57="","",IF($HG57&lt;&gt;"PASS",5,$HF57))</x:f>
      </x:c>
      <x:c r="HI57" s="174" t="str">
        <x:f t="shared" si="109">IF($A57="","",IF($HH57="","N/A",IF($HH57=1,"DEFENSIV",IF($HH57=2,"PRUDENT",IF($HH57=3,"MODERAT",IF($HH57=4,"RIDICAT","WATCH / NO BET"))))))</x:f>
      </x:c>
      <x:c r="HJ57" s="177" t="str">
        <x:f t="shared" si="110">IF($A57="","","Data="&amp;$GY57&amp;"; DQ="&amp;TEXT($GZ57,"0.0")&amp;"; ZM="&amp;IF($HA57="","n/a",TEXT($HA57,"0.0"))&amp;"; Context="&amp;TEXT($HB57,"0.0")&amp;"; Uncertainty="&amp;TEXT($HC57,"0.0")&amp;"; Compound="&amp;TEXT($HD57,"0.0")&amp;"; Risk Score="&amp;IF($HE57="","n/a",TEXT($HE57,"0.0"))&amp;"; Base="&amp;IF($HF57="","n/a",$HF57)&amp;"; G0="&amp;$HG57&amp;"; Final="&amp;$HH57&amp;". Cota, EV si lineup sunt informative si nu intra in recomandare.")</x:f>
      </x:c>
      <x:c r="HK57" s="174" t="str">
        <x:f t="shared" si="111">IF($A57="","",$HI57)</x:f>
      </x:c>
    </x:row>
    <x:row r="58" ht="24" customHeight="1">
      <x:c r="A58" s="58"/>
      <x:c r="B58" s="24"/>
      <x:c r="C58" s="59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18"/>
      <x:c r="O58" s="18"/>
      <x:c r="P58" s="24"/>
      <x:c r="Q58" s="24"/>
      <x:c r="R58" s="24"/>
      <x:c r="S58" s="24"/>
      <x:c r="T58" s="24"/>
      <x:c r="U58" s="18"/>
      <x:c r="V58" s="18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24"/>
      <x:c r="AH58" s="24"/>
      <x:c r="AI58" s="18"/>
      <x:c r="AJ58" s="24"/>
      <x:c r="AK58" s="24"/>
      <x:c r="AL58" s="24"/>
      <x:c r="AM58" s="18"/>
      <x:c r="AN58" s="24"/>
      <x:c r="AO58" s="60"/>
      <x:c r="AP58" s="60"/>
      <x:c r="AQ58" s="60"/>
      <x:c r="AR58" s="60"/>
      <x:c r="AS58" s="60"/>
      <x:c r="AT58" s="24"/>
      <x:c r="AU58" s="24"/>
      <x:c r="AV58" s="24"/>
      <x:c r="AW58" s="24"/>
      <x:c r="AX58" s="24"/>
      <x:c r="AY58" s="24"/>
      <x:c r="AZ58" s="24"/>
      <x:c r="BA58" s="24"/>
      <x:c r="BB58" s="24"/>
      <x:c r="BC58" s="24"/>
      <x:c r="BD58" s="24"/>
      <x:c r="BE58" s="24"/>
      <x:c r="BF58" s="24"/>
      <x:c r="BG58" s="24"/>
      <x:c r="BH58" s="61"/>
      <x:c r="BI58" s="61"/>
      <x:c r="BJ58" s="62" t="str">
        <x:f>IF($A58="","",SQRT((($I58*IF($J58="",$AJ58,$J58)+'Setari model'!$B$30*$AJ58)/($I58+'Setari model'!$B$30))*(($P58*IF($R58="",$AJ58,$R58)+'Setari model'!$B$30*$AJ58)/($P58+'Setari model'!$B$30)))+SQRT((($P58*IF($Q58="",$AK58,$Q58)+'Setari model'!$B$30*$AK58)/($P58+'Setari model'!$B$30))*(($I58*IF($K58="",$AK58,$K58)+'Setari model'!$B$30*$AK58)/($I58+'Setari model'!$B$30))))</x:f>
      </x:c>
      <x:c r="BK58" s="62" t="str">
        <x:f>IF($A58="","",SQRT((($I58*IF($L58="",IF($J58="",$AJ58,$J58),$L58)+'Setari model'!$B$30*$AJ58)/($I58+'Setari model'!$B$30))*(($P58*IF($T58="",IF($R58="",$AJ58,$R58),$T58)+'Setari model'!$B$30*$AJ58)/($P58+'Setari model'!$B$30)))+SQRT((($P58*IF($S58="",IF($Q58="",$AK58,$Q58),$S58)+'Setari model'!$B$30*$AK58)/($P58+'Setari model'!$B$30))*(($I58*IF($M58="",IF($K58="",$AK58,$K58),$M58)+'Setari model'!$B$30*$AK58)/($I58+'Setari model'!$B$30))))</x:f>
      </x:c>
      <x:c r="BL58" s="62" t="str">
        <x:f>IF($A58="","",SQRT((($W58*IF($X58="",$AL58/2,$X58)+'Setari model'!$B$31*$AL58/2)/($W58+'Setari model'!$B$31))*(($AB58*IF($AD58="",$AL58/2,$AD58)+'Setari model'!$B$31*$AL58/2)/($AB58+'Setari model'!$B$31)))+SQRT((($AB58*IF($AC58="",$AL58/2,$AC58)+'Setari model'!$B$31*$AL58/2)/($AB58+'Setari model'!$B$31))*(($W58*IF($Y58="",$AL58/2,$Y58)+'Setari model'!$B$31*$AL58/2)/($W58+'Setari model'!$B$31))))</x:f>
      </x:c>
      <x:c r="BM58" s="62" t="str">
        <x:f>IF($A58="","",SQRT((($W58*IF($Z58="",IF($X58="",$AL58/2,$X58),$Z58)+'Setari model'!$B$31*$AL58/2)/($W58+'Setari model'!$B$31))*(($AB58*IF($AF58="",IF($AD58="",$AL58/2,$AD58),$AF58)+'Setari model'!$B$31*$AL58/2)/($AB58+'Setari model'!$B$31)))+SQRT((($AB58*IF($AE58="",IF($AC58="",$AL58/2,$AC58),$AE58)+'Setari model'!$B$31*$AL58/2)/($AB58+'Setari model'!$B$31))*(($W58*IF($AA58="",IF($Y58="",$AL58/2,$Y58),$AA58)+'Setari model'!$B$31*$AL58/2)/($W58+'Setari model'!$B$31))))</x:f>
      </x:c>
      <x:c r="BN58" s="62" t="str">
        <x:f t="shared" si="56">IF($A58="","",IF($AG58&gt;0,($AG58*IF($AH58="",$AL58,$AH58)+5*$AL58)/($AG58+5),$AL58))</x:f>
      </x:c>
      <x:c r="BO58" s="63" t="str">
        <x:f>IF($A58="","",IF($AR58&gt;1,IF($AS58&gt;1,(1/$AR58)/((1/$AR58+1/$AS58)),MIN(0.995,(1/$AR58)/(1+'Setari model'!$B$32))),1-EXP(-$AL58)))</x:f>
      </x:c>
      <x:c r="BP58" s="62" t="str">
        <x:f t="shared" si="57">IF($A58="","",-LN(1-$BO58))</x:f>
      </x:c>
      <x:c r="BQ58" s="62" t="str">
        <x:f>IF($A58="","",$BJ58*INDEX('Setari model'!$B$5:$B$11,MATCH($E58,'Setari model'!$A$5:$A$11,0))+$BK58*INDEX('Setari model'!$C$5:$C$11,MATCH($E58,'Setari model'!$A$5:$A$11,0))+$BL58*INDEX('Setari model'!$D$5:$D$11,MATCH($E58,'Setari model'!$A$5:$A$11,0))+$BM58*INDEX('Setari model'!$E$5:$E$11,MATCH($E58,'Setari model'!$A$5:$A$11,0))+$BN58*INDEX('Setari model'!$F$5:$F$11,MATCH($E58,'Setari model'!$A$5:$A$11,0))+$BP58*INDEX('Setari model'!$G$5:$G$11,MATCH($E58,'Setari model'!$A$5:$A$11,0)))</x:f>
      </x:c>
      <x:c r="BR58" s="64" t="str">
        <x:f>IF($A58="","",MAX('Setari model'!$B$53,MIN('Setari model'!$B$54,1+($AV58*'Setari model'!$B$15+$AW58*'Setari model'!$B$16+$AX58*'Setari model'!$B$17+$AY58*'Setari model'!$B$18+$AZ58*'Setari model'!$B$19+$BA58*'Setari model'!$B$20+$BB58*'Setari model'!$B$21+$BC58*'Setari model'!$B$22+$BD58*'Setari model'!$B$23+$BE58*'Setari model'!$B$24+$BF58*'Setari model'!$B$25)*INDEX('Setari model'!$H$5:$H$11,MATCH($E58,'Setari model'!$A$5:$A$11,0)))))</x:f>
      </x:c>
      <x:c r="BS58" s="62" t="str">
        <x:f t="shared" si="58">IF($A58="","",$BQ58*$BR58)</x:f>
      </x:c>
      <x:c r="BT58" s="63" t="str">
        <x:f t="shared" si="59">IF($A58="","",EXP(-$BS58))</x:f>
      </x:c>
      <x:c r="BU58" s="65" t="str">
        <x:f>IF($A58="","",IF(OR($AM58="",$AN58=""),1,1+MIN('Setari model'!$B$33,$AN58/100*'Setari model'!$B$33)*($AM58/EXP(-$AL58)-1)))</x:f>
      </x:c>
      <x:c r="BV58" s="63" t="str">
        <x:f>IF($A58="","",MIN(0.45,MAX(0.005,(1-'Setari model'!$B$34*MIN(1,($I58+$P58)/20))*MIN(0.45,$BT58*$BU58)+'Setari model'!$B$34*MIN(1,($I58+$P58)/20)*IF(COUNT($N58,$U58)=2,SQRT(MAX(0,1-$N58)*MAX(0,1-$U58)),IF($AM58="",EXP(-$AL58),$AM58)))))</x:f>
      </x:c>
      <x:c r="BW58" s="63" t="str">
        <x:f t="shared" si="60">IF($A58="","",1-$BV58)</x:f>
      </x:c>
      <x:c r="BX58" s="62" t="str">
        <x:f t="shared" si="61">IF($A58="","",1/$BW58)</x:f>
      </x:c>
      <x:c r="BY58" s="63" t="str">
        <x:f t="shared" si="62">IF($A58="","",$BO58)</x:f>
      </x:c>
      <x:c r="BZ58" s="63" t="str">
        <x:f t="shared" si="63">IF($A58="","",$BW58-$BY58)</x:f>
      </x:c>
      <x:c r="CA58" s="63" t="str">
        <x:f t="shared" si="64">IF($A58="","",IF($AR58&gt;1,$BW58*$AR58-1,""))</x:f>
      </x:c>
      <x:c r="CB58" s="63" t="str">
        <x:f>IF($A58="","",MIN(1,COUNT($I58:$AN58,$AR58:$BG58)/'Setari model'!$B$46))</x:f>
      </x:c>
      <x:c r="CC58" s="63" t="str">
        <x:f t="shared" si="65">IF($A58="","",0.25*MIN(1,$I58/10)+0.25*MIN(1,$P58/10)+0.15*MIN(1,$W58/5)+0.15*MIN(1,$AB58/5)+0.1*MIN(1,$AG58/5)+0.1*MIN(1,$AN58/100))</x:f>
      </x:c>
      <x:c r="CD58" s="63" t="str">
        <x:f>IF($A58="","",MAX(0,1-(MAX($BJ58:$BN58,$BP58)-MIN($BJ58:$BN58,$BP58))/(AVERAGE($BJ58:$BN58,$BP58)*'Setari model'!$B$45)))</x:f>
      </x:c>
      <x:c r="CE58" s="66" t="str">
        <x:f>IF($A58="","",MAX(0,MIN(100,100*INDEX('Setari model'!$I$5:$I$11,MATCH($E58,'Setari model'!$A$5:$A$11,0))*('Setari model'!$B$47*$CB58+'Setari model'!$B$48*$CC58+'Setari model'!$B$49*$CD58+'Setari model'!$B$50*$AT58/5+'Setari model'!$B$51*$AU58)-100*'Setari model'!$B$52*$BG58)))</x:f>
      </x:c>
      <x:c r="CF58" s="65" t="str">
        <x:f t="shared" si="66">IF($A58="","",IF(OR($AT58&lt;3,$BG58&gt;=2,$CB58&lt;0.55,$CC58&lt;0.4),"RIDICAT",IF(OR($AU58=0,$CD58&lt;0.45,$BR58&lt;0.9),"MEDIU","SCĂZUT")))</x:f>
      </x:c>
      <x:c r="CG58" s="65" t="str">
        <x:f>IF($A58="","",IF($AR58&gt;1,IF(AND($BW58&gt;= 'Setari model'!$B$35,$CE58&gt;=100*'Setari model'!$B$36,$BZ58&gt;= 'Setari model'!$B$37,$CA58&gt;= 'Setari model'!$B$38,$CF58&lt;&gt;"RIDICAT"),"PARIU RECOMANDAT",IF(AND($BW58&gt;= 'Setari model'!$B$39,$CE58&gt;=100*'Setari model'!$B$40,$BZ58&gt;= 'Setari model'!$B$41,$CA58&gt;=0,$CF58&lt;&gt;"RIDICAT"),"RECOMANDAT CU PRUDENȚĂ",IF(AND($BW58&gt;= 'Setari model'!$B$42,$CE58&gt;=100*'Setari model'!$B$43),"ANALIZĂ NECONCLUDENTĂ","PARIU EVITAT"))),IF(AND($BW58&gt;= 'Setari model'!$B$35,$CE58&gt;=100*'Setari model'!$B$36,$CF58&lt;&gt;"RIDICAT"),"FAVORABIL STATISTIC – VERIFICĂ COTA",IF(AND($BW58&gt;= 'Setari model'!$B$42,$CE58&gt;=100*'Setari model'!$B$43),"ANALIZĂ NECONCLUDENTĂ","PARIU EVITAT"))))</x:f>
      </x:c>
      <x:c r="CH58" s="67" t="str">
        <x:f t="shared" si="67">IF($A58="","","P(O0,5)="&amp;TEXT($BW58,"0.0%")&amp;"; λ ajustat="&amp;TEXT($BS58,"0.00")&amp;"; Confidence="&amp;TEXT($CE58,"0")&amp;"/100; Edge="&amp;TEXT($BZ58,"0.0%")&amp;"; risc="&amp;$CF58&amp;". "&amp;$BH58)</x:f>
      </x:c>
      <x:c r="CI58" s="68" t="str">
        <x:f t="shared" si="68">IF($A58="","",$BI58)</x:f>
      </x:c>
      <x:c r="CJ58" s="112"/>
      <x:c r="CK58" s="112"/>
      <x:c r="CL58" s="112"/>
      <x:c r="CM58" s="112"/>
      <x:c r="CN58" s="112"/>
      <x:c r="CO58" s="112"/>
      <x:c r="CP58" s="112"/>
      <x:c r="CQ58" s="112"/>
      <x:c r="CR58" s="112"/>
      <x:c r="CS58" s="112"/>
      <x:c r="CT58" s="112"/>
      <x:c r="CU58" s="112"/>
      <x:c r="CV58" s="112"/>
      <x:c r="CW58" s="112"/>
      <x:c r="CX58" s="112"/>
      <x:c r="CY58" s="112"/>
      <x:c r="CZ58" s="112"/>
      <x:c r="DA58" s="112"/>
      <x:c r="DB58" s="112"/>
      <x:c r="DC58" s="114"/>
      <x:c r="DD58" s="114"/>
      <x:c r="DE58" s="112" t="s">
        <x:v>266</x:v>
      </x:c>
      <x:c r="DF58" s="112"/>
      <x:c r="DG58" s="112"/>
      <x:c r="DH58" s="112"/>
      <x:c r="DI58" s="112"/>
      <x:c r="DJ58" s="112"/>
      <x:c r="DK58" s="112"/>
      <x:c r="DL58" s="112"/>
      <x:c r="DM58" s="112"/>
      <x:c r="DN58" s="112"/>
      <x:c r="DO58" s="112"/>
      <x:c r="DP58" s="112"/>
      <x:c r="DQ58" s="114"/>
      <x:c r="DR58" s="112">
        <x:v>1</x:v>
      </x:c>
      <x:c r="DS58" s="116">
        <x:v>0</x:v>
      </x:c>
      <x:c r="DT58" s="120"/>
      <x:c r="DU58" s="116">
        <x:v>0.02</x:v>
      </x:c>
      <x:c r="DV58" s="116">
        <x:v>0.25</x:v>
      </x:c>
      <x:c r="DW58" s="118" t="str">
        <x:f>IF($A58="","",MAX('Setari model'!$B$71,MIN('Setari model'!$B$72,1+0.08*(IFERROR(AVERAGE($CM58:$CN58)/'Setari model'!$B$66,1)-1)+0.08*(IFERROR(AVERAGE($CO58:$CP58)/'Setari model'!$B$67,1)-1)+0.06*(IFERROR(AVERAGE($CQ58:$CR58)/'Setari model'!$B$68,1)-1)+0.04*(IFERROR(AVERAGE($CS58:$CT58)/'Setari model'!$B$69,1)-1)+0.04*(IFERROR(AVERAGE($CU58:$CV58)/'Setari model'!$B$70,1)-1)-'Setari model'!$B$73*IFERROR(AVERAGE($CW58:$CX58),0))))</x:f>
      </x:c>
      <x:c r="DX58" s="118" t="str">
        <x:f>IF($A58="","",1+'Setari model'!$B$62*MAX(IF(OR($CK58=1,$CL58=1),1,0),IF(AND($CJ58&lt;&gt;"",$CJ58&lt;=1),1,0))+'Setari model'!$B$63*IF(AND($CJ58&gt;1,$CJ58&lt;=3),1,0))</x:f>
      </x:c>
      <x:c r="DY58" s="118" t="str">
        <x:f>IF($A58="","",1+'Setari model'!$B$74*(IF($CY58="",0,IF($CY58=0,1,0))+IF($CZ58="",0,IF($CZ58=0,1,0)))+'Setari model'!$B$75*(IF($DA58="",0,IF($DA58=0,1,0))+IF($DB58="",0,IF($DB58=0,1,0))))</x:f>
      </x:c>
      <x:c r="DZ58" s="117" t="str">
        <x:f>IF($A58="","",MIN(0.6,MAX(0.002,(((1-'Setari model'!$B$34*MIN(1,($I58+$P58)/20))*$BT58+'Setari model'!$B$34*MIN(1,($I58+$P58)/20)*IF(COUNT($N58,$U58)=2,SQRT(MAX(0,1-$N58)*MAX(0,1-$U58)),$BT58))*(1-'Setari model'!$B$65*MIN(1,IF($AN58="",0,$AN58/'Setari model'!$B$64)))+'Setari model'!$B$65*MIN(1,IF($AN58="",0,$AN58/'Setari model'!$B$64))*IF($AM58="",$BT58,$AM58))*$DX58*$DY58/$DW58)))</x:f>
      </x:c>
      <x:c r="EA58" s="117" t="str">
        <x:f>IF($A58="","",MIN(1-$DZ58,IF(OR(MIN($I58,$P58)&lt;'Setari model'!$B$58,$CK58=1,$CL58=1,AND($CJ58&lt;&gt;"",$CJ58&lt;=1)),'Setari model'!$B$59,IF(AND($AU58=1,$AR58&gt;1,COUNT($CY58:$DB58)=4),'Setari model'!$B$61,'Setari model'!$B$60))))</x:f>
      </x:c>
      <x:c r="EB58" s="115" t="str">
        <x:f t="shared" si="69">IF($A58="","",1/$EA58)</x:f>
      </x:c>
      <x:c r="EC58" s="117" t="str">
        <x:f t="shared" si="70">IF($A58="","",IF($AR58&gt;1,IF($AS58&gt;1,(1/$AR58)/((1/$AR58)+(1/$AS58)),1/$AR58),""))</x:f>
      </x:c>
      <x:c r="ED58" s="117" t="str">
        <x:f t="shared" si="71">IF($A58="","",IF($EC58="","",$EA58-$EC58))</x:f>
      </x:c>
      <x:c r="EE58" s="117" t="str">
        <x:f t="shared" si="72">""</x:f>
      </x:c>
      <x:c r="EF58" s="119" t="str">
        <x:f>IF($A58="","",MAX(0,MIN(100,$CE58-200*MAX(0,$EG58-'Setari model'!$B$77)-IF($AU58&lt;&gt;1,10,0)-IF(COUNT($CY58:$DB58)&lt;4,4,0))))</x:f>
      </x:c>
      <x:c r="EG58" s="117" t="str">
        <x:f>IF($A58="","",'Setari model'!$B$77+IF(MIN($I58,$P58)&lt;'Setari model'!$B$58,0.03,0)+IF(OR($CK58=1,$CL58=1,AND($CJ58&lt;&gt;"",$CJ58&lt;=1)),0.03,0)+IF($AG58=0,0.02,0)+0.03*(1-MIN(1,COUNT($CM58:$CV58)/10))+0.03*(1-MIN(1,IF($AN58="",0,$AN58/'Setari model'!$B$64)))+IF($AR58&lt;=1,0.02,0))</x:f>
      </x:c>
      <x:c r="EH58" s="113" t="str">
        <x:f>IF($A58="","",IF(OR(MIN($I58,$P58)&lt;'Setari model'!$B$58,$CK58=1,$CL58=1,AND($CJ58&lt;&gt;"",$CJ58&lt;=1)),"92% – early/regim",IF(AND($AU58=1,$AR58&gt;1,COUNT($CY58:$DB58)=4),"94% – confirmat","93% – standard")))</x:f>
      </x:c>
      <x:c r="EI58" s="113" t="str">
        <x:f t="shared" si="73">IF($A58="","",IF(AND($EA58&gt;0.9,$AU58&lt;&gt;1),"WAIT XI – HIGH P",IF(AND($EA58&gt;0.9,COUNT($CY58:$DB58)&lt;4),"WAIT DATE CHEIE – HIGH P",IF($EP58&lt;&gt;"DA","NU – PORTOFOLIU","DA"))))</x:f>
      </x:c>
      <x:c r="EJ58" s="117" t="str">
        <x:f t="shared" si="74">IF($A58="","",IF($DE58&lt;&gt;"Live 20-30","",IF(SUM($DG58:$DH58)&gt;0,1,IF($EU58="","",1-MIN(0.95,MAX(0.001,EXP(-$EU58)*$DX58*$DY58/$DW58))))))</x:f>
      </x:c>
      <x:c r="EK58" s="117" t="str">
        <x:f t="shared" si="75">""</x:f>
      </x:c>
      <x:c r="EL58" s="113" t="str">
        <x:f>IF($A58="","",IF($DE58="Live 20-30",IF(SUM($DG58:$DH58)&gt;0,"EVENIMENT ÎNDEPLINIT",IF(OR($DF58="",COUNT($DI58:$DN58)&lt;4),"LIVE – WATCH",IF($EJ58&gt;=0.75,"LIVE – FEZABIL TEHNIC","LIVE – NO BET"))),IF($EI58&lt;&gt;"DA","WATCH / NO BET",IF(AND($EA58&gt;=INDEX('Setari model'!$B$35:$B$40,1),$EF58&gt;=100*'Setari model'!$B$76),"PARIU RECOMANDAT",IF(AND($EA58&gt;=INDEX('Setari model'!$B$35:$B$40,5),$EF58&gt;=100*'Setari model'!$B$40),"WATCH – APROAPE DE PRAG","PARIU EVITAT")))))</x:f>
      </x:c>
      <x:c r="EM58" s="113" t="str">
        <x:f t="shared" si="76">IF($A58="","",IF($DE58="Live 20-30",IF(SUM($DG58:$DH58)&gt;0,"Gol deja marcat.",IF($DF58="","Minut live lipsă.",IF(COUNT($DI58:$DN58)&lt;4,"Lipsesc xG/SOT/big chances live.",IF($EJ58&lt;0.75,"P live sub prag.","Semnal live tehnic complet; EV ignorat.")))),IF($EI58&lt;&gt;"DA",$EI58,IF($EF58&lt;75,"Confidence sub 75.",IF($EA58&lt;0.92,"P sub 92%.","G0/Zero-Mass + confidence trecute; EV ignorat.")))))</x:f>
      </x:c>
      <x:c r="EN58" s="117" t="str">
        <x:f>IF($A58="","",IF(OR($EL58="PARIU RECOMANDAT",$EL58="LIVE – FEZABIL"),MIN(IF($DU58&gt;0,$DU58,'Setari model'!$B$81)/MAX(1,$DR58),IF($DV58&gt;0,$DV58,'Setari model'!$B$80)*MAX(0,((IF($DE58="Live 20-30",$EJ58,$EA58)*IF($DE58="Live 20-30",$DQ58,$AR58)-1)/(IF($DE58="Live 20-30",$DQ58,$AR58)-1)))),0))</x:f>
      </x:c>
      <x:c r="EO58" s="121" t="str">
        <x:f t="shared" si="77">IF($A58="","",IF(AND($EN58&gt;0,$DT58&gt;0),$EN58*$DT58,""))</x:f>
      </x:c>
      <x:c r="EP58" s="113" t="str">
        <x:f>IF($A58="","",IF(OR($DR58&lt;1,$DR58&gt;'Setari model'!$B$78),"NU – 1–5 selecții",IF($DS58&gt;'Setari model'!$B$79,"NU – corelație", "DA")))</x:f>
      </x:c>
      <x:c r="EQ58" s="117" t="str">
        <x:f t="shared" si="78">IF($A58="","",IF(AND($DC58&gt;1,$DD58&gt;1),$DC58/$DD58-1,""))</x:f>
      </x:c>
      <x:c r="ER58" s="113" t="str">
        <x:f t="shared" si="79">IF($A58="","","P v2="&amp;TEXT($EA58,"0.0%")&amp;" ±"&amp;TEXT($EG58,"0.0%")&amp;"; P0 ZIP="&amp;TEXT($DZ58,"0.0%")&amp;"; Confidence="&amp;TEXT($EF58,"0")&amp;"/100; piață reală="&amp;IF($EC58="","NU","DA")&amp;"; EV="&amp;IF($EE58="","n/a",TEXT($EE58,"0.0%"))&amp;"; gate="&amp;$EI58&amp;"; verdict="&amp;$EL58&amp;". "&amp;$EM58)</x:f>
      </x:c>
      <x:c r="ES58" s="119" t="str">
        <x:f>IF($A58="","",'Setari model'!$B$82)</x:f>
      </x:c>
      <x:c r="ET58" s="118" t="str">
        <x:f>IF($A58="","",'Setari model'!$B$83)</x:f>
      </x:c>
      <x:c r="EU58" s="115" t="str">
        <x:f t="shared" si="80">IF(OR($A58="",$DE58&lt;&gt;"Live 20-30",$DF58="",$DF58&lt;$ES58,$DF58&gt;=90),"",MAX(0.05,MIN($BS58*$ET58,$BS58*(90-$DF58)/90+0.35*($DI58+$DJ58)+0.06*($DK58+$DL58)+0.15*($DM58+$DN58)+0.1*(MAX($DO58,$DP58)-MIN($DO58,$DP58)))))</x:f>
      </x:c>
      <x:c r="EV58" s="132"/>
      <x:c r="EW58" s="132"/>
      <x:c r="EX58" s="132"/>
      <x:c r="EY58" s="132"/>
      <x:c r="EZ58" s="132"/>
      <x:c r="FA58" s="132"/>
      <x:c r="FB58" s="247"/>
      <x:c r="FC58" s="134" t="str">
        <x:f t="shared" si="81">IF($A58="","",IF(OR($J58="",$L58="",$L58&lt;=0),"",MAX(0.5,MIN(1.5,$J58/$L58))))</x:f>
      </x:c>
      <x:c r="FD58" s="134" t="str">
        <x:f t="shared" si="82">IF($A58="","",IF(OR($Q58="",$S58="",$S58&lt;=0),"",MAX(0.5,MIN(1.5,$Q58/$S58))))</x:f>
      </x:c>
      <x:c r="FE58" s="134" t="str">
        <x:f>IF($A58="","",IF(COUNT($EV58:$EW58)&lt;2,"",SQRT($EV58*$EW58)/'Setari model'!$B$87))</x:f>
      </x:c>
      <x:c r="FF58" s="134" t="str">
        <x:f>IF($A58="","",IF(COUNT($O58,$V58,$EX58,$EY58)&lt;4,"",AVERAGE(SQRT($O58*$EY58),SQRT($V58*$EX58))/'Setari model'!$B$88))</x:f>
      </x:c>
      <x:c r="FG58" s="134" t="str">
        <x:f t="shared" si="83">IF($A58="","",IF(COUNT($FC58:$FD58)&lt;2,"",MAX(0,1-AVERAGE($FC58:$FD58))))</x:f>
      </x:c>
      <x:c r="FH58" s="134" t="str">
        <x:f>IF($A58="","",IF(COUNT($EZ58:$FA58)&lt;2,"",'Setari model'!$B$94*AVERAGE($EZ58:$FA58)/'Setari model'!$B$89))</x:f>
      </x:c>
      <x:c r="FI58" s="134" t="str">
        <x:f>IF($A58="","",IF(COUNT($FE58:$FH58)&lt;4,"",MAX('Setari model'!$B$97,MIN('Setari model'!$B$98,1+'Setari model'!$B$90*($FE58-1)+'Setari model'!$B$91*($FF58-1)+'Setari model'!$B$92*$FG58+'Setari model'!$B$93*($FH58-1)))))</x:f>
      </x:c>
      <x:c r="FJ58" s="133" t="str">
        <x:f>IF($A58="","",IF($FI58="","",MIN('Setari model'!$B$101,MAX(0.002,$DZ58*$FI58))))</x:f>
      </x:c>
      <x:c r="FK58" s="131" t="str">
        <x:f t="shared" si="84">IF($A58="","",IF(AND(COUNT($EV58:$FA58)=6,COUNT($O58,$V58,$FC58,$FD58)=4),"DA","NU"))</x:f>
      </x:c>
      <x:c r="FL58" s="131" t="str">
        <x:f>IF($A58="","",IF($FK58&lt;&gt;"DA","NEDETERMINAT",IF($FI58&lt;='Setari model'!$B$99,"SCĂZUT",IF($FI58&lt;='Setari model'!$B$100,"MEDIU","RIDICAT"))))</x:f>
      </x:c>
      <x:c r="FM58" s="131" t="str">
        <x:f>IF($A58="","",IF(AND($AR58&gt;1,$EC58&gt;='Setari model'!$B$106),"DA","NU"))</x:f>
      </x:c>
      <x:c r="FN58" s="131" t="str">
        <x:f t="shared" si="85">IF($A58="","",IF(AND($AU58=1,COUNT($CY58:$DB58)=4),"DA","NU"))</x:f>
      </x:c>
      <x:c r="FO58" s="133" t="str">
        <x:f>IF($A58="","",IF(OR($FK58&lt;&gt;"DA",$FL58="RIDICAT"),'Setari model'!$B$102,IF($FL58="MEDIU",'Setari model'!$B$103,IF(AND($FM58="DA",$FN58="DA"),'Setari model'!$B$105,'Setari model'!$B$104))))</x:f>
      </x:c>
      <x:c r="FP58" s="133" t="str">
        <x:f t="shared" si="86">IF($A58="","",IF($FJ58="","",MIN(1-$FJ58,$FO58)))</x:f>
      </x:c>
      <x:c r="FQ58" s="135" t="str">
        <x:f t="shared" si="87">IF($A58="","",IF($FP58="","",IF($FP58&gt;0,1/$FP58,"")))</x:f>
      </x:c>
      <x:c r="FR58" s="133" t="str">
        <x:f t="shared" si="88">IF($A58="","",IF($EC58="","",$FP58-$EC58))</x:f>
      </x:c>
      <x:c r="FS58" s="133" t="str">
        <x:f t="shared" si="89">IF($A58="","",IF($AR58&gt;1,$FP58*$AR58-1,""))</x:f>
      </x:c>
      <x:c r="FT58" s="136" t="str">
        <x:f>IF($A58="","",MAX(0,MIN(100,$EF58-IF($FK58&lt;&gt;"DA",'Setari model'!$B$107,0)-IF($FL58="MEDIU",'Setari model'!$B$108,0)-IF($FL58="RIDICAT",'Setari model'!$B$109,0))))</x:f>
      </x:c>
      <x:c r="FU58" s="131" t="str">
        <x:f t="shared" si="90">IF($A58="","",IF($AR58&lt;=1,"NU – LIPSEȘTE COTA REALĂ",IF($FK58&lt;&gt;"DA","NU – ZERO-RISK INCOMPLET",IF($FL58&lt;&gt;"SCĂZUT","NU – RISC 0-0 "&amp;$FL58,IF($FN58&lt;&gt;"DA","NU – LINEUP NECONFIRMAT",IF($FM58&lt;&gt;"DA","NU – PIAȚĂ NECONFIRMATĂ",IF($EP58&lt;&gt;"DA","NU – PORTOFOLIU","DA")))))))</x:f>
      </x:c>
      <x:c r="FV58" s="131" t="str">
        <x:f>IF($A58="","",IF($FU58&lt;&gt;"DA","WATCH / NO BET",IF(AND($FP58&gt;='Setari model'!$B$35,$FT58&gt;=100*'Setari model'!$B$76,$FS58&gt;0),"PARIU RECOMANDAT",IF(AND($FP58&gt;='Setari model'!$B$39,$FT58&gt;=100*'Setari model'!$B$40,$FS58&gt;0),"WATCH – APROAPE DE PRAG","PARIU EVITAT"))))</x:f>
      </x:c>
      <x:c r="FW58" s="131" t="str">
        <x:f t="shared" si="91">IF($A58="","",IF($FU58&lt;&gt;"DA",$FU58,IF($FT58&lt;75,"Confidence v3 sub 75.",IF($FP58&lt;0.92,"P v3 sub 92%.",IF($FS58&lt;=0,"EV v3 nepozitiv.","P0 v3, lineup și piață confirmate.")))))</x:f>
      </x:c>
      <x:c r="FX58" s="131" t="str">
        <x:f t="shared" si="92">IF($A58="","","P v3="&amp;TEXT($FP58,"0.0%")&amp;"; P0 v3="&amp;TEXT($FJ58,"0.0%")&amp;"; factor zero="&amp;IF($FI58="","n/a",TEXT($FI58,"0.00x"))&amp;" ("&amp;$FL58&amp;"); cap="&amp;TEXT($FO58,"0.0%")&amp;"; Confidence="&amp;TEXT($FT58,"0")&amp;"/100; lineup="&amp;$FN58&amp;"; piață="&amp;$FM58&amp;"; EV="&amp;IF($FS58="","n/a",TEXT($FS58,"0.0%"))&amp;"; gate="&amp;$FU58&amp;"; verdict="&amp;$FV58&amp;". "&amp;$FW58)</x:f>
      </x:c>
      <x:c r="FY58" s="159"/>
      <x:c r="FZ58" s="159"/>
      <x:c r="GA58" s="157"/>
      <x:c r="GB58" s="157"/>
      <x:c r="GC58" s="161" t="str">
        <x:f t="shared" si="93">IF($A58="","",IF(OR($X58="",$Z58="",$Z58&lt;=0),"",MAX(0.5,MIN(1.5,$X58/$Z58))))</x:f>
      </x:c>
      <x:c r="GD58" s="161" t="str">
        <x:f t="shared" si="94">IF($A58="","",IF(OR($AC58="",$AE58="",$AE58&lt;=0),"",MAX(0.5,MIN(1.5,$AC58/$AE58))))</x:f>
      </x:c>
      <x:c r="GE58" s="162" t="str">
        <x:f t="shared" si="95">IF($A58="","",IF(COUNT($Z58,$AE58)&lt;2,"",AVERAGE($Z58,$AE58)))</x:f>
      </x:c>
      <x:c r="GF58" s="158" t="str">
        <x:f>IF($A58="","",IF(COUNT($FY58:$FZ58)&lt;2,"NEDETERMINAT",IF(AND($FY58&gt;='Setari model'!$B$113,$FZ58&gt;='Setari model'!$B$113),"DA","NU")))</x:f>
      </x:c>
      <x:c r="GG58" s="158" t="str">
        <x:f>IF($A58="","",IF(COUNT($FY58:$FZ58,$EX58:$EY58)&lt;4,"NEDETERMINAT",IF(OR(AND($FY58&gt;='Setari model'!$B$113,$EY58&gt;='Setari model'!$B$114),AND($FZ58&gt;='Setari model'!$B$113,$EX58&gt;='Setari model'!$B$114)),"DA","NU")))</x:f>
      </x:c>
      <x:c r="GH58" s="158" t="str">
        <x:f>IF($A58="","",IF(COUNT($BJ58:$BN58,$GC58:$GE58)&lt;8,"NEDETERMINAT",IF(AND((($BJ58*INDEX('Setari model'!$B$5:$B$11,MATCH($E58,'Setari model'!$A$5:$A$11,0))+$BK58*INDEX('Setari model'!$C$5:$C$11,MATCH($E58,'Setari model'!$A$5:$A$11,0))+$BL58*INDEX('Setari model'!$D$5:$D$11,MATCH($E58,'Setari model'!$A$5:$A$11,0))+$BM58*INDEX('Setari model'!$E$5:$E$11,MATCH($E58,'Setari model'!$A$5:$A$11,0))+$BN58*INDEX('Setari model'!$F$5:$F$11,MATCH($E58,'Setari model'!$A$5:$A$11,0)))/(INDEX('Setari model'!$B$5:$B$11,MATCH($E58,'Setari model'!$A$5:$A$11,0))+INDEX('Setari model'!$C$5:$C$11,MATCH($E58,'Setari model'!$A$5:$A$11,0))+INDEX('Setari model'!$D$5:$D$11,MATCH($E58,'Setari model'!$A$5:$A$11,0))+INDEX('Setari model'!$E$5:$E$11,MATCH($E58,'Setari model'!$A$5:$A$11,0))+INDEX('Setari model'!$F$5:$F$11,MATCH($E58,'Setari model'!$A$5:$A$11,0))))*$BR58&gt;='Setari model'!$B$115,(($BJ58*INDEX('Setari model'!$B$5:$B$11,MATCH($E58,'Setari model'!$A$5:$A$11,0))+$BK58*INDEX('Setari model'!$C$5:$C$11,MATCH($E58,'Setari model'!$A$5:$A$11,0))+$BL58*INDEX('Setari model'!$D$5:$D$11,MATCH($E58,'Setari model'!$A$5:$A$11,0))+$BM58*INDEX('Setari model'!$E$5:$E$11,MATCH($E58,'Setari model'!$A$5:$A$11,0))+$BN58*INDEX('Setari model'!$F$5:$F$11,MATCH($E58,'Setari model'!$A$5:$A$11,0)))/(INDEX('Setari model'!$B$5:$B$11,MATCH($E58,'Setari model'!$A$5:$A$11,0))+INDEX('Setari model'!$C$5:$C$11,MATCH($E58,'Setari model'!$A$5:$A$11,0))+INDEX('Setari model'!$D$5:$D$11,MATCH($E58,'Setari model'!$A$5:$A$11,0))+INDEX('Setari model'!$E$5:$E$11,MATCH($E58,'Setari model'!$A$5:$A$11,0))+INDEX('Setari model'!$F$5:$F$11,MATCH($E58,'Setari model'!$A$5:$A$11,0))))*$BR58&lt;='Setari model'!$B$116,AVERAGE($GC58:$GD58)&lt;='Setari model'!$B$117,$GE58&gt;='Setari model'!$B$118),"DA","NU")))</x:f>
      </x:c>
      <x:c r="GI58" s="158" t="str">
        <x:f>IF($A58="","",IF(COUNT($W58,$AB58,$GA58:$GB58)&lt;4,"NEDETERMINAT",IF(AND($W58&gt;='Setari model'!$B$120,$AB58&gt;='Setari model'!$B$120,OR(IFERROR($GA58/$W58,0)&gt;='Setari model'!$B$119,IFERROR($GB58/$AB58,0)&gt;='Setari model'!$B$119)),"DA","NU")))</x:f>
      </x:c>
      <x:c r="GJ58" s="160" t="str">
        <x:f>IF($A58="","",IF(COUNT($FY58:$GB58)&lt;4,"",IF($GH58&lt;&gt;"DA",0,'Setari model'!$B$121*IF($GF58="DA",1,0)+'Setari model'!$B$122*IF($GG58="DA",1,0)+'Setari model'!$B$123+'Setari model'!$B$124*IF($GI58="DA",1,0))))</x:f>
      </x:c>
      <x:c r="GK58" s="161" t="str">
        <x:f>IF($A58="","",IF(COUNT($GJ58)=0,"",1+'Setari model'!$B$125*$GJ58))</x:f>
      </x:c>
      <x:c r="GL58" s="160" t="str">
        <x:f>IF($A58="","",IF($GM58&lt;&gt;"DA",$FJ58,MIN('Setari model'!$B$101,MAX(0.002,$FJ58*$GK58))))</x:f>
      </x:c>
      <x:c r="GM58" s="158" t="str">
        <x:f>IF($A58="","",IF(AND($FK58="DA",COUNT($FY58:$GB58)=4,COUNT($I58,$P58,$W58,$AB58,$Z58,$AE58,$EX58,$EY58,$GC58,$GD58)=10,COUNT($BJ58:$BN58)=5),"DA","NU"))</x:f>
      </x:c>
      <x:c r="GN58" s="158" t="str">
        <x:f>IF($A58="","",IF($GM58&lt;&gt;"DA","NEDETERMINAT",IF($FI58*$GK58&lt;='Setari model'!$B$99,"SCĂZUT",IF($FI58*$GK58&lt;='Setari model'!$B$100,"MEDIU","RIDICAT"))))</x:f>
      </x:c>
      <x:c r="GO58" s="160" t="str">
        <x:f>IF($A58="","",IF(OR($GM58&lt;&gt;"DA",$GN58="RIDICAT"),'Setari model'!$B$102,IF($GN58="MEDIU",'Setari model'!$B$103,IF(AND($FM58="DA",$FN58="DA"),'Setari model'!$B$105,'Setari model'!$B$104))))</x:f>
      </x:c>
      <x:c r="GP58" s="160" t="str">
        <x:f t="shared" si="96">IF($A58="","",IF($GL58="","",MIN(1-$GL58,$GO58)))</x:f>
      </x:c>
      <x:c r="GQ58" s="162" t="str">
        <x:f t="shared" si="97">IF($A58="","",IF($GP58="","",IF($GP58&gt;0,1/$GP58,"")))</x:f>
      </x:c>
      <x:c r="GR58" s="160" t="str">
        <x:f t="shared" si="98">IF($A58="","",IF($EC58="","",$GP58-$EC58))</x:f>
      </x:c>
      <x:c r="GS58" s="160" t="str">
        <x:f t="shared" si="99">IF($A58="","",IF($AR58&gt;1,$GP58*$AR58-1,""))</x:f>
      </x:c>
      <x:c r="GT58" s="163" t="str">
        <x:f>IF($A58="","",MAX(0,MIN(100,$FT58-IF(AND($GM58&lt;&gt;"DA",$FK58="DA"),'Setari model'!$B$107,0)-'Setari model'!$B$126*IF($GJ58="",0,$GJ58))))</x:f>
      </x:c>
      <x:c r="GU58" s="158" t="str">
        <x:f t="shared" si="100">IF($A58="","",IF($AR58&lt;=1,"NU – LIPSEȘTE COTA REALĂ",IF($GM58&lt;&gt;"DA","NU – DATE LOW-CONVERSION INCOMPLETE",IF($GN58&lt;&gt;"SCĂZUT","NU – RISC 0-0 "&amp;$GN58,IF($FN58&lt;&gt;"DA","NU – LINEUP NECONFIRMAT",IF($FM58&lt;&gt;"DA","NU – PIAȚĂ NECONFIRMATĂ",IF($EP58&lt;&gt;"DA","NU – PORTOFOLIU","DA")))))))</x:f>
      </x:c>
      <x:c r="GV58" s="158" t="str">
        <x:f>IF($A58="","",IF($GU58&lt;&gt;"DA","WATCH / NO BET",IF(AND($GP58&gt;='Setari model'!$B$35,$GT58&gt;=100*'Setari model'!$B$76,$GS58&gt;0),"PARIU RECOMANDAT",IF(AND($GP58&gt;='Setari model'!$B$39,$GT58&gt;=100*'Setari model'!$B$40,$GS58&gt;0),"WATCH – APROAPE DE PRAG","PARIU EVITAT"))))</x:f>
      </x:c>
      <x:c r="GW58" s="158" t="str">
        <x:f t="shared" si="101">IF($A58="","",IF($GU58&lt;&gt;"DA",$GU58,IF($GT58&lt;75,"Confidence v5 sub 75.",IF($GP58&lt;0.92,"P v5 sub 92%.",IF($GS58&lt;=0,"EV v5 nepozitiv.",IF($GJ58&gt;0,"Low-conversion absorbit în P0; toate porțile rămân trecute.","Toate porțile v5 sunt trecute."))))))</x:f>
      </x:c>
      <x:c r="GX58" s="158" t="str">
        <x:f t="shared" si="102">IF($A58="","","P v5="&amp;TEXT($GP58,"0.0%")&amp;"; P0 v5="&amp;TEXT($GL58,"0.0%")&amp;"; low-conv="&amp;IF(COUNT($GJ58)=0,"n/a",TEXT($GJ58,"0%"))&amp;"; mult.P0="&amp;IF(COUNT($GK58)=0,"n/a",TEXT($GK58,"0.00"))&amp;"; clasă="&amp;$GN58&amp;"; cap="&amp;TEXT($GO58,"0.0%")&amp;"; Confidence="&amp;TEXT($GT58,"0")&amp;"/100; lineup="&amp;$FN58&amp;"; piață="&amp;$FM58&amp;"; EV="&amp;IF($GS58="","n/a",TEXT($GS58,"0.0%"))&amp;"; gate="&amp;$GU58&amp;"; verdict="&amp;$GV58&amp;". "&amp;$GW58)</x:f>
      </x:c>
      <x:c r="GY58" s="174" t="str">
        <x:f>IF($A58="","",IF($GM58&lt;&gt;"DA","SOURCING INCOMPLETE – REVIEW REQUIRED",IF(MIN($I58,$P58,$W58,$AB58)&lt;'Setari model'!$B$58,"SMALL SAMPLE + PRIOR / SHRINKAGE","VERIFIED / PRIOR / SHRINKAGE")))</x:f>
      </x:c>
      <x:c r="GZ58" s="175" t="str">
        <x:f t="shared" si="103">IF($A58="","",MAX(0,MIN(100,100*(1-AVERAGE(IF($GM58="DA",1,0),MIN(1,$AT58/5))))))</x:f>
      </x:c>
      <x:c r="HA58" s="175" t="str">
        <x:f>IF($A58="","",IF($GM58&lt;&gt;"DA","",MAX(0,MIN(100,100*(($FI58*$GK58)-'Setari model'!$B$97)/('Setari model'!$B$98-'Setari model'!$B$97)))))</x:f>
      </x:c>
      <x:c r="HB58" s="175" t="str">
        <x:f>IF($A58="","",MAX(0,MIN(100,100*(ABS($BR58-1)/MAX(1-'Setari model'!$B$53,'Setari model'!$B$54-1)+MIN(1,$BG58/2))/2)))</x:f>
      </x:c>
      <x:c r="HC58" s="175" t="str">
        <x:f t="shared" si="104">IF($A58="","",MAX(0,MIN(100,100*(1-AVERAGE($CC58,MAX(0,1-(MAX($BJ58:$BN58)-MIN($BJ58:$BN58))/(AVERAGE($BJ58:$BN58)*'Setari model'!$B$45)))))))</x:f>
      </x:c>
      <x:c r="HD58" s="175" t="str">
        <x:f t="shared" si="105">IF($A58="","",MAX(0,MIN(100,100*MAX(IF($GJ58="",0,$GJ58),MIN(1,$BG58/2)))))</x:f>
      </x:c>
      <x:c r="HE58" s="175" t="str">
        <x:f>IF($A58="","",IF(COUNT($GZ58:$HD58)&lt;5,"",$GZ58*Risk_Classification!$E$28+$HA58*Risk_Classification!$E$29+$HB58*Risk_Classification!$E$30+$HC58*Risk_Classification!$E$31+$HD58*Risk_Classification!$E$32))</x:f>
      </x:c>
      <x:c r="HF58" s="176" t="str">
        <x:f t="shared" si="106">IF($A58="","",IF($HE58="","",IF($HE58&lt;=20,1,IF($HE58&lt;=40,2,IF($HE58&lt;=60,3,IF($HE58&lt;=80,4,5))))))</x:f>
      </x:c>
      <x:c r="HG58" s="176" t="str">
        <x:f t="shared" si="107">IF($A58="","",IF($GM58="DA","PASS","FAIL – DATE CRITICE ZERO-MASS INCOMPLETE"))</x:f>
      </x:c>
      <x:c r="HH58" s="176" t="str">
        <x:f t="shared" si="108">IF($A58="","",IF($HG58&lt;&gt;"PASS",5,$HF58))</x:f>
      </x:c>
      <x:c r="HI58" s="174" t="str">
        <x:f t="shared" si="109">IF($A58="","",IF($HH58="","N/A",IF($HH58=1,"DEFENSIV",IF($HH58=2,"PRUDENT",IF($HH58=3,"MODERAT",IF($HH58=4,"RIDICAT","WATCH / NO BET"))))))</x:f>
      </x:c>
      <x:c r="HJ58" s="177" t="str">
        <x:f t="shared" si="110">IF($A58="","","Data="&amp;$GY58&amp;"; DQ="&amp;TEXT($GZ58,"0.0")&amp;"; ZM="&amp;IF($HA58="","n/a",TEXT($HA58,"0.0"))&amp;"; Context="&amp;TEXT($HB58,"0.0")&amp;"; Uncertainty="&amp;TEXT($HC58,"0.0")&amp;"; Compound="&amp;TEXT($HD58,"0.0")&amp;"; Risk Score="&amp;IF($HE58="","n/a",TEXT($HE58,"0.0"))&amp;"; Base="&amp;IF($HF58="","n/a",$HF58)&amp;"; G0="&amp;$HG58&amp;"; Final="&amp;$HH58&amp;". Cota, EV si lineup sunt informative si nu intra in recomandare.")</x:f>
      </x:c>
      <x:c r="HK58" s="174" t="str">
        <x:f t="shared" si="111">IF($A58="","",$HI58)</x:f>
      </x:c>
    </x:row>
    <x:row r="59" ht="24" customHeight="1">
      <x:c r="A59" s="58"/>
      <x:c r="B59" s="24"/>
      <x:c r="C59" s="59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18"/>
      <x:c r="O59" s="18"/>
      <x:c r="P59" s="24"/>
      <x:c r="Q59" s="24"/>
      <x:c r="R59" s="24"/>
      <x:c r="S59" s="24"/>
      <x:c r="T59" s="24"/>
      <x:c r="U59" s="18"/>
      <x:c r="V59" s="18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24"/>
      <x:c r="AH59" s="24"/>
      <x:c r="AI59" s="18"/>
      <x:c r="AJ59" s="24"/>
      <x:c r="AK59" s="24"/>
      <x:c r="AL59" s="24"/>
      <x:c r="AM59" s="18"/>
      <x:c r="AN59" s="24"/>
      <x:c r="AO59" s="60"/>
      <x:c r="AP59" s="60"/>
      <x:c r="AQ59" s="60"/>
      <x:c r="AR59" s="60"/>
      <x:c r="AS59" s="60"/>
      <x:c r="AT59" s="24"/>
      <x:c r="AU59" s="24"/>
      <x:c r="AV59" s="24"/>
      <x:c r="AW59" s="24"/>
      <x:c r="AX59" s="24"/>
      <x:c r="AY59" s="24"/>
      <x:c r="AZ59" s="24"/>
      <x:c r="BA59" s="24"/>
      <x:c r="BB59" s="24"/>
      <x:c r="BC59" s="24"/>
      <x:c r="BD59" s="24"/>
      <x:c r="BE59" s="24"/>
      <x:c r="BF59" s="24"/>
      <x:c r="BG59" s="24"/>
      <x:c r="BH59" s="61"/>
      <x:c r="BI59" s="61"/>
      <x:c r="BJ59" s="62" t="str">
        <x:f>IF($A59="","",SQRT((($I59*IF($J59="",$AJ59,$J59)+'Setari model'!$B$30*$AJ59)/($I59+'Setari model'!$B$30))*(($P59*IF($R59="",$AJ59,$R59)+'Setari model'!$B$30*$AJ59)/($P59+'Setari model'!$B$30)))+SQRT((($P59*IF($Q59="",$AK59,$Q59)+'Setari model'!$B$30*$AK59)/($P59+'Setari model'!$B$30))*(($I59*IF($K59="",$AK59,$K59)+'Setari model'!$B$30*$AK59)/($I59+'Setari model'!$B$30))))</x:f>
      </x:c>
      <x:c r="BK59" s="62" t="str">
        <x:f>IF($A59="","",SQRT((($I59*IF($L59="",IF($J59="",$AJ59,$J59),$L59)+'Setari model'!$B$30*$AJ59)/($I59+'Setari model'!$B$30))*(($P59*IF($T59="",IF($R59="",$AJ59,$R59),$T59)+'Setari model'!$B$30*$AJ59)/($P59+'Setari model'!$B$30)))+SQRT((($P59*IF($S59="",IF($Q59="",$AK59,$Q59),$S59)+'Setari model'!$B$30*$AK59)/($P59+'Setari model'!$B$30))*(($I59*IF($M59="",IF($K59="",$AK59,$K59),$M59)+'Setari model'!$B$30*$AK59)/($I59+'Setari model'!$B$30))))</x:f>
      </x:c>
      <x:c r="BL59" s="62" t="str">
        <x:f>IF($A59="","",SQRT((($W59*IF($X59="",$AL59/2,$X59)+'Setari model'!$B$31*$AL59/2)/($W59+'Setari model'!$B$31))*(($AB59*IF($AD59="",$AL59/2,$AD59)+'Setari model'!$B$31*$AL59/2)/($AB59+'Setari model'!$B$31)))+SQRT((($AB59*IF($AC59="",$AL59/2,$AC59)+'Setari model'!$B$31*$AL59/2)/($AB59+'Setari model'!$B$31))*(($W59*IF($Y59="",$AL59/2,$Y59)+'Setari model'!$B$31*$AL59/2)/($W59+'Setari model'!$B$31))))</x:f>
      </x:c>
      <x:c r="BM59" s="62" t="str">
        <x:f>IF($A59="","",SQRT((($W59*IF($Z59="",IF($X59="",$AL59/2,$X59),$Z59)+'Setari model'!$B$31*$AL59/2)/($W59+'Setari model'!$B$31))*(($AB59*IF($AF59="",IF($AD59="",$AL59/2,$AD59),$AF59)+'Setari model'!$B$31*$AL59/2)/($AB59+'Setari model'!$B$31)))+SQRT((($AB59*IF($AE59="",IF($AC59="",$AL59/2,$AC59),$AE59)+'Setari model'!$B$31*$AL59/2)/($AB59+'Setari model'!$B$31))*(($W59*IF($AA59="",IF($Y59="",$AL59/2,$Y59),$AA59)+'Setari model'!$B$31*$AL59/2)/($W59+'Setari model'!$B$31))))</x:f>
      </x:c>
      <x:c r="BN59" s="62" t="str">
        <x:f t="shared" si="56">IF($A59="","",IF($AG59&gt;0,($AG59*IF($AH59="",$AL59,$AH59)+5*$AL59)/($AG59+5),$AL59))</x:f>
      </x:c>
      <x:c r="BO59" s="63" t="str">
        <x:f>IF($A59="","",IF($AR59&gt;1,IF($AS59&gt;1,(1/$AR59)/((1/$AR59+1/$AS59)),MIN(0.995,(1/$AR59)/(1+'Setari model'!$B$32))),1-EXP(-$AL59)))</x:f>
      </x:c>
      <x:c r="BP59" s="62" t="str">
        <x:f t="shared" si="57">IF($A59="","",-LN(1-$BO59))</x:f>
      </x:c>
      <x:c r="BQ59" s="62" t="str">
        <x:f>IF($A59="","",$BJ59*INDEX('Setari model'!$B$5:$B$11,MATCH($E59,'Setari model'!$A$5:$A$11,0))+$BK59*INDEX('Setari model'!$C$5:$C$11,MATCH($E59,'Setari model'!$A$5:$A$11,0))+$BL59*INDEX('Setari model'!$D$5:$D$11,MATCH($E59,'Setari model'!$A$5:$A$11,0))+$BM59*INDEX('Setari model'!$E$5:$E$11,MATCH($E59,'Setari model'!$A$5:$A$11,0))+$BN59*INDEX('Setari model'!$F$5:$F$11,MATCH($E59,'Setari model'!$A$5:$A$11,0))+$BP59*INDEX('Setari model'!$G$5:$G$11,MATCH($E59,'Setari model'!$A$5:$A$11,0)))</x:f>
      </x:c>
      <x:c r="BR59" s="64" t="str">
        <x:f>IF($A59="","",MAX('Setari model'!$B$53,MIN('Setari model'!$B$54,1+($AV59*'Setari model'!$B$15+$AW59*'Setari model'!$B$16+$AX59*'Setari model'!$B$17+$AY59*'Setari model'!$B$18+$AZ59*'Setari model'!$B$19+$BA59*'Setari model'!$B$20+$BB59*'Setari model'!$B$21+$BC59*'Setari model'!$B$22+$BD59*'Setari model'!$B$23+$BE59*'Setari model'!$B$24+$BF59*'Setari model'!$B$25)*INDEX('Setari model'!$H$5:$H$11,MATCH($E59,'Setari model'!$A$5:$A$11,0)))))</x:f>
      </x:c>
      <x:c r="BS59" s="62" t="str">
        <x:f t="shared" si="58">IF($A59="","",$BQ59*$BR59)</x:f>
      </x:c>
      <x:c r="BT59" s="63" t="str">
        <x:f t="shared" si="59">IF($A59="","",EXP(-$BS59))</x:f>
      </x:c>
      <x:c r="BU59" s="65" t="str">
        <x:f>IF($A59="","",IF(OR($AM59="",$AN59=""),1,1+MIN('Setari model'!$B$33,$AN59/100*'Setari model'!$B$33)*($AM59/EXP(-$AL59)-1)))</x:f>
      </x:c>
      <x:c r="BV59" s="63" t="str">
        <x:f>IF($A59="","",MIN(0.45,MAX(0.005,(1-'Setari model'!$B$34*MIN(1,($I59+$P59)/20))*MIN(0.45,$BT59*$BU59)+'Setari model'!$B$34*MIN(1,($I59+$P59)/20)*IF(COUNT($N59,$U59)=2,SQRT(MAX(0,1-$N59)*MAX(0,1-$U59)),IF($AM59="",EXP(-$AL59),$AM59)))))</x:f>
      </x:c>
      <x:c r="BW59" s="63" t="str">
        <x:f t="shared" si="60">IF($A59="","",1-$BV59)</x:f>
      </x:c>
      <x:c r="BX59" s="62" t="str">
        <x:f t="shared" si="61">IF($A59="","",1/$BW59)</x:f>
      </x:c>
      <x:c r="BY59" s="63" t="str">
        <x:f t="shared" si="62">IF($A59="","",$BO59)</x:f>
      </x:c>
      <x:c r="BZ59" s="63" t="str">
        <x:f t="shared" si="63">IF($A59="","",$BW59-$BY59)</x:f>
      </x:c>
      <x:c r="CA59" s="63" t="str">
        <x:f t="shared" si="64">IF($A59="","",IF($AR59&gt;1,$BW59*$AR59-1,""))</x:f>
      </x:c>
      <x:c r="CB59" s="63" t="str">
        <x:f>IF($A59="","",MIN(1,COUNT($I59:$AN59,$AR59:$BG59)/'Setari model'!$B$46))</x:f>
      </x:c>
      <x:c r="CC59" s="63" t="str">
        <x:f t="shared" si="65">IF($A59="","",0.25*MIN(1,$I59/10)+0.25*MIN(1,$P59/10)+0.15*MIN(1,$W59/5)+0.15*MIN(1,$AB59/5)+0.1*MIN(1,$AG59/5)+0.1*MIN(1,$AN59/100))</x:f>
      </x:c>
      <x:c r="CD59" s="63" t="str">
        <x:f>IF($A59="","",MAX(0,1-(MAX($BJ59:$BN59,$BP59)-MIN($BJ59:$BN59,$BP59))/(AVERAGE($BJ59:$BN59,$BP59)*'Setari model'!$B$45)))</x:f>
      </x:c>
      <x:c r="CE59" s="66" t="str">
        <x:f>IF($A59="","",MAX(0,MIN(100,100*INDEX('Setari model'!$I$5:$I$11,MATCH($E59,'Setari model'!$A$5:$A$11,0))*('Setari model'!$B$47*$CB59+'Setari model'!$B$48*$CC59+'Setari model'!$B$49*$CD59+'Setari model'!$B$50*$AT59/5+'Setari model'!$B$51*$AU59)-100*'Setari model'!$B$52*$BG59)))</x:f>
      </x:c>
      <x:c r="CF59" s="65" t="str">
        <x:f t="shared" si="66">IF($A59="","",IF(OR($AT59&lt;3,$BG59&gt;=2,$CB59&lt;0.55,$CC59&lt;0.4),"RIDICAT",IF(OR($AU59=0,$CD59&lt;0.45,$BR59&lt;0.9),"MEDIU","SCĂZUT")))</x:f>
      </x:c>
      <x:c r="CG59" s="65" t="str">
        <x:f>IF($A59="","",IF($AR59&gt;1,IF(AND($BW59&gt;= 'Setari model'!$B$35,$CE59&gt;=100*'Setari model'!$B$36,$BZ59&gt;= 'Setari model'!$B$37,$CA59&gt;= 'Setari model'!$B$38,$CF59&lt;&gt;"RIDICAT"),"PARIU RECOMANDAT",IF(AND($BW59&gt;= 'Setari model'!$B$39,$CE59&gt;=100*'Setari model'!$B$40,$BZ59&gt;= 'Setari model'!$B$41,$CA59&gt;=0,$CF59&lt;&gt;"RIDICAT"),"RECOMANDAT CU PRUDENȚĂ",IF(AND($BW59&gt;= 'Setari model'!$B$42,$CE59&gt;=100*'Setari model'!$B$43),"ANALIZĂ NECONCLUDENTĂ","PARIU EVITAT"))),IF(AND($BW59&gt;= 'Setari model'!$B$35,$CE59&gt;=100*'Setari model'!$B$36,$CF59&lt;&gt;"RIDICAT"),"FAVORABIL STATISTIC – VERIFICĂ COTA",IF(AND($BW59&gt;= 'Setari model'!$B$42,$CE59&gt;=100*'Setari model'!$B$43),"ANALIZĂ NECONCLUDENTĂ","PARIU EVITAT"))))</x:f>
      </x:c>
      <x:c r="CH59" s="67" t="str">
        <x:f t="shared" si="67">IF($A59="","","P(O0,5)="&amp;TEXT($BW59,"0.0%")&amp;"; λ ajustat="&amp;TEXT($BS59,"0.00")&amp;"; Confidence="&amp;TEXT($CE59,"0")&amp;"/100; Edge="&amp;TEXT($BZ59,"0.0%")&amp;"; risc="&amp;$CF59&amp;". "&amp;$BH59)</x:f>
      </x:c>
      <x:c r="CI59" s="68" t="str">
        <x:f t="shared" si="68">IF($A59="","",$BI59)</x:f>
      </x:c>
      <x:c r="CJ59" s="112"/>
      <x:c r="CK59" s="112"/>
      <x:c r="CL59" s="112"/>
      <x:c r="CM59" s="112"/>
      <x:c r="CN59" s="112"/>
      <x:c r="CO59" s="112"/>
      <x:c r="CP59" s="112"/>
      <x:c r="CQ59" s="112"/>
      <x:c r="CR59" s="112"/>
      <x:c r="CS59" s="112"/>
      <x:c r="CT59" s="112"/>
      <x:c r="CU59" s="112"/>
      <x:c r="CV59" s="112"/>
      <x:c r="CW59" s="112"/>
      <x:c r="CX59" s="112"/>
      <x:c r="CY59" s="112"/>
      <x:c r="CZ59" s="112"/>
      <x:c r="DA59" s="112"/>
      <x:c r="DB59" s="112"/>
      <x:c r="DC59" s="114"/>
      <x:c r="DD59" s="114"/>
      <x:c r="DE59" s="112" t="s">
        <x:v>266</x:v>
      </x:c>
      <x:c r="DF59" s="112"/>
      <x:c r="DG59" s="112"/>
      <x:c r="DH59" s="112"/>
      <x:c r="DI59" s="112"/>
      <x:c r="DJ59" s="112"/>
      <x:c r="DK59" s="112"/>
      <x:c r="DL59" s="112"/>
      <x:c r="DM59" s="112"/>
      <x:c r="DN59" s="112"/>
      <x:c r="DO59" s="112"/>
      <x:c r="DP59" s="112"/>
      <x:c r="DQ59" s="114"/>
      <x:c r="DR59" s="112">
        <x:v>1</x:v>
      </x:c>
      <x:c r="DS59" s="116">
        <x:v>0</x:v>
      </x:c>
      <x:c r="DT59" s="120"/>
      <x:c r="DU59" s="116">
        <x:v>0.02</x:v>
      </x:c>
      <x:c r="DV59" s="116">
        <x:v>0.25</x:v>
      </x:c>
      <x:c r="DW59" s="118" t="str">
        <x:f>IF($A59="","",MAX('Setari model'!$B$71,MIN('Setari model'!$B$72,1+0.08*(IFERROR(AVERAGE($CM59:$CN59)/'Setari model'!$B$66,1)-1)+0.08*(IFERROR(AVERAGE($CO59:$CP59)/'Setari model'!$B$67,1)-1)+0.06*(IFERROR(AVERAGE($CQ59:$CR59)/'Setari model'!$B$68,1)-1)+0.04*(IFERROR(AVERAGE($CS59:$CT59)/'Setari model'!$B$69,1)-1)+0.04*(IFERROR(AVERAGE($CU59:$CV59)/'Setari model'!$B$70,1)-1)-'Setari model'!$B$73*IFERROR(AVERAGE($CW59:$CX59),0))))</x:f>
      </x:c>
      <x:c r="DX59" s="118" t="str">
        <x:f>IF($A59="","",1+'Setari model'!$B$62*MAX(IF(OR($CK59=1,$CL59=1),1,0),IF(AND($CJ59&lt;&gt;"",$CJ59&lt;=1),1,0))+'Setari model'!$B$63*IF(AND($CJ59&gt;1,$CJ59&lt;=3),1,0))</x:f>
      </x:c>
      <x:c r="DY59" s="118" t="str">
        <x:f>IF($A59="","",1+'Setari model'!$B$74*(IF($CY59="",0,IF($CY59=0,1,0))+IF($CZ59="",0,IF($CZ59=0,1,0)))+'Setari model'!$B$75*(IF($DA59="",0,IF($DA59=0,1,0))+IF($DB59="",0,IF($DB59=0,1,0))))</x:f>
      </x:c>
      <x:c r="DZ59" s="117" t="str">
        <x:f>IF($A59="","",MIN(0.6,MAX(0.002,(((1-'Setari model'!$B$34*MIN(1,($I59+$P59)/20))*$BT59+'Setari model'!$B$34*MIN(1,($I59+$P59)/20)*IF(COUNT($N59,$U59)=2,SQRT(MAX(0,1-$N59)*MAX(0,1-$U59)),$BT59))*(1-'Setari model'!$B$65*MIN(1,IF($AN59="",0,$AN59/'Setari model'!$B$64)))+'Setari model'!$B$65*MIN(1,IF($AN59="",0,$AN59/'Setari model'!$B$64))*IF($AM59="",$BT59,$AM59))*$DX59*$DY59/$DW59)))</x:f>
      </x:c>
      <x:c r="EA59" s="117" t="str">
        <x:f>IF($A59="","",MIN(1-$DZ59,IF(OR(MIN($I59,$P59)&lt;'Setari model'!$B$58,$CK59=1,$CL59=1,AND($CJ59&lt;&gt;"",$CJ59&lt;=1)),'Setari model'!$B$59,IF(AND($AU59=1,$AR59&gt;1,COUNT($CY59:$DB59)=4),'Setari model'!$B$61,'Setari model'!$B$60))))</x:f>
      </x:c>
      <x:c r="EB59" s="115" t="str">
        <x:f t="shared" si="69">IF($A59="","",1/$EA59)</x:f>
      </x:c>
      <x:c r="EC59" s="117" t="str">
        <x:f t="shared" si="70">IF($A59="","",IF($AR59&gt;1,IF($AS59&gt;1,(1/$AR59)/((1/$AR59)+(1/$AS59)),1/$AR59),""))</x:f>
      </x:c>
      <x:c r="ED59" s="117" t="str">
        <x:f t="shared" si="71">IF($A59="","",IF($EC59="","",$EA59-$EC59))</x:f>
      </x:c>
      <x:c r="EE59" s="117" t="str">
        <x:f t="shared" si="72">""</x:f>
      </x:c>
      <x:c r="EF59" s="119" t="str">
        <x:f>IF($A59="","",MAX(0,MIN(100,$CE59-200*MAX(0,$EG59-'Setari model'!$B$77)-IF($AU59&lt;&gt;1,10,0)-IF(COUNT($CY59:$DB59)&lt;4,4,0))))</x:f>
      </x:c>
      <x:c r="EG59" s="117" t="str">
        <x:f>IF($A59="","",'Setari model'!$B$77+IF(MIN($I59,$P59)&lt;'Setari model'!$B$58,0.03,0)+IF(OR($CK59=1,$CL59=1,AND($CJ59&lt;&gt;"",$CJ59&lt;=1)),0.03,0)+IF($AG59=0,0.02,0)+0.03*(1-MIN(1,COUNT($CM59:$CV59)/10))+0.03*(1-MIN(1,IF($AN59="",0,$AN59/'Setari model'!$B$64)))+IF($AR59&lt;=1,0.02,0))</x:f>
      </x:c>
      <x:c r="EH59" s="113" t="str">
        <x:f>IF($A59="","",IF(OR(MIN($I59,$P59)&lt;'Setari model'!$B$58,$CK59=1,$CL59=1,AND($CJ59&lt;&gt;"",$CJ59&lt;=1)),"92% – early/regim",IF(AND($AU59=1,$AR59&gt;1,COUNT($CY59:$DB59)=4),"94% – confirmat","93% – standard")))</x:f>
      </x:c>
      <x:c r="EI59" s="113" t="str">
        <x:f t="shared" si="73">IF($A59="","",IF(AND($EA59&gt;0.9,$AU59&lt;&gt;1),"WAIT XI – HIGH P",IF(AND($EA59&gt;0.9,COUNT($CY59:$DB59)&lt;4),"WAIT DATE CHEIE – HIGH P",IF($EP59&lt;&gt;"DA","NU – PORTOFOLIU","DA"))))</x:f>
      </x:c>
      <x:c r="EJ59" s="117" t="str">
        <x:f t="shared" si="74">IF($A59="","",IF($DE59&lt;&gt;"Live 20-30","",IF(SUM($DG59:$DH59)&gt;0,1,IF($EU59="","",1-MIN(0.95,MAX(0.001,EXP(-$EU59)*$DX59*$DY59/$DW59))))))</x:f>
      </x:c>
      <x:c r="EK59" s="117" t="str">
        <x:f t="shared" si="75">""</x:f>
      </x:c>
      <x:c r="EL59" s="113" t="str">
        <x:f>IF($A59="","",IF($DE59="Live 20-30",IF(SUM($DG59:$DH59)&gt;0,"EVENIMENT ÎNDEPLINIT",IF(OR($DF59="",COUNT($DI59:$DN59)&lt;4),"LIVE – WATCH",IF($EJ59&gt;=0.75,"LIVE – FEZABIL TEHNIC","LIVE – NO BET"))),IF($EI59&lt;&gt;"DA","WATCH / NO BET",IF(AND($EA59&gt;=INDEX('Setari model'!$B$35:$B$40,1),$EF59&gt;=100*'Setari model'!$B$76),"PARIU RECOMANDAT",IF(AND($EA59&gt;=INDEX('Setari model'!$B$35:$B$40,5),$EF59&gt;=100*'Setari model'!$B$40),"WATCH – APROAPE DE PRAG","PARIU EVITAT")))))</x:f>
      </x:c>
      <x:c r="EM59" s="113" t="str">
        <x:f t="shared" si="76">IF($A59="","",IF($DE59="Live 20-30",IF(SUM($DG59:$DH59)&gt;0,"Gol deja marcat.",IF($DF59="","Minut live lipsă.",IF(COUNT($DI59:$DN59)&lt;4,"Lipsesc xG/SOT/big chances live.",IF($EJ59&lt;0.75,"P live sub prag.","Semnal live tehnic complet; EV ignorat.")))),IF($EI59&lt;&gt;"DA",$EI59,IF($EF59&lt;75,"Confidence sub 75.",IF($EA59&lt;0.92,"P sub 92%.","G0/Zero-Mass + confidence trecute; EV ignorat.")))))</x:f>
      </x:c>
      <x:c r="EN59" s="117" t="str">
        <x:f>IF($A59="","",IF(OR($EL59="PARIU RECOMANDAT",$EL59="LIVE – FEZABIL"),MIN(IF($DU59&gt;0,$DU59,'Setari model'!$B$81)/MAX(1,$DR59),IF($DV59&gt;0,$DV59,'Setari model'!$B$80)*MAX(0,((IF($DE59="Live 20-30",$EJ59,$EA59)*IF($DE59="Live 20-30",$DQ59,$AR59)-1)/(IF($DE59="Live 20-30",$DQ59,$AR59)-1)))),0))</x:f>
      </x:c>
      <x:c r="EO59" s="121" t="str">
        <x:f t="shared" si="77">IF($A59="","",IF(AND($EN59&gt;0,$DT59&gt;0),$EN59*$DT59,""))</x:f>
      </x:c>
      <x:c r="EP59" s="113" t="str">
        <x:f>IF($A59="","",IF(OR($DR59&lt;1,$DR59&gt;'Setari model'!$B$78),"NU – 1–5 selecții",IF($DS59&gt;'Setari model'!$B$79,"NU – corelație", "DA")))</x:f>
      </x:c>
      <x:c r="EQ59" s="117" t="str">
        <x:f t="shared" si="78">IF($A59="","",IF(AND($DC59&gt;1,$DD59&gt;1),$DC59/$DD59-1,""))</x:f>
      </x:c>
      <x:c r="ER59" s="113" t="str">
        <x:f t="shared" si="79">IF($A59="","","P v2="&amp;TEXT($EA59,"0.0%")&amp;" ±"&amp;TEXT($EG59,"0.0%")&amp;"; P0 ZIP="&amp;TEXT($DZ59,"0.0%")&amp;"; Confidence="&amp;TEXT($EF59,"0")&amp;"/100; piață reală="&amp;IF($EC59="","NU","DA")&amp;"; EV="&amp;IF($EE59="","n/a",TEXT($EE59,"0.0%"))&amp;"; gate="&amp;$EI59&amp;"; verdict="&amp;$EL59&amp;". "&amp;$EM59)</x:f>
      </x:c>
      <x:c r="ES59" s="119" t="str">
        <x:f>IF($A59="","",'Setari model'!$B$82)</x:f>
      </x:c>
      <x:c r="ET59" s="118" t="str">
        <x:f>IF($A59="","",'Setari model'!$B$83)</x:f>
      </x:c>
      <x:c r="EU59" s="115" t="str">
        <x:f t="shared" si="80">IF(OR($A59="",$DE59&lt;&gt;"Live 20-30",$DF59="",$DF59&lt;$ES59,$DF59&gt;=90),"",MAX(0.05,MIN($BS59*$ET59,$BS59*(90-$DF59)/90+0.35*($DI59+$DJ59)+0.06*($DK59+$DL59)+0.15*($DM59+$DN59)+0.1*(MAX($DO59,$DP59)-MIN($DO59,$DP59)))))</x:f>
      </x:c>
      <x:c r="EV59" s="132"/>
      <x:c r="EW59" s="132"/>
      <x:c r="EX59" s="132"/>
      <x:c r="EY59" s="132"/>
      <x:c r="EZ59" s="132"/>
      <x:c r="FA59" s="132"/>
      <x:c r="FB59" s="247"/>
      <x:c r="FC59" s="134" t="str">
        <x:f t="shared" si="81">IF($A59="","",IF(OR($J59="",$L59="",$L59&lt;=0),"",MAX(0.5,MIN(1.5,$J59/$L59))))</x:f>
      </x:c>
      <x:c r="FD59" s="134" t="str">
        <x:f t="shared" si="82">IF($A59="","",IF(OR($Q59="",$S59="",$S59&lt;=0),"",MAX(0.5,MIN(1.5,$Q59/$S59))))</x:f>
      </x:c>
      <x:c r="FE59" s="134" t="str">
        <x:f>IF($A59="","",IF(COUNT($EV59:$EW59)&lt;2,"",SQRT($EV59*$EW59)/'Setari model'!$B$87))</x:f>
      </x:c>
      <x:c r="FF59" s="134" t="str">
        <x:f>IF($A59="","",IF(COUNT($O59,$V59,$EX59,$EY59)&lt;4,"",AVERAGE(SQRT($O59*$EY59),SQRT($V59*$EX59))/'Setari model'!$B$88))</x:f>
      </x:c>
      <x:c r="FG59" s="134" t="str">
        <x:f t="shared" si="83">IF($A59="","",IF(COUNT($FC59:$FD59)&lt;2,"",MAX(0,1-AVERAGE($FC59:$FD59))))</x:f>
      </x:c>
      <x:c r="FH59" s="134" t="str">
        <x:f>IF($A59="","",IF(COUNT($EZ59:$FA59)&lt;2,"",'Setari model'!$B$94*AVERAGE($EZ59:$FA59)/'Setari model'!$B$89))</x:f>
      </x:c>
      <x:c r="FI59" s="134" t="str">
        <x:f>IF($A59="","",IF(COUNT($FE59:$FH59)&lt;4,"",MAX('Setari model'!$B$97,MIN('Setari model'!$B$98,1+'Setari model'!$B$90*($FE59-1)+'Setari model'!$B$91*($FF59-1)+'Setari model'!$B$92*$FG59+'Setari model'!$B$93*($FH59-1)))))</x:f>
      </x:c>
      <x:c r="FJ59" s="133" t="str">
        <x:f>IF($A59="","",IF($FI59="","",MIN('Setari model'!$B$101,MAX(0.002,$DZ59*$FI59))))</x:f>
      </x:c>
      <x:c r="FK59" s="131" t="str">
        <x:f t="shared" si="84">IF($A59="","",IF(AND(COUNT($EV59:$FA59)=6,COUNT($O59,$V59,$FC59,$FD59)=4),"DA","NU"))</x:f>
      </x:c>
      <x:c r="FL59" s="131" t="str">
        <x:f>IF($A59="","",IF($FK59&lt;&gt;"DA","NEDETERMINAT",IF($FI59&lt;='Setari model'!$B$99,"SCĂZUT",IF($FI59&lt;='Setari model'!$B$100,"MEDIU","RIDICAT"))))</x:f>
      </x:c>
      <x:c r="FM59" s="131" t="str">
        <x:f>IF($A59="","",IF(AND($AR59&gt;1,$EC59&gt;='Setari model'!$B$106),"DA","NU"))</x:f>
      </x:c>
      <x:c r="FN59" s="131" t="str">
        <x:f t="shared" si="85">IF($A59="","",IF(AND($AU59=1,COUNT($CY59:$DB59)=4),"DA","NU"))</x:f>
      </x:c>
      <x:c r="FO59" s="133" t="str">
        <x:f>IF($A59="","",IF(OR($FK59&lt;&gt;"DA",$FL59="RIDICAT"),'Setari model'!$B$102,IF($FL59="MEDIU",'Setari model'!$B$103,IF(AND($FM59="DA",$FN59="DA"),'Setari model'!$B$105,'Setari model'!$B$104))))</x:f>
      </x:c>
      <x:c r="FP59" s="133" t="str">
        <x:f t="shared" si="86">IF($A59="","",IF($FJ59="","",MIN(1-$FJ59,$FO59)))</x:f>
      </x:c>
      <x:c r="FQ59" s="135" t="str">
        <x:f t="shared" si="87">IF($A59="","",IF($FP59="","",IF($FP59&gt;0,1/$FP59,"")))</x:f>
      </x:c>
      <x:c r="FR59" s="133" t="str">
        <x:f t="shared" si="88">IF($A59="","",IF($EC59="","",$FP59-$EC59))</x:f>
      </x:c>
      <x:c r="FS59" s="133" t="str">
        <x:f t="shared" si="89">IF($A59="","",IF($AR59&gt;1,$FP59*$AR59-1,""))</x:f>
      </x:c>
      <x:c r="FT59" s="136" t="str">
        <x:f>IF($A59="","",MAX(0,MIN(100,$EF59-IF($FK59&lt;&gt;"DA",'Setari model'!$B$107,0)-IF($FL59="MEDIU",'Setari model'!$B$108,0)-IF($FL59="RIDICAT",'Setari model'!$B$109,0))))</x:f>
      </x:c>
      <x:c r="FU59" s="131" t="str">
        <x:f t="shared" si="90">IF($A59="","",IF($AR59&lt;=1,"NU – LIPSEȘTE COTA REALĂ",IF($FK59&lt;&gt;"DA","NU – ZERO-RISK INCOMPLET",IF($FL59&lt;&gt;"SCĂZUT","NU – RISC 0-0 "&amp;$FL59,IF($FN59&lt;&gt;"DA","NU – LINEUP NECONFIRMAT",IF($FM59&lt;&gt;"DA","NU – PIAȚĂ NECONFIRMATĂ",IF($EP59&lt;&gt;"DA","NU – PORTOFOLIU","DA")))))))</x:f>
      </x:c>
      <x:c r="FV59" s="131" t="str">
        <x:f>IF($A59="","",IF($FU59&lt;&gt;"DA","WATCH / NO BET",IF(AND($FP59&gt;='Setari model'!$B$35,$FT59&gt;=100*'Setari model'!$B$76,$FS59&gt;0),"PARIU RECOMANDAT",IF(AND($FP59&gt;='Setari model'!$B$39,$FT59&gt;=100*'Setari model'!$B$40,$FS59&gt;0),"WATCH – APROAPE DE PRAG","PARIU EVITAT"))))</x:f>
      </x:c>
      <x:c r="FW59" s="131" t="str">
        <x:f t="shared" si="91">IF($A59="","",IF($FU59&lt;&gt;"DA",$FU59,IF($FT59&lt;75,"Confidence v3 sub 75.",IF($FP59&lt;0.92,"P v3 sub 92%.",IF($FS59&lt;=0,"EV v3 nepozitiv.","P0 v3, lineup și piață confirmate.")))))</x:f>
      </x:c>
      <x:c r="FX59" s="131" t="str">
        <x:f t="shared" si="92">IF($A59="","","P v3="&amp;TEXT($FP59,"0.0%")&amp;"; P0 v3="&amp;TEXT($FJ59,"0.0%")&amp;"; factor zero="&amp;IF($FI59="","n/a",TEXT($FI59,"0.00x"))&amp;" ("&amp;$FL59&amp;"); cap="&amp;TEXT($FO59,"0.0%")&amp;"; Confidence="&amp;TEXT($FT59,"0")&amp;"/100; lineup="&amp;$FN59&amp;"; piață="&amp;$FM59&amp;"; EV="&amp;IF($FS59="","n/a",TEXT($FS59,"0.0%"))&amp;"; gate="&amp;$FU59&amp;"; verdict="&amp;$FV59&amp;". "&amp;$FW59)</x:f>
      </x:c>
      <x:c r="FY59" s="159"/>
      <x:c r="FZ59" s="159"/>
      <x:c r="GA59" s="157"/>
      <x:c r="GB59" s="157"/>
      <x:c r="GC59" s="161" t="str">
        <x:f t="shared" si="93">IF($A59="","",IF(OR($X59="",$Z59="",$Z59&lt;=0),"",MAX(0.5,MIN(1.5,$X59/$Z59))))</x:f>
      </x:c>
      <x:c r="GD59" s="161" t="str">
        <x:f t="shared" si="94">IF($A59="","",IF(OR($AC59="",$AE59="",$AE59&lt;=0),"",MAX(0.5,MIN(1.5,$AC59/$AE59))))</x:f>
      </x:c>
      <x:c r="GE59" s="162" t="str">
        <x:f t="shared" si="95">IF($A59="","",IF(COUNT($Z59,$AE59)&lt;2,"",AVERAGE($Z59,$AE59)))</x:f>
      </x:c>
      <x:c r="GF59" s="158" t="str">
        <x:f>IF($A59="","",IF(COUNT($FY59:$FZ59)&lt;2,"NEDETERMINAT",IF(AND($FY59&gt;='Setari model'!$B$113,$FZ59&gt;='Setari model'!$B$113),"DA","NU")))</x:f>
      </x:c>
      <x:c r="GG59" s="158" t="str">
        <x:f>IF($A59="","",IF(COUNT($FY59:$FZ59,$EX59:$EY59)&lt;4,"NEDETERMINAT",IF(OR(AND($FY59&gt;='Setari model'!$B$113,$EY59&gt;='Setari model'!$B$114),AND($FZ59&gt;='Setari model'!$B$113,$EX59&gt;='Setari model'!$B$114)),"DA","NU")))</x:f>
      </x:c>
      <x:c r="GH59" s="158" t="str">
        <x:f>IF($A59="","",IF(COUNT($BJ59:$BN59,$GC59:$GE59)&lt;8,"NEDETERMINAT",IF(AND((($BJ59*INDEX('Setari model'!$B$5:$B$11,MATCH($E59,'Setari model'!$A$5:$A$11,0))+$BK59*INDEX('Setari model'!$C$5:$C$11,MATCH($E59,'Setari model'!$A$5:$A$11,0))+$BL59*INDEX('Setari model'!$D$5:$D$11,MATCH($E59,'Setari model'!$A$5:$A$11,0))+$BM59*INDEX('Setari model'!$E$5:$E$11,MATCH($E59,'Setari model'!$A$5:$A$11,0))+$BN59*INDEX('Setari model'!$F$5:$F$11,MATCH($E59,'Setari model'!$A$5:$A$11,0)))/(INDEX('Setari model'!$B$5:$B$11,MATCH($E59,'Setari model'!$A$5:$A$11,0))+INDEX('Setari model'!$C$5:$C$11,MATCH($E59,'Setari model'!$A$5:$A$11,0))+INDEX('Setari model'!$D$5:$D$11,MATCH($E59,'Setari model'!$A$5:$A$11,0))+INDEX('Setari model'!$E$5:$E$11,MATCH($E59,'Setari model'!$A$5:$A$11,0))+INDEX('Setari model'!$F$5:$F$11,MATCH($E59,'Setari model'!$A$5:$A$11,0))))*$BR59&gt;='Setari model'!$B$115,(($BJ59*INDEX('Setari model'!$B$5:$B$11,MATCH($E59,'Setari model'!$A$5:$A$11,0))+$BK59*INDEX('Setari model'!$C$5:$C$11,MATCH($E59,'Setari model'!$A$5:$A$11,0))+$BL59*INDEX('Setari model'!$D$5:$D$11,MATCH($E59,'Setari model'!$A$5:$A$11,0))+$BM59*INDEX('Setari model'!$E$5:$E$11,MATCH($E59,'Setari model'!$A$5:$A$11,0))+$BN59*INDEX('Setari model'!$F$5:$F$11,MATCH($E59,'Setari model'!$A$5:$A$11,0)))/(INDEX('Setari model'!$B$5:$B$11,MATCH($E59,'Setari model'!$A$5:$A$11,0))+INDEX('Setari model'!$C$5:$C$11,MATCH($E59,'Setari model'!$A$5:$A$11,0))+INDEX('Setari model'!$D$5:$D$11,MATCH($E59,'Setari model'!$A$5:$A$11,0))+INDEX('Setari model'!$E$5:$E$11,MATCH($E59,'Setari model'!$A$5:$A$11,0))+INDEX('Setari model'!$F$5:$F$11,MATCH($E59,'Setari model'!$A$5:$A$11,0))))*$BR59&lt;='Setari model'!$B$116,AVERAGE($GC59:$GD59)&lt;='Setari model'!$B$117,$GE59&gt;='Setari model'!$B$118),"DA","NU")))</x:f>
      </x:c>
      <x:c r="GI59" s="158" t="str">
        <x:f>IF($A59="","",IF(COUNT($W59,$AB59,$GA59:$GB59)&lt;4,"NEDETERMINAT",IF(AND($W59&gt;='Setari model'!$B$120,$AB59&gt;='Setari model'!$B$120,OR(IFERROR($GA59/$W59,0)&gt;='Setari model'!$B$119,IFERROR($GB59/$AB59,0)&gt;='Setari model'!$B$119)),"DA","NU")))</x:f>
      </x:c>
      <x:c r="GJ59" s="160" t="str">
        <x:f>IF($A59="","",IF(COUNT($FY59:$GB59)&lt;4,"",IF($GH59&lt;&gt;"DA",0,'Setari model'!$B$121*IF($GF59="DA",1,0)+'Setari model'!$B$122*IF($GG59="DA",1,0)+'Setari model'!$B$123+'Setari model'!$B$124*IF($GI59="DA",1,0))))</x:f>
      </x:c>
      <x:c r="GK59" s="161" t="str">
        <x:f>IF($A59="","",IF(COUNT($GJ59)=0,"",1+'Setari model'!$B$125*$GJ59))</x:f>
      </x:c>
      <x:c r="GL59" s="160" t="str">
        <x:f>IF($A59="","",IF($GM59&lt;&gt;"DA",$FJ59,MIN('Setari model'!$B$101,MAX(0.002,$FJ59*$GK59))))</x:f>
      </x:c>
      <x:c r="GM59" s="158" t="str">
        <x:f>IF($A59="","",IF(AND($FK59="DA",COUNT($FY59:$GB59)=4,COUNT($I59,$P59,$W59,$AB59,$Z59,$AE59,$EX59,$EY59,$GC59,$GD59)=10,COUNT($BJ59:$BN59)=5),"DA","NU"))</x:f>
      </x:c>
      <x:c r="GN59" s="158" t="str">
        <x:f>IF($A59="","",IF($GM59&lt;&gt;"DA","NEDETERMINAT",IF($FI59*$GK59&lt;='Setari model'!$B$99,"SCĂZUT",IF($FI59*$GK59&lt;='Setari model'!$B$100,"MEDIU","RIDICAT"))))</x:f>
      </x:c>
      <x:c r="GO59" s="160" t="str">
        <x:f>IF($A59="","",IF(OR($GM59&lt;&gt;"DA",$GN59="RIDICAT"),'Setari model'!$B$102,IF($GN59="MEDIU",'Setari model'!$B$103,IF(AND($FM59="DA",$FN59="DA"),'Setari model'!$B$105,'Setari model'!$B$104))))</x:f>
      </x:c>
      <x:c r="GP59" s="160" t="str">
        <x:f t="shared" si="96">IF($A59="","",IF($GL59="","",MIN(1-$GL59,$GO59)))</x:f>
      </x:c>
      <x:c r="GQ59" s="162" t="str">
        <x:f t="shared" si="97">IF($A59="","",IF($GP59="","",IF($GP59&gt;0,1/$GP59,"")))</x:f>
      </x:c>
      <x:c r="GR59" s="160" t="str">
        <x:f t="shared" si="98">IF($A59="","",IF($EC59="","",$GP59-$EC59))</x:f>
      </x:c>
      <x:c r="GS59" s="160" t="str">
        <x:f t="shared" si="99">IF($A59="","",IF($AR59&gt;1,$GP59*$AR59-1,""))</x:f>
      </x:c>
      <x:c r="GT59" s="163" t="str">
        <x:f>IF($A59="","",MAX(0,MIN(100,$FT59-IF(AND($GM59&lt;&gt;"DA",$FK59="DA"),'Setari model'!$B$107,0)-'Setari model'!$B$126*IF($GJ59="",0,$GJ59))))</x:f>
      </x:c>
      <x:c r="GU59" s="158" t="str">
        <x:f t="shared" si="100">IF($A59="","",IF($AR59&lt;=1,"NU – LIPSEȘTE COTA REALĂ",IF($GM59&lt;&gt;"DA","NU – DATE LOW-CONVERSION INCOMPLETE",IF($GN59&lt;&gt;"SCĂZUT","NU – RISC 0-0 "&amp;$GN59,IF($FN59&lt;&gt;"DA","NU – LINEUP NECONFIRMAT",IF($FM59&lt;&gt;"DA","NU – PIAȚĂ NECONFIRMATĂ",IF($EP59&lt;&gt;"DA","NU – PORTOFOLIU","DA")))))))</x:f>
      </x:c>
      <x:c r="GV59" s="158" t="str">
        <x:f>IF($A59="","",IF($GU59&lt;&gt;"DA","WATCH / NO BET",IF(AND($GP59&gt;='Setari model'!$B$35,$GT59&gt;=100*'Setari model'!$B$76,$GS59&gt;0),"PARIU RECOMANDAT",IF(AND($GP59&gt;='Setari model'!$B$39,$GT59&gt;=100*'Setari model'!$B$40,$GS59&gt;0),"WATCH – APROAPE DE PRAG","PARIU EVITAT"))))</x:f>
      </x:c>
      <x:c r="GW59" s="158" t="str">
        <x:f t="shared" si="101">IF($A59="","",IF($GU59&lt;&gt;"DA",$GU59,IF($GT59&lt;75,"Confidence v5 sub 75.",IF($GP59&lt;0.92,"P v5 sub 92%.",IF($GS59&lt;=0,"EV v5 nepozitiv.",IF($GJ59&gt;0,"Low-conversion absorbit în P0; toate porțile rămân trecute.","Toate porțile v5 sunt trecute."))))))</x:f>
      </x:c>
      <x:c r="GX59" s="158" t="str">
        <x:f t="shared" si="102">IF($A59="","","P v5="&amp;TEXT($GP59,"0.0%")&amp;"; P0 v5="&amp;TEXT($GL59,"0.0%")&amp;"; low-conv="&amp;IF(COUNT($GJ59)=0,"n/a",TEXT($GJ59,"0%"))&amp;"; mult.P0="&amp;IF(COUNT($GK59)=0,"n/a",TEXT($GK59,"0.00"))&amp;"; clasă="&amp;$GN59&amp;"; cap="&amp;TEXT($GO59,"0.0%")&amp;"; Confidence="&amp;TEXT($GT59,"0")&amp;"/100; lineup="&amp;$FN59&amp;"; piață="&amp;$FM59&amp;"; EV="&amp;IF($GS59="","n/a",TEXT($GS59,"0.0%"))&amp;"; gate="&amp;$GU59&amp;"; verdict="&amp;$GV59&amp;". "&amp;$GW59)</x:f>
      </x:c>
      <x:c r="GY59" s="174" t="str">
        <x:f>IF($A59="","",IF($GM59&lt;&gt;"DA","SOURCING INCOMPLETE – REVIEW REQUIRED",IF(MIN($I59,$P59,$W59,$AB59)&lt;'Setari model'!$B$58,"SMALL SAMPLE + PRIOR / SHRINKAGE","VERIFIED / PRIOR / SHRINKAGE")))</x:f>
      </x:c>
      <x:c r="GZ59" s="175" t="str">
        <x:f t="shared" si="103">IF($A59="","",MAX(0,MIN(100,100*(1-AVERAGE(IF($GM59="DA",1,0),MIN(1,$AT59/5))))))</x:f>
      </x:c>
      <x:c r="HA59" s="175" t="str">
        <x:f>IF($A59="","",IF($GM59&lt;&gt;"DA","",MAX(0,MIN(100,100*(($FI59*$GK59)-'Setari model'!$B$97)/('Setari model'!$B$98-'Setari model'!$B$97)))))</x:f>
      </x:c>
      <x:c r="HB59" s="175" t="str">
        <x:f>IF($A59="","",MAX(0,MIN(100,100*(ABS($BR59-1)/MAX(1-'Setari model'!$B$53,'Setari model'!$B$54-1)+MIN(1,$BG59/2))/2)))</x:f>
      </x:c>
      <x:c r="HC59" s="175" t="str">
        <x:f t="shared" si="104">IF($A59="","",MAX(0,MIN(100,100*(1-AVERAGE($CC59,MAX(0,1-(MAX($BJ59:$BN59)-MIN($BJ59:$BN59))/(AVERAGE($BJ59:$BN59)*'Setari model'!$B$45)))))))</x:f>
      </x:c>
      <x:c r="HD59" s="175" t="str">
        <x:f t="shared" si="105">IF($A59="","",MAX(0,MIN(100,100*MAX(IF($GJ59="",0,$GJ59),MIN(1,$BG59/2)))))</x:f>
      </x:c>
      <x:c r="HE59" s="175" t="str">
        <x:f>IF($A59="","",IF(COUNT($GZ59:$HD59)&lt;5,"",$GZ59*Risk_Classification!$E$28+$HA59*Risk_Classification!$E$29+$HB59*Risk_Classification!$E$30+$HC59*Risk_Classification!$E$31+$HD59*Risk_Classification!$E$32))</x:f>
      </x:c>
      <x:c r="HF59" s="176" t="str">
        <x:f t="shared" si="106">IF($A59="","",IF($HE59="","",IF($HE59&lt;=20,1,IF($HE59&lt;=40,2,IF($HE59&lt;=60,3,IF($HE59&lt;=80,4,5))))))</x:f>
      </x:c>
      <x:c r="HG59" s="176" t="str">
        <x:f t="shared" si="107">IF($A59="","",IF($GM59="DA","PASS","FAIL – DATE CRITICE ZERO-MASS INCOMPLETE"))</x:f>
      </x:c>
      <x:c r="HH59" s="176" t="str">
        <x:f t="shared" si="108">IF($A59="","",IF($HG59&lt;&gt;"PASS",5,$HF59))</x:f>
      </x:c>
      <x:c r="HI59" s="174" t="str">
        <x:f t="shared" si="109">IF($A59="","",IF($HH59="","N/A",IF($HH59=1,"DEFENSIV",IF($HH59=2,"PRUDENT",IF($HH59=3,"MODERAT",IF($HH59=4,"RIDICAT","WATCH / NO BET"))))))</x:f>
      </x:c>
      <x:c r="HJ59" s="177" t="str">
        <x:f t="shared" si="110">IF($A59="","","Data="&amp;$GY59&amp;"; DQ="&amp;TEXT($GZ59,"0.0")&amp;"; ZM="&amp;IF($HA59="","n/a",TEXT($HA59,"0.0"))&amp;"; Context="&amp;TEXT($HB59,"0.0")&amp;"; Uncertainty="&amp;TEXT($HC59,"0.0")&amp;"; Compound="&amp;TEXT($HD59,"0.0")&amp;"; Risk Score="&amp;IF($HE59="","n/a",TEXT($HE59,"0.0"))&amp;"; Base="&amp;IF($HF59="","n/a",$HF59)&amp;"; G0="&amp;$HG59&amp;"; Final="&amp;$HH59&amp;". Cota, EV si lineup sunt informative si nu intra in recomandare.")</x:f>
      </x:c>
      <x:c r="HK59" s="174" t="str">
        <x:f t="shared" si="111">IF($A59="","",$HI59)</x:f>
      </x:c>
    </x:row>
    <x:row r="60" ht="24" customHeight="1">
      <x:c r="A60" s="58"/>
      <x:c r="B60" s="24"/>
      <x:c r="C60" s="59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18"/>
      <x:c r="O60" s="18"/>
      <x:c r="P60" s="24"/>
      <x:c r="Q60" s="24"/>
      <x:c r="R60" s="24"/>
      <x:c r="S60" s="24"/>
      <x:c r="T60" s="24"/>
      <x:c r="U60" s="18"/>
      <x:c r="V60" s="18"/>
      <x:c r="W60" s="24"/>
      <x:c r="X60" s="24"/>
      <x:c r="Y60" s="24"/>
      <x:c r="Z60" s="24"/>
      <x:c r="AA60" s="24"/>
      <x:c r="AB60" s="24"/>
      <x:c r="AC60" s="24"/>
      <x:c r="AD60" s="24"/>
      <x:c r="AE60" s="24"/>
      <x:c r="AF60" s="24"/>
      <x:c r="AG60" s="24"/>
      <x:c r="AH60" s="24"/>
      <x:c r="AI60" s="18"/>
      <x:c r="AJ60" s="24"/>
      <x:c r="AK60" s="24"/>
      <x:c r="AL60" s="24"/>
      <x:c r="AM60" s="18"/>
      <x:c r="AN60" s="24"/>
      <x:c r="AO60" s="60"/>
      <x:c r="AP60" s="60"/>
      <x:c r="AQ60" s="60"/>
      <x:c r="AR60" s="60"/>
      <x:c r="AS60" s="60"/>
      <x:c r="AT60" s="24"/>
      <x:c r="AU60" s="24"/>
      <x:c r="AV60" s="24"/>
      <x:c r="AW60" s="24"/>
      <x:c r="AX60" s="24"/>
      <x:c r="AY60" s="24"/>
      <x:c r="AZ60" s="24"/>
      <x:c r="BA60" s="24"/>
      <x:c r="BB60" s="24"/>
      <x:c r="BC60" s="24"/>
      <x:c r="BD60" s="24"/>
      <x:c r="BE60" s="24"/>
      <x:c r="BF60" s="24"/>
      <x:c r="BG60" s="24"/>
      <x:c r="BH60" s="61"/>
      <x:c r="BI60" s="61"/>
      <x:c r="BJ60" s="62" t="str">
        <x:f>IF($A60="","",SQRT((($I60*IF($J60="",$AJ60,$J60)+'Setari model'!$B$30*$AJ60)/($I60+'Setari model'!$B$30))*(($P60*IF($R60="",$AJ60,$R60)+'Setari model'!$B$30*$AJ60)/($P60+'Setari model'!$B$30)))+SQRT((($P60*IF($Q60="",$AK60,$Q60)+'Setari model'!$B$30*$AK60)/($P60+'Setari model'!$B$30))*(($I60*IF($K60="",$AK60,$K60)+'Setari model'!$B$30*$AK60)/($I60+'Setari model'!$B$30))))</x:f>
      </x:c>
      <x:c r="BK60" s="62" t="str">
        <x:f>IF($A60="","",SQRT((($I60*IF($L60="",IF($J60="",$AJ60,$J60),$L60)+'Setari model'!$B$30*$AJ60)/($I60+'Setari model'!$B$30))*(($P60*IF($T60="",IF($R60="",$AJ60,$R60),$T60)+'Setari model'!$B$30*$AJ60)/($P60+'Setari model'!$B$30)))+SQRT((($P60*IF($S60="",IF($Q60="",$AK60,$Q60),$S60)+'Setari model'!$B$30*$AK60)/($P60+'Setari model'!$B$30))*(($I60*IF($M60="",IF($K60="",$AK60,$K60),$M60)+'Setari model'!$B$30*$AK60)/($I60+'Setari model'!$B$30))))</x:f>
      </x:c>
      <x:c r="BL60" s="62" t="str">
        <x:f>IF($A60="","",SQRT((($W60*IF($X60="",$AL60/2,$X60)+'Setari model'!$B$31*$AL60/2)/($W60+'Setari model'!$B$31))*(($AB60*IF($AD60="",$AL60/2,$AD60)+'Setari model'!$B$31*$AL60/2)/($AB60+'Setari model'!$B$31)))+SQRT((($AB60*IF($AC60="",$AL60/2,$AC60)+'Setari model'!$B$31*$AL60/2)/($AB60+'Setari model'!$B$31))*(($W60*IF($Y60="",$AL60/2,$Y60)+'Setari model'!$B$31*$AL60/2)/($W60+'Setari model'!$B$31))))</x:f>
      </x:c>
      <x:c r="BM60" s="62" t="str">
        <x:f>IF($A60="","",SQRT((($W60*IF($Z60="",IF($X60="",$AL60/2,$X60),$Z60)+'Setari model'!$B$31*$AL60/2)/($W60+'Setari model'!$B$31))*(($AB60*IF($AF60="",IF($AD60="",$AL60/2,$AD60),$AF60)+'Setari model'!$B$31*$AL60/2)/($AB60+'Setari model'!$B$31)))+SQRT((($AB60*IF($AE60="",IF($AC60="",$AL60/2,$AC60),$AE60)+'Setari model'!$B$31*$AL60/2)/($AB60+'Setari model'!$B$31))*(($W60*IF($AA60="",IF($Y60="",$AL60/2,$Y60),$AA60)+'Setari model'!$B$31*$AL60/2)/($W60+'Setari model'!$B$31))))</x:f>
      </x:c>
      <x:c r="BN60" s="62" t="str">
        <x:f t="shared" si="56">IF($A60="","",IF($AG60&gt;0,($AG60*IF($AH60="",$AL60,$AH60)+5*$AL60)/($AG60+5),$AL60))</x:f>
      </x:c>
      <x:c r="BO60" s="63" t="str">
        <x:f>IF($A60="","",IF($AR60&gt;1,IF($AS60&gt;1,(1/$AR60)/((1/$AR60+1/$AS60)),MIN(0.995,(1/$AR60)/(1+'Setari model'!$B$32))),1-EXP(-$AL60)))</x:f>
      </x:c>
      <x:c r="BP60" s="62" t="str">
        <x:f t="shared" si="57">IF($A60="","",-LN(1-$BO60))</x:f>
      </x:c>
      <x:c r="BQ60" s="62" t="str">
        <x:f>IF($A60="","",$BJ60*INDEX('Setari model'!$B$5:$B$11,MATCH($E60,'Setari model'!$A$5:$A$11,0))+$BK60*INDEX('Setari model'!$C$5:$C$11,MATCH($E60,'Setari model'!$A$5:$A$11,0))+$BL60*INDEX('Setari model'!$D$5:$D$11,MATCH($E60,'Setari model'!$A$5:$A$11,0))+$BM60*INDEX('Setari model'!$E$5:$E$11,MATCH($E60,'Setari model'!$A$5:$A$11,0))+$BN60*INDEX('Setari model'!$F$5:$F$11,MATCH($E60,'Setari model'!$A$5:$A$11,0))+$BP60*INDEX('Setari model'!$G$5:$G$11,MATCH($E60,'Setari model'!$A$5:$A$11,0)))</x:f>
      </x:c>
      <x:c r="BR60" s="64" t="str">
        <x:f>IF($A60="","",MAX('Setari model'!$B$53,MIN('Setari model'!$B$54,1+($AV60*'Setari model'!$B$15+$AW60*'Setari model'!$B$16+$AX60*'Setari model'!$B$17+$AY60*'Setari model'!$B$18+$AZ60*'Setari model'!$B$19+$BA60*'Setari model'!$B$20+$BB60*'Setari model'!$B$21+$BC60*'Setari model'!$B$22+$BD60*'Setari model'!$B$23+$BE60*'Setari model'!$B$24+$BF60*'Setari model'!$B$25)*INDEX('Setari model'!$H$5:$H$11,MATCH($E60,'Setari model'!$A$5:$A$11,0)))))</x:f>
      </x:c>
      <x:c r="BS60" s="62" t="str">
        <x:f t="shared" si="58">IF($A60="","",$BQ60*$BR60)</x:f>
      </x:c>
      <x:c r="BT60" s="63" t="str">
        <x:f t="shared" si="59">IF($A60="","",EXP(-$BS60))</x:f>
      </x:c>
      <x:c r="BU60" s="65" t="str">
        <x:f>IF($A60="","",IF(OR($AM60="",$AN60=""),1,1+MIN('Setari model'!$B$33,$AN60/100*'Setari model'!$B$33)*($AM60/EXP(-$AL60)-1)))</x:f>
      </x:c>
      <x:c r="BV60" s="63" t="str">
        <x:f>IF($A60="","",MIN(0.45,MAX(0.005,(1-'Setari model'!$B$34*MIN(1,($I60+$P60)/20))*MIN(0.45,$BT60*$BU60)+'Setari model'!$B$34*MIN(1,($I60+$P60)/20)*IF(COUNT($N60,$U60)=2,SQRT(MAX(0,1-$N60)*MAX(0,1-$U60)),IF($AM60="",EXP(-$AL60),$AM60)))))</x:f>
      </x:c>
      <x:c r="BW60" s="63" t="str">
        <x:f t="shared" si="60">IF($A60="","",1-$BV60)</x:f>
      </x:c>
      <x:c r="BX60" s="62" t="str">
        <x:f t="shared" si="61">IF($A60="","",1/$BW60)</x:f>
      </x:c>
      <x:c r="BY60" s="63" t="str">
        <x:f t="shared" si="62">IF($A60="","",$BO60)</x:f>
      </x:c>
      <x:c r="BZ60" s="63" t="str">
        <x:f t="shared" si="63">IF($A60="","",$BW60-$BY60)</x:f>
      </x:c>
      <x:c r="CA60" s="63" t="str">
        <x:f t="shared" si="64">IF($A60="","",IF($AR60&gt;1,$BW60*$AR60-1,""))</x:f>
      </x:c>
      <x:c r="CB60" s="63" t="str">
        <x:f>IF($A60="","",MIN(1,COUNT($I60:$AN60,$AR60:$BG60)/'Setari model'!$B$46))</x:f>
      </x:c>
      <x:c r="CC60" s="63" t="str">
        <x:f t="shared" si="65">IF($A60="","",0.25*MIN(1,$I60/10)+0.25*MIN(1,$P60/10)+0.15*MIN(1,$W60/5)+0.15*MIN(1,$AB60/5)+0.1*MIN(1,$AG60/5)+0.1*MIN(1,$AN60/100))</x:f>
      </x:c>
      <x:c r="CD60" s="63" t="str">
        <x:f>IF($A60="","",MAX(0,1-(MAX($BJ60:$BN60,$BP60)-MIN($BJ60:$BN60,$BP60))/(AVERAGE($BJ60:$BN60,$BP60)*'Setari model'!$B$45)))</x:f>
      </x:c>
      <x:c r="CE60" s="66" t="str">
        <x:f>IF($A60="","",MAX(0,MIN(100,100*INDEX('Setari model'!$I$5:$I$11,MATCH($E60,'Setari model'!$A$5:$A$11,0))*('Setari model'!$B$47*$CB60+'Setari model'!$B$48*$CC60+'Setari model'!$B$49*$CD60+'Setari model'!$B$50*$AT60/5+'Setari model'!$B$51*$AU60)-100*'Setari model'!$B$52*$BG60)))</x:f>
      </x:c>
      <x:c r="CF60" s="65" t="str">
        <x:f t="shared" si="66">IF($A60="","",IF(OR($AT60&lt;3,$BG60&gt;=2,$CB60&lt;0.55,$CC60&lt;0.4),"RIDICAT",IF(OR($AU60=0,$CD60&lt;0.45,$BR60&lt;0.9),"MEDIU","SCĂZUT")))</x:f>
      </x:c>
      <x:c r="CG60" s="65" t="str">
        <x:f>IF($A60="","",IF($AR60&gt;1,IF(AND($BW60&gt;= 'Setari model'!$B$35,$CE60&gt;=100*'Setari model'!$B$36,$BZ60&gt;= 'Setari model'!$B$37,$CA60&gt;= 'Setari model'!$B$38,$CF60&lt;&gt;"RIDICAT"),"PARIU RECOMANDAT",IF(AND($BW60&gt;= 'Setari model'!$B$39,$CE60&gt;=100*'Setari model'!$B$40,$BZ60&gt;= 'Setari model'!$B$41,$CA60&gt;=0,$CF60&lt;&gt;"RIDICAT"),"RECOMANDAT CU PRUDENȚĂ",IF(AND($BW60&gt;= 'Setari model'!$B$42,$CE60&gt;=100*'Setari model'!$B$43),"ANALIZĂ NECONCLUDENTĂ","PARIU EVITAT"))),IF(AND($BW60&gt;= 'Setari model'!$B$35,$CE60&gt;=100*'Setari model'!$B$36,$CF60&lt;&gt;"RIDICAT"),"FAVORABIL STATISTIC – VERIFICĂ COTA",IF(AND($BW60&gt;= 'Setari model'!$B$42,$CE60&gt;=100*'Setari model'!$B$43),"ANALIZĂ NECONCLUDENTĂ","PARIU EVITAT"))))</x:f>
      </x:c>
      <x:c r="CH60" s="67" t="str">
        <x:f t="shared" si="67">IF($A60="","","P(O0,5)="&amp;TEXT($BW60,"0.0%")&amp;"; λ ajustat="&amp;TEXT($BS60,"0.00")&amp;"; Confidence="&amp;TEXT($CE60,"0")&amp;"/100; Edge="&amp;TEXT($BZ60,"0.0%")&amp;"; risc="&amp;$CF60&amp;". "&amp;$BH60)</x:f>
      </x:c>
      <x:c r="CI60" s="68" t="str">
        <x:f t="shared" si="68">IF($A60="","",$BI60)</x:f>
      </x:c>
      <x:c r="CJ60" s="112"/>
      <x:c r="CK60" s="112"/>
      <x:c r="CL60" s="112"/>
      <x:c r="CM60" s="112"/>
      <x:c r="CN60" s="112"/>
      <x:c r="CO60" s="112"/>
      <x:c r="CP60" s="112"/>
      <x:c r="CQ60" s="112"/>
      <x:c r="CR60" s="112"/>
      <x:c r="CS60" s="112"/>
      <x:c r="CT60" s="112"/>
      <x:c r="CU60" s="112"/>
      <x:c r="CV60" s="112"/>
      <x:c r="CW60" s="112"/>
      <x:c r="CX60" s="112"/>
      <x:c r="CY60" s="112"/>
      <x:c r="CZ60" s="112"/>
      <x:c r="DA60" s="112"/>
      <x:c r="DB60" s="112"/>
      <x:c r="DC60" s="114"/>
      <x:c r="DD60" s="114"/>
      <x:c r="DE60" s="112" t="s">
        <x:v>266</x:v>
      </x:c>
      <x:c r="DF60" s="112"/>
      <x:c r="DG60" s="112"/>
      <x:c r="DH60" s="112"/>
      <x:c r="DI60" s="112"/>
      <x:c r="DJ60" s="112"/>
      <x:c r="DK60" s="112"/>
      <x:c r="DL60" s="112"/>
      <x:c r="DM60" s="112"/>
      <x:c r="DN60" s="112"/>
      <x:c r="DO60" s="112"/>
      <x:c r="DP60" s="112"/>
      <x:c r="DQ60" s="114"/>
      <x:c r="DR60" s="112">
        <x:v>1</x:v>
      </x:c>
      <x:c r="DS60" s="116">
        <x:v>0</x:v>
      </x:c>
      <x:c r="DT60" s="120"/>
      <x:c r="DU60" s="116">
        <x:v>0.02</x:v>
      </x:c>
      <x:c r="DV60" s="116">
        <x:v>0.25</x:v>
      </x:c>
      <x:c r="DW60" s="118" t="str">
        <x:f>IF($A60="","",MAX('Setari model'!$B$71,MIN('Setari model'!$B$72,1+0.08*(IFERROR(AVERAGE($CM60:$CN60)/'Setari model'!$B$66,1)-1)+0.08*(IFERROR(AVERAGE($CO60:$CP60)/'Setari model'!$B$67,1)-1)+0.06*(IFERROR(AVERAGE($CQ60:$CR60)/'Setari model'!$B$68,1)-1)+0.04*(IFERROR(AVERAGE($CS60:$CT60)/'Setari model'!$B$69,1)-1)+0.04*(IFERROR(AVERAGE($CU60:$CV60)/'Setari model'!$B$70,1)-1)-'Setari model'!$B$73*IFERROR(AVERAGE($CW60:$CX60),0))))</x:f>
      </x:c>
      <x:c r="DX60" s="118" t="str">
        <x:f>IF($A60="","",1+'Setari model'!$B$62*MAX(IF(OR($CK60=1,$CL60=1),1,0),IF(AND($CJ60&lt;&gt;"",$CJ60&lt;=1),1,0))+'Setari model'!$B$63*IF(AND($CJ60&gt;1,$CJ60&lt;=3),1,0))</x:f>
      </x:c>
      <x:c r="DY60" s="118" t="str">
        <x:f>IF($A60="","",1+'Setari model'!$B$74*(IF($CY60="",0,IF($CY60=0,1,0))+IF($CZ60="",0,IF($CZ60=0,1,0)))+'Setari model'!$B$75*(IF($DA60="",0,IF($DA60=0,1,0))+IF($DB60="",0,IF($DB60=0,1,0))))</x:f>
      </x:c>
      <x:c r="DZ60" s="117" t="str">
        <x:f>IF($A60="","",MIN(0.6,MAX(0.002,(((1-'Setari model'!$B$34*MIN(1,($I60+$P60)/20))*$BT60+'Setari model'!$B$34*MIN(1,($I60+$P60)/20)*IF(COUNT($N60,$U60)=2,SQRT(MAX(0,1-$N60)*MAX(0,1-$U60)),$BT60))*(1-'Setari model'!$B$65*MIN(1,IF($AN60="",0,$AN60/'Setari model'!$B$64)))+'Setari model'!$B$65*MIN(1,IF($AN60="",0,$AN60/'Setari model'!$B$64))*IF($AM60="",$BT60,$AM60))*$DX60*$DY60/$DW60)))</x:f>
      </x:c>
      <x:c r="EA60" s="117" t="str">
        <x:f>IF($A60="","",MIN(1-$DZ60,IF(OR(MIN($I60,$P60)&lt;'Setari model'!$B$58,$CK60=1,$CL60=1,AND($CJ60&lt;&gt;"",$CJ60&lt;=1)),'Setari model'!$B$59,IF(AND($AU60=1,$AR60&gt;1,COUNT($CY60:$DB60)=4),'Setari model'!$B$61,'Setari model'!$B$60))))</x:f>
      </x:c>
      <x:c r="EB60" s="115" t="str">
        <x:f t="shared" si="69">IF($A60="","",1/$EA60)</x:f>
      </x:c>
      <x:c r="EC60" s="117" t="str">
        <x:f t="shared" si="70">IF($A60="","",IF($AR60&gt;1,IF($AS60&gt;1,(1/$AR60)/((1/$AR60)+(1/$AS60)),1/$AR60),""))</x:f>
      </x:c>
      <x:c r="ED60" s="117" t="str">
        <x:f t="shared" si="71">IF($A60="","",IF($EC60="","",$EA60-$EC60))</x:f>
      </x:c>
      <x:c r="EE60" s="117" t="str">
        <x:f t="shared" si="72">""</x:f>
      </x:c>
      <x:c r="EF60" s="119" t="str">
        <x:f>IF($A60="","",MAX(0,MIN(100,$CE60-200*MAX(0,$EG60-'Setari model'!$B$77)-IF($AU60&lt;&gt;1,10,0)-IF(COUNT($CY60:$DB60)&lt;4,4,0))))</x:f>
      </x:c>
      <x:c r="EG60" s="117" t="str">
        <x:f>IF($A60="","",'Setari model'!$B$77+IF(MIN($I60,$P60)&lt;'Setari model'!$B$58,0.03,0)+IF(OR($CK60=1,$CL60=1,AND($CJ60&lt;&gt;"",$CJ60&lt;=1)),0.03,0)+IF($AG60=0,0.02,0)+0.03*(1-MIN(1,COUNT($CM60:$CV60)/10))+0.03*(1-MIN(1,IF($AN60="",0,$AN60/'Setari model'!$B$64)))+IF($AR60&lt;=1,0.02,0))</x:f>
      </x:c>
      <x:c r="EH60" s="113" t="str">
        <x:f>IF($A60="","",IF(OR(MIN($I60,$P60)&lt;'Setari model'!$B$58,$CK60=1,$CL60=1,AND($CJ60&lt;&gt;"",$CJ60&lt;=1)),"92% – early/regim",IF(AND($AU60=1,$AR60&gt;1,COUNT($CY60:$DB60)=4),"94% – confirmat","93% – standard")))</x:f>
      </x:c>
      <x:c r="EI60" s="113" t="str">
        <x:f t="shared" si="73">IF($A60="","",IF(AND($EA60&gt;0.9,$AU60&lt;&gt;1),"WAIT XI – HIGH P",IF(AND($EA60&gt;0.9,COUNT($CY60:$DB60)&lt;4),"WAIT DATE CHEIE – HIGH P",IF($EP60&lt;&gt;"DA","NU – PORTOFOLIU","DA"))))</x:f>
      </x:c>
      <x:c r="EJ60" s="117" t="str">
        <x:f t="shared" si="74">IF($A60="","",IF($DE60&lt;&gt;"Live 20-30","",IF(SUM($DG60:$DH60)&gt;0,1,IF($EU60="","",1-MIN(0.95,MAX(0.001,EXP(-$EU60)*$DX60*$DY60/$DW60))))))</x:f>
      </x:c>
      <x:c r="EK60" s="117" t="str">
        <x:f t="shared" si="75">""</x:f>
      </x:c>
      <x:c r="EL60" s="113" t="str">
        <x:f>IF($A60="","",IF($DE60="Live 20-30",IF(SUM($DG60:$DH60)&gt;0,"EVENIMENT ÎNDEPLINIT",IF(OR($DF60="",COUNT($DI60:$DN60)&lt;4),"LIVE – WATCH",IF($EJ60&gt;=0.75,"LIVE – FEZABIL TEHNIC","LIVE – NO BET"))),IF($EI60&lt;&gt;"DA","WATCH / NO BET",IF(AND($EA60&gt;=INDEX('Setari model'!$B$35:$B$40,1),$EF60&gt;=100*'Setari model'!$B$76),"PARIU RECOMANDAT",IF(AND($EA60&gt;=INDEX('Setari model'!$B$35:$B$40,5),$EF60&gt;=100*'Setari model'!$B$40),"WATCH – APROAPE DE PRAG","PARIU EVITAT")))))</x:f>
      </x:c>
      <x:c r="EM60" s="113" t="str">
        <x:f t="shared" si="76">IF($A60="","",IF($DE60="Live 20-30",IF(SUM($DG60:$DH60)&gt;0,"Gol deja marcat.",IF($DF60="","Minut live lipsă.",IF(COUNT($DI60:$DN60)&lt;4,"Lipsesc xG/SOT/big chances live.",IF($EJ60&lt;0.75,"P live sub prag.","Semnal live tehnic complet; EV ignorat.")))),IF($EI60&lt;&gt;"DA",$EI60,IF($EF60&lt;75,"Confidence sub 75.",IF($EA60&lt;0.92,"P sub 92%.","G0/Zero-Mass + confidence trecute; EV ignorat.")))))</x:f>
      </x:c>
      <x:c r="EN60" s="117" t="str">
        <x:f>IF($A60="","",IF(OR($EL60="PARIU RECOMANDAT",$EL60="LIVE – FEZABIL"),MIN(IF($DU60&gt;0,$DU60,'Setari model'!$B$81)/MAX(1,$DR60),IF($DV60&gt;0,$DV60,'Setari model'!$B$80)*MAX(0,((IF($DE60="Live 20-30",$EJ60,$EA60)*IF($DE60="Live 20-30",$DQ60,$AR60)-1)/(IF($DE60="Live 20-30",$DQ60,$AR60)-1)))),0))</x:f>
      </x:c>
      <x:c r="EO60" s="121" t="str">
        <x:f t="shared" si="77">IF($A60="","",IF(AND($EN60&gt;0,$DT60&gt;0),$EN60*$DT60,""))</x:f>
      </x:c>
      <x:c r="EP60" s="113" t="str">
        <x:f>IF($A60="","",IF(OR($DR60&lt;1,$DR60&gt;'Setari model'!$B$78),"NU – 1–5 selecții",IF($DS60&gt;'Setari model'!$B$79,"NU – corelație", "DA")))</x:f>
      </x:c>
      <x:c r="EQ60" s="117" t="str">
        <x:f t="shared" si="78">IF($A60="","",IF(AND($DC60&gt;1,$DD60&gt;1),$DC60/$DD60-1,""))</x:f>
      </x:c>
      <x:c r="ER60" s="113" t="str">
        <x:f t="shared" si="79">IF($A60="","","P v2="&amp;TEXT($EA60,"0.0%")&amp;" ±"&amp;TEXT($EG60,"0.0%")&amp;"; P0 ZIP="&amp;TEXT($DZ60,"0.0%")&amp;"; Confidence="&amp;TEXT($EF60,"0")&amp;"/100; piață reală="&amp;IF($EC60="","NU","DA")&amp;"; EV="&amp;IF($EE60="","n/a",TEXT($EE60,"0.0%"))&amp;"; gate="&amp;$EI60&amp;"; verdict="&amp;$EL60&amp;". "&amp;$EM60)</x:f>
      </x:c>
      <x:c r="ES60" s="119" t="str">
        <x:f>IF($A60="","",'Setari model'!$B$82)</x:f>
      </x:c>
      <x:c r="ET60" s="118" t="str">
        <x:f>IF($A60="","",'Setari model'!$B$83)</x:f>
      </x:c>
      <x:c r="EU60" s="115" t="str">
        <x:f t="shared" si="80">IF(OR($A60="",$DE60&lt;&gt;"Live 20-30",$DF60="",$DF60&lt;$ES60,$DF60&gt;=90),"",MAX(0.05,MIN($BS60*$ET60,$BS60*(90-$DF60)/90+0.35*($DI60+$DJ60)+0.06*($DK60+$DL60)+0.15*($DM60+$DN60)+0.1*(MAX($DO60,$DP60)-MIN($DO60,$DP60)))))</x:f>
      </x:c>
      <x:c r="EV60" s="132"/>
      <x:c r="EW60" s="132"/>
      <x:c r="EX60" s="132"/>
      <x:c r="EY60" s="132"/>
      <x:c r="EZ60" s="132"/>
      <x:c r="FA60" s="132"/>
      <x:c r="FB60" s="247"/>
      <x:c r="FC60" s="134" t="str">
        <x:f t="shared" si="81">IF($A60="","",IF(OR($J60="",$L60="",$L60&lt;=0),"",MAX(0.5,MIN(1.5,$J60/$L60))))</x:f>
      </x:c>
      <x:c r="FD60" s="134" t="str">
        <x:f t="shared" si="82">IF($A60="","",IF(OR($Q60="",$S60="",$S60&lt;=0),"",MAX(0.5,MIN(1.5,$Q60/$S60))))</x:f>
      </x:c>
      <x:c r="FE60" s="134" t="str">
        <x:f>IF($A60="","",IF(COUNT($EV60:$EW60)&lt;2,"",SQRT($EV60*$EW60)/'Setari model'!$B$87))</x:f>
      </x:c>
      <x:c r="FF60" s="134" t="str">
        <x:f>IF($A60="","",IF(COUNT($O60,$V60,$EX60,$EY60)&lt;4,"",AVERAGE(SQRT($O60*$EY60),SQRT($V60*$EX60))/'Setari model'!$B$88))</x:f>
      </x:c>
      <x:c r="FG60" s="134" t="str">
        <x:f t="shared" si="83">IF($A60="","",IF(COUNT($FC60:$FD60)&lt;2,"",MAX(0,1-AVERAGE($FC60:$FD60))))</x:f>
      </x:c>
      <x:c r="FH60" s="134" t="str">
        <x:f>IF($A60="","",IF(COUNT($EZ60:$FA60)&lt;2,"",'Setari model'!$B$94*AVERAGE($EZ60:$FA60)/'Setari model'!$B$89))</x:f>
      </x:c>
      <x:c r="FI60" s="134" t="str">
        <x:f>IF($A60="","",IF(COUNT($FE60:$FH60)&lt;4,"",MAX('Setari model'!$B$97,MIN('Setari model'!$B$98,1+'Setari model'!$B$90*($FE60-1)+'Setari model'!$B$91*($FF60-1)+'Setari model'!$B$92*$FG60+'Setari model'!$B$93*($FH60-1)))))</x:f>
      </x:c>
      <x:c r="FJ60" s="133" t="str">
        <x:f>IF($A60="","",IF($FI60="","",MIN('Setari model'!$B$101,MAX(0.002,$DZ60*$FI60))))</x:f>
      </x:c>
      <x:c r="FK60" s="131" t="str">
        <x:f t="shared" si="84">IF($A60="","",IF(AND(COUNT($EV60:$FA60)=6,COUNT($O60,$V60,$FC60,$FD60)=4),"DA","NU"))</x:f>
      </x:c>
      <x:c r="FL60" s="131" t="str">
        <x:f>IF($A60="","",IF($FK60&lt;&gt;"DA","NEDETERMINAT",IF($FI60&lt;='Setari model'!$B$99,"SCĂZUT",IF($FI60&lt;='Setari model'!$B$100,"MEDIU","RIDICAT"))))</x:f>
      </x:c>
      <x:c r="FM60" s="131" t="str">
        <x:f>IF($A60="","",IF(AND($AR60&gt;1,$EC60&gt;='Setari model'!$B$106),"DA","NU"))</x:f>
      </x:c>
      <x:c r="FN60" s="131" t="str">
        <x:f t="shared" si="85">IF($A60="","",IF(AND($AU60=1,COUNT($CY60:$DB60)=4),"DA","NU"))</x:f>
      </x:c>
      <x:c r="FO60" s="133" t="str">
        <x:f>IF($A60="","",IF(OR($FK60&lt;&gt;"DA",$FL60="RIDICAT"),'Setari model'!$B$102,IF($FL60="MEDIU",'Setari model'!$B$103,IF(AND($FM60="DA",$FN60="DA"),'Setari model'!$B$105,'Setari model'!$B$104))))</x:f>
      </x:c>
      <x:c r="FP60" s="133" t="str">
        <x:f t="shared" si="86">IF($A60="","",IF($FJ60="","",MIN(1-$FJ60,$FO60)))</x:f>
      </x:c>
      <x:c r="FQ60" s="135" t="str">
        <x:f t="shared" si="87">IF($A60="","",IF($FP60="","",IF($FP60&gt;0,1/$FP60,"")))</x:f>
      </x:c>
      <x:c r="FR60" s="133" t="str">
        <x:f t="shared" si="88">IF($A60="","",IF($EC60="","",$FP60-$EC60))</x:f>
      </x:c>
      <x:c r="FS60" s="133" t="str">
        <x:f t="shared" si="89">IF($A60="","",IF($AR60&gt;1,$FP60*$AR60-1,""))</x:f>
      </x:c>
      <x:c r="FT60" s="136" t="str">
        <x:f>IF($A60="","",MAX(0,MIN(100,$EF60-IF($FK60&lt;&gt;"DA",'Setari model'!$B$107,0)-IF($FL60="MEDIU",'Setari model'!$B$108,0)-IF($FL60="RIDICAT",'Setari model'!$B$109,0))))</x:f>
      </x:c>
      <x:c r="FU60" s="131" t="str">
        <x:f t="shared" si="90">IF($A60="","",IF($AR60&lt;=1,"NU – LIPSEȘTE COTA REALĂ",IF($FK60&lt;&gt;"DA","NU – ZERO-RISK INCOMPLET",IF($FL60&lt;&gt;"SCĂZUT","NU – RISC 0-0 "&amp;$FL60,IF($FN60&lt;&gt;"DA","NU – LINEUP NECONFIRMAT",IF($FM60&lt;&gt;"DA","NU – PIAȚĂ NECONFIRMATĂ",IF($EP60&lt;&gt;"DA","NU – PORTOFOLIU","DA")))))))</x:f>
      </x:c>
      <x:c r="FV60" s="131" t="str">
        <x:f>IF($A60="","",IF($FU60&lt;&gt;"DA","WATCH / NO BET",IF(AND($FP60&gt;='Setari model'!$B$35,$FT60&gt;=100*'Setari model'!$B$76,$FS60&gt;0),"PARIU RECOMANDAT",IF(AND($FP60&gt;='Setari model'!$B$39,$FT60&gt;=100*'Setari model'!$B$40,$FS60&gt;0),"WATCH – APROAPE DE PRAG","PARIU EVITAT"))))</x:f>
      </x:c>
      <x:c r="FW60" s="131" t="str">
        <x:f t="shared" si="91">IF($A60="","",IF($FU60&lt;&gt;"DA",$FU60,IF($FT60&lt;75,"Confidence v3 sub 75.",IF($FP60&lt;0.92,"P v3 sub 92%.",IF($FS60&lt;=0,"EV v3 nepozitiv.","P0 v3, lineup și piață confirmate.")))))</x:f>
      </x:c>
      <x:c r="FX60" s="131" t="str">
        <x:f t="shared" si="92">IF($A60="","","P v3="&amp;TEXT($FP60,"0.0%")&amp;"; P0 v3="&amp;TEXT($FJ60,"0.0%")&amp;"; factor zero="&amp;IF($FI60="","n/a",TEXT($FI60,"0.00x"))&amp;" ("&amp;$FL60&amp;"); cap="&amp;TEXT($FO60,"0.0%")&amp;"; Confidence="&amp;TEXT($FT60,"0")&amp;"/100; lineup="&amp;$FN60&amp;"; piață="&amp;$FM60&amp;"; EV="&amp;IF($FS60="","n/a",TEXT($FS60,"0.0%"))&amp;"; gate="&amp;$FU60&amp;"; verdict="&amp;$FV60&amp;". "&amp;$FW60)</x:f>
      </x:c>
      <x:c r="FY60" s="159"/>
      <x:c r="FZ60" s="159"/>
      <x:c r="GA60" s="157"/>
      <x:c r="GB60" s="157"/>
      <x:c r="GC60" s="161" t="str">
        <x:f t="shared" si="93">IF($A60="","",IF(OR($X60="",$Z60="",$Z60&lt;=0),"",MAX(0.5,MIN(1.5,$X60/$Z60))))</x:f>
      </x:c>
      <x:c r="GD60" s="161" t="str">
        <x:f t="shared" si="94">IF($A60="","",IF(OR($AC60="",$AE60="",$AE60&lt;=0),"",MAX(0.5,MIN(1.5,$AC60/$AE60))))</x:f>
      </x:c>
      <x:c r="GE60" s="162" t="str">
        <x:f t="shared" si="95">IF($A60="","",IF(COUNT($Z60,$AE60)&lt;2,"",AVERAGE($Z60,$AE60)))</x:f>
      </x:c>
      <x:c r="GF60" s="158" t="str">
        <x:f>IF($A60="","",IF(COUNT($FY60:$FZ60)&lt;2,"NEDETERMINAT",IF(AND($FY60&gt;='Setari model'!$B$113,$FZ60&gt;='Setari model'!$B$113),"DA","NU")))</x:f>
      </x:c>
      <x:c r="GG60" s="158" t="str">
        <x:f>IF($A60="","",IF(COUNT($FY60:$FZ60,$EX60:$EY60)&lt;4,"NEDETERMINAT",IF(OR(AND($FY60&gt;='Setari model'!$B$113,$EY60&gt;='Setari model'!$B$114),AND($FZ60&gt;='Setari model'!$B$113,$EX60&gt;='Setari model'!$B$114)),"DA","NU")))</x:f>
      </x:c>
      <x:c r="GH60" s="158" t="str">
        <x:f>IF($A60="","",IF(COUNT($BJ60:$BN60,$GC60:$GE60)&lt;8,"NEDETERMINAT",IF(AND((($BJ60*INDEX('Setari model'!$B$5:$B$11,MATCH($E60,'Setari model'!$A$5:$A$11,0))+$BK60*INDEX('Setari model'!$C$5:$C$11,MATCH($E60,'Setari model'!$A$5:$A$11,0))+$BL60*INDEX('Setari model'!$D$5:$D$11,MATCH($E60,'Setari model'!$A$5:$A$11,0))+$BM60*INDEX('Setari model'!$E$5:$E$11,MATCH($E60,'Setari model'!$A$5:$A$11,0))+$BN60*INDEX('Setari model'!$F$5:$F$11,MATCH($E60,'Setari model'!$A$5:$A$11,0)))/(INDEX('Setari model'!$B$5:$B$11,MATCH($E60,'Setari model'!$A$5:$A$11,0))+INDEX('Setari model'!$C$5:$C$11,MATCH($E60,'Setari model'!$A$5:$A$11,0))+INDEX('Setari model'!$D$5:$D$11,MATCH($E60,'Setari model'!$A$5:$A$11,0))+INDEX('Setari model'!$E$5:$E$11,MATCH($E60,'Setari model'!$A$5:$A$11,0))+INDEX('Setari model'!$F$5:$F$11,MATCH($E60,'Setari model'!$A$5:$A$11,0))))*$BR60&gt;='Setari model'!$B$115,(($BJ60*INDEX('Setari model'!$B$5:$B$11,MATCH($E60,'Setari model'!$A$5:$A$11,0))+$BK60*INDEX('Setari model'!$C$5:$C$11,MATCH($E60,'Setari model'!$A$5:$A$11,0))+$BL60*INDEX('Setari model'!$D$5:$D$11,MATCH($E60,'Setari model'!$A$5:$A$11,0))+$BM60*INDEX('Setari model'!$E$5:$E$11,MATCH($E60,'Setari model'!$A$5:$A$11,0))+$BN60*INDEX('Setari model'!$F$5:$F$11,MATCH($E60,'Setari model'!$A$5:$A$11,0)))/(INDEX('Setari model'!$B$5:$B$11,MATCH($E60,'Setari model'!$A$5:$A$11,0))+INDEX('Setari model'!$C$5:$C$11,MATCH($E60,'Setari model'!$A$5:$A$11,0))+INDEX('Setari model'!$D$5:$D$11,MATCH($E60,'Setari model'!$A$5:$A$11,0))+INDEX('Setari model'!$E$5:$E$11,MATCH($E60,'Setari model'!$A$5:$A$11,0))+INDEX('Setari model'!$F$5:$F$11,MATCH($E60,'Setari model'!$A$5:$A$11,0))))*$BR60&lt;='Setari model'!$B$116,AVERAGE($GC60:$GD60)&lt;='Setari model'!$B$117,$GE60&gt;='Setari model'!$B$118),"DA","NU")))</x:f>
      </x:c>
      <x:c r="GI60" s="158" t="str">
        <x:f>IF($A60="","",IF(COUNT($W60,$AB60,$GA60:$GB60)&lt;4,"NEDETERMINAT",IF(AND($W60&gt;='Setari model'!$B$120,$AB60&gt;='Setari model'!$B$120,OR(IFERROR($GA60/$W60,0)&gt;='Setari model'!$B$119,IFERROR($GB60/$AB60,0)&gt;='Setari model'!$B$119)),"DA","NU")))</x:f>
      </x:c>
      <x:c r="GJ60" s="160" t="str">
        <x:f>IF($A60="","",IF(COUNT($FY60:$GB60)&lt;4,"",IF($GH60&lt;&gt;"DA",0,'Setari model'!$B$121*IF($GF60="DA",1,0)+'Setari model'!$B$122*IF($GG60="DA",1,0)+'Setari model'!$B$123+'Setari model'!$B$124*IF($GI60="DA",1,0))))</x:f>
      </x:c>
      <x:c r="GK60" s="161" t="str">
        <x:f>IF($A60="","",IF(COUNT($GJ60)=0,"",1+'Setari model'!$B$125*$GJ60))</x:f>
      </x:c>
      <x:c r="GL60" s="160" t="str">
        <x:f>IF($A60="","",IF($GM60&lt;&gt;"DA",$FJ60,MIN('Setari model'!$B$101,MAX(0.002,$FJ60*$GK60))))</x:f>
      </x:c>
      <x:c r="GM60" s="158" t="str">
        <x:f>IF($A60="","",IF(AND($FK60="DA",COUNT($FY60:$GB60)=4,COUNT($I60,$P60,$W60,$AB60,$Z60,$AE60,$EX60,$EY60,$GC60,$GD60)=10,COUNT($BJ60:$BN60)=5),"DA","NU"))</x:f>
      </x:c>
      <x:c r="GN60" s="158" t="str">
        <x:f>IF($A60="","",IF($GM60&lt;&gt;"DA","NEDETERMINAT",IF($FI60*$GK60&lt;='Setari model'!$B$99,"SCĂZUT",IF($FI60*$GK60&lt;='Setari model'!$B$100,"MEDIU","RIDICAT"))))</x:f>
      </x:c>
      <x:c r="GO60" s="160" t="str">
        <x:f>IF($A60="","",IF(OR($GM60&lt;&gt;"DA",$GN60="RIDICAT"),'Setari model'!$B$102,IF($GN60="MEDIU",'Setari model'!$B$103,IF(AND($FM60="DA",$FN60="DA"),'Setari model'!$B$105,'Setari model'!$B$104))))</x:f>
      </x:c>
      <x:c r="GP60" s="160" t="str">
        <x:f t="shared" si="96">IF($A60="","",IF($GL60="","",MIN(1-$GL60,$GO60)))</x:f>
      </x:c>
      <x:c r="GQ60" s="162" t="str">
        <x:f t="shared" si="97">IF($A60="","",IF($GP60="","",IF($GP60&gt;0,1/$GP60,"")))</x:f>
      </x:c>
      <x:c r="GR60" s="160" t="str">
        <x:f t="shared" si="98">IF($A60="","",IF($EC60="","",$GP60-$EC60))</x:f>
      </x:c>
      <x:c r="GS60" s="160" t="str">
        <x:f t="shared" si="99">IF($A60="","",IF($AR60&gt;1,$GP60*$AR60-1,""))</x:f>
      </x:c>
      <x:c r="GT60" s="163" t="str">
        <x:f>IF($A60="","",MAX(0,MIN(100,$FT60-IF(AND($GM60&lt;&gt;"DA",$FK60="DA"),'Setari model'!$B$107,0)-'Setari model'!$B$126*IF($GJ60="",0,$GJ60))))</x:f>
      </x:c>
      <x:c r="GU60" s="158" t="str">
        <x:f t="shared" si="100">IF($A60="","",IF($AR60&lt;=1,"NU – LIPSEȘTE COTA REALĂ",IF($GM60&lt;&gt;"DA","NU – DATE LOW-CONVERSION INCOMPLETE",IF($GN60&lt;&gt;"SCĂZUT","NU – RISC 0-0 "&amp;$GN60,IF($FN60&lt;&gt;"DA","NU – LINEUP NECONFIRMAT",IF($FM60&lt;&gt;"DA","NU – PIAȚĂ NECONFIRMATĂ",IF($EP60&lt;&gt;"DA","NU – PORTOFOLIU","DA")))))))</x:f>
      </x:c>
      <x:c r="GV60" s="158" t="str">
        <x:f>IF($A60="","",IF($GU60&lt;&gt;"DA","WATCH / NO BET",IF(AND($GP60&gt;='Setari model'!$B$35,$GT60&gt;=100*'Setari model'!$B$76,$GS60&gt;0),"PARIU RECOMANDAT",IF(AND($GP60&gt;='Setari model'!$B$39,$GT60&gt;=100*'Setari model'!$B$40,$GS60&gt;0),"WATCH – APROAPE DE PRAG","PARIU EVITAT"))))</x:f>
      </x:c>
      <x:c r="GW60" s="158" t="str">
        <x:f t="shared" si="101">IF($A60="","",IF($GU60&lt;&gt;"DA",$GU60,IF($GT60&lt;75,"Confidence v5 sub 75.",IF($GP60&lt;0.92,"P v5 sub 92%.",IF($GS60&lt;=0,"EV v5 nepozitiv.",IF($GJ60&gt;0,"Low-conversion absorbit în P0; toate porțile rămân trecute.","Toate porțile v5 sunt trecute."))))))</x:f>
      </x:c>
      <x:c r="GX60" s="158" t="str">
        <x:f t="shared" si="102">IF($A60="","","P v5="&amp;TEXT($GP60,"0.0%")&amp;"; P0 v5="&amp;TEXT($GL60,"0.0%")&amp;"; low-conv="&amp;IF(COUNT($GJ60)=0,"n/a",TEXT($GJ60,"0%"))&amp;"; mult.P0="&amp;IF(COUNT($GK60)=0,"n/a",TEXT($GK60,"0.00"))&amp;"; clasă="&amp;$GN60&amp;"; cap="&amp;TEXT($GO60,"0.0%")&amp;"; Confidence="&amp;TEXT($GT60,"0")&amp;"/100; lineup="&amp;$FN60&amp;"; piață="&amp;$FM60&amp;"; EV="&amp;IF($GS60="","n/a",TEXT($GS60,"0.0%"))&amp;"; gate="&amp;$GU60&amp;"; verdict="&amp;$GV60&amp;". "&amp;$GW60)</x:f>
      </x:c>
      <x:c r="GY60" s="174" t="str">
        <x:f>IF($A60="","",IF($GM60&lt;&gt;"DA","SOURCING INCOMPLETE – REVIEW REQUIRED",IF(MIN($I60,$P60,$W60,$AB60)&lt;'Setari model'!$B$58,"SMALL SAMPLE + PRIOR / SHRINKAGE","VERIFIED / PRIOR / SHRINKAGE")))</x:f>
      </x:c>
      <x:c r="GZ60" s="175" t="str">
        <x:f t="shared" si="103">IF($A60="","",MAX(0,MIN(100,100*(1-AVERAGE(IF($GM60="DA",1,0),MIN(1,$AT60/5))))))</x:f>
      </x:c>
      <x:c r="HA60" s="175" t="str">
        <x:f>IF($A60="","",IF($GM60&lt;&gt;"DA","",MAX(0,MIN(100,100*(($FI60*$GK60)-'Setari model'!$B$97)/('Setari model'!$B$98-'Setari model'!$B$97)))))</x:f>
      </x:c>
      <x:c r="HB60" s="175" t="str">
        <x:f>IF($A60="","",MAX(0,MIN(100,100*(ABS($BR60-1)/MAX(1-'Setari model'!$B$53,'Setari model'!$B$54-1)+MIN(1,$BG60/2))/2)))</x:f>
      </x:c>
      <x:c r="HC60" s="175" t="str">
        <x:f t="shared" si="104">IF($A60="","",MAX(0,MIN(100,100*(1-AVERAGE($CC60,MAX(0,1-(MAX($BJ60:$BN60)-MIN($BJ60:$BN60))/(AVERAGE($BJ60:$BN60)*'Setari model'!$B$45)))))))</x:f>
      </x:c>
      <x:c r="HD60" s="175" t="str">
        <x:f t="shared" si="105">IF($A60="","",MAX(0,MIN(100,100*MAX(IF($GJ60="",0,$GJ60),MIN(1,$BG60/2)))))</x:f>
      </x:c>
      <x:c r="HE60" s="175" t="str">
        <x:f>IF($A60="","",IF(COUNT($GZ60:$HD60)&lt;5,"",$GZ60*Risk_Classification!$E$28+$HA60*Risk_Classification!$E$29+$HB60*Risk_Classification!$E$30+$HC60*Risk_Classification!$E$31+$HD60*Risk_Classification!$E$32))</x:f>
      </x:c>
      <x:c r="HF60" s="176" t="str">
        <x:f t="shared" si="106">IF($A60="","",IF($HE60="","",IF($HE60&lt;=20,1,IF($HE60&lt;=40,2,IF($HE60&lt;=60,3,IF($HE60&lt;=80,4,5))))))</x:f>
      </x:c>
      <x:c r="HG60" s="176" t="str">
        <x:f t="shared" si="107">IF($A60="","",IF($GM60="DA","PASS","FAIL – DATE CRITICE ZERO-MASS INCOMPLETE"))</x:f>
      </x:c>
      <x:c r="HH60" s="176" t="str">
        <x:f t="shared" si="108">IF($A60="","",IF($HG60&lt;&gt;"PASS",5,$HF60))</x:f>
      </x:c>
      <x:c r="HI60" s="174" t="str">
        <x:f t="shared" si="109">IF($A60="","",IF($HH60="","N/A",IF($HH60=1,"DEFENSIV",IF($HH60=2,"PRUDENT",IF($HH60=3,"MODERAT",IF($HH60=4,"RIDICAT","WATCH / NO BET"))))))</x:f>
      </x:c>
      <x:c r="HJ60" s="177" t="str">
        <x:f t="shared" si="110">IF($A60="","","Data="&amp;$GY60&amp;"; DQ="&amp;TEXT($GZ60,"0.0")&amp;"; ZM="&amp;IF($HA60="","n/a",TEXT($HA60,"0.0"))&amp;"; Context="&amp;TEXT($HB60,"0.0")&amp;"; Uncertainty="&amp;TEXT($HC60,"0.0")&amp;"; Compound="&amp;TEXT($HD60,"0.0")&amp;"; Risk Score="&amp;IF($HE60="","n/a",TEXT($HE60,"0.0"))&amp;"; Base="&amp;IF($HF60="","n/a",$HF60)&amp;"; G0="&amp;$HG60&amp;"; Final="&amp;$HH60&amp;". Cota, EV si lineup sunt informative si nu intra in recomandare.")</x:f>
      </x:c>
      <x:c r="HK60" s="174" t="str">
        <x:f t="shared" si="111">IF($A60="","",$HI60)</x:f>
      </x:c>
    </x:row>
    <x:row r="61" ht="24" customHeight="1">
      <x:c r="A61" s="58"/>
      <x:c r="B61" s="24"/>
      <x:c r="C61" s="59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18"/>
      <x:c r="O61" s="18"/>
      <x:c r="P61" s="24"/>
      <x:c r="Q61" s="24"/>
      <x:c r="R61" s="24"/>
      <x:c r="S61" s="24"/>
      <x:c r="T61" s="24"/>
      <x:c r="U61" s="18"/>
      <x:c r="V61" s="18"/>
      <x:c r="W61" s="24"/>
      <x:c r="X61" s="24"/>
      <x:c r="Y61" s="24"/>
      <x:c r="Z61" s="24"/>
      <x:c r="AA61" s="24"/>
      <x:c r="AB61" s="24"/>
      <x:c r="AC61" s="24"/>
      <x:c r="AD61" s="24"/>
      <x:c r="AE61" s="24"/>
      <x:c r="AF61" s="24"/>
      <x:c r="AG61" s="24"/>
      <x:c r="AH61" s="24"/>
      <x:c r="AI61" s="18"/>
      <x:c r="AJ61" s="24"/>
      <x:c r="AK61" s="24"/>
      <x:c r="AL61" s="24"/>
      <x:c r="AM61" s="18"/>
      <x:c r="AN61" s="24"/>
      <x:c r="AO61" s="60"/>
      <x:c r="AP61" s="60"/>
      <x:c r="AQ61" s="60"/>
      <x:c r="AR61" s="60"/>
      <x:c r="AS61" s="60"/>
      <x:c r="AT61" s="24"/>
      <x:c r="AU61" s="24"/>
      <x:c r="AV61" s="24"/>
      <x:c r="AW61" s="24"/>
      <x:c r="AX61" s="24"/>
      <x:c r="AY61" s="24"/>
      <x:c r="AZ61" s="24"/>
      <x:c r="BA61" s="24"/>
      <x:c r="BB61" s="24"/>
      <x:c r="BC61" s="24"/>
      <x:c r="BD61" s="24"/>
      <x:c r="BE61" s="24"/>
      <x:c r="BF61" s="24"/>
      <x:c r="BG61" s="24"/>
      <x:c r="BH61" s="61"/>
      <x:c r="BI61" s="61"/>
      <x:c r="BJ61" s="62" t="str">
        <x:f>IF($A61="","",SQRT((($I61*IF($J61="",$AJ61,$J61)+'Setari model'!$B$30*$AJ61)/($I61+'Setari model'!$B$30))*(($P61*IF($R61="",$AJ61,$R61)+'Setari model'!$B$30*$AJ61)/($P61+'Setari model'!$B$30)))+SQRT((($P61*IF($Q61="",$AK61,$Q61)+'Setari model'!$B$30*$AK61)/($P61+'Setari model'!$B$30))*(($I61*IF($K61="",$AK61,$K61)+'Setari model'!$B$30*$AK61)/($I61+'Setari model'!$B$30))))</x:f>
      </x:c>
      <x:c r="BK61" s="62" t="str">
        <x:f>IF($A61="","",SQRT((($I61*IF($L61="",IF($J61="",$AJ61,$J61),$L61)+'Setari model'!$B$30*$AJ61)/($I61+'Setari model'!$B$30))*(($P61*IF($T61="",IF($R61="",$AJ61,$R61),$T61)+'Setari model'!$B$30*$AJ61)/($P61+'Setari model'!$B$30)))+SQRT((($P61*IF($S61="",IF($Q61="",$AK61,$Q61),$S61)+'Setari model'!$B$30*$AK61)/($P61+'Setari model'!$B$30))*(($I61*IF($M61="",IF($K61="",$AK61,$K61),$M61)+'Setari model'!$B$30*$AK61)/($I61+'Setari model'!$B$30))))</x:f>
      </x:c>
      <x:c r="BL61" s="62" t="str">
        <x:f>IF($A61="","",SQRT((($W61*IF($X61="",$AL61/2,$X61)+'Setari model'!$B$31*$AL61/2)/($W61+'Setari model'!$B$31))*(($AB61*IF($AD61="",$AL61/2,$AD61)+'Setari model'!$B$31*$AL61/2)/($AB61+'Setari model'!$B$31)))+SQRT((($AB61*IF($AC61="",$AL61/2,$AC61)+'Setari model'!$B$31*$AL61/2)/($AB61+'Setari model'!$B$31))*(($W61*IF($Y61="",$AL61/2,$Y61)+'Setari model'!$B$31*$AL61/2)/($W61+'Setari model'!$B$31))))</x:f>
      </x:c>
      <x:c r="BM61" s="62" t="str">
        <x:f>IF($A61="","",SQRT((($W61*IF($Z61="",IF($X61="",$AL61/2,$X61),$Z61)+'Setari model'!$B$31*$AL61/2)/($W61+'Setari model'!$B$31))*(($AB61*IF($AF61="",IF($AD61="",$AL61/2,$AD61),$AF61)+'Setari model'!$B$31*$AL61/2)/($AB61+'Setari model'!$B$31)))+SQRT((($AB61*IF($AE61="",IF($AC61="",$AL61/2,$AC61),$AE61)+'Setari model'!$B$31*$AL61/2)/($AB61+'Setari model'!$B$31))*(($W61*IF($AA61="",IF($Y61="",$AL61/2,$Y61),$AA61)+'Setari model'!$B$31*$AL61/2)/($W61+'Setari model'!$B$31))))</x:f>
      </x:c>
      <x:c r="BN61" s="62" t="str">
        <x:f t="shared" si="56">IF($A61="","",IF($AG61&gt;0,($AG61*IF($AH61="",$AL61,$AH61)+5*$AL61)/($AG61+5),$AL61))</x:f>
      </x:c>
      <x:c r="BO61" s="63" t="str">
        <x:f>IF($A61="","",IF($AR61&gt;1,IF($AS61&gt;1,(1/$AR61)/((1/$AR61+1/$AS61)),MIN(0.995,(1/$AR61)/(1+'Setari model'!$B$32))),1-EXP(-$AL61)))</x:f>
      </x:c>
      <x:c r="BP61" s="62" t="str">
        <x:f t="shared" si="57">IF($A61="","",-LN(1-$BO61))</x:f>
      </x:c>
      <x:c r="BQ61" s="62" t="str">
        <x:f>IF($A61="","",$BJ61*INDEX('Setari model'!$B$5:$B$11,MATCH($E61,'Setari model'!$A$5:$A$11,0))+$BK61*INDEX('Setari model'!$C$5:$C$11,MATCH($E61,'Setari model'!$A$5:$A$11,0))+$BL61*INDEX('Setari model'!$D$5:$D$11,MATCH($E61,'Setari model'!$A$5:$A$11,0))+$BM61*INDEX('Setari model'!$E$5:$E$11,MATCH($E61,'Setari model'!$A$5:$A$11,0))+$BN61*INDEX('Setari model'!$F$5:$F$11,MATCH($E61,'Setari model'!$A$5:$A$11,0))+$BP61*INDEX('Setari model'!$G$5:$G$11,MATCH($E61,'Setari model'!$A$5:$A$11,0)))</x:f>
      </x:c>
      <x:c r="BR61" s="64" t="str">
        <x:f>IF($A61="","",MAX('Setari model'!$B$53,MIN('Setari model'!$B$54,1+($AV61*'Setari model'!$B$15+$AW61*'Setari model'!$B$16+$AX61*'Setari model'!$B$17+$AY61*'Setari model'!$B$18+$AZ61*'Setari model'!$B$19+$BA61*'Setari model'!$B$20+$BB61*'Setari model'!$B$21+$BC61*'Setari model'!$B$22+$BD61*'Setari model'!$B$23+$BE61*'Setari model'!$B$24+$BF61*'Setari model'!$B$25)*INDEX('Setari model'!$H$5:$H$11,MATCH($E61,'Setari model'!$A$5:$A$11,0)))))</x:f>
      </x:c>
      <x:c r="BS61" s="62" t="str">
        <x:f t="shared" si="58">IF($A61="","",$BQ61*$BR61)</x:f>
      </x:c>
      <x:c r="BT61" s="63" t="str">
        <x:f t="shared" si="59">IF($A61="","",EXP(-$BS61))</x:f>
      </x:c>
      <x:c r="BU61" s="65" t="str">
        <x:f>IF($A61="","",IF(OR($AM61="",$AN61=""),1,1+MIN('Setari model'!$B$33,$AN61/100*'Setari model'!$B$33)*($AM61/EXP(-$AL61)-1)))</x:f>
      </x:c>
      <x:c r="BV61" s="63" t="str">
        <x:f>IF($A61="","",MIN(0.45,MAX(0.005,(1-'Setari model'!$B$34*MIN(1,($I61+$P61)/20))*MIN(0.45,$BT61*$BU61)+'Setari model'!$B$34*MIN(1,($I61+$P61)/20)*IF(COUNT($N61,$U61)=2,SQRT(MAX(0,1-$N61)*MAX(0,1-$U61)),IF($AM61="",EXP(-$AL61),$AM61)))))</x:f>
      </x:c>
      <x:c r="BW61" s="63" t="str">
        <x:f t="shared" si="60">IF($A61="","",1-$BV61)</x:f>
      </x:c>
      <x:c r="BX61" s="62" t="str">
        <x:f t="shared" si="61">IF($A61="","",1/$BW61)</x:f>
      </x:c>
      <x:c r="BY61" s="63" t="str">
        <x:f t="shared" si="62">IF($A61="","",$BO61)</x:f>
      </x:c>
      <x:c r="BZ61" s="63" t="str">
        <x:f t="shared" si="63">IF($A61="","",$BW61-$BY61)</x:f>
      </x:c>
      <x:c r="CA61" s="63" t="str">
        <x:f t="shared" si="64">IF($A61="","",IF($AR61&gt;1,$BW61*$AR61-1,""))</x:f>
      </x:c>
      <x:c r="CB61" s="63" t="str">
        <x:f>IF($A61="","",MIN(1,COUNT($I61:$AN61,$AR61:$BG61)/'Setari model'!$B$46))</x:f>
      </x:c>
      <x:c r="CC61" s="63" t="str">
        <x:f t="shared" si="65">IF($A61="","",0.25*MIN(1,$I61/10)+0.25*MIN(1,$P61/10)+0.15*MIN(1,$W61/5)+0.15*MIN(1,$AB61/5)+0.1*MIN(1,$AG61/5)+0.1*MIN(1,$AN61/100))</x:f>
      </x:c>
      <x:c r="CD61" s="63" t="str">
        <x:f>IF($A61="","",MAX(0,1-(MAX($BJ61:$BN61,$BP61)-MIN($BJ61:$BN61,$BP61))/(AVERAGE($BJ61:$BN61,$BP61)*'Setari model'!$B$45)))</x:f>
      </x:c>
      <x:c r="CE61" s="66" t="str">
        <x:f>IF($A61="","",MAX(0,MIN(100,100*INDEX('Setari model'!$I$5:$I$11,MATCH($E61,'Setari model'!$A$5:$A$11,0))*('Setari model'!$B$47*$CB61+'Setari model'!$B$48*$CC61+'Setari model'!$B$49*$CD61+'Setari model'!$B$50*$AT61/5+'Setari model'!$B$51*$AU61)-100*'Setari model'!$B$52*$BG61)))</x:f>
      </x:c>
      <x:c r="CF61" s="65" t="str">
        <x:f t="shared" si="66">IF($A61="","",IF(OR($AT61&lt;3,$BG61&gt;=2,$CB61&lt;0.55,$CC61&lt;0.4),"RIDICAT",IF(OR($AU61=0,$CD61&lt;0.45,$BR61&lt;0.9),"MEDIU","SCĂZUT")))</x:f>
      </x:c>
      <x:c r="CG61" s="65" t="str">
        <x:f>IF($A61="","",IF($AR61&gt;1,IF(AND($BW61&gt;= 'Setari model'!$B$35,$CE61&gt;=100*'Setari model'!$B$36,$BZ61&gt;= 'Setari model'!$B$37,$CA61&gt;= 'Setari model'!$B$38,$CF61&lt;&gt;"RIDICAT"),"PARIU RECOMANDAT",IF(AND($BW61&gt;= 'Setari model'!$B$39,$CE61&gt;=100*'Setari model'!$B$40,$BZ61&gt;= 'Setari model'!$B$41,$CA61&gt;=0,$CF61&lt;&gt;"RIDICAT"),"RECOMANDAT CU PRUDENȚĂ",IF(AND($BW61&gt;= 'Setari model'!$B$42,$CE61&gt;=100*'Setari model'!$B$43),"ANALIZĂ NECONCLUDENTĂ","PARIU EVITAT"))),IF(AND($BW61&gt;= 'Setari model'!$B$35,$CE61&gt;=100*'Setari model'!$B$36,$CF61&lt;&gt;"RIDICAT"),"FAVORABIL STATISTIC – VERIFICĂ COTA",IF(AND($BW61&gt;= 'Setari model'!$B$42,$CE61&gt;=100*'Setari model'!$B$43),"ANALIZĂ NECONCLUDENTĂ","PARIU EVITAT"))))</x:f>
      </x:c>
      <x:c r="CH61" s="67" t="str">
        <x:f t="shared" si="67">IF($A61="","","P(O0,5)="&amp;TEXT($BW61,"0.0%")&amp;"; λ ajustat="&amp;TEXT($BS61,"0.00")&amp;"; Confidence="&amp;TEXT($CE61,"0")&amp;"/100; Edge="&amp;TEXT($BZ61,"0.0%")&amp;"; risc="&amp;$CF61&amp;". "&amp;$BH61)</x:f>
      </x:c>
      <x:c r="CI61" s="68" t="str">
        <x:f t="shared" si="68">IF($A61="","",$BI61)</x:f>
      </x:c>
      <x:c r="CJ61" s="112"/>
      <x:c r="CK61" s="112"/>
      <x:c r="CL61" s="112"/>
      <x:c r="CM61" s="112"/>
      <x:c r="CN61" s="112"/>
      <x:c r="CO61" s="112"/>
      <x:c r="CP61" s="112"/>
      <x:c r="CQ61" s="112"/>
      <x:c r="CR61" s="112"/>
      <x:c r="CS61" s="112"/>
      <x:c r="CT61" s="112"/>
      <x:c r="CU61" s="112"/>
      <x:c r="CV61" s="112"/>
      <x:c r="CW61" s="112"/>
      <x:c r="CX61" s="112"/>
      <x:c r="CY61" s="112"/>
      <x:c r="CZ61" s="112"/>
      <x:c r="DA61" s="112"/>
      <x:c r="DB61" s="112"/>
      <x:c r="DC61" s="114"/>
      <x:c r="DD61" s="114"/>
      <x:c r="DE61" s="112" t="s">
        <x:v>266</x:v>
      </x:c>
      <x:c r="DF61" s="112"/>
      <x:c r="DG61" s="112"/>
      <x:c r="DH61" s="112"/>
      <x:c r="DI61" s="112"/>
      <x:c r="DJ61" s="112"/>
      <x:c r="DK61" s="112"/>
      <x:c r="DL61" s="112"/>
      <x:c r="DM61" s="112"/>
      <x:c r="DN61" s="112"/>
      <x:c r="DO61" s="112"/>
      <x:c r="DP61" s="112"/>
      <x:c r="DQ61" s="114"/>
      <x:c r="DR61" s="112">
        <x:v>1</x:v>
      </x:c>
      <x:c r="DS61" s="116">
        <x:v>0</x:v>
      </x:c>
      <x:c r="DT61" s="120"/>
      <x:c r="DU61" s="116">
        <x:v>0.02</x:v>
      </x:c>
      <x:c r="DV61" s="116">
        <x:v>0.25</x:v>
      </x:c>
      <x:c r="DW61" s="118" t="str">
        <x:f>IF($A61="","",MAX('Setari model'!$B$71,MIN('Setari model'!$B$72,1+0.08*(IFERROR(AVERAGE($CM61:$CN61)/'Setari model'!$B$66,1)-1)+0.08*(IFERROR(AVERAGE($CO61:$CP61)/'Setari model'!$B$67,1)-1)+0.06*(IFERROR(AVERAGE($CQ61:$CR61)/'Setari model'!$B$68,1)-1)+0.04*(IFERROR(AVERAGE($CS61:$CT61)/'Setari model'!$B$69,1)-1)+0.04*(IFERROR(AVERAGE($CU61:$CV61)/'Setari model'!$B$70,1)-1)-'Setari model'!$B$73*IFERROR(AVERAGE($CW61:$CX61),0))))</x:f>
      </x:c>
      <x:c r="DX61" s="118" t="str">
        <x:f>IF($A61="","",1+'Setari model'!$B$62*MAX(IF(OR($CK61=1,$CL61=1),1,0),IF(AND($CJ61&lt;&gt;"",$CJ61&lt;=1),1,0))+'Setari model'!$B$63*IF(AND($CJ61&gt;1,$CJ61&lt;=3),1,0))</x:f>
      </x:c>
      <x:c r="DY61" s="118" t="str">
        <x:f>IF($A61="","",1+'Setari model'!$B$74*(IF($CY61="",0,IF($CY61=0,1,0))+IF($CZ61="",0,IF($CZ61=0,1,0)))+'Setari model'!$B$75*(IF($DA61="",0,IF($DA61=0,1,0))+IF($DB61="",0,IF($DB61=0,1,0))))</x:f>
      </x:c>
      <x:c r="DZ61" s="117" t="str">
        <x:f>IF($A61="","",MIN(0.6,MAX(0.002,(((1-'Setari model'!$B$34*MIN(1,($I61+$P61)/20))*$BT61+'Setari model'!$B$34*MIN(1,($I61+$P61)/20)*IF(COUNT($N61,$U61)=2,SQRT(MAX(0,1-$N61)*MAX(0,1-$U61)),$BT61))*(1-'Setari model'!$B$65*MIN(1,IF($AN61="",0,$AN61/'Setari model'!$B$64)))+'Setari model'!$B$65*MIN(1,IF($AN61="",0,$AN61/'Setari model'!$B$64))*IF($AM61="",$BT61,$AM61))*$DX61*$DY61/$DW61)))</x:f>
      </x:c>
      <x:c r="EA61" s="117" t="str">
        <x:f>IF($A61="","",MIN(1-$DZ61,IF(OR(MIN($I61,$P61)&lt;'Setari model'!$B$58,$CK61=1,$CL61=1,AND($CJ61&lt;&gt;"",$CJ61&lt;=1)),'Setari model'!$B$59,IF(AND($AU61=1,$AR61&gt;1,COUNT($CY61:$DB61)=4),'Setari model'!$B$61,'Setari model'!$B$60))))</x:f>
      </x:c>
      <x:c r="EB61" s="115" t="str">
        <x:f t="shared" si="69">IF($A61="","",1/$EA61)</x:f>
      </x:c>
      <x:c r="EC61" s="117" t="str">
        <x:f t="shared" si="70">IF($A61="","",IF($AR61&gt;1,IF($AS61&gt;1,(1/$AR61)/((1/$AR61)+(1/$AS61)),1/$AR61),""))</x:f>
      </x:c>
      <x:c r="ED61" s="117" t="str">
        <x:f t="shared" si="71">IF($A61="","",IF($EC61="","",$EA61-$EC61))</x:f>
      </x:c>
      <x:c r="EE61" s="117" t="str">
        <x:f t="shared" si="72">""</x:f>
      </x:c>
      <x:c r="EF61" s="119" t="str">
        <x:f>IF($A61="","",MAX(0,MIN(100,$CE61-200*MAX(0,$EG61-'Setari model'!$B$77)-IF($AU61&lt;&gt;1,10,0)-IF(COUNT($CY61:$DB61)&lt;4,4,0))))</x:f>
      </x:c>
      <x:c r="EG61" s="117" t="str">
        <x:f>IF($A61="","",'Setari model'!$B$77+IF(MIN($I61,$P61)&lt;'Setari model'!$B$58,0.03,0)+IF(OR($CK61=1,$CL61=1,AND($CJ61&lt;&gt;"",$CJ61&lt;=1)),0.03,0)+IF($AG61=0,0.02,0)+0.03*(1-MIN(1,COUNT($CM61:$CV61)/10))+0.03*(1-MIN(1,IF($AN61="",0,$AN61/'Setari model'!$B$64)))+IF($AR61&lt;=1,0.02,0))</x:f>
      </x:c>
      <x:c r="EH61" s="113" t="str">
        <x:f>IF($A61="","",IF(OR(MIN($I61,$P61)&lt;'Setari model'!$B$58,$CK61=1,$CL61=1,AND($CJ61&lt;&gt;"",$CJ61&lt;=1)),"92% – early/regim",IF(AND($AU61=1,$AR61&gt;1,COUNT($CY61:$DB61)=4),"94% – confirmat","93% – standard")))</x:f>
      </x:c>
      <x:c r="EI61" s="113" t="str">
        <x:f t="shared" si="73">IF($A61="","",IF(AND($EA61&gt;0.9,$AU61&lt;&gt;1),"WAIT XI – HIGH P",IF(AND($EA61&gt;0.9,COUNT($CY61:$DB61)&lt;4),"WAIT DATE CHEIE – HIGH P",IF($EP61&lt;&gt;"DA","NU – PORTOFOLIU","DA"))))</x:f>
      </x:c>
      <x:c r="EJ61" s="117" t="str">
        <x:f t="shared" si="74">IF($A61="","",IF($DE61&lt;&gt;"Live 20-30","",IF(SUM($DG61:$DH61)&gt;0,1,IF($EU61="","",1-MIN(0.95,MAX(0.001,EXP(-$EU61)*$DX61*$DY61/$DW61))))))</x:f>
      </x:c>
      <x:c r="EK61" s="117" t="str">
        <x:f t="shared" si="75">""</x:f>
      </x:c>
      <x:c r="EL61" s="113" t="str">
        <x:f>IF($A61="","",IF($DE61="Live 20-30",IF(SUM($DG61:$DH61)&gt;0,"EVENIMENT ÎNDEPLINIT",IF(OR($DF61="",COUNT($DI61:$DN61)&lt;4),"LIVE – WATCH",IF($EJ61&gt;=0.75,"LIVE – FEZABIL TEHNIC","LIVE – NO BET"))),IF($EI61&lt;&gt;"DA","WATCH / NO BET",IF(AND($EA61&gt;=INDEX('Setari model'!$B$35:$B$40,1),$EF61&gt;=100*'Setari model'!$B$76),"PARIU RECOMANDAT",IF(AND($EA61&gt;=INDEX('Setari model'!$B$35:$B$40,5),$EF61&gt;=100*'Setari model'!$B$40),"WATCH – APROAPE DE PRAG","PARIU EVITAT")))))</x:f>
      </x:c>
      <x:c r="EM61" s="113" t="str">
        <x:f t="shared" si="76">IF($A61="","",IF($DE61="Live 20-30",IF(SUM($DG61:$DH61)&gt;0,"Gol deja marcat.",IF($DF61="","Minut live lipsă.",IF(COUNT($DI61:$DN61)&lt;4,"Lipsesc xG/SOT/big chances live.",IF($EJ61&lt;0.75,"P live sub prag.","Semnal live tehnic complet; EV ignorat.")))),IF($EI61&lt;&gt;"DA",$EI61,IF($EF61&lt;75,"Confidence sub 75.",IF($EA61&lt;0.92,"P sub 92%.","G0/Zero-Mass + confidence trecute; EV ignorat.")))))</x:f>
      </x:c>
      <x:c r="EN61" s="117" t="str">
        <x:f>IF($A61="","",IF(OR($EL61="PARIU RECOMANDAT",$EL61="LIVE – FEZABIL"),MIN(IF($DU61&gt;0,$DU61,'Setari model'!$B$81)/MAX(1,$DR61),IF($DV61&gt;0,$DV61,'Setari model'!$B$80)*MAX(0,((IF($DE61="Live 20-30",$EJ61,$EA61)*IF($DE61="Live 20-30",$DQ61,$AR61)-1)/(IF($DE61="Live 20-30",$DQ61,$AR61)-1)))),0))</x:f>
      </x:c>
      <x:c r="EO61" s="121" t="str">
        <x:f t="shared" si="77">IF($A61="","",IF(AND($EN61&gt;0,$DT61&gt;0),$EN61*$DT61,""))</x:f>
      </x:c>
      <x:c r="EP61" s="113" t="str">
        <x:f>IF($A61="","",IF(OR($DR61&lt;1,$DR61&gt;'Setari model'!$B$78),"NU – 1–5 selecții",IF($DS61&gt;'Setari model'!$B$79,"NU – corelație", "DA")))</x:f>
      </x:c>
      <x:c r="EQ61" s="117" t="str">
        <x:f t="shared" si="78">IF($A61="","",IF(AND($DC61&gt;1,$DD61&gt;1),$DC61/$DD61-1,""))</x:f>
      </x:c>
      <x:c r="ER61" s="113" t="str">
        <x:f t="shared" si="79">IF($A61="","","P v2="&amp;TEXT($EA61,"0.0%")&amp;" ±"&amp;TEXT($EG61,"0.0%")&amp;"; P0 ZIP="&amp;TEXT($DZ61,"0.0%")&amp;"; Confidence="&amp;TEXT($EF61,"0")&amp;"/100; piață reală="&amp;IF($EC61="","NU","DA")&amp;"; EV="&amp;IF($EE61="","n/a",TEXT($EE61,"0.0%"))&amp;"; gate="&amp;$EI61&amp;"; verdict="&amp;$EL61&amp;". "&amp;$EM61)</x:f>
      </x:c>
      <x:c r="ES61" s="119" t="str">
        <x:f>IF($A61="","",'Setari model'!$B$82)</x:f>
      </x:c>
      <x:c r="ET61" s="118" t="str">
        <x:f>IF($A61="","",'Setari model'!$B$83)</x:f>
      </x:c>
      <x:c r="EU61" s="115" t="str">
        <x:f t="shared" si="80">IF(OR($A61="",$DE61&lt;&gt;"Live 20-30",$DF61="",$DF61&lt;$ES61,$DF61&gt;=90),"",MAX(0.05,MIN($BS61*$ET61,$BS61*(90-$DF61)/90+0.35*($DI61+$DJ61)+0.06*($DK61+$DL61)+0.15*($DM61+$DN61)+0.1*(MAX($DO61,$DP61)-MIN($DO61,$DP61)))))</x:f>
      </x:c>
      <x:c r="EV61" s="132"/>
      <x:c r="EW61" s="132"/>
      <x:c r="EX61" s="132"/>
      <x:c r="EY61" s="132"/>
      <x:c r="EZ61" s="132"/>
      <x:c r="FA61" s="132"/>
      <x:c r="FB61" s="247"/>
      <x:c r="FC61" s="134" t="str">
        <x:f t="shared" si="81">IF($A61="","",IF(OR($J61="",$L61="",$L61&lt;=0),"",MAX(0.5,MIN(1.5,$J61/$L61))))</x:f>
      </x:c>
      <x:c r="FD61" s="134" t="str">
        <x:f t="shared" si="82">IF($A61="","",IF(OR($Q61="",$S61="",$S61&lt;=0),"",MAX(0.5,MIN(1.5,$Q61/$S61))))</x:f>
      </x:c>
      <x:c r="FE61" s="134" t="str">
        <x:f>IF($A61="","",IF(COUNT($EV61:$EW61)&lt;2,"",SQRT($EV61*$EW61)/'Setari model'!$B$87))</x:f>
      </x:c>
      <x:c r="FF61" s="134" t="str">
        <x:f>IF($A61="","",IF(COUNT($O61,$V61,$EX61,$EY61)&lt;4,"",AVERAGE(SQRT($O61*$EY61),SQRT($V61*$EX61))/'Setari model'!$B$88))</x:f>
      </x:c>
      <x:c r="FG61" s="134" t="str">
        <x:f t="shared" si="83">IF($A61="","",IF(COUNT($FC61:$FD61)&lt;2,"",MAX(0,1-AVERAGE($FC61:$FD61))))</x:f>
      </x:c>
      <x:c r="FH61" s="134" t="str">
        <x:f>IF($A61="","",IF(COUNT($EZ61:$FA61)&lt;2,"",'Setari model'!$B$94*AVERAGE($EZ61:$FA61)/'Setari model'!$B$89))</x:f>
      </x:c>
      <x:c r="FI61" s="134" t="str">
        <x:f>IF($A61="","",IF(COUNT($FE61:$FH61)&lt;4,"",MAX('Setari model'!$B$97,MIN('Setari model'!$B$98,1+'Setari model'!$B$90*($FE61-1)+'Setari model'!$B$91*($FF61-1)+'Setari model'!$B$92*$FG61+'Setari model'!$B$93*($FH61-1)))))</x:f>
      </x:c>
      <x:c r="FJ61" s="133" t="str">
        <x:f>IF($A61="","",IF($FI61="","",MIN('Setari model'!$B$101,MAX(0.002,$DZ61*$FI61))))</x:f>
      </x:c>
      <x:c r="FK61" s="131" t="str">
        <x:f t="shared" si="84">IF($A61="","",IF(AND(COUNT($EV61:$FA61)=6,COUNT($O61,$V61,$FC61,$FD61)=4),"DA","NU"))</x:f>
      </x:c>
      <x:c r="FL61" s="131" t="str">
        <x:f>IF($A61="","",IF($FK61&lt;&gt;"DA","NEDETERMINAT",IF($FI61&lt;='Setari model'!$B$99,"SCĂZUT",IF($FI61&lt;='Setari model'!$B$100,"MEDIU","RIDICAT"))))</x:f>
      </x:c>
      <x:c r="FM61" s="131" t="str">
        <x:f>IF($A61="","",IF(AND($AR61&gt;1,$EC61&gt;='Setari model'!$B$106),"DA","NU"))</x:f>
      </x:c>
      <x:c r="FN61" s="131" t="str">
        <x:f t="shared" si="85">IF($A61="","",IF(AND($AU61=1,COUNT($CY61:$DB61)=4),"DA","NU"))</x:f>
      </x:c>
      <x:c r="FO61" s="133" t="str">
        <x:f>IF($A61="","",IF(OR($FK61&lt;&gt;"DA",$FL61="RIDICAT"),'Setari model'!$B$102,IF($FL61="MEDIU",'Setari model'!$B$103,IF(AND($FM61="DA",$FN61="DA"),'Setari model'!$B$105,'Setari model'!$B$104))))</x:f>
      </x:c>
      <x:c r="FP61" s="133" t="str">
        <x:f t="shared" si="86">IF($A61="","",IF($FJ61="","",MIN(1-$FJ61,$FO61)))</x:f>
      </x:c>
      <x:c r="FQ61" s="135" t="str">
        <x:f t="shared" si="87">IF($A61="","",IF($FP61="","",IF($FP61&gt;0,1/$FP61,"")))</x:f>
      </x:c>
      <x:c r="FR61" s="133" t="str">
        <x:f t="shared" si="88">IF($A61="","",IF($EC61="","",$FP61-$EC61))</x:f>
      </x:c>
      <x:c r="FS61" s="133" t="str">
        <x:f t="shared" si="89">IF($A61="","",IF($AR61&gt;1,$FP61*$AR61-1,""))</x:f>
      </x:c>
      <x:c r="FT61" s="136" t="str">
        <x:f>IF($A61="","",MAX(0,MIN(100,$EF61-IF($FK61&lt;&gt;"DA",'Setari model'!$B$107,0)-IF($FL61="MEDIU",'Setari model'!$B$108,0)-IF($FL61="RIDICAT",'Setari model'!$B$109,0))))</x:f>
      </x:c>
      <x:c r="FU61" s="131" t="str">
        <x:f t="shared" si="90">IF($A61="","",IF($AR61&lt;=1,"NU – LIPSEȘTE COTA REALĂ",IF($FK61&lt;&gt;"DA","NU – ZERO-RISK INCOMPLET",IF($FL61&lt;&gt;"SCĂZUT","NU – RISC 0-0 "&amp;$FL61,IF($FN61&lt;&gt;"DA","NU – LINEUP NECONFIRMAT",IF($FM61&lt;&gt;"DA","NU – PIAȚĂ NECONFIRMATĂ",IF($EP61&lt;&gt;"DA","NU – PORTOFOLIU","DA")))))))</x:f>
      </x:c>
      <x:c r="FV61" s="131" t="str">
        <x:f>IF($A61="","",IF($FU61&lt;&gt;"DA","WATCH / NO BET",IF(AND($FP61&gt;='Setari model'!$B$35,$FT61&gt;=100*'Setari model'!$B$76,$FS61&gt;0),"PARIU RECOMANDAT",IF(AND($FP61&gt;='Setari model'!$B$39,$FT61&gt;=100*'Setari model'!$B$40,$FS61&gt;0),"WATCH – APROAPE DE PRAG","PARIU EVITAT"))))</x:f>
      </x:c>
      <x:c r="FW61" s="131" t="str">
        <x:f t="shared" si="91">IF($A61="","",IF($FU61&lt;&gt;"DA",$FU61,IF($FT61&lt;75,"Confidence v3 sub 75.",IF($FP61&lt;0.92,"P v3 sub 92%.",IF($FS61&lt;=0,"EV v3 nepozitiv.","P0 v3, lineup și piață confirmate.")))))</x:f>
      </x:c>
      <x:c r="FX61" s="131" t="str">
        <x:f t="shared" si="92">IF($A61="","","P v3="&amp;TEXT($FP61,"0.0%")&amp;"; P0 v3="&amp;TEXT($FJ61,"0.0%")&amp;"; factor zero="&amp;IF($FI61="","n/a",TEXT($FI61,"0.00x"))&amp;" ("&amp;$FL61&amp;"); cap="&amp;TEXT($FO61,"0.0%")&amp;"; Confidence="&amp;TEXT($FT61,"0")&amp;"/100; lineup="&amp;$FN61&amp;"; piață="&amp;$FM61&amp;"; EV="&amp;IF($FS61="","n/a",TEXT($FS61,"0.0%"))&amp;"; gate="&amp;$FU61&amp;"; verdict="&amp;$FV61&amp;". "&amp;$FW61)</x:f>
      </x:c>
      <x:c r="FY61" s="159"/>
      <x:c r="FZ61" s="159"/>
      <x:c r="GA61" s="157"/>
      <x:c r="GB61" s="157"/>
      <x:c r="GC61" s="161" t="str">
        <x:f t="shared" si="93">IF($A61="","",IF(OR($X61="",$Z61="",$Z61&lt;=0),"",MAX(0.5,MIN(1.5,$X61/$Z61))))</x:f>
      </x:c>
      <x:c r="GD61" s="161" t="str">
        <x:f t="shared" si="94">IF($A61="","",IF(OR($AC61="",$AE61="",$AE61&lt;=0),"",MAX(0.5,MIN(1.5,$AC61/$AE61))))</x:f>
      </x:c>
      <x:c r="GE61" s="162" t="str">
        <x:f t="shared" si="95">IF($A61="","",IF(COUNT($Z61,$AE61)&lt;2,"",AVERAGE($Z61,$AE61)))</x:f>
      </x:c>
      <x:c r="GF61" s="158" t="str">
        <x:f>IF($A61="","",IF(COUNT($FY61:$FZ61)&lt;2,"NEDETERMINAT",IF(AND($FY61&gt;='Setari model'!$B$113,$FZ61&gt;='Setari model'!$B$113),"DA","NU")))</x:f>
      </x:c>
      <x:c r="GG61" s="158" t="str">
        <x:f>IF($A61="","",IF(COUNT($FY61:$FZ61,$EX61:$EY61)&lt;4,"NEDETERMINAT",IF(OR(AND($FY61&gt;='Setari model'!$B$113,$EY61&gt;='Setari model'!$B$114),AND($FZ61&gt;='Setari model'!$B$113,$EX61&gt;='Setari model'!$B$114)),"DA","NU")))</x:f>
      </x:c>
      <x:c r="GH61" s="158" t="str">
        <x:f>IF($A61="","",IF(COUNT($BJ61:$BN61,$GC61:$GE61)&lt;8,"NEDETERMINAT",IF(AND((($BJ61*INDEX('Setari model'!$B$5:$B$11,MATCH($E61,'Setari model'!$A$5:$A$11,0))+$BK61*INDEX('Setari model'!$C$5:$C$11,MATCH($E61,'Setari model'!$A$5:$A$11,0))+$BL61*INDEX('Setari model'!$D$5:$D$11,MATCH($E61,'Setari model'!$A$5:$A$11,0))+$BM61*INDEX('Setari model'!$E$5:$E$11,MATCH($E61,'Setari model'!$A$5:$A$11,0))+$BN61*INDEX('Setari model'!$F$5:$F$11,MATCH($E61,'Setari model'!$A$5:$A$11,0)))/(INDEX('Setari model'!$B$5:$B$11,MATCH($E61,'Setari model'!$A$5:$A$11,0))+INDEX('Setari model'!$C$5:$C$11,MATCH($E61,'Setari model'!$A$5:$A$11,0))+INDEX('Setari model'!$D$5:$D$11,MATCH($E61,'Setari model'!$A$5:$A$11,0))+INDEX('Setari model'!$E$5:$E$11,MATCH($E61,'Setari model'!$A$5:$A$11,0))+INDEX('Setari model'!$F$5:$F$11,MATCH($E61,'Setari model'!$A$5:$A$11,0))))*$BR61&gt;='Setari model'!$B$115,(($BJ61*INDEX('Setari model'!$B$5:$B$11,MATCH($E61,'Setari model'!$A$5:$A$11,0))+$BK61*INDEX('Setari model'!$C$5:$C$11,MATCH($E61,'Setari model'!$A$5:$A$11,0))+$BL61*INDEX('Setari model'!$D$5:$D$11,MATCH($E61,'Setari model'!$A$5:$A$11,0))+$BM61*INDEX('Setari model'!$E$5:$E$11,MATCH($E61,'Setari model'!$A$5:$A$11,0))+$BN61*INDEX('Setari model'!$F$5:$F$11,MATCH($E61,'Setari model'!$A$5:$A$11,0)))/(INDEX('Setari model'!$B$5:$B$11,MATCH($E61,'Setari model'!$A$5:$A$11,0))+INDEX('Setari model'!$C$5:$C$11,MATCH($E61,'Setari model'!$A$5:$A$11,0))+INDEX('Setari model'!$D$5:$D$11,MATCH($E61,'Setari model'!$A$5:$A$11,0))+INDEX('Setari model'!$E$5:$E$11,MATCH($E61,'Setari model'!$A$5:$A$11,0))+INDEX('Setari model'!$F$5:$F$11,MATCH($E61,'Setari model'!$A$5:$A$11,0))))*$BR61&lt;='Setari model'!$B$116,AVERAGE($GC61:$GD61)&lt;='Setari model'!$B$117,$GE61&gt;='Setari model'!$B$118),"DA","NU")))</x:f>
      </x:c>
      <x:c r="GI61" s="158" t="str">
        <x:f>IF($A61="","",IF(COUNT($W61,$AB61,$GA61:$GB61)&lt;4,"NEDETERMINAT",IF(AND($W61&gt;='Setari model'!$B$120,$AB61&gt;='Setari model'!$B$120,OR(IFERROR($GA61/$W61,0)&gt;='Setari model'!$B$119,IFERROR($GB61/$AB61,0)&gt;='Setari model'!$B$119)),"DA","NU")))</x:f>
      </x:c>
      <x:c r="GJ61" s="160" t="str">
        <x:f>IF($A61="","",IF(COUNT($FY61:$GB61)&lt;4,"",IF($GH61&lt;&gt;"DA",0,'Setari model'!$B$121*IF($GF61="DA",1,0)+'Setari model'!$B$122*IF($GG61="DA",1,0)+'Setari model'!$B$123+'Setari model'!$B$124*IF($GI61="DA",1,0))))</x:f>
      </x:c>
      <x:c r="GK61" s="161" t="str">
        <x:f>IF($A61="","",IF(COUNT($GJ61)=0,"",1+'Setari model'!$B$125*$GJ61))</x:f>
      </x:c>
      <x:c r="GL61" s="160" t="str">
        <x:f>IF($A61="","",IF($GM61&lt;&gt;"DA",$FJ61,MIN('Setari model'!$B$101,MAX(0.002,$FJ61*$GK61))))</x:f>
      </x:c>
      <x:c r="GM61" s="158" t="str">
        <x:f>IF($A61="","",IF(AND($FK61="DA",COUNT($FY61:$GB61)=4,COUNT($I61,$P61,$W61,$AB61,$Z61,$AE61,$EX61,$EY61,$GC61,$GD61)=10,COUNT($BJ61:$BN61)=5),"DA","NU"))</x:f>
      </x:c>
      <x:c r="GN61" s="158" t="str">
        <x:f>IF($A61="","",IF($GM61&lt;&gt;"DA","NEDETERMINAT",IF($FI61*$GK61&lt;='Setari model'!$B$99,"SCĂZUT",IF($FI61*$GK61&lt;='Setari model'!$B$100,"MEDIU","RIDICAT"))))</x:f>
      </x:c>
      <x:c r="GO61" s="160" t="str">
        <x:f>IF($A61="","",IF(OR($GM61&lt;&gt;"DA",$GN61="RIDICAT"),'Setari model'!$B$102,IF($GN61="MEDIU",'Setari model'!$B$103,IF(AND($FM61="DA",$FN61="DA"),'Setari model'!$B$105,'Setari model'!$B$104))))</x:f>
      </x:c>
      <x:c r="GP61" s="160" t="str">
        <x:f t="shared" si="96">IF($A61="","",IF($GL61="","",MIN(1-$GL61,$GO61)))</x:f>
      </x:c>
      <x:c r="GQ61" s="162" t="str">
        <x:f t="shared" si="97">IF($A61="","",IF($GP61="","",IF($GP61&gt;0,1/$GP61,"")))</x:f>
      </x:c>
      <x:c r="GR61" s="160" t="str">
        <x:f t="shared" si="98">IF($A61="","",IF($EC61="","",$GP61-$EC61))</x:f>
      </x:c>
      <x:c r="GS61" s="160" t="str">
        <x:f t="shared" si="99">IF($A61="","",IF($AR61&gt;1,$GP61*$AR61-1,""))</x:f>
      </x:c>
      <x:c r="GT61" s="163" t="str">
        <x:f>IF($A61="","",MAX(0,MIN(100,$FT61-IF(AND($GM61&lt;&gt;"DA",$FK61="DA"),'Setari model'!$B$107,0)-'Setari model'!$B$126*IF($GJ61="",0,$GJ61))))</x:f>
      </x:c>
      <x:c r="GU61" s="158" t="str">
        <x:f t="shared" si="100">IF($A61="","",IF($AR61&lt;=1,"NU – LIPSEȘTE COTA REALĂ",IF($GM61&lt;&gt;"DA","NU – DATE LOW-CONVERSION INCOMPLETE",IF($GN61&lt;&gt;"SCĂZUT","NU – RISC 0-0 "&amp;$GN61,IF($FN61&lt;&gt;"DA","NU – LINEUP NECONFIRMAT",IF($FM61&lt;&gt;"DA","NU – PIAȚĂ NECONFIRMATĂ",IF($EP61&lt;&gt;"DA","NU – PORTOFOLIU","DA")))))))</x:f>
      </x:c>
      <x:c r="GV61" s="158" t="str">
        <x:f>IF($A61="","",IF($GU61&lt;&gt;"DA","WATCH / NO BET",IF(AND($GP61&gt;='Setari model'!$B$35,$GT61&gt;=100*'Setari model'!$B$76,$GS61&gt;0),"PARIU RECOMANDAT",IF(AND($GP61&gt;='Setari model'!$B$39,$GT61&gt;=100*'Setari model'!$B$40,$GS61&gt;0),"WATCH – APROAPE DE PRAG","PARIU EVITAT"))))</x:f>
      </x:c>
      <x:c r="GW61" s="158" t="str">
        <x:f t="shared" si="101">IF($A61="","",IF($GU61&lt;&gt;"DA",$GU61,IF($GT61&lt;75,"Confidence v5 sub 75.",IF($GP61&lt;0.92,"P v5 sub 92%.",IF($GS61&lt;=0,"EV v5 nepozitiv.",IF($GJ61&gt;0,"Low-conversion absorbit în P0; toate porțile rămân trecute.","Toate porțile v5 sunt trecute."))))))</x:f>
      </x:c>
      <x:c r="GX61" s="158" t="str">
        <x:f t="shared" si="102">IF($A61="","","P v5="&amp;TEXT($GP61,"0.0%")&amp;"; P0 v5="&amp;TEXT($GL61,"0.0%")&amp;"; low-conv="&amp;IF(COUNT($GJ61)=0,"n/a",TEXT($GJ61,"0%"))&amp;"; mult.P0="&amp;IF(COUNT($GK61)=0,"n/a",TEXT($GK61,"0.00"))&amp;"; clasă="&amp;$GN61&amp;"; cap="&amp;TEXT($GO61,"0.0%")&amp;"; Confidence="&amp;TEXT($GT61,"0")&amp;"/100; lineup="&amp;$FN61&amp;"; piață="&amp;$FM61&amp;"; EV="&amp;IF($GS61="","n/a",TEXT($GS61,"0.0%"))&amp;"; gate="&amp;$GU61&amp;"; verdict="&amp;$GV61&amp;". "&amp;$GW61)</x:f>
      </x:c>
      <x:c r="GY61" s="174" t="str">
        <x:f>IF($A61="","",IF($GM61&lt;&gt;"DA","SOURCING INCOMPLETE – REVIEW REQUIRED",IF(MIN($I61,$P61,$W61,$AB61)&lt;'Setari model'!$B$58,"SMALL SAMPLE + PRIOR / SHRINKAGE","VERIFIED / PRIOR / SHRINKAGE")))</x:f>
      </x:c>
      <x:c r="GZ61" s="175" t="str">
        <x:f t="shared" si="103">IF($A61="","",MAX(0,MIN(100,100*(1-AVERAGE(IF($GM61="DA",1,0),MIN(1,$AT61/5))))))</x:f>
      </x:c>
      <x:c r="HA61" s="175" t="str">
        <x:f>IF($A61="","",IF($GM61&lt;&gt;"DA","",MAX(0,MIN(100,100*(($FI61*$GK61)-'Setari model'!$B$97)/('Setari model'!$B$98-'Setari model'!$B$97)))))</x:f>
      </x:c>
      <x:c r="HB61" s="175" t="str">
        <x:f>IF($A61="","",MAX(0,MIN(100,100*(ABS($BR61-1)/MAX(1-'Setari model'!$B$53,'Setari model'!$B$54-1)+MIN(1,$BG61/2))/2)))</x:f>
      </x:c>
      <x:c r="HC61" s="175" t="str">
        <x:f t="shared" si="104">IF($A61="","",MAX(0,MIN(100,100*(1-AVERAGE($CC61,MAX(0,1-(MAX($BJ61:$BN61)-MIN($BJ61:$BN61))/(AVERAGE($BJ61:$BN61)*'Setari model'!$B$45)))))))</x:f>
      </x:c>
      <x:c r="HD61" s="175" t="str">
        <x:f t="shared" si="105">IF($A61="","",MAX(0,MIN(100,100*MAX(IF($GJ61="",0,$GJ61),MIN(1,$BG61/2)))))</x:f>
      </x:c>
      <x:c r="HE61" s="175" t="str">
        <x:f>IF($A61="","",IF(COUNT($GZ61:$HD61)&lt;5,"",$GZ61*Risk_Classification!$E$28+$HA61*Risk_Classification!$E$29+$HB61*Risk_Classification!$E$30+$HC61*Risk_Classification!$E$31+$HD61*Risk_Classification!$E$32))</x:f>
      </x:c>
      <x:c r="HF61" s="176" t="str">
        <x:f t="shared" si="106">IF($A61="","",IF($HE61="","",IF($HE61&lt;=20,1,IF($HE61&lt;=40,2,IF($HE61&lt;=60,3,IF($HE61&lt;=80,4,5))))))</x:f>
      </x:c>
      <x:c r="HG61" s="176" t="str">
        <x:f t="shared" si="107">IF($A61="","",IF($GM61="DA","PASS","FAIL – DATE CRITICE ZERO-MASS INCOMPLETE"))</x:f>
      </x:c>
      <x:c r="HH61" s="176" t="str">
        <x:f t="shared" si="108">IF($A61="","",IF($HG61&lt;&gt;"PASS",5,$HF61))</x:f>
      </x:c>
      <x:c r="HI61" s="174" t="str">
        <x:f t="shared" si="109">IF($A61="","",IF($HH61="","N/A",IF($HH61=1,"DEFENSIV",IF($HH61=2,"PRUDENT",IF($HH61=3,"MODERAT",IF($HH61=4,"RIDICAT","WATCH / NO BET"))))))</x:f>
      </x:c>
      <x:c r="HJ61" s="177" t="str">
        <x:f t="shared" si="110">IF($A61="","","Data="&amp;$GY61&amp;"; DQ="&amp;TEXT($GZ61,"0.0")&amp;"; ZM="&amp;IF($HA61="","n/a",TEXT($HA61,"0.0"))&amp;"; Context="&amp;TEXT($HB61,"0.0")&amp;"; Uncertainty="&amp;TEXT($HC61,"0.0")&amp;"; Compound="&amp;TEXT($HD61,"0.0")&amp;"; Risk Score="&amp;IF($HE61="","n/a",TEXT($HE61,"0.0"))&amp;"; Base="&amp;IF($HF61="","n/a",$HF61)&amp;"; G0="&amp;$HG61&amp;"; Final="&amp;$HH61&amp;". Cota, EV si lineup sunt informative si nu intra in recomandare.")</x:f>
      </x:c>
      <x:c r="HK61" s="174" t="str">
        <x:f t="shared" si="111">IF($A61="","",$HI61)</x:f>
      </x:c>
    </x:row>
    <x:row r="62" ht="24" customHeight="1">
      <x:c r="A62" s="58"/>
      <x:c r="B62" s="24"/>
      <x:c r="C62" s="59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18"/>
      <x:c r="O62" s="18"/>
      <x:c r="P62" s="24"/>
      <x:c r="Q62" s="24"/>
      <x:c r="R62" s="24"/>
      <x:c r="S62" s="24"/>
      <x:c r="T62" s="24"/>
      <x:c r="U62" s="18"/>
      <x:c r="V62" s="18"/>
      <x:c r="W62" s="24"/>
      <x:c r="X62" s="24"/>
      <x:c r="Y62" s="24"/>
      <x:c r="Z62" s="24"/>
      <x:c r="AA62" s="24"/>
      <x:c r="AB62" s="24"/>
      <x:c r="AC62" s="24"/>
      <x:c r="AD62" s="24"/>
      <x:c r="AE62" s="24"/>
      <x:c r="AF62" s="24"/>
      <x:c r="AG62" s="24"/>
      <x:c r="AH62" s="24"/>
      <x:c r="AI62" s="18"/>
      <x:c r="AJ62" s="24"/>
      <x:c r="AK62" s="24"/>
      <x:c r="AL62" s="24"/>
      <x:c r="AM62" s="18"/>
      <x:c r="AN62" s="24"/>
      <x:c r="AO62" s="60"/>
      <x:c r="AP62" s="60"/>
      <x:c r="AQ62" s="60"/>
      <x:c r="AR62" s="60"/>
      <x:c r="AS62" s="60"/>
      <x:c r="AT62" s="24"/>
      <x:c r="AU62" s="24"/>
      <x:c r="AV62" s="24"/>
      <x:c r="AW62" s="24"/>
      <x:c r="AX62" s="24"/>
      <x:c r="AY62" s="24"/>
      <x:c r="AZ62" s="24"/>
      <x:c r="BA62" s="24"/>
      <x:c r="BB62" s="24"/>
      <x:c r="BC62" s="24"/>
      <x:c r="BD62" s="24"/>
      <x:c r="BE62" s="24"/>
      <x:c r="BF62" s="24"/>
      <x:c r="BG62" s="24"/>
      <x:c r="BH62" s="61"/>
      <x:c r="BI62" s="61"/>
      <x:c r="BJ62" s="62" t="str">
        <x:f>IF($A62="","",SQRT((($I62*IF($J62="",$AJ62,$J62)+'Setari model'!$B$30*$AJ62)/($I62+'Setari model'!$B$30))*(($P62*IF($R62="",$AJ62,$R62)+'Setari model'!$B$30*$AJ62)/($P62+'Setari model'!$B$30)))+SQRT((($P62*IF($Q62="",$AK62,$Q62)+'Setari model'!$B$30*$AK62)/($P62+'Setari model'!$B$30))*(($I62*IF($K62="",$AK62,$K62)+'Setari model'!$B$30*$AK62)/($I62+'Setari model'!$B$30))))</x:f>
      </x:c>
      <x:c r="BK62" s="62" t="str">
        <x:f>IF($A62="","",SQRT((($I62*IF($L62="",IF($J62="",$AJ62,$J62),$L62)+'Setari model'!$B$30*$AJ62)/($I62+'Setari model'!$B$30))*(($P62*IF($T62="",IF($R62="",$AJ62,$R62),$T62)+'Setari model'!$B$30*$AJ62)/($P62+'Setari model'!$B$30)))+SQRT((($P62*IF($S62="",IF($Q62="",$AK62,$Q62),$S62)+'Setari model'!$B$30*$AK62)/($P62+'Setari model'!$B$30))*(($I62*IF($M62="",IF($K62="",$AK62,$K62),$M62)+'Setari model'!$B$30*$AK62)/($I62+'Setari model'!$B$30))))</x:f>
      </x:c>
      <x:c r="BL62" s="62" t="str">
        <x:f>IF($A62="","",SQRT((($W62*IF($X62="",$AL62/2,$X62)+'Setari model'!$B$31*$AL62/2)/($W62+'Setari model'!$B$31))*(($AB62*IF($AD62="",$AL62/2,$AD62)+'Setari model'!$B$31*$AL62/2)/($AB62+'Setari model'!$B$31)))+SQRT((($AB62*IF($AC62="",$AL62/2,$AC62)+'Setari model'!$B$31*$AL62/2)/($AB62+'Setari model'!$B$31))*(($W62*IF($Y62="",$AL62/2,$Y62)+'Setari model'!$B$31*$AL62/2)/($W62+'Setari model'!$B$31))))</x:f>
      </x:c>
      <x:c r="BM62" s="62" t="str">
        <x:f>IF($A62="","",SQRT((($W62*IF($Z62="",IF($X62="",$AL62/2,$X62),$Z62)+'Setari model'!$B$31*$AL62/2)/($W62+'Setari model'!$B$31))*(($AB62*IF($AF62="",IF($AD62="",$AL62/2,$AD62),$AF62)+'Setari model'!$B$31*$AL62/2)/($AB62+'Setari model'!$B$31)))+SQRT((($AB62*IF($AE62="",IF($AC62="",$AL62/2,$AC62),$AE62)+'Setari model'!$B$31*$AL62/2)/($AB62+'Setari model'!$B$31))*(($W62*IF($AA62="",IF($Y62="",$AL62/2,$Y62),$AA62)+'Setari model'!$B$31*$AL62/2)/($W62+'Setari model'!$B$31))))</x:f>
      </x:c>
      <x:c r="BN62" s="62" t="str">
        <x:f t="shared" si="56">IF($A62="","",IF($AG62&gt;0,($AG62*IF($AH62="",$AL62,$AH62)+5*$AL62)/($AG62+5),$AL62))</x:f>
      </x:c>
      <x:c r="BO62" s="63" t="str">
        <x:f>IF($A62="","",IF($AR62&gt;1,IF($AS62&gt;1,(1/$AR62)/((1/$AR62+1/$AS62)),MIN(0.995,(1/$AR62)/(1+'Setari model'!$B$32))),1-EXP(-$AL62)))</x:f>
      </x:c>
      <x:c r="BP62" s="62" t="str">
        <x:f t="shared" si="57">IF($A62="","",-LN(1-$BO62))</x:f>
      </x:c>
      <x:c r="BQ62" s="62" t="str">
        <x:f>IF($A62="","",$BJ62*INDEX('Setari model'!$B$5:$B$11,MATCH($E62,'Setari model'!$A$5:$A$11,0))+$BK62*INDEX('Setari model'!$C$5:$C$11,MATCH($E62,'Setari model'!$A$5:$A$11,0))+$BL62*INDEX('Setari model'!$D$5:$D$11,MATCH($E62,'Setari model'!$A$5:$A$11,0))+$BM62*INDEX('Setari model'!$E$5:$E$11,MATCH($E62,'Setari model'!$A$5:$A$11,0))+$BN62*INDEX('Setari model'!$F$5:$F$11,MATCH($E62,'Setari model'!$A$5:$A$11,0))+$BP62*INDEX('Setari model'!$G$5:$G$11,MATCH($E62,'Setari model'!$A$5:$A$11,0)))</x:f>
      </x:c>
      <x:c r="BR62" s="64" t="str">
        <x:f>IF($A62="","",MAX('Setari model'!$B$53,MIN('Setari model'!$B$54,1+($AV62*'Setari model'!$B$15+$AW62*'Setari model'!$B$16+$AX62*'Setari model'!$B$17+$AY62*'Setari model'!$B$18+$AZ62*'Setari model'!$B$19+$BA62*'Setari model'!$B$20+$BB62*'Setari model'!$B$21+$BC62*'Setari model'!$B$22+$BD62*'Setari model'!$B$23+$BE62*'Setari model'!$B$24+$BF62*'Setari model'!$B$25)*INDEX('Setari model'!$H$5:$H$11,MATCH($E62,'Setari model'!$A$5:$A$11,0)))))</x:f>
      </x:c>
      <x:c r="BS62" s="62" t="str">
        <x:f t="shared" si="58">IF($A62="","",$BQ62*$BR62)</x:f>
      </x:c>
      <x:c r="BT62" s="63" t="str">
        <x:f t="shared" si="59">IF($A62="","",EXP(-$BS62))</x:f>
      </x:c>
      <x:c r="BU62" s="65" t="str">
        <x:f>IF($A62="","",IF(OR($AM62="",$AN62=""),1,1+MIN('Setari model'!$B$33,$AN62/100*'Setari model'!$B$33)*($AM62/EXP(-$AL62)-1)))</x:f>
      </x:c>
      <x:c r="BV62" s="63" t="str">
        <x:f>IF($A62="","",MIN(0.45,MAX(0.005,(1-'Setari model'!$B$34*MIN(1,($I62+$P62)/20))*MIN(0.45,$BT62*$BU62)+'Setari model'!$B$34*MIN(1,($I62+$P62)/20)*IF(COUNT($N62,$U62)=2,SQRT(MAX(0,1-$N62)*MAX(0,1-$U62)),IF($AM62="",EXP(-$AL62),$AM62)))))</x:f>
      </x:c>
      <x:c r="BW62" s="63" t="str">
        <x:f t="shared" si="60">IF($A62="","",1-$BV62)</x:f>
      </x:c>
      <x:c r="BX62" s="62" t="str">
        <x:f t="shared" si="61">IF($A62="","",1/$BW62)</x:f>
      </x:c>
      <x:c r="BY62" s="63" t="str">
        <x:f t="shared" si="62">IF($A62="","",$BO62)</x:f>
      </x:c>
      <x:c r="BZ62" s="63" t="str">
        <x:f t="shared" si="63">IF($A62="","",$BW62-$BY62)</x:f>
      </x:c>
      <x:c r="CA62" s="63" t="str">
        <x:f t="shared" si="64">IF($A62="","",IF($AR62&gt;1,$BW62*$AR62-1,""))</x:f>
      </x:c>
      <x:c r="CB62" s="63" t="str">
        <x:f>IF($A62="","",MIN(1,COUNT($I62:$AN62,$AR62:$BG62)/'Setari model'!$B$46))</x:f>
      </x:c>
      <x:c r="CC62" s="63" t="str">
        <x:f t="shared" si="65">IF($A62="","",0.25*MIN(1,$I62/10)+0.25*MIN(1,$P62/10)+0.15*MIN(1,$W62/5)+0.15*MIN(1,$AB62/5)+0.1*MIN(1,$AG62/5)+0.1*MIN(1,$AN62/100))</x:f>
      </x:c>
      <x:c r="CD62" s="63" t="str">
        <x:f>IF($A62="","",MAX(0,1-(MAX($BJ62:$BN62,$BP62)-MIN($BJ62:$BN62,$BP62))/(AVERAGE($BJ62:$BN62,$BP62)*'Setari model'!$B$45)))</x:f>
      </x:c>
      <x:c r="CE62" s="66" t="str">
        <x:f>IF($A62="","",MAX(0,MIN(100,100*INDEX('Setari model'!$I$5:$I$11,MATCH($E62,'Setari model'!$A$5:$A$11,0))*('Setari model'!$B$47*$CB62+'Setari model'!$B$48*$CC62+'Setari model'!$B$49*$CD62+'Setari model'!$B$50*$AT62/5+'Setari model'!$B$51*$AU62)-100*'Setari model'!$B$52*$BG62)))</x:f>
      </x:c>
      <x:c r="CF62" s="65" t="str">
        <x:f t="shared" si="66">IF($A62="","",IF(OR($AT62&lt;3,$BG62&gt;=2,$CB62&lt;0.55,$CC62&lt;0.4),"RIDICAT",IF(OR($AU62=0,$CD62&lt;0.45,$BR62&lt;0.9),"MEDIU","SCĂZUT")))</x:f>
      </x:c>
      <x:c r="CG62" s="65" t="str">
        <x:f>IF($A62="","",IF($AR62&gt;1,IF(AND($BW62&gt;= 'Setari model'!$B$35,$CE62&gt;=100*'Setari model'!$B$36,$BZ62&gt;= 'Setari model'!$B$37,$CA62&gt;= 'Setari model'!$B$38,$CF62&lt;&gt;"RIDICAT"),"PARIU RECOMANDAT",IF(AND($BW62&gt;= 'Setari model'!$B$39,$CE62&gt;=100*'Setari model'!$B$40,$BZ62&gt;= 'Setari model'!$B$41,$CA62&gt;=0,$CF62&lt;&gt;"RIDICAT"),"RECOMANDAT CU PRUDENȚĂ",IF(AND($BW62&gt;= 'Setari model'!$B$42,$CE62&gt;=100*'Setari model'!$B$43),"ANALIZĂ NECONCLUDENTĂ","PARIU EVITAT"))),IF(AND($BW62&gt;= 'Setari model'!$B$35,$CE62&gt;=100*'Setari model'!$B$36,$CF62&lt;&gt;"RIDICAT"),"FAVORABIL STATISTIC – VERIFICĂ COTA",IF(AND($BW62&gt;= 'Setari model'!$B$42,$CE62&gt;=100*'Setari model'!$B$43),"ANALIZĂ NECONCLUDENTĂ","PARIU EVITAT"))))</x:f>
      </x:c>
      <x:c r="CH62" s="67" t="str">
        <x:f t="shared" si="67">IF($A62="","","P(O0,5)="&amp;TEXT($BW62,"0.0%")&amp;"; λ ajustat="&amp;TEXT($BS62,"0.00")&amp;"; Confidence="&amp;TEXT($CE62,"0")&amp;"/100; Edge="&amp;TEXT($BZ62,"0.0%")&amp;"; risc="&amp;$CF62&amp;". "&amp;$BH62)</x:f>
      </x:c>
      <x:c r="CI62" s="68" t="str">
        <x:f t="shared" si="68">IF($A62="","",$BI62)</x:f>
      </x:c>
      <x:c r="CJ62" s="112"/>
      <x:c r="CK62" s="112"/>
      <x:c r="CL62" s="112"/>
      <x:c r="CM62" s="112"/>
      <x:c r="CN62" s="112"/>
      <x:c r="CO62" s="112"/>
      <x:c r="CP62" s="112"/>
      <x:c r="CQ62" s="112"/>
      <x:c r="CR62" s="112"/>
      <x:c r="CS62" s="112"/>
      <x:c r="CT62" s="112"/>
      <x:c r="CU62" s="112"/>
      <x:c r="CV62" s="112"/>
      <x:c r="CW62" s="112"/>
      <x:c r="CX62" s="112"/>
      <x:c r="CY62" s="112"/>
      <x:c r="CZ62" s="112"/>
      <x:c r="DA62" s="112"/>
      <x:c r="DB62" s="112"/>
      <x:c r="DC62" s="114"/>
      <x:c r="DD62" s="114"/>
      <x:c r="DE62" s="112" t="s">
        <x:v>266</x:v>
      </x:c>
      <x:c r="DF62" s="112"/>
      <x:c r="DG62" s="112"/>
      <x:c r="DH62" s="112"/>
      <x:c r="DI62" s="112"/>
      <x:c r="DJ62" s="112"/>
      <x:c r="DK62" s="112"/>
      <x:c r="DL62" s="112"/>
      <x:c r="DM62" s="112"/>
      <x:c r="DN62" s="112"/>
      <x:c r="DO62" s="112"/>
      <x:c r="DP62" s="112"/>
      <x:c r="DQ62" s="114"/>
      <x:c r="DR62" s="112">
        <x:v>1</x:v>
      </x:c>
      <x:c r="DS62" s="116">
        <x:v>0</x:v>
      </x:c>
      <x:c r="DT62" s="120"/>
      <x:c r="DU62" s="116">
        <x:v>0.02</x:v>
      </x:c>
      <x:c r="DV62" s="116">
        <x:v>0.25</x:v>
      </x:c>
      <x:c r="DW62" s="118" t="str">
        <x:f>IF($A62="","",MAX('Setari model'!$B$71,MIN('Setari model'!$B$72,1+0.08*(IFERROR(AVERAGE($CM62:$CN62)/'Setari model'!$B$66,1)-1)+0.08*(IFERROR(AVERAGE($CO62:$CP62)/'Setari model'!$B$67,1)-1)+0.06*(IFERROR(AVERAGE($CQ62:$CR62)/'Setari model'!$B$68,1)-1)+0.04*(IFERROR(AVERAGE($CS62:$CT62)/'Setari model'!$B$69,1)-1)+0.04*(IFERROR(AVERAGE($CU62:$CV62)/'Setari model'!$B$70,1)-1)-'Setari model'!$B$73*IFERROR(AVERAGE($CW62:$CX62),0))))</x:f>
      </x:c>
      <x:c r="DX62" s="118" t="str">
        <x:f>IF($A62="","",1+'Setari model'!$B$62*MAX(IF(OR($CK62=1,$CL62=1),1,0),IF(AND($CJ62&lt;&gt;"",$CJ62&lt;=1),1,0))+'Setari model'!$B$63*IF(AND($CJ62&gt;1,$CJ62&lt;=3),1,0))</x:f>
      </x:c>
      <x:c r="DY62" s="118" t="str">
        <x:f>IF($A62="","",1+'Setari model'!$B$74*(IF($CY62="",0,IF($CY62=0,1,0))+IF($CZ62="",0,IF($CZ62=0,1,0)))+'Setari model'!$B$75*(IF($DA62="",0,IF($DA62=0,1,0))+IF($DB62="",0,IF($DB62=0,1,0))))</x:f>
      </x:c>
      <x:c r="DZ62" s="117" t="str">
        <x:f>IF($A62="","",MIN(0.6,MAX(0.002,(((1-'Setari model'!$B$34*MIN(1,($I62+$P62)/20))*$BT62+'Setari model'!$B$34*MIN(1,($I62+$P62)/20)*IF(COUNT($N62,$U62)=2,SQRT(MAX(0,1-$N62)*MAX(0,1-$U62)),$BT62))*(1-'Setari model'!$B$65*MIN(1,IF($AN62="",0,$AN62/'Setari model'!$B$64)))+'Setari model'!$B$65*MIN(1,IF($AN62="",0,$AN62/'Setari model'!$B$64))*IF($AM62="",$BT62,$AM62))*$DX62*$DY62/$DW62)))</x:f>
      </x:c>
      <x:c r="EA62" s="117" t="str">
        <x:f>IF($A62="","",MIN(1-$DZ62,IF(OR(MIN($I62,$P62)&lt;'Setari model'!$B$58,$CK62=1,$CL62=1,AND($CJ62&lt;&gt;"",$CJ62&lt;=1)),'Setari model'!$B$59,IF(AND($AU62=1,$AR62&gt;1,COUNT($CY62:$DB62)=4),'Setari model'!$B$61,'Setari model'!$B$60))))</x:f>
      </x:c>
      <x:c r="EB62" s="115" t="str">
        <x:f t="shared" si="69">IF($A62="","",1/$EA62)</x:f>
      </x:c>
      <x:c r="EC62" s="117" t="str">
        <x:f t="shared" si="70">IF($A62="","",IF($AR62&gt;1,IF($AS62&gt;1,(1/$AR62)/((1/$AR62)+(1/$AS62)),1/$AR62),""))</x:f>
      </x:c>
      <x:c r="ED62" s="117" t="str">
        <x:f t="shared" si="71">IF($A62="","",IF($EC62="","",$EA62-$EC62))</x:f>
      </x:c>
      <x:c r="EE62" s="117" t="str">
        <x:f t="shared" si="72">""</x:f>
      </x:c>
      <x:c r="EF62" s="119" t="str">
        <x:f>IF($A62="","",MAX(0,MIN(100,$CE62-200*MAX(0,$EG62-'Setari model'!$B$77)-IF($AU62&lt;&gt;1,10,0)-IF(COUNT($CY62:$DB62)&lt;4,4,0))))</x:f>
      </x:c>
      <x:c r="EG62" s="117" t="str">
        <x:f>IF($A62="","",'Setari model'!$B$77+IF(MIN($I62,$P62)&lt;'Setari model'!$B$58,0.03,0)+IF(OR($CK62=1,$CL62=1,AND($CJ62&lt;&gt;"",$CJ62&lt;=1)),0.03,0)+IF($AG62=0,0.02,0)+0.03*(1-MIN(1,COUNT($CM62:$CV62)/10))+0.03*(1-MIN(1,IF($AN62="",0,$AN62/'Setari model'!$B$64)))+IF($AR62&lt;=1,0.02,0))</x:f>
      </x:c>
      <x:c r="EH62" s="113" t="str">
        <x:f>IF($A62="","",IF(OR(MIN($I62,$P62)&lt;'Setari model'!$B$58,$CK62=1,$CL62=1,AND($CJ62&lt;&gt;"",$CJ62&lt;=1)),"92% – early/regim",IF(AND($AU62=1,$AR62&gt;1,COUNT($CY62:$DB62)=4),"94% – confirmat","93% – standard")))</x:f>
      </x:c>
      <x:c r="EI62" s="113" t="str">
        <x:f t="shared" si="73">IF($A62="","",IF(AND($EA62&gt;0.9,$AU62&lt;&gt;1),"WAIT XI – HIGH P",IF(AND($EA62&gt;0.9,COUNT($CY62:$DB62)&lt;4),"WAIT DATE CHEIE – HIGH P",IF($EP62&lt;&gt;"DA","NU – PORTOFOLIU","DA"))))</x:f>
      </x:c>
      <x:c r="EJ62" s="117" t="str">
        <x:f t="shared" si="74">IF($A62="","",IF($DE62&lt;&gt;"Live 20-30","",IF(SUM($DG62:$DH62)&gt;0,1,IF($EU62="","",1-MIN(0.95,MAX(0.001,EXP(-$EU62)*$DX62*$DY62/$DW62))))))</x:f>
      </x:c>
      <x:c r="EK62" s="117" t="str">
        <x:f t="shared" si="75">""</x:f>
      </x:c>
      <x:c r="EL62" s="113" t="str">
        <x:f>IF($A62="","",IF($DE62="Live 20-30",IF(SUM($DG62:$DH62)&gt;0,"EVENIMENT ÎNDEPLINIT",IF(OR($DF62="",COUNT($DI62:$DN62)&lt;4),"LIVE – WATCH",IF($EJ62&gt;=0.75,"LIVE – FEZABIL TEHNIC","LIVE – NO BET"))),IF($EI62&lt;&gt;"DA","WATCH / NO BET",IF(AND($EA62&gt;=INDEX('Setari model'!$B$35:$B$40,1),$EF62&gt;=100*'Setari model'!$B$76),"PARIU RECOMANDAT",IF(AND($EA62&gt;=INDEX('Setari model'!$B$35:$B$40,5),$EF62&gt;=100*'Setari model'!$B$40),"WATCH – APROAPE DE PRAG","PARIU EVITAT")))))</x:f>
      </x:c>
      <x:c r="EM62" s="113" t="str">
        <x:f t="shared" si="76">IF($A62="","",IF($DE62="Live 20-30",IF(SUM($DG62:$DH62)&gt;0,"Gol deja marcat.",IF($DF62="","Minut live lipsă.",IF(COUNT($DI62:$DN62)&lt;4,"Lipsesc xG/SOT/big chances live.",IF($EJ62&lt;0.75,"P live sub prag.","Semnal live tehnic complet; EV ignorat.")))),IF($EI62&lt;&gt;"DA",$EI62,IF($EF62&lt;75,"Confidence sub 75.",IF($EA62&lt;0.92,"P sub 92%.","G0/Zero-Mass + confidence trecute; EV ignorat.")))))</x:f>
      </x:c>
      <x:c r="EN62" s="117" t="str">
        <x:f>IF($A62="","",IF(OR($EL62="PARIU RECOMANDAT",$EL62="LIVE – FEZABIL"),MIN(IF($DU62&gt;0,$DU62,'Setari model'!$B$81)/MAX(1,$DR62),IF($DV62&gt;0,$DV62,'Setari model'!$B$80)*MAX(0,((IF($DE62="Live 20-30",$EJ62,$EA62)*IF($DE62="Live 20-30",$DQ62,$AR62)-1)/(IF($DE62="Live 20-30",$DQ62,$AR62)-1)))),0))</x:f>
      </x:c>
      <x:c r="EO62" s="121" t="str">
        <x:f t="shared" si="77">IF($A62="","",IF(AND($EN62&gt;0,$DT62&gt;0),$EN62*$DT62,""))</x:f>
      </x:c>
      <x:c r="EP62" s="113" t="str">
        <x:f>IF($A62="","",IF(OR($DR62&lt;1,$DR62&gt;'Setari model'!$B$78),"NU – 1–5 selecții",IF($DS62&gt;'Setari model'!$B$79,"NU – corelație", "DA")))</x:f>
      </x:c>
      <x:c r="EQ62" s="117" t="str">
        <x:f t="shared" si="78">IF($A62="","",IF(AND($DC62&gt;1,$DD62&gt;1),$DC62/$DD62-1,""))</x:f>
      </x:c>
      <x:c r="ER62" s="113" t="str">
        <x:f t="shared" si="79">IF($A62="","","P v2="&amp;TEXT($EA62,"0.0%")&amp;" ±"&amp;TEXT($EG62,"0.0%")&amp;"; P0 ZIP="&amp;TEXT($DZ62,"0.0%")&amp;"; Confidence="&amp;TEXT($EF62,"0")&amp;"/100; piață reală="&amp;IF($EC62="","NU","DA")&amp;"; EV="&amp;IF($EE62="","n/a",TEXT($EE62,"0.0%"))&amp;"; gate="&amp;$EI62&amp;"; verdict="&amp;$EL62&amp;". "&amp;$EM62)</x:f>
      </x:c>
      <x:c r="ES62" s="119" t="str">
        <x:f>IF($A62="","",'Setari model'!$B$82)</x:f>
      </x:c>
      <x:c r="ET62" s="118" t="str">
        <x:f>IF($A62="","",'Setari model'!$B$83)</x:f>
      </x:c>
      <x:c r="EU62" s="115" t="str">
        <x:f t="shared" si="80">IF(OR($A62="",$DE62&lt;&gt;"Live 20-30",$DF62="",$DF62&lt;$ES62,$DF62&gt;=90),"",MAX(0.05,MIN($BS62*$ET62,$BS62*(90-$DF62)/90+0.35*($DI62+$DJ62)+0.06*($DK62+$DL62)+0.15*($DM62+$DN62)+0.1*(MAX($DO62,$DP62)-MIN($DO62,$DP62)))))</x:f>
      </x:c>
      <x:c r="EV62" s="132"/>
      <x:c r="EW62" s="132"/>
      <x:c r="EX62" s="132"/>
      <x:c r="EY62" s="132"/>
      <x:c r="EZ62" s="132"/>
      <x:c r="FA62" s="132"/>
      <x:c r="FB62" s="247"/>
      <x:c r="FC62" s="134" t="str">
        <x:f t="shared" si="81">IF($A62="","",IF(OR($J62="",$L62="",$L62&lt;=0),"",MAX(0.5,MIN(1.5,$J62/$L62))))</x:f>
      </x:c>
      <x:c r="FD62" s="134" t="str">
        <x:f t="shared" si="82">IF($A62="","",IF(OR($Q62="",$S62="",$S62&lt;=0),"",MAX(0.5,MIN(1.5,$Q62/$S62))))</x:f>
      </x:c>
      <x:c r="FE62" s="134" t="str">
        <x:f>IF($A62="","",IF(COUNT($EV62:$EW62)&lt;2,"",SQRT($EV62*$EW62)/'Setari model'!$B$87))</x:f>
      </x:c>
      <x:c r="FF62" s="134" t="str">
        <x:f>IF($A62="","",IF(COUNT($O62,$V62,$EX62,$EY62)&lt;4,"",AVERAGE(SQRT($O62*$EY62),SQRT($V62*$EX62))/'Setari model'!$B$88))</x:f>
      </x:c>
      <x:c r="FG62" s="134" t="str">
        <x:f t="shared" si="83">IF($A62="","",IF(COUNT($FC62:$FD62)&lt;2,"",MAX(0,1-AVERAGE($FC62:$FD62))))</x:f>
      </x:c>
      <x:c r="FH62" s="134" t="str">
        <x:f>IF($A62="","",IF(COUNT($EZ62:$FA62)&lt;2,"",'Setari model'!$B$94*AVERAGE($EZ62:$FA62)/'Setari model'!$B$89))</x:f>
      </x:c>
      <x:c r="FI62" s="134" t="str">
        <x:f>IF($A62="","",IF(COUNT($FE62:$FH62)&lt;4,"",MAX('Setari model'!$B$97,MIN('Setari model'!$B$98,1+'Setari model'!$B$90*($FE62-1)+'Setari model'!$B$91*($FF62-1)+'Setari model'!$B$92*$FG62+'Setari model'!$B$93*($FH62-1)))))</x:f>
      </x:c>
      <x:c r="FJ62" s="133" t="str">
        <x:f>IF($A62="","",IF($FI62="","",MIN('Setari model'!$B$101,MAX(0.002,$DZ62*$FI62))))</x:f>
      </x:c>
      <x:c r="FK62" s="131" t="str">
        <x:f t="shared" si="84">IF($A62="","",IF(AND(COUNT($EV62:$FA62)=6,COUNT($O62,$V62,$FC62,$FD62)=4),"DA","NU"))</x:f>
      </x:c>
      <x:c r="FL62" s="131" t="str">
        <x:f>IF($A62="","",IF($FK62&lt;&gt;"DA","NEDETERMINAT",IF($FI62&lt;='Setari model'!$B$99,"SCĂZUT",IF($FI62&lt;='Setari model'!$B$100,"MEDIU","RIDICAT"))))</x:f>
      </x:c>
      <x:c r="FM62" s="131" t="str">
        <x:f>IF($A62="","",IF(AND($AR62&gt;1,$EC62&gt;='Setari model'!$B$106),"DA","NU"))</x:f>
      </x:c>
      <x:c r="FN62" s="131" t="str">
        <x:f t="shared" si="85">IF($A62="","",IF(AND($AU62=1,COUNT($CY62:$DB62)=4),"DA","NU"))</x:f>
      </x:c>
      <x:c r="FO62" s="133" t="str">
        <x:f>IF($A62="","",IF(OR($FK62&lt;&gt;"DA",$FL62="RIDICAT"),'Setari model'!$B$102,IF($FL62="MEDIU",'Setari model'!$B$103,IF(AND($FM62="DA",$FN62="DA"),'Setari model'!$B$105,'Setari model'!$B$104))))</x:f>
      </x:c>
      <x:c r="FP62" s="133" t="str">
        <x:f t="shared" si="86">IF($A62="","",IF($FJ62="","",MIN(1-$FJ62,$FO62)))</x:f>
      </x:c>
      <x:c r="FQ62" s="135" t="str">
        <x:f t="shared" si="87">IF($A62="","",IF($FP62="","",IF($FP62&gt;0,1/$FP62,"")))</x:f>
      </x:c>
      <x:c r="FR62" s="133" t="str">
        <x:f t="shared" si="88">IF($A62="","",IF($EC62="","",$FP62-$EC62))</x:f>
      </x:c>
      <x:c r="FS62" s="133" t="str">
        <x:f t="shared" si="89">IF($A62="","",IF($AR62&gt;1,$FP62*$AR62-1,""))</x:f>
      </x:c>
      <x:c r="FT62" s="136" t="str">
        <x:f>IF($A62="","",MAX(0,MIN(100,$EF62-IF($FK62&lt;&gt;"DA",'Setari model'!$B$107,0)-IF($FL62="MEDIU",'Setari model'!$B$108,0)-IF($FL62="RIDICAT",'Setari model'!$B$109,0))))</x:f>
      </x:c>
      <x:c r="FU62" s="131" t="str">
        <x:f t="shared" si="90">IF($A62="","",IF($AR62&lt;=1,"NU – LIPSEȘTE COTA REALĂ",IF($FK62&lt;&gt;"DA","NU – ZERO-RISK INCOMPLET",IF($FL62&lt;&gt;"SCĂZUT","NU – RISC 0-0 "&amp;$FL62,IF($FN62&lt;&gt;"DA","NU – LINEUP NECONFIRMAT",IF($FM62&lt;&gt;"DA","NU – PIAȚĂ NECONFIRMATĂ",IF($EP62&lt;&gt;"DA","NU – PORTOFOLIU","DA")))))))</x:f>
      </x:c>
      <x:c r="FV62" s="131" t="str">
        <x:f>IF($A62="","",IF($FU62&lt;&gt;"DA","WATCH / NO BET",IF(AND($FP62&gt;='Setari model'!$B$35,$FT62&gt;=100*'Setari model'!$B$76,$FS62&gt;0),"PARIU RECOMANDAT",IF(AND($FP62&gt;='Setari model'!$B$39,$FT62&gt;=100*'Setari model'!$B$40,$FS62&gt;0),"WATCH – APROAPE DE PRAG","PARIU EVITAT"))))</x:f>
      </x:c>
      <x:c r="FW62" s="131" t="str">
        <x:f t="shared" si="91">IF($A62="","",IF($FU62&lt;&gt;"DA",$FU62,IF($FT62&lt;75,"Confidence v3 sub 75.",IF($FP62&lt;0.92,"P v3 sub 92%.",IF($FS62&lt;=0,"EV v3 nepozitiv.","P0 v3, lineup și piață confirmate.")))))</x:f>
      </x:c>
      <x:c r="FX62" s="131" t="str">
        <x:f t="shared" si="92">IF($A62="","","P v3="&amp;TEXT($FP62,"0.0%")&amp;"; P0 v3="&amp;TEXT($FJ62,"0.0%")&amp;"; factor zero="&amp;IF($FI62="","n/a",TEXT($FI62,"0.00x"))&amp;" ("&amp;$FL62&amp;"); cap="&amp;TEXT($FO62,"0.0%")&amp;"; Confidence="&amp;TEXT($FT62,"0")&amp;"/100; lineup="&amp;$FN62&amp;"; piață="&amp;$FM62&amp;"; EV="&amp;IF($FS62="","n/a",TEXT($FS62,"0.0%"))&amp;"; gate="&amp;$FU62&amp;"; verdict="&amp;$FV62&amp;". "&amp;$FW62)</x:f>
      </x:c>
      <x:c r="FY62" s="159"/>
      <x:c r="FZ62" s="159"/>
      <x:c r="GA62" s="157"/>
      <x:c r="GB62" s="157"/>
      <x:c r="GC62" s="161" t="str">
        <x:f t="shared" si="93">IF($A62="","",IF(OR($X62="",$Z62="",$Z62&lt;=0),"",MAX(0.5,MIN(1.5,$X62/$Z62))))</x:f>
      </x:c>
      <x:c r="GD62" s="161" t="str">
        <x:f t="shared" si="94">IF($A62="","",IF(OR($AC62="",$AE62="",$AE62&lt;=0),"",MAX(0.5,MIN(1.5,$AC62/$AE62))))</x:f>
      </x:c>
      <x:c r="GE62" s="162" t="str">
        <x:f t="shared" si="95">IF($A62="","",IF(COUNT($Z62,$AE62)&lt;2,"",AVERAGE($Z62,$AE62)))</x:f>
      </x:c>
      <x:c r="GF62" s="158" t="str">
        <x:f>IF($A62="","",IF(COUNT($FY62:$FZ62)&lt;2,"NEDETERMINAT",IF(AND($FY62&gt;='Setari model'!$B$113,$FZ62&gt;='Setari model'!$B$113),"DA","NU")))</x:f>
      </x:c>
      <x:c r="GG62" s="158" t="str">
        <x:f>IF($A62="","",IF(COUNT($FY62:$FZ62,$EX62:$EY62)&lt;4,"NEDETERMINAT",IF(OR(AND($FY62&gt;='Setari model'!$B$113,$EY62&gt;='Setari model'!$B$114),AND($FZ62&gt;='Setari model'!$B$113,$EX62&gt;='Setari model'!$B$114)),"DA","NU")))</x:f>
      </x:c>
      <x:c r="GH62" s="158" t="str">
        <x:f>IF($A62="","",IF(COUNT($BJ62:$BN62,$GC62:$GE62)&lt;8,"NEDETERMINAT",IF(AND((($BJ62*INDEX('Setari model'!$B$5:$B$11,MATCH($E62,'Setari model'!$A$5:$A$11,0))+$BK62*INDEX('Setari model'!$C$5:$C$11,MATCH($E62,'Setari model'!$A$5:$A$11,0))+$BL62*INDEX('Setari model'!$D$5:$D$11,MATCH($E62,'Setari model'!$A$5:$A$11,0))+$BM62*INDEX('Setari model'!$E$5:$E$11,MATCH($E62,'Setari model'!$A$5:$A$11,0))+$BN62*INDEX('Setari model'!$F$5:$F$11,MATCH($E62,'Setari model'!$A$5:$A$11,0)))/(INDEX('Setari model'!$B$5:$B$11,MATCH($E62,'Setari model'!$A$5:$A$11,0))+INDEX('Setari model'!$C$5:$C$11,MATCH($E62,'Setari model'!$A$5:$A$11,0))+INDEX('Setari model'!$D$5:$D$11,MATCH($E62,'Setari model'!$A$5:$A$11,0))+INDEX('Setari model'!$E$5:$E$11,MATCH($E62,'Setari model'!$A$5:$A$11,0))+INDEX('Setari model'!$F$5:$F$11,MATCH($E62,'Setari model'!$A$5:$A$11,0))))*$BR62&gt;='Setari model'!$B$115,(($BJ62*INDEX('Setari model'!$B$5:$B$11,MATCH($E62,'Setari model'!$A$5:$A$11,0))+$BK62*INDEX('Setari model'!$C$5:$C$11,MATCH($E62,'Setari model'!$A$5:$A$11,0))+$BL62*INDEX('Setari model'!$D$5:$D$11,MATCH($E62,'Setari model'!$A$5:$A$11,0))+$BM62*INDEX('Setari model'!$E$5:$E$11,MATCH($E62,'Setari model'!$A$5:$A$11,0))+$BN62*INDEX('Setari model'!$F$5:$F$11,MATCH($E62,'Setari model'!$A$5:$A$11,0)))/(INDEX('Setari model'!$B$5:$B$11,MATCH($E62,'Setari model'!$A$5:$A$11,0))+INDEX('Setari model'!$C$5:$C$11,MATCH($E62,'Setari model'!$A$5:$A$11,0))+INDEX('Setari model'!$D$5:$D$11,MATCH($E62,'Setari model'!$A$5:$A$11,0))+INDEX('Setari model'!$E$5:$E$11,MATCH($E62,'Setari model'!$A$5:$A$11,0))+INDEX('Setari model'!$F$5:$F$11,MATCH($E62,'Setari model'!$A$5:$A$11,0))))*$BR62&lt;='Setari model'!$B$116,AVERAGE($GC62:$GD62)&lt;='Setari model'!$B$117,$GE62&gt;='Setari model'!$B$118),"DA","NU")))</x:f>
      </x:c>
      <x:c r="GI62" s="158" t="str">
        <x:f>IF($A62="","",IF(COUNT($W62,$AB62,$GA62:$GB62)&lt;4,"NEDETERMINAT",IF(AND($W62&gt;='Setari model'!$B$120,$AB62&gt;='Setari model'!$B$120,OR(IFERROR($GA62/$W62,0)&gt;='Setari model'!$B$119,IFERROR($GB62/$AB62,0)&gt;='Setari model'!$B$119)),"DA","NU")))</x:f>
      </x:c>
      <x:c r="GJ62" s="160" t="str">
        <x:f>IF($A62="","",IF(COUNT($FY62:$GB62)&lt;4,"",IF($GH62&lt;&gt;"DA",0,'Setari model'!$B$121*IF($GF62="DA",1,0)+'Setari model'!$B$122*IF($GG62="DA",1,0)+'Setari model'!$B$123+'Setari model'!$B$124*IF($GI62="DA",1,0))))</x:f>
      </x:c>
      <x:c r="GK62" s="161" t="str">
        <x:f>IF($A62="","",IF(COUNT($GJ62)=0,"",1+'Setari model'!$B$125*$GJ62))</x:f>
      </x:c>
      <x:c r="GL62" s="160" t="str">
        <x:f>IF($A62="","",IF($GM62&lt;&gt;"DA",$FJ62,MIN('Setari model'!$B$101,MAX(0.002,$FJ62*$GK62))))</x:f>
      </x:c>
      <x:c r="GM62" s="158" t="str">
        <x:f>IF($A62="","",IF(AND($FK62="DA",COUNT($FY62:$GB62)=4,COUNT($I62,$P62,$W62,$AB62,$Z62,$AE62,$EX62,$EY62,$GC62,$GD62)=10,COUNT($BJ62:$BN62)=5),"DA","NU"))</x:f>
      </x:c>
      <x:c r="GN62" s="158" t="str">
        <x:f>IF($A62="","",IF($GM62&lt;&gt;"DA","NEDETERMINAT",IF($FI62*$GK62&lt;='Setari model'!$B$99,"SCĂZUT",IF($FI62*$GK62&lt;='Setari model'!$B$100,"MEDIU","RIDICAT"))))</x:f>
      </x:c>
      <x:c r="GO62" s="160" t="str">
        <x:f>IF($A62="","",IF(OR($GM62&lt;&gt;"DA",$GN62="RIDICAT"),'Setari model'!$B$102,IF($GN62="MEDIU",'Setari model'!$B$103,IF(AND($FM62="DA",$FN62="DA"),'Setari model'!$B$105,'Setari model'!$B$104))))</x:f>
      </x:c>
      <x:c r="GP62" s="160" t="str">
        <x:f t="shared" si="96">IF($A62="","",IF($GL62="","",MIN(1-$GL62,$GO62)))</x:f>
      </x:c>
      <x:c r="GQ62" s="162" t="str">
        <x:f t="shared" si="97">IF($A62="","",IF($GP62="","",IF($GP62&gt;0,1/$GP62,"")))</x:f>
      </x:c>
      <x:c r="GR62" s="160" t="str">
        <x:f t="shared" si="98">IF($A62="","",IF($EC62="","",$GP62-$EC62))</x:f>
      </x:c>
      <x:c r="GS62" s="160" t="str">
        <x:f t="shared" si="99">IF($A62="","",IF($AR62&gt;1,$GP62*$AR62-1,""))</x:f>
      </x:c>
      <x:c r="GT62" s="163" t="str">
        <x:f>IF($A62="","",MAX(0,MIN(100,$FT62-IF(AND($GM62&lt;&gt;"DA",$FK62="DA"),'Setari model'!$B$107,0)-'Setari model'!$B$126*IF($GJ62="",0,$GJ62))))</x:f>
      </x:c>
      <x:c r="GU62" s="158" t="str">
        <x:f t="shared" si="100">IF($A62="","",IF($AR62&lt;=1,"NU – LIPSEȘTE COTA REALĂ",IF($GM62&lt;&gt;"DA","NU – DATE LOW-CONVERSION INCOMPLETE",IF($GN62&lt;&gt;"SCĂZUT","NU – RISC 0-0 "&amp;$GN62,IF($FN62&lt;&gt;"DA","NU – LINEUP NECONFIRMAT",IF($FM62&lt;&gt;"DA","NU – PIAȚĂ NECONFIRMATĂ",IF($EP62&lt;&gt;"DA","NU – PORTOFOLIU","DA")))))))</x:f>
      </x:c>
      <x:c r="GV62" s="158" t="str">
        <x:f>IF($A62="","",IF($GU62&lt;&gt;"DA","WATCH / NO BET",IF(AND($GP62&gt;='Setari model'!$B$35,$GT62&gt;=100*'Setari model'!$B$76,$GS62&gt;0),"PARIU RECOMANDAT",IF(AND($GP62&gt;='Setari model'!$B$39,$GT62&gt;=100*'Setari model'!$B$40,$GS62&gt;0),"WATCH – APROAPE DE PRAG","PARIU EVITAT"))))</x:f>
      </x:c>
      <x:c r="GW62" s="158" t="str">
        <x:f t="shared" si="101">IF($A62="","",IF($GU62&lt;&gt;"DA",$GU62,IF($GT62&lt;75,"Confidence v5 sub 75.",IF($GP62&lt;0.92,"P v5 sub 92%.",IF($GS62&lt;=0,"EV v5 nepozitiv.",IF($GJ62&gt;0,"Low-conversion absorbit în P0; toate porțile rămân trecute.","Toate porțile v5 sunt trecute."))))))</x:f>
      </x:c>
      <x:c r="GX62" s="158" t="str">
        <x:f t="shared" si="102">IF($A62="","","P v5="&amp;TEXT($GP62,"0.0%")&amp;"; P0 v5="&amp;TEXT($GL62,"0.0%")&amp;"; low-conv="&amp;IF(COUNT($GJ62)=0,"n/a",TEXT($GJ62,"0%"))&amp;"; mult.P0="&amp;IF(COUNT($GK62)=0,"n/a",TEXT($GK62,"0.00"))&amp;"; clasă="&amp;$GN62&amp;"; cap="&amp;TEXT($GO62,"0.0%")&amp;"; Confidence="&amp;TEXT($GT62,"0")&amp;"/100; lineup="&amp;$FN62&amp;"; piață="&amp;$FM62&amp;"; EV="&amp;IF($GS62="","n/a",TEXT($GS62,"0.0%"))&amp;"; gate="&amp;$GU62&amp;"; verdict="&amp;$GV62&amp;". "&amp;$GW62)</x:f>
      </x:c>
      <x:c r="GY62" s="174" t="str">
        <x:f>IF($A62="","",IF($GM62&lt;&gt;"DA","SOURCING INCOMPLETE – REVIEW REQUIRED",IF(MIN($I62,$P62,$W62,$AB62)&lt;'Setari model'!$B$58,"SMALL SAMPLE + PRIOR / SHRINKAGE","VERIFIED / PRIOR / SHRINKAGE")))</x:f>
      </x:c>
      <x:c r="GZ62" s="175" t="str">
        <x:f t="shared" si="103">IF($A62="","",MAX(0,MIN(100,100*(1-AVERAGE(IF($GM62="DA",1,0),MIN(1,$AT62/5))))))</x:f>
      </x:c>
      <x:c r="HA62" s="175" t="str">
        <x:f>IF($A62="","",IF($GM62&lt;&gt;"DA","",MAX(0,MIN(100,100*(($FI62*$GK62)-'Setari model'!$B$97)/('Setari model'!$B$98-'Setari model'!$B$97)))))</x:f>
      </x:c>
      <x:c r="HB62" s="175" t="str">
        <x:f>IF($A62="","",MAX(0,MIN(100,100*(ABS($BR62-1)/MAX(1-'Setari model'!$B$53,'Setari model'!$B$54-1)+MIN(1,$BG62/2))/2)))</x:f>
      </x:c>
      <x:c r="HC62" s="175" t="str">
        <x:f t="shared" si="104">IF($A62="","",MAX(0,MIN(100,100*(1-AVERAGE($CC62,MAX(0,1-(MAX($BJ62:$BN62)-MIN($BJ62:$BN62))/(AVERAGE($BJ62:$BN62)*'Setari model'!$B$45)))))))</x:f>
      </x:c>
      <x:c r="HD62" s="175" t="str">
        <x:f t="shared" si="105">IF($A62="","",MAX(0,MIN(100,100*MAX(IF($GJ62="",0,$GJ62),MIN(1,$BG62/2)))))</x:f>
      </x:c>
      <x:c r="HE62" s="175" t="str">
        <x:f>IF($A62="","",IF(COUNT($GZ62:$HD62)&lt;5,"",$GZ62*Risk_Classification!$E$28+$HA62*Risk_Classification!$E$29+$HB62*Risk_Classification!$E$30+$HC62*Risk_Classification!$E$31+$HD62*Risk_Classification!$E$32))</x:f>
      </x:c>
      <x:c r="HF62" s="176" t="str">
        <x:f t="shared" si="106">IF($A62="","",IF($HE62="","",IF($HE62&lt;=20,1,IF($HE62&lt;=40,2,IF($HE62&lt;=60,3,IF($HE62&lt;=80,4,5))))))</x:f>
      </x:c>
      <x:c r="HG62" s="176" t="str">
        <x:f t="shared" si="107">IF($A62="","",IF($GM62="DA","PASS","FAIL – DATE CRITICE ZERO-MASS INCOMPLETE"))</x:f>
      </x:c>
      <x:c r="HH62" s="176" t="str">
        <x:f t="shared" si="108">IF($A62="","",IF($HG62&lt;&gt;"PASS",5,$HF62))</x:f>
      </x:c>
      <x:c r="HI62" s="174" t="str">
        <x:f t="shared" si="109">IF($A62="","",IF($HH62="","N/A",IF($HH62=1,"DEFENSIV",IF($HH62=2,"PRUDENT",IF($HH62=3,"MODERAT",IF($HH62=4,"RIDICAT","WATCH / NO BET"))))))</x:f>
      </x:c>
      <x:c r="HJ62" s="177" t="str">
        <x:f t="shared" si="110">IF($A62="","","Data="&amp;$GY62&amp;"; DQ="&amp;TEXT($GZ62,"0.0")&amp;"; ZM="&amp;IF($HA62="","n/a",TEXT($HA62,"0.0"))&amp;"; Context="&amp;TEXT($HB62,"0.0")&amp;"; Uncertainty="&amp;TEXT($HC62,"0.0")&amp;"; Compound="&amp;TEXT($HD62,"0.0")&amp;"; Risk Score="&amp;IF($HE62="","n/a",TEXT($HE62,"0.0"))&amp;"; Base="&amp;IF($HF62="","n/a",$HF62)&amp;"; G0="&amp;$HG62&amp;"; Final="&amp;$HH62&amp;". Cota, EV si lineup sunt informative si nu intra in recomandare.")</x:f>
      </x:c>
      <x:c r="HK62" s="174" t="str">
        <x:f t="shared" si="111">IF($A62="","",$HI62)</x:f>
      </x:c>
    </x:row>
    <x:row r="63" ht="24" customHeight="1">
      <x:c r="A63" s="58"/>
      <x:c r="B63" s="24"/>
      <x:c r="C63" s="59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18"/>
      <x:c r="O63" s="18"/>
      <x:c r="P63" s="24"/>
      <x:c r="Q63" s="24"/>
      <x:c r="R63" s="24"/>
      <x:c r="S63" s="24"/>
      <x:c r="T63" s="24"/>
      <x:c r="U63" s="18"/>
      <x:c r="V63" s="18"/>
      <x:c r="W63" s="24"/>
      <x:c r="X63" s="24"/>
      <x:c r="Y63" s="24"/>
      <x:c r="Z63" s="24"/>
      <x:c r="AA63" s="24"/>
      <x:c r="AB63" s="24"/>
      <x:c r="AC63" s="24"/>
      <x:c r="AD63" s="24"/>
      <x:c r="AE63" s="24"/>
      <x:c r="AF63" s="24"/>
      <x:c r="AG63" s="24"/>
      <x:c r="AH63" s="24"/>
      <x:c r="AI63" s="18"/>
      <x:c r="AJ63" s="24"/>
      <x:c r="AK63" s="24"/>
      <x:c r="AL63" s="24"/>
      <x:c r="AM63" s="18"/>
      <x:c r="AN63" s="24"/>
      <x:c r="AO63" s="60"/>
      <x:c r="AP63" s="60"/>
      <x:c r="AQ63" s="60"/>
      <x:c r="AR63" s="60"/>
      <x:c r="AS63" s="60"/>
      <x:c r="AT63" s="24"/>
      <x:c r="AU63" s="24"/>
      <x:c r="AV63" s="24"/>
      <x:c r="AW63" s="24"/>
      <x:c r="AX63" s="24"/>
      <x:c r="AY63" s="24"/>
      <x:c r="AZ63" s="24"/>
      <x:c r="BA63" s="24"/>
      <x:c r="BB63" s="24"/>
      <x:c r="BC63" s="24"/>
      <x:c r="BD63" s="24"/>
      <x:c r="BE63" s="24"/>
      <x:c r="BF63" s="24"/>
      <x:c r="BG63" s="24"/>
      <x:c r="BH63" s="61"/>
      <x:c r="BI63" s="61"/>
      <x:c r="BJ63" s="62" t="str">
        <x:f>IF($A63="","",SQRT((($I63*IF($J63="",$AJ63,$J63)+'Setari model'!$B$30*$AJ63)/($I63+'Setari model'!$B$30))*(($P63*IF($R63="",$AJ63,$R63)+'Setari model'!$B$30*$AJ63)/($P63+'Setari model'!$B$30)))+SQRT((($P63*IF($Q63="",$AK63,$Q63)+'Setari model'!$B$30*$AK63)/($P63+'Setari model'!$B$30))*(($I63*IF($K63="",$AK63,$K63)+'Setari model'!$B$30*$AK63)/($I63+'Setari model'!$B$30))))</x:f>
      </x:c>
      <x:c r="BK63" s="62" t="str">
        <x:f>IF($A63="","",SQRT((($I63*IF($L63="",IF($J63="",$AJ63,$J63),$L63)+'Setari model'!$B$30*$AJ63)/($I63+'Setari model'!$B$30))*(($P63*IF($T63="",IF($R63="",$AJ63,$R63),$T63)+'Setari model'!$B$30*$AJ63)/($P63+'Setari model'!$B$30)))+SQRT((($P63*IF($S63="",IF($Q63="",$AK63,$Q63),$S63)+'Setari model'!$B$30*$AK63)/($P63+'Setari model'!$B$30))*(($I63*IF($M63="",IF($K63="",$AK63,$K63),$M63)+'Setari model'!$B$30*$AK63)/($I63+'Setari model'!$B$30))))</x:f>
      </x:c>
      <x:c r="BL63" s="62" t="str">
        <x:f>IF($A63="","",SQRT((($W63*IF($X63="",$AL63/2,$X63)+'Setari model'!$B$31*$AL63/2)/($W63+'Setari model'!$B$31))*(($AB63*IF($AD63="",$AL63/2,$AD63)+'Setari model'!$B$31*$AL63/2)/($AB63+'Setari model'!$B$31)))+SQRT((($AB63*IF($AC63="",$AL63/2,$AC63)+'Setari model'!$B$31*$AL63/2)/($AB63+'Setari model'!$B$31))*(($W63*IF($Y63="",$AL63/2,$Y63)+'Setari model'!$B$31*$AL63/2)/($W63+'Setari model'!$B$31))))</x:f>
      </x:c>
      <x:c r="BM63" s="62" t="str">
        <x:f>IF($A63="","",SQRT((($W63*IF($Z63="",IF($X63="",$AL63/2,$X63),$Z63)+'Setari model'!$B$31*$AL63/2)/($W63+'Setari model'!$B$31))*(($AB63*IF($AF63="",IF($AD63="",$AL63/2,$AD63),$AF63)+'Setari model'!$B$31*$AL63/2)/($AB63+'Setari model'!$B$31)))+SQRT((($AB63*IF($AE63="",IF($AC63="",$AL63/2,$AC63),$AE63)+'Setari model'!$B$31*$AL63/2)/($AB63+'Setari model'!$B$31))*(($W63*IF($AA63="",IF($Y63="",$AL63/2,$Y63),$AA63)+'Setari model'!$B$31*$AL63/2)/($W63+'Setari model'!$B$31))))</x:f>
      </x:c>
      <x:c r="BN63" s="62" t="str">
        <x:f t="shared" si="56">IF($A63="","",IF($AG63&gt;0,($AG63*IF($AH63="",$AL63,$AH63)+5*$AL63)/($AG63+5),$AL63))</x:f>
      </x:c>
      <x:c r="BO63" s="63" t="str">
        <x:f>IF($A63="","",IF($AR63&gt;1,IF($AS63&gt;1,(1/$AR63)/((1/$AR63+1/$AS63)),MIN(0.995,(1/$AR63)/(1+'Setari model'!$B$32))),1-EXP(-$AL63)))</x:f>
      </x:c>
      <x:c r="BP63" s="62" t="str">
        <x:f t="shared" si="57">IF($A63="","",-LN(1-$BO63))</x:f>
      </x:c>
      <x:c r="BQ63" s="62" t="str">
        <x:f>IF($A63="","",$BJ63*INDEX('Setari model'!$B$5:$B$11,MATCH($E63,'Setari model'!$A$5:$A$11,0))+$BK63*INDEX('Setari model'!$C$5:$C$11,MATCH($E63,'Setari model'!$A$5:$A$11,0))+$BL63*INDEX('Setari model'!$D$5:$D$11,MATCH($E63,'Setari model'!$A$5:$A$11,0))+$BM63*INDEX('Setari model'!$E$5:$E$11,MATCH($E63,'Setari model'!$A$5:$A$11,0))+$BN63*INDEX('Setari model'!$F$5:$F$11,MATCH($E63,'Setari model'!$A$5:$A$11,0))+$BP63*INDEX('Setari model'!$G$5:$G$11,MATCH($E63,'Setari model'!$A$5:$A$11,0)))</x:f>
      </x:c>
      <x:c r="BR63" s="64" t="str">
        <x:f>IF($A63="","",MAX('Setari model'!$B$53,MIN('Setari model'!$B$54,1+($AV63*'Setari model'!$B$15+$AW63*'Setari model'!$B$16+$AX63*'Setari model'!$B$17+$AY63*'Setari model'!$B$18+$AZ63*'Setari model'!$B$19+$BA63*'Setari model'!$B$20+$BB63*'Setari model'!$B$21+$BC63*'Setari model'!$B$22+$BD63*'Setari model'!$B$23+$BE63*'Setari model'!$B$24+$BF63*'Setari model'!$B$25)*INDEX('Setari model'!$H$5:$H$11,MATCH($E63,'Setari model'!$A$5:$A$11,0)))))</x:f>
      </x:c>
      <x:c r="BS63" s="62" t="str">
        <x:f t="shared" si="58">IF($A63="","",$BQ63*$BR63)</x:f>
      </x:c>
      <x:c r="BT63" s="63" t="str">
        <x:f t="shared" si="59">IF($A63="","",EXP(-$BS63))</x:f>
      </x:c>
      <x:c r="BU63" s="65" t="str">
        <x:f>IF($A63="","",IF(OR($AM63="",$AN63=""),1,1+MIN('Setari model'!$B$33,$AN63/100*'Setari model'!$B$33)*($AM63/EXP(-$AL63)-1)))</x:f>
      </x:c>
      <x:c r="BV63" s="63" t="str">
        <x:f>IF($A63="","",MIN(0.45,MAX(0.005,(1-'Setari model'!$B$34*MIN(1,($I63+$P63)/20))*MIN(0.45,$BT63*$BU63)+'Setari model'!$B$34*MIN(1,($I63+$P63)/20)*IF(COUNT($N63,$U63)=2,SQRT(MAX(0,1-$N63)*MAX(0,1-$U63)),IF($AM63="",EXP(-$AL63),$AM63)))))</x:f>
      </x:c>
      <x:c r="BW63" s="63" t="str">
        <x:f t="shared" si="60">IF($A63="","",1-$BV63)</x:f>
      </x:c>
      <x:c r="BX63" s="62" t="str">
        <x:f t="shared" si="61">IF($A63="","",1/$BW63)</x:f>
      </x:c>
      <x:c r="BY63" s="63" t="str">
        <x:f t="shared" si="62">IF($A63="","",$BO63)</x:f>
      </x:c>
      <x:c r="BZ63" s="63" t="str">
        <x:f t="shared" si="63">IF($A63="","",$BW63-$BY63)</x:f>
      </x:c>
      <x:c r="CA63" s="63" t="str">
        <x:f t="shared" si="64">IF($A63="","",IF($AR63&gt;1,$BW63*$AR63-1,""))</x:f>
      </x:c>
      <x:c r="CB63" s="63" t="str">
        <x:f>IF($A63="","",MIN(1,COUNT($I63:$AN63,$AR63:$BG63)/'Setari model'!$B$46))</x:f>
      </x:c>
      <x:c r="CC63" s="63" t="str">
        <x:f t="shared" si="65">IF($A63="","",0.25*MIN(1,$I63/10)+0.25*MIN(1,$P63/10)+0.15*MIN(1,$W63/5)+0.15*MIN(1,$AB63/5)+0.1*MIN(1,$AG63/5)+0.1*MIN(1,$AN63/100))</x:f>
      </x:c>
      <x:c r="CD63" s="63" t="str">
        <x:f>IF($A63="","",MAX(0,1-(MAX($BJ63:$BN63,$BP63)-MIN($BJ63:$BN63,$BP63))/(AVERAGE($BJ63:$BN63,$BP63)*'Setari model'!$B$45)))</x:f>
      </x:c>
      <x:c r="CE63" s="66" t="str">
        <x:f>IF($A63="","",MAX(0,MIN(100,100*INDEX('Setari model'!$I$5:$I$11,MATCH($E63,'Setari model'!$A$5:$A$11,0))*('Setari model'!$B$47*$CB63+'Setari model'!$B$48*$CC63+'Setari model'!$B$49*$CD63+'Setari model'!$B$50*$AT63/5+'Setari model'!$B$51*$AU63)-100*'Setari model'!$B$52*$BG63)))</x:f>
      </x:c>
      <x:c r="CF63" s="65" t="str">
        <x:f t="shared" si="66">IF($A63="","",IF(OR($AT63&lt;3,$BG63&gt;=2,$CB63&lt;0.55,$CC63&lt;0.4),"RIDICAT",IF(OR($AU63=0,$CD63&lt;0.45,$BR63&lt;0.9),"MEDIU","SCĂZUT")))</x:f>
      </x:c>
      <x:c r="CG63" s="65" t="str">
        <x:f>IF($A63="","",IF($AR63&gt;1,IF(AND($BW63&gt;= 'Setari model'!$B$35,$CE63&gt;=100*'Setari model'!$B$36,$BZ63&gt;= 'Setari model'!$B$37,$CA63&gt;= 'Setari model'!$B$38,$CF63&lt;&gt;"RIDICAT"),"PARIU RECOMANDAT",IF(AND($BW63&gt;= 'Setari model'!$B$39,$CE63&gt;=100*'Setari model'!$B$40,$BZ63&gt;= 'Setari model'!$B$41,$CA63&gt;=0,$CF63&lt;&gt;"RIDICAT"),"RECOMANDAT CU PRUDENȚĂ",IF(AND($BW63&gt;= 'Setari model'!$B$42,$CE63&gt;=100*'Setari model'!$B$43),"ANALIZĂ NECONCLUDENTĂ","PARIU EVITAT"))),IF(AND($BW63&gt;= 'Setari model'!$B$35,$CE63&gt;=100*'Setari model'!$B$36,$CF63&lt;&gt;"RIDICAT"),"FAVORABIL STATISTIC – VERIFICĂ COTA",IF(AND($BW63&gt;= 'Setari model'!$B$42,$CE63&gt;=100*'Setari model'!$B$43),"ANALIZĂ NECONCLUDENTĂ","PARIU EVITAT"))))</x:f>
      </x:c>
      <x:c r="CH63" s="67" t="str">
        <x:f t="shared" si="67">IF($A63="","","P(O0,5)="&amp;TEXT($BW63,"0.0%")&amp;"; λ ajustat="&amp;TEXT($BS63,"0.00")&amp;"; Confidence="&amp;TEXT($CE63,"0")&amp;"/100; Edge="&amp;TEXT($BZ63,"0.0%")&amp;"; risc="&amp;$CF63&amp;". "&amp;$BH63)</x:f>
      </x:c>
      <x:c r="CI63" s="68" t="str">
        <x:f t="shared" si="68">IF($A63="","",$BI63)</x:f>
      </x:c>
      <x:c r="CJ63" s="112"/>
      <x:c r="CK63" s="112"/>
      <x:c r="CL63" s="112"/>
      <x:c r="CM63" s="112"/>
      <x:c r="CN63" s="112"/>
      <x:c r="CO63" s="112"/>
      <x:c r="CP63" s="112"/>
      <x:c r="CQ63" s="112"/>
      <x:c r="CR63" s="112"/>
      <x:c r="CS63" s="112"/>
      <x:c r="CT63" s="112"/>
      <x:c r="CU63" s="112"/>
      <x:c r="CV63" s="112"/>
      <x:c r="CW63" s="112"/>
      <x:c r="CX63" s="112"/>
      <x:c r="CY63" s="112"/>
      <x:c r="CZ63" s="112"/>
      <x:c r="DA63" s="112"/>
      <x:c r="DB63" s="112"/>
      <x:c r="DC63" s="114"/>
      <x:c r="DD63" s="114"/>
      <x:c r="DE63" s="112" t="s">
        <x:v>266</x:v>
      </x:c>
      <x:c r="DF63" s="112"/>
      <x:c r="DG63" s="112"/>
      <x:c r="DH63" s="112"/>
      <x:c r="DI63" s="112"/>
      <x:c r="DJ63" s="112"/>
      <x:c r="DK63" s="112"/>
      <x:c r="DL63" s="112"/>
      <x:c r="DM63" s="112"/>
      <x:c r="DN63" s="112"/>
      <x:c r="DO63" s="112"/>
      <x:c r="DP63" s="112"/>
      <x:c r="DQ63" s="114"/>
      <x:c r="DR63" s="112">
        <x:v>1</x:v>
      </x:c>
      <x:c r="DS63" s="116">
        <x:v>0</x:v>
      </x:c>
      <x:c r="DT63" s="120"/>
      <x:c r="DU63" s="116">
        <x:v>0.02</x:v>
      </x:c>
      <x:c r="DV63" s="116">
        <x:v>0.25</x:v>
      </x:c>
      <x:c r="DW63" s="118" t="str">
        <x:f>IF($A63="","",MAX('Setari model'!$B$71,MIN('Setari model'!$B$72,1+0.08*(IFERROR(AVERAGE($CM63:$CN63)/'Setari model'!$B$66,1)-1)+0.08*(IFERROR(AVERAGE($CO63:$CP63)/'Setari model'!$B$67,1)-1)+0.06*(IFERROR(AVERAGE($CQ63:$CR63)/'Setari model'!$B$68,1)-1)+0.04*(IFERROR(AVERAGE($CS63:$CT63)/'Setari model'!$B$69,1)-1)+0.04*(IFERROR(AVERAGE($CU63:$CV63)/'Setari model'!$B$70,1)-1)-'Setari model'!$B$73*IFERROR(AVERAGE($CW63:$CX63),0))))</x:f>
      </x:c>
      <x:c r="DX63" s="118" t="str">
        <x:f>IF($A63="","",1+'Setari model'!$B$62*MAX(IF(OR($CK63=1,$CL63=1),1,0),IF(AND($CJ63&lt;&gt;"",$CJ63&lt;=1),1,0))+'Setari model'!$B$63*IF(AND($CJ63&gt;1,$CJ63&lt;=3),1,0))</x:f>
      </x:c>
      <x:c r="DY63" s="118" t="str">
        <x:f>IF($A63="","",1+'Setari model'!$B$74*(IF($CY63="",0,IF($CY63=0,1,0))+IF($CZ63="",0,IF($CZ63=0,1,0)))+'Setari model'!$B$75*(IF($DA63="",0,IF($DA63=0,1,0))+IF($DB63="",0,IF($DB63=0,1,0))))</x:f>
      </x:c>
      <x:c r="DZ63" s="117" t="str">
        <x:f>IF($A63="","",MIN(0.6,MAX(0.002,(((1-'Setari model'!$B$34*MIN(1,($I63+$P63)/20))*$BT63+'Setari model'!$B$34*MIN(1,($I63+$P63)/20)*IF(COUNT($N63,$U63)=2,SQRT(MAX(0,1-$N63)*MAX(0,1-$U63)),$BT63))*(1-'Setari model'!$B$65*MIN(1,IF($AN63="",0,$AN63/'Setari model'!$B$64)))+'Setari model'!$B$65*MIN(1,IF($AN63="",0,$AN63/'Setari model'!$B$64))*IF($AM63="",$BT63,$AM63))*$DX63*$DY63/$DW63)))</x:f>
      </x:c>
      <x:c r="EA63" s="117" t="str">
        <x:f>IF($A63="","",MIN(1-$DZ63,IF(OR(MIN($I63,$P63)&lt;'Setari model'!$B$58,$CK63=1,$CL63=1,AND($CJ63&lt;&gt;"",$CJ63&lt;=1)),'Setari model'!$B$59,IF(AND($AU63=1,$AR63&gt;1,COUNT($CY63:$DB63)=4),'Setari model'!$B$61,'Setari model'!$B$60))))</x:f>
      </x:c>
      <x:c r="EB63" s="115" t="str">
        <x:f t="shared" si="69">IF($A63="","",1/$EA63)</x:f>
      </x:c>
      <x:c r="EC63" s="117" t="str">
        <x:f t="shared" si="70">IF($A63="","",IF($AR63&gt;1,IF($AS63&gt;1,(1/$AR63)/((1/$AR63)+(1/$AS63)),1/$AR63),""))</x:f>
      </x:c>
      <x:c r="ED63" s="117" t="str">
        <x:f t="shared" si="71">IF($A63="","",IF($EC63="","",$EA63-$EC63))</x:f>
      </x:c>
      <x:c r="EE63" s="117" t="str">
        <x:f t="shared" si="72">""</x:f>
      </x:c>
      <x:c r="EF63" s="119" t="str">
        <x:f>IF($A63="","",MAX(0,MIN(100,$CE63-200*MAX(0,$EG63-'Setari model'!$B$77)-IF($AU63&lt;&gt;1,10,0)-IF(COUNT($CY63:$DB63)&lt;4,4,0))))</x:f>
      </x:c>
      <x:c r="EG63" s="117" t="str">
        <x:f>IF($A63="","",'Setari model'!$B$77+IF(MIN($I63,$P63)&lt;'Setari model'!$B$58,0.03,0)+IF(OR($CK63=1,$CL63=1,AND($CJ63&lt;&gt;"",$CJ63&lt;=1)),0.03,0)+IF($AG63=0,0.02,0)+0.03*(1-MIN(1,COUNT($CM63:$CV63)/10))+0.03*(1-MIN(1,IF($AN63="",0,$AN63/'Setari model'!$B$64)))+IF($AR63&lt;=1,0.02,0))</x:f>
      </x:c>
      <x:c r="EH63" s="113" t="str">
        <x:f>IF($A63="","",IF(OR(MIN($I63,$P63)&lt;'Setari model'!$B$58,$CK63=1,$CL63=1,AND($CJ63&lt;&gt;"",$CJ63&lt;=1)),"92% – early/regim",IF(AND($AU63=1,$AR63&gt;1,COUNT($CY63:$DB63)=4),"94% – confirmat","93% – standard")))</x:f>
      </x:c>
      <x:c r="EI63" s="113" t="str">
        <x:f t="shared" si="73">IF($A63="","",IF(AND($EA63&gt;0.9,$AU63&lt;&gt;1),"WAIT XI – HIGH P",IF(AND($EA63&gt;0.9,COUNT($CY63:$DB63)&lt;4),"WAIT DATE CHEIE – HIGH P",IF($EP63&lt;&gt;"DA","NU – PORTOFOLIU","DA"))))</x:f>
      </x:c>
      <x:c r="EJ63" s="117" t="str">
        <x:f t="shared" si="74">IF($A63="","",IF($DE63&lt;&gt;"Live 20-30","",IF(SUM($DG63:$DH63)&gt;0,1,IF($EU63="","",1-MIN(0.95,MAX(0.001,EXP(-$EU63)*$DX63*$DY63/$DW63))))))</x:f>
      </x:c>
      <x:c r="EK63" s="117" t="str">
        <x:f t="shared" si="75">""</x:f>
      </x:c>
      <x:c r="EL63" s="113" t="str">
        <x:f>IF($A63="","",IF($DE63="Live 20-30",IF(SUM($DG63:$DH63)&gt;0,"EVENIMENT ÎNDEPLINIT",IF(OR($DF63="",COUNT($DI63:$DN63)&lt;4),"LIVE – WATCH",IF($EJ63&gt;=0.75,"LIVE – FEZABIL TEHNIC","LIVE – NO BET"))),IF($EI63&lt;&gt;"DA","WATCH / NO BET",IF(AND($EA63&gt;=INDEX('Setari model'!$B$35:$B$40,1),$EF63&gt;=100*'Setari model'!$B$76),"PARIU RECOMANDAT",IF(AND($EA63&gt;=INDEX('Setari model'!$B$35:$B$40,5),$EF63&gt;=100*'Setari model'!$B$40),"WATCH – APROAPE DE PRAG","PARIU EVITAT")))))</x:f>
      </x:c>
      <x:c r="EM63" s="113" t="str">
        <x:f t="shared" si="76">IF($A63="","",IF($DE63="Live 20-30",IF(SUM($DG63:$DH63)&gt;0,"Gol deja marcat.",IF($DF63="","Minut live lipsă.",IF(COUNT($DI63:$DN63)&lt;4,"Lipsesc xG/SOT/big chances live.",IF($EJ63&lt;0.75,"P live sub prag.","Semnal live tehnic complet; EV ignorat.")))),IF($EI63&lt;&gt;"DA",$EI63,IF($EF63&lt;75,"Confidence sub 75.",IF($EA63&lt;0.92,"P sub 92%.","G0/Zero-Mass + confidence trecute; EV ignorat.")))))</x:f>
      </x:c>
      <x:c r="EN63" s="117" t="str">
        <x:f>IF($A63="","",IF(OR($EL63="PARIU RECOMANDAT",$EL63="LIVE – FEZABIL"),MIN(IF($DU63&gt;0,$DU63,'Setari model'!$B$81)/MAX(1,$DR63),IF($DV63&gt;0,$DV63,'Setari model'!$B$80)*MAX(0,((IF($DE63="Live 20-30",$EJ63,$EA63)*IF($DE63="Live 20-30",$DQ63,$AR63)-1)/(IF($DE63="Live 20-30",$DQ63,$AR63)-1)))),0))</x:f>
      </x:c>
      <x:c r="EO63" s="121" t="str">
        <x:f t="shared" si="77">IF($A63="","",IF(AND($EN63&gt;0,$DT63&gt;0),$EN63*$DT63,""))</x:f>
      </x:c>
      <x:c r="EP63" s="113" t="str">
        <x:f>IF($A63="","",IF(OR($DR63&lt;1,$DR63&gt;'Setari model'!$B$78),"NU – 1–5 selecții",IF($DS63&gt;'Setari model'!$B$79,"NU – corelație", "DA")))</x:f>
      </x:c>
      <x:c r="EQ63" s="117" t="str">
        <x:f t="shared" si="78">IF($A63="","",IF(AND($DC63&gt;1,$DD63&gt;1),$DC63/$DD63-1,""))</x:f>
      </x:c>
      <x:c r="ER63" s="113" t="str">
        <x:f t="shared" si="79">IF($A63="","","P v2="&amp;TEXT($EA63,"0.0%")&amp;" ±"&amp;TEXT($EG63,"0.0%")&amp;"; P0 ZIP="&amp;TEXT($DZ63,"0.0%")&amp;"; Confidence="&amp;TEXT($EF63,"0")&amp;"/100; piață reală="&amp;IF($EC63="","NU","DA")&amp;"; EV="&amp;IF($EE63="","n/a",TEXT($EE63,"0.0%"))&amp;"; gate="&amp;$EI63&amp;"; verdict="&amp;$EL63&amp;". "&amp;$EM63)</x:f>
      </x:c>
      <x:c r="ES63" s="119" t="str">
        <x:f>IF($A63="","",'Setari model'!$B$82)</x:f>
      </x:c>
      <x:c r="ET63" s="118" t="str">
        <x:f>IF($A63="","",'Setari model'!$B$83)</x:f>
      </x:c>
      <x:c r="EU63" s="115" t="str">
        <x:f t="shared" si="80">IF(OR($A63="",$DE63&lt;&gt;"Live 20-30",$DF63="",$DF63&lt;$ES63,$DF63&gt;=90),"",MAX(0.05,MIN($BS63*$ET63,$BS63*(90-$DF63)/90+0.35*($DI63+$DJ63)+0.06*($DK63+$DL63)+0.15*($DM63+$DN63)+0.1*(MAX($DO63,$DP63)-MIN($DO63,$DP63)))))</x:f>
      </x:c>
      <x:c r="EV63" s="132"/>
      <x:c r="EW63" s="132"/>
      <x:c r="EX63" s="132"/>
      <x:c r="EY63" s="132"/>
      <x:c r="EZ63" s="132"/>
      <x:c r="FA63" s="132"/>
      <x:c r="FB63" s="247"/>
      <x:c r="FC63" s="134" t="str">
        <x:f t="shared" si="81">IF($A63="","",IF(OR($J63="",$L63="",$L63&lt;=0),"",MAX(0.5,MIN(1.5,$J63/$L63))))</x:f>
      </x:c>
      <x:c r="FD63" s="134" t="str">
        <x:f t="shared" si="82">IF($A63="","",IF(OR($Q63="",$S63="",$S63&lt;=0),"",MAX(0.5,MIN(1.5,$Q63/$S63))))</x:f>
      </x:c>
      <x:c r="FE63" s="134" t="str">
        <x:f>IF($A63="","",IF(COUNT($EV63:$EW63)&lt;2,"",SQRT($EV63*$EW63)/'Setari model'!$B$87))</x:f>
      </x:c>
      <x:c r="FF63" s="134" t="str">
        <x:f>IF($A63="","",IF(COUNT($O63,$V63,$EX63,$EY63)&lt;4,"",AVERAGE(SQRT($O63*$EY63),SQRT($V63*$EX63))/'Setari model'!$B$88))</x:f>
      </x:c>
      <x:c r="FG63" s="134" t="str">
        <x:f t="shared" si="83">IF($A63="","",IF(COUNT($FC63:$FD63)&lt;2,"",MAX(0,1-AVERAGE($FC63:$FD63))))</x:f>
      </x:c>
      <x:c r="FH63" s="134" t="str">
        <x:f>IF($A63="","",IF(COUNT($EZ63:$FA63)&lt;2,"",'Setari model'!$B$94*AVERAGE($EZ63:$FA63)/'Setari model'!$B$89))</x:f>
      </x:c>
      <x:c r="FI63" s="134" t="str">
        <x:f>IF($A63="","",IF(COUNT($FE63:$FH63)&lt;4,"",MAX('Setari model'!$B$97,MIN('Setari model'!$B$98,1+'Setari model'!$B$90*($FE63-1)+'Setari model'!$B$91*($FF63-1)+'Setari model'!$B$92*$FG63+'Setari model'!$B$93*($FH63-1)))))</x:f>
      </x:c>
      <x:c r="FJ63" s="133" t="str">
        <x:f>IF($A63="","",IF($FI63="","",MIN('Setari model'!$B$101,MAX(0.002,$DZ63*$FI63))))</x:f>
      </x:c>
      <x:c r="FK63" s="131" t="str">
        <x:f t="shared" si="84">IF($A63="","",IF(AND(COUNT($EV63:$FA63)=6,COUNT($O63,$V63,$FC63,$FD63)=4),"DA","NU"))</x:f>
      </x:c>
      <x:c r="FL63" s="131" t="str">
        <x:f>IF($A63="","",IF($FK63&lt;&gt;"DA","NEDETERMINAT",IF($FI63&lt;='Setari model'!$B$99,"SCĂZUT",IF($FI63&lt;='Setari model'!$B$100,"MEDIU","RIDICAT"))))</x:f>
      </x:c>
      <x:c r="FM63" s="131" t="str">
        <x:f>IF($A63="","",IF(AND($AR63&gt;1,$EC63&gt;='Setari model'!$B$106),"DA","NU"))</x:f>
      </x:c>
      <x:c r="FN63" s="131" t="str">
        <x:f t="shared" si="85">IF($A63="","",IF(AND($AU63=1,COUNT($CY63:$DB63)=4),"DA","NU"))</x:f>
      </x:c>
      <x:c r="FO63" s="133" t="str">
        <x:f>IF($A63="","",IF(OR($FK63&lt;&gt;"DA",$FL63="RIDICAT"),'Setari model'!$B$102,IF($FL63="MEDIU",'Setari model'!$B$103,IF(AND($FM63="DA",$FN63="DA"),'Setari model'!$B$105,'Setari model'!$B$104))))</x:f>
      </x:c>
      <x:c r="FP63" s="133" t="str">
        <x:f t="shared" si="86">IF($A63="","",IF($FJ63="","",MIN(1-$FJ63,$FO63)))</x:f>
      </x:c>
      <x:c r="FQ63" s="135" t="str">
        <x:f t="shared" si="87">IF($A63="","",IF($FP63="","",IF($FP63&gt;0,1/$FP63,"")))</x:f>
      </x:c>
      <x:c r="FR63" s="133" t="str">
        <x:f t="shared" si="88">IF($A63="","",IF($EC63="","",$FP63-$EC63))</x:f>
      </x:c>
      <x:c r="FS63" s="133" t="str">
        <x:f t="shared" si="89">IF($A63="","",IF($AR63&gt;1,$FP63*$AR63-1,""))</x:f>
      </x:c>
      <x:c r="FT63" s="136" t="str">
        <x:f>IF($A63="","",MAX(0,MIN(100,$EF63-IF($FK63&lt;&gt;"DA",'Setari model'!$B$107,0)-IF($FL63="MEDIU",'Setari model'!$B$108,0)-IF($FL63="RIDICAT",'Setari model'!$B$109,0))))</x:f>
      </x:c>
      <x:c r="FU63" s="131" t="str">
        <x:f t="shared" si="90">IF($A63="","",IF($AR63&lt;=1,"NU – LIPSEȘTE COTA REALĂ",IF($FK63&lt;&gt;"DA","NU – ZERO-RISK INCOMPLET",IF($FL63&lt;&gt;"SCĂZUT","NU – RISC 0-0 "&amp;$FL63,IF($FN63&lt;&gt;"DA","NU – LINEUP NECONFIRMAT",IF($FM63&lt;&gt;"DA","NU – PIAȚĂ NECONFIRMATĂ",IF($EP63&lt;&gt;"DA","NU – PORTOFOLIU","DA")))))))</x:f>
      </x:c>
      <x:c r="FV63" s="131" t="str">
        <x:f>IF($A63="","",IF($FU63&lt;&gt;"DA","WATCH / NO BET",IF(AND($FP63&gt;='Setari model'!$B$35,$FT63&gt;=100*'Setari model'!$B$76,$FS63&gt;0),"PARIU RECOMANDAT",IF(AND($FP63&gt;='Setari model'!$B$39,$FT63&gt;=100*'Setari model'!$B$40,$FS63&gt;0),"WATCH – APROAPE DE PRAG","PARIU EVITAT"))))</x:f>
      </x:c>
      <x:c r="FW63" s="131" t="str">
        <x:f t="shared" si="91">IF($A63="","",IF($FU63&lt;&gt;"DA",$FU63,IF($FT63&lt;75,"Confidence v3 sub 75.",IF($FP63&lt;0.92,"P v3 sub 92%.",IF($FS63&lt;=0,"EV v3 nepozitiv.","P0 v3, lineup și piață confirmate.")))))</x:f>
      </x:c>
      <x:c r="FX63" s="131" t="str">
        <x:f t="shared" si="92">IF($A63="","","P v3="&amp;TEXT($FP63,"0.0%")&amp;"; P0 v3="&amp;TEXT($FJ63,"0.0%")&amp;"; factor zero="&amp;IF($FI63="","n/a",TEXT($FI63,"0.00x"))&amp;" ("&amp;$FL63&amp;"); cap="&amp;TEXT($FO63,"0.0%")&amp;"; Confidence="&amp;TEXT($FT63,"0")&amp;"/100; lineup="&amp;$FN63&amp;"; piață="&amp;$FM63&amp;"; EV="&amp;IF($FS63="","n/a",TEXT($FS63,"0.0%"))&amp;"; gate="&amp;$FU63&amp;"; verdict="&amp;$FV63&amp;". "&amp;$FW63)</x:f>
      </x:c>
      <x:c r="FY63" s="159"/>
      <x:c r="FZ63" s="159"/>
      <x:c r="GA63" s="157"/>
      <x:c r="GB63" s="157"/>
      <x:c r="GC63" s="161" t="str">
        <x:f t="shared" si="93">IF($A63="","",IF(OR($X63="",$Z63="",$Z63&lt;=0),"",MAX(0.5,MIN(1.5,$X63/$Z63))))</x:f>
      </x:c>
      <x:c r="GD63" s="161" t="str">
        <x:f t="shared" si="94">IF($A63="","",IF(OR($AC63="",$AE63="",$AE63&lt;=0),"",MAX(0.5,MIN(1.5,$AC63/$AE63))))</x:f>
      </x:c>
      <x:c r="GE63" s="162" t="str">
        <x:f t="shared" si="95">IF($A63="","",IF(COUNT($Z63,$AE63)&lt;2,"",AVERAGE($Z63,$AE63)))</x:f>
      </x:c>
      <x:c r="GF63" s="158" t="str">
        <x:f>IF($A63="","",IF(COUNT($FY63:$FZ63)&lt;2,"NEDETERMINAT",IF(AND($FY63&gt;='Setari model'!$B$113,$FZ63&gt;='Setari model'!$B$113),"DA","NU")))</x:f>
      </x:c>
      <x:c r="GG63" s="158" t="str">
        <x:f>IF($A63="","",IF(COUNT($FY63:$FZ63,$EX63:$EY63)&lt;4,"NEDETERMINAT",IF(OR(AND($FY63&gt;='Setari model'!$B$113,$EY63&gt;='Setari model'!$B$114),AND($FZ63&gt;='Setari model'!$B$113,$EX63&gt;='Setari model'!$B$114)),"DA","NU")))</x:f>
      </x:c>
      <x:c r="GH63" s="158" t="str">
        <x:f>IF($A63="","",IF(COUNT($BJ63:$BN63,$GC63:$GE63)&lt;8,"NEDETERMINAT",IF(AND((($BJ63*INDEX('Setari model'!$B$5:$B$11,MATCH($E63,'Setari model'!$A$5:$A$11,0))+$BK63*INDEX('Setari model'!$C$5:$C$11,MATCH($E63,'Setari model'!$A$5:$A$11,0))+$BL63*INDEX('Setari model'!$D$5:$D$11,MATCH($E63,'Setari model'!$A$5:$A$11,0))+$BM63*INDEX('Setari model'!$E$5:$E$11,MATCH($E63,'Setari model'!$A$5:$A$11,0))+$BN63*INDEX('Setari model'!$F$5:$F$11,MATCH($E63,'Setari model'!$A$5:$A$11,0)))/(INDEX('Setari model'!$B$5:$B$11,MATCH($E63,'Setari model'!$A$5:$A$11,0))+INDEX('Setari model'!$C$5:$C$11,MATCH($E63,'Setari model'!$A$5:$A$11,0))+INDEX('Setari model'!$D$5:$D$11,MATCH($E63,'Setari model'!$A$5:$A$11,0))+INDEX('Setari model'!$E$5:$E$11,MATCH($E63,'Setari model'!$A$5:$A$11,0))+INDEX('Setari model'!$F$5:$F$11,MATCH($E63,'Setari model'!$A$5:$A$11,0))))*$BR63&gt;='Setari model'!$B$115,(($BJ63*INDEX('Setari model'!$B$5:$B$11,MATCH($E63,'Setari model'!$A$5:$A$11,0))+$BK63*INDEX('Setari model'!$C$5:$C$11,MATCH($E63,'Setari model'!$A$5:$A$11,0))+$BL63*INDEX('Setari model'!$D$5:$D$11,MATCH($E63,'Setari model'!$A$5:$A$11,0))+$BM63*INDEX('Setari model'!$E$5:$E$11,MATCH($E63,'Setari model'!$A$5:$A$11,0))+$BN63*INDEX('Setari model'!$F$5:$F$11,MATCH($E63,'Setari model'!$A$5:$A$11,0)))/(INDEX('Setari model'!$B$5:$B$11,MATCH($E63,'Setari model'!$A$5:$A$11,0))+INDEX('Setari model'!$C$5:$C$11,MATCH($E63,'Setari model'!$A$5:$A$11,0))+INDEX('Setari model'!$D$5:$D$11,MATCH($E63,'Setari model'!$A$5:$A$11,0))+INDEX('Setari model'!$E$5:$E$11,MATCH($E63,'Setari model'!$A$5:$A$11,0))+INDEX('Setari model'!$F$5:$F$11,MATCH($E63,'Setari model'!$A$5:$A$11,0))))*$BR63&lt;='Setari model'!$B$116,AVERAGE($GC63:$GD63)&lt;='Setari model'!$B$117,$GE63&gt;='Setari model'!$B$118),"DA","NU")))</x:f>
      </x:c>
      <x:c r="GI63" s="158" t="str">
        <x:f>IF($A63="","",IF(COUNT($W63,$AB63,$GA63:$GB63)&lt;4,"NEDETERMINAT",IF(AND($W63&gt;='Setari model'!$B$120,$AB63&gt;='Setari model'!$B$120,OR(IFERROR($GA63/$W63,0)&gt;='Setari model'!$B$119,IFERROR($GB63/$AB63,0)&gt;='Setari model'!$B$119)),"DA","NU")))</x:f>
      </x:c>
      <x:c r="GJ63" s="160" t="str">
        <x:f>IF($A63="","",IF(COUNT($FY63:$GB63)&lt;4,"",IF($GH63&lt;&gt;"DA",0,'Setari model'!$B$121*IF($GF63="DA",1,0)+'Setari model'!$B$122*IF($GG63="DA",1,0)+'Setari model'!$B$123+'Setari model'!$B$124*IF($GI63="DA",1,0))))</x:f>
      </x:c>
      <x:c r="GK63" s="161" t="str">
        <x:f>IF($A63="","",IF(COUNT($GJ63)=0,"",1+'Setari model'!$B$125*$GJ63))</x:f>
      </x:c>
      <x:c r="GL63" s="160" t="str">
        <x:f>IF($A63="","",IF($GM63&lt;&gt;"DA",$FJ63,MIN('Setari model'!$B$101,MAX(0.002,$FJ63*$GK63))))</x:f>
      </x:c>
      <x:c r="GM63" s="158" t="str">
        <x:f>IF($A63="","",IF(AND($FK63="DA",COUNT($FY63:$GB63)=4,COUNT($I63,$P63,$W63,$AB63,$Z63,$AE63,$EX63,$EY63,$GC63,$GD63)=10,COUNT($BJ63:$BN63)=5),"DA","NU"))</x:f>
      </x:c>
      <x:c r="GN63" s="158" t="str">
        <x:f>IF($A63="","",IF($GM63&lt;&gt;"DA","NEDETERMINAT",IF($FI63*$GK63&lt;='Setari model'!$B$99,"SCĂZUT",IF($FI63*$GK63&lt;='Setari model'!$B$100,"MEDIU","RIDICAT"))))</x:f>
      </x:c>
      <x:c r="GO63" s="160" t="str">
        <x:f>IF($A63="","",IF(OR($GM63&lt;&gt;"DA",$GN63="RIDICAT"),'Setari model'!$B$102,IF($GN63="MEDIU",'Setari model'!$B$103,IF(AND($FM63="DA",$FN63="DA"),'Setari model'!$B$105,'Setari model'!$B$104))))</x:f>
      </x:c>
      <x:c r="GP63" s="160" t="str">
        <x:f t="shared" si="96">IF($A63="","",IF($GL63="","",MIN(1-$GL63,$GO63)))</x:f>
      </x:c>
      <x:c r="GQ63" s="162" t="str">
        <x:f t="shared" si="97">IF($A63="","",IF($GP63="","",IF($GP63&gt;0,1/$GP63,"")))</x:f>
      </x:c>
      <x:c r="GR63" s="160" t="str">
        <x:f t="shared" si="98">IF($A63="","",IF($EC63="","",$GP63-$EC63))</x:f>
      </x:c>
      <x:c r="GS63" s="160" t="str">
        <x:f t="shared" si="99">IF($A63="","",IF($AR63&gt;1,$GP63*$AR63-1,""))</x:f>
      </x:c>
      <x:c r="GT63" s="163" t="str">
        <x:f>IF($A63="","",MAX(0,MIN(100,$FT63-IF(AND($GM63&lt;&gt;"DA",$FK63="DA"),'Setari model'!$B$107,0)-'Setari model'!$B$126*IF($GJ63="",0,$GJ63))))</x:f>
      </x:c>
      <x:c r="GU63" s="158" t="str">
        <x:f t="shared" si="100">IF($A63="","",IF($AR63&lt;=1,"NU – LIPSEȘTE COTA REALĂ",IF($GM63&lt;&gt;"DA","NU – DATE LOW-CONVERSION INCOMPLETE",IF($GN63&lt;&gt;"SCĂZUT","NU – RISC 0-0 "&amp;$GN63,IF($FN63&lt;&gt;"DA","NU – LINEUP NECONFIRMAT",IF($FM63&lt;&gt;"DA","NU – PIAȚĂ NECONFIRMATĂ",IF($EP63&lt;&gt;"DA","NU – PORTOFOLIU","DA")))))))</x:f>
      </x:c>
      <x:c r="GV63" s="158" t="str">
        <x:f>IF($A63="","",IF($GU63&lt;&gt;"DA","WATCH / NO BET",IF(AND($GP63&gt;='Setari model'!$B$35,$GT63&gt;=100*'Setari model'!$B$76,$GS63&gt;0),"PARIU RECOMANDAT",IF(AND($GP63&gt;='Setari model'!$B$39,$GT63&gt;=100*'Setari model'!$B$40,$GS63&gt;0),"WATCH – APROAPE DE PRAG","PARIU EVITAT"))))</x:f>
      </x:c>
      <x:c r="GW63" s="158" t="str">
        <x:f t="shared" si="101">IF($A63="","",IF($GU63&lt;&gt;"DA",$GU63,IF($GT63&lt;75,"Confidence v5 sub 75.",IF($GP63&lt;0.92,"P v5 sub 92%.",IF($GS63&lt;=0,"EV v5 nepozitiv.",IF($GJ63&gt;0,"Low-conversion absorbit în P0; toate porțile rămân trecute.","Toate porțile v5 sunt trecute."))))))</x:f>
      </x:c>
      <x:c r="GX63" s="158" t="str">
        <x:f t="shared" si="102">IF($A63="","","P v5="&amp;TEXT($GP63,"0.0%")&amp;"; P0 v5="&amp;TEXT($GL63,"0.0%")&amp;"; low-conv="&amp;IF(COUNT($GJ63)=0,"n/a",TEXT($GJ63,"0%"))&amp;"; mult.P0="&amp;IF(COUNT($GK63)=0,"n/a",TEXT($GK63,"0.00"))&amp;"; clasă="&amp;$GN63&amp;"; cap="&amp;TEXT($GO63,"0.0%")&amp;"; Confidence="&amp;TEXT($GT63,"0")&amp;"/100; lineup="&amp;$FN63&amp;"; piață="&amp;$FM63&amp;"; EV="&amp;IF($GS63="","n/a",TEXT($GS63,"0.0%"))&amp;"; gate="&amp;$GU63&amp;"; verdict="&amp;$GV63&amp;". "&amp;$GW63)</x:f>
      </x:c>
      <x:c r="GY63" s="174" t="str">
        <x:f>IF($A63="","",IF($GM63&lt;&gt;"DA","SOURCING INCOMPLETE – REVIEW REQUIRED",IF(MIN($I63,$P63,$W63,$AB63)&lt;'Setari model'!$B$58,"SMALL SAMPLE + PRIOR / SHRINKAGE","VERIFIED / PRIOR / SHRINKAGE")))</x:f>
      </x:c>
      <x:c r="GZ63" s="175" t="str">
        <x:f t="shared" si="103">IF($A63="","",MAX(0,MIN(100,100*(1-AVERAGE(IF($GM63="DA",1,0),MIN(1,$AT63/5))))))</x:f>
      </x:c>
      <x:c r="HA63" s="175" t="str">
        <x:f>IF($A63="","",IF($GM63&lt;&gt;"DA","",MAX(0,MIN(100,100*(($FI63*$GK63)-'Setari model'!$B$97)/('Setari model'!$B$98-'Setari model'!$B$97)))))</x:f>
      </x:c>
      <x:c r="HB63" s="175" t="str">
        <x:f>IF($A63="","",MAX(0,MIN(100,100*(ABS($BR63-1)/MAX(1-'Setari model'!$B$53,'Setari model'!$B$54-1)+MIN(1,$BG63/2))/2)))</x:f>
      </x:c>
      <x:c r="HC63" s="175" t="str">
        <x:f t="shared" si="104">IF($A63="","",MAX(0,MIN(100,100*(1-AVERAGE($CC63,MAX(0,1-(MAX($BJ63:$BN63)-MIN($BJ63:$BN63))/(AVERAGE($BJ63:$BN63)*'Setari model'!$B$45)))))))</x:f>
      </x:c>
      <x:c r="HD63" s="175" t="str">
        <x:f t="shared" si="105">IF($A63="","",MAX(0,MIN(100,100*MAX(IF($GJ63="",0,$GJ63),MIN(1,$BG63/2)))))</x:f>
      </x:c>
      <x:c r="HE63" s="175" t="str">
        <x:f>IF($A63="","",IF(COUNT($GZ63:$HD63)&lt;5,"",$GZ63*Risk_Classification!$E$28+$HA63*Risk_Classification!$E$29+$HB63*Risk_Classification!$E$30+$HC63*Risk_Classification!$E$31+$HD63*Risk_Classification!$E$32))</x:f>
      </x:c>
      <x:c r="HF63" s="176" t="str">
        <x:f t="shared" si="106">IF($A63="","",IF($HE63="","",IF($HE63&lt;=20,1,IF($HE63&lt;=40,2,IF($HE63&lt;=60,3,IF($HE63&lt;=80,4,5))))))</x:f>
      </x:c>
      <x:c r="HG63" s="176" t="str">
        <x:f t="shared" si="107">IF($A63="","",IF($GM63="DA","PASS","FAIL – DATE CRITICE ZERO-MASS INCOMPLETE"))</x:f>
      </x:c>
      <x:c r="HH63" s="176" t="str">
        <x:f t="shared" si="108">IF($A63="","",IF($HG63&lt;&gt;"PASS",5,$HF63))</x:f>
      </x:c>
      <x:c r="HI63" s="174" t="str">
        <x:f t="shared" si="109">IF($A63="","",IF($HH63="","N/A",IF($HH63=1,"DEFENSIV",IF($HH63=2,"PRUDENT",IF($HH63=3,"MODERAT",IF($HH63=4,"RIDICAT","WATCH / NO BET"))))))</x:f>
      </x:c>
      <x:c r="HJ63" s="177" t="str">
        <x:f t="shared" si="110">IF($A63="","","Data="&amp;$GY63&amp;"; DQ="&amp;TEXT($GZ63,"0.0")&amp;"; ZM="&amp;IF($HA63="","n/a",TEXT($HA63,"0.0"))&amp;"; Context="&amp;TEXT($HB63,"0.0")&amp;"; Uncertainty="&amp;TEXT($HC63,"0.0")&amp;"; Compound="&amp;TEXT($HD63,"0.0")&amp;"; Risk Score="&amp;IF($HE63="","n/a",TEXT($HE63,"0.0"))&amp;"; Base="&amp;IF($HF63="","n/a",$HF63)&amp;"; G0="&amp;$HG63&amp;"; Final="&amp;$HH63&amp;". Cota, EV si lineup sunt informative si nu intra in recomandare.")</x:f>
      </x:c>
      <x:c r="HK63" s="174" t="str">
        <x:f t="shared" si="111">IF($A63="","",$HI63)</x:f>
      </x:c>
    </x:row>
    <x:row r="64" ht="24" customHeight="1">
      <x:c r="A64" s="58"/>
      <x:c r="B64" s="24"/>
      <x:c r="C64" s="59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18"/>
      <x:c r="O64" s="18"/>
      <x:c r="P64" s="24"/>
      <x:c r="Q64" s="24"/>
      <x:c r="R64" s="24"/>
      <x:c r="S64" s="24"/>
      <x:c r="T64" s="24"/>
      <x:c r="U64" s="18"/>
      <x:c r="V64" s="18"/>
      <x:c r="W64" s="24"/>
      <x:c r="X64" s="24"/>
      <x:c r="Y64" s="24"/>
      <x:c r="Z64" s="24"/>
      <x:c r="AA64" s="24"/>
      <x:c r="AB64" s="24"/>
      <x:c r="AC64" s="24"/>
      <x:c r="AD64" s="24"/>
      <x:c r="AE64" s="24"/>
      <x:c r="AF64" s="24"/>
      <x:c r="AG64" s="24"/>
      <x:c r="AH64" s="24"/>
      <x:c r="AI64" s="18"/>
      <x:c r="AJ64" s="24"/>
      <x:c r="AK64" s="24"/>
      <x:c r="AL64" s="24"/>
      <x:c r="AM64" s="18"/>
      <x:c r="AN64" s="24"/>
      <x:c r="AO64" s="60"/>
      <x:c r="AP64" s="60"/>
      <x:c r="AQ64" s="60"/>
      <x:c r="AR64" s="60"/>
      <x:c r="AS64" s="60"/>
      <x:c r="AT64" s="24"/>
      <x:c r="AU64" s="24"/>
      <x:c r="AV64" s="24"/>
      <x:c r="AW64" s="24"/>
      <x:c r="AX64" s="24"/>
      <x:c r="AY64" s="24"/>
      <x:c r="AZ64" s="24"/>
      <x:c r="BA64" s="24"/>
      <x:c r="BB64" s="24"/>
      <x:c r="BC64" s="24"/>
      <x:c r="BD64" s="24"/>
      <x:c r="BE64" s="24"/>
      <x:c r="BF64" s="24"/>
      <x:c r="BG64" s="24"/>
      <x:c r="BH64" s="61"/>
      <x:c r="BI64" s="61"/>
      <x:c r="BJ64" s="62" t="str">
        <x:f>IF($A64="","",SQRT((($I64*IF($J64="",$AJ64,$J64)+'Setari model'!$B$30*$AJ64)/($I64+'Setari model'!$B$30))*(($P64*IF($R64="",$AJ64,$R64)+'Setari model'!$B$30*$AJ64)/($P64+'Setari model'!$B$30)))+SQRT((($P64*IF($Q64="",$AK64,$Q64)+'Setari model'!$B$30*$AK64)/($P64+'Setari model'!$B$30))*(($I64*IF($K64="",$AK64,$K64)+'Setari model'!$B$30*$AK64)/($I64+'Setari model'!$B$30))))</x:f>
      </x:c>
      <x:c r="BK64" s="62" t="str">
        <x:f>IF($A64="","",SQRT((($I64*IF($L64="",IF($J64="",$AJ64,$J64),$L64)+'Setari model'!$B$30*$AJ64)/($I64+'Setari model'!$B$30))*(($P64*IF($T64="",IF($R64="",$AJ64,$R64),$T64)+'Setari model'!$B$30*$AJ64)/($P64+'Setari model'!$B$30)))+SQRT((($P64*IF($S64="",IF($Q64="",$AK64,$Q64),$S64)+'Setari model'!$B$30*$AK64)/($P64+'Setari model'!$B$30))*(($I64*IF($M64="",IF($K64="",$AK64,$K64),$M64)+'Setari model'!$B$30*$AK64)/($I64+'Setari model'!$B$30))))</x:f>
      </x:c>
      <x:c r="BL64" s="62" t="str">
        <x:f>IF($A64="","",SQRT((($W64*IF($X64="",$AL64/2,$X64)+'Setari model'!$B$31*$AL64/2)/($W64+'Setari model'!$B$31))*(($AB64*IF($AD64="",$AL64/2,$AD64)+'Setari model'!$B$31*$AL64/2)/($AB64+'Setari model'!$B$31)))+SQRT((($AB64*IF($AC64="",$AL64/2,$AC64)+'Setari model'!$B$31*$AL64/2)/($AB64+'Setari model'!$B$31))*(($W64*IF($Y64="",$AL64/2,$Y64)+'Setari model'!$B$31*$AL64/2)/($W64+'Setari model'!$B$31))))</x:f>
      </x:c>
      <x:c r="BM64" s="62" t="str">
        <x:f>IF($A64="","",SQRT((($W64*IF($Z64="",IF($X64="",$AL64/2,$X64),$Z64)+'Setari model'!$B$31*$AL64/2)/($W64+'Setari model'!$B$31))*(($AB64*IF($AF64="",IF($AD64="",$AL64/2,$AD64),$AF64)+'Setari model'!$B$31*$AL64/2)/($AB64+'Setari model'!$B$31)))+SQRT((($AB64*IF($AE64="",IF($AC64="",$AL64/2,$AC64),$AE64)+'Setari model'!$B$31*$AL64/2)/($AB64+'Setari model'!$B$31))*(($W64*IF($AA64="",IF($Y64="",$AL64/2,$Y64),$AA64)+'Setari model'!$B$31*$AL64/2)/($W64+'Setari model'!$B$31))))</x:f>
      </x:c>
      <x:c r="BN64" s="62" t="str">
        <x:f t="shared" si="56">IF($A64="","",IF($AG64&gt;0,($AG64*IF($AH64="",$AL64,$AH64)+5*$AL64)/($AG64+5),$AL64))</x:f>
      </x:c>
      <x:c r="BO64" s="63" t="str">
        <x:f>IF($A64="","",IF($AR64&gt;1,IF($AS64&gt;1,(1/$AR64)/((1/$AR64+1/$AS64)),MIN(0.995,(1/$AR64)/(1+'Setari model'!$B$32))),1-EXP(-$AL64)))</x:f>
      </x:c>
      <x:c r="BP64" s="62" t="str">
        <x:f t="shared" si="57">IF($A64="","",-LN(1-$BO64))</x:f>
      </x:c>
      <x:c r="BQ64" s="62" t="str">
        <x:f>IF($A64="","",$BJ64*INDEX('Setari model'!$B$5:$B$11,MATCH($E64,'Setari model'!$A$5:$A$11,0))+$BK64*INDEX('Setari model'!$C$5:$C$11,MATCH($E64,'Setari model'!$A$5:$A$11,0))+$BL64*INDEX('Setari model'!$D$5:$D$11,MATCH($E64,'Setari model'!$A$5:$A$11,0))+$BM64*INDEX('Setari model'!$E$5:$E$11,MATCH($E64,'Setari model'!$A$5:$A$11,0))+$BN64*INDEX('Setari model'!$F$5:$F$11,MATCH($E64,'Setari model'!$A$5:$A$11,0))+$BP64*INDEX('Setari model'!$G$5:$G$11,MATCH($E64,'Setari model'!$A$5:$A$11,0)))</x:f>
      </x:c>
      <x:c r="BR64" s="64" t="str">
        <x:f>IF($A64="","",MAX('Setari model'!$B$53,MIN('Setari model'!$B$54,1+($AV64*'Setari model'!$B$15+$AW64*'Setari model'!$B$16+$AX64*'Setari model'!$B$17+$AY64*'Setari model'!$B$18+$AZ64*'Setari model'!$B$19+$BA64*'Setari model'!$B$20+$BB64*'Setari model'!$B$21+$BC64*'Setari model'!$B$22+$BD64*'Setari model'!$B$23+$BE64*'Setari model'!$B$24+$BF64*'Setari model'!$B$25)*INDEX('Setari model'!$H$5:$H$11,MATCH($E64,'Setari model'!$A$5:$A$11,0)))))</x:f>
      </x:c>
      <x:c r="BS64" s="62" t="str">
        <x:f t="shared" si="58">IF($A64="","",$BQ64*$BR64)</x:f>
      </x:c>
      <x:c r="BT64" s="63" t="str">
        <x:f t="shared" si="59">IF($A64="","",EXP(-$BS64))</x:f>
      </x:c>
      <x:c r="BU64" s="65" t="str">
        <x:f>IF($A64="","",IF(OR($AM64="",$AN64=""),1,1+MIN('Setari model'!$B$33,$AN64/100*'Setari model'!$B$33)*($AM64/EXP(-$AL64)-1)))</x:f>
      </x:c>
      <x:c r="BV64" s="63" t="str">
        <x:f>IF($A64="","",MIN(0.45,MAX(0.005,(1-'Setari model'!$B$34*MIN(1,($I64+$P64)/20))*MIN(0.45,$BT64*$BU64)+'Setari model'!$B$34*MIN(1,($I64+$P64)/20)*IF(COUNT($N64,$U64)=2,SQRT(MAX(0,1-$N64)*MAX(0,1-$U64)),IF($AM64="",EXP(-$AL64),$AM64)))))</x:f>
      </x:c>
      <x:c r="BW64" s="63" t="str">
        <x:f t="shared" si="60">IF($A64="","",1-$BV64)</x:f>
      </x:c>
      <x:c r="BX64" s="62" t="str">
        <x:f t="shared" si="61">IF($A64="","",1/$BW64)</x:f>
      </x:c>
      <x:c r="BY64" s="63" t="str">
        <x:f t="shared" si="62">IF($A64="","",$BO64)</x:f>
      </x:c>
      <x:c r="BZ64" s="63" t="str">
        <x:f t="shared" si="63">IF($A64="","",$BW64-$BY64)</x:f>
      </x:c>
      <x:c r="CA64" s="63" t="str">
        <x:f t="shared" si="64">IF($A64="","",IF($AR64&gt;1,$BW64*$AR64-1,""))</x:f>
      </x:c>
      <x:c r="CB64" s="63" t="str">
        <x:f>IF($A64="","",MIN(1,COUNT($I64:$AN64,$AR64:$BG64)/'Setari model'!$B$46))</x:f>
      </x:c>
      <x:c r="CC64" s="63" t="str">
        <x:f t="shared" si="65">IF($A64="","",0.25*MIN(1,$I64/10)+0.25*MIN(1,$P64/10)+0.15*MIN(1,$W64/5)+0.15*MIN(1,$AB64/5)+0.1*MIN(1,$AG64/5)+0.1*MIN(1,$AN64/100))</x:f>
      </x:c>
      <x:c r="CD64" s="63" t="str">
        <x:f>IF($A64="","",MAX(0,1-(MAX($BJ64:$BN64,$BP64)-MIN($BJ64:$BN64,$BP64))/(AVERAGE($BJ64:$BN64,$BP64)*'Setari model'!$B$45)))</x:f>
      </x:c>
      <x:c r="CE64" s="66" t="str">
        <x:f>IF($A64="","",MAX(0,MIN(100,100*INDEX('Setari model'!$I$5:$I$11,MATCH($E64,'Setari model'!$A$5:$A$11,0))*('Setari model'!$B$47*$CB64+'Setari model'!$B$48*$CC64+'Setari model'!$B$49*$CD64+'Setari model'!$B$50*$AT64/5+'Setari model'!$B$51*$AU64)-100*'Setari model'!$B$52*$BG64)))</x:f>
      </x:c>
      <x:c r="CF64" s="65" t="str">
        <x:f t="shared" si="66">IF($A64="","",IF(OR($AT64&lt;3,$BG64&gt;=2,$CB64&lt;0.55,$CC64&lt;0.4),"RIDICAT",IF(OR($AU64=0,$CD64&lt;0.45,$BR64&lt;0.9),"MEDIU","SCĂZUT")))</x:f>
      </x:c>
      <x:c r="CG64" s="65" t="str">
        <x:f>IF($A64="","",IF($AR64&gt;1,IF(AND($BW64&gt;= 'Setari model'!$B$35,$CE64&gt;=100*'Setari model'!$B$36,$BZ64&gt;= 'Setari model'!$B$37,$CA64&gt;= 'Setari model'!$B$38,$CF64&lt;&gt;"RIDICAT"),"PARIU RECOMANDAT",IF(AND($BW64&gt;= 'Setari model'!$B$39,$CE64&gt;=100*'Setari model'!$B$40,$BZ64&gt;= 'Setari model'!$B$41,$CA64&gt;=0,$CF64&lt;&gt;"RIDICAT"),"RECOMANDAT CU PRUDENȚĂ",IF(AND($BW64&gt;= 'Setari model'!$B$42,$CE64&gt;=100*'Setari model'!$B$43),"ANALIZĂ NECONCLUDENTĂ","PARIU EVITAT"))),IF(AND($BW64&gt;= 'Setari model'!$B$35,$CE64&gt;=100*'Setari model'!$B$36,$CF64&lt;&gt;"RIDICAT"),"FAVORABIL STATISTIC – VERIFICĂ COTA",IF(AND($BW64&gt;= 'Setari model'!$B$42,$CE64&gt;=100*'Setari model'!$B$43),"ANALIZĂ NECONCLUDENTĂ","PARIU EVITAT"))))</x:f>
      </x:c>
      <x:c r="CH64" s="67" t="str">
        <x:f t="shared" si="67">IF($A64="","","P(O0,5)="&amp;TEXT($BW64,"0.0%")&amp;"; λ ajustat="&amp;TEXT($BS64,"0.00")&amp;"; Confidence="&amp;TEXT($CE64,"0")&amp;"/100; Edge="&amp;TEXT($BZ64,"0.0%")&amp;"; risc="&amp;$CF64&amp;". "&amp;$BH64)</x:f>
      </x:c>
      <x:c r="CI64" s="68" t="str">
        <x:f t="shared" si="68">IF($A64="","",$BI64)</x:f>
      </x:c>
      <x:c r="CJ64" s="112"/>
      <x:c r="CK64" s="112"/>
      <x:c r="CL64" s="112"/>
      <x:c r="CM64" s="112"/>
      <x:c r="CN64" s="112"/>
      <x:c r="CO64" s="112"/>
      <x:c r="CP64" s="112"/>
      <x:c r="CQ64" s="112"/>
      <x:c r="CR64" s="112"/>
      <x:c r="CS64" s="112"/>
      <x:c r="CT64" s="112"/>
      <x:c r="CU64" s="112"/>
      <x:c r="CV64" s="112"/>
      <x:c r="CW64" s="112"/>
      <x:c r="CX64" s="112"/>
      <x:c r="CY64" s="112"/>
      <x:c r="CZ64" s="112"/>
      <x:c r="DA64" s="112"/>
      <x:c r="DB64" s="112"/>
      <x:c r="DC64" s="114"/>
      <x:c r="DD64" s="114"/>
      <x:c r="DE64" s="112" t="s">
        <x:v>266</x:v>
      </x:c>
      <x:c r="DF64" s="112"/>
      <x:c r="DG64" s="112"/>
      <x:c r="DH64" s="112"/>
      <x:c r="DI64" s="112"/>
      <x:c r="DJ64" s="112"/>
      <x:c r="DK64" s="112"/>
      <x:c r="DL64" s="112"/>
      <x:c r="DM64" s="112"/>
      <x:c r="DN64" s="112"/>
      <x:c r="DO64" s="112"/>
      <x:c r="DP64" s="112"/>
      <x:c r="DQ64" s="114"/>
      <x:c r="DR64" s="112">
        <x:v>1</x:v>
      </x:c>
      <x:c r="DS64" s="116">
        <x:v>0</x:v>
      </x:c>
      <x:c r="DT64" s="120"/>
      <x:c r="DU64" s="116">
        <x:v>0.02</x:v>
      </x:c>
      <x:c r="DV64" s="116">
        <x:v>0.25</x:v>
      </x:c>
      <x:c r="DW64" s="118" t="str">
        <x:f>IF($A64="","",MAX('Setari model'!$B$71,MIN('Setari model'!$B$72,1+0.08*(IFERROR(AVERAGE($CM64:$CN64)/'Setari model'!$B$66,1)-1)+0.08*(IFERROR(AVERAGE($CO64:$CP64)/'Setari model'!$B$67,1)-1)+0.06*(IFERROR(AVERAGE($CQ64:$CR64)/'Setari model'!$B$68,1)-1)+0.04*(IFERROR(AVERAGE($CS64:$CT64)/'Setari model'!$B$69,1)-1)+0.04*(IFERROR(AVERAGE($CU64:$CV64)/'Setari model'!$B$70,1)-1)-'Setari model'!$B$73*IFERROR(AVERAGE($CW64:$CX64),0))))</x:f>
      </x:c>
      <x:c r="DX64" s="118" t="str">
        <x:f>IF($A64="","",1+'Setari model'!$B$62*MAX(IF(OR($CK64=1,$CL64=1),1,0),IF(AND($CJ64&lt;&gt;"",$CJ64&lt;=1),1,0))+'Setari model'!$B$63*IF(AND($CJ64&gt;1,$CJ64&lt;=3),1,0))</x:f>
      </x:c>
      <x:c r="DY64" s="118" t="str">
        <x:f>IF($A64="","",1+'Setari model'!$B$74*(IF($CY64="",0,IF($CY64=0,1,0))+IF($CZ64="",0,IF($CZ64=0,1,0)))+'Setari model'!$B$75*(IF($DA64="",0,IF($DA64=0,1,0))+IF($DB64="",0,IF($DB64=0,1,0))))</x:f>
      </x:c>
      <x:c r="DZ64" s="117" t="str">
        <x:f>IF($A64="","",MIN(0.6,MAX(0.002,(((1-'Setari model'!$B$34*MIN(1,($I64+$P64)/20))*$BT64+'Setari model'!$B$34*MIN(1,($I64+$P64)/20)*IF(COUNT($N64,$U64)=2,SQRT(MAX(0,1-$N64)*MAX(0,1-$U64)),$BT64))*(1-'Setari model'!$B$65*MIN(1,IF($AN64="",0,$AN64/'Setari model'!$B$64)))+'Setari model'!$B$65*MIN(1,IF($AN64="",0,$AN64/'Setari model'!$B$64))*IF($AM64="",$BT64,$AM64))*$DX64*$DY64/$DW64)))</x:f>
      </x:c>
      <x:c r="EA64" s="117" t="str">
        <x:f>IF($A64="","",MIN(1-$DZ64,IF(OR(MIN($I64,$P64)&lt;'Setari model'!$B$58,$CK64=1,$CL64=1,AND($CJ64&lt;&gt;"",$CJ64&lt;=1)),'Setari model'!$B$59,IF(AND($AU64=1,$AR64&gt;1,COUNT($CY64:$DB64)=4),'Setari model'!$B$61,'Setari model'!$B$60))))</x:f>
      </x:c>
      <x:c r="EB64" s="115" t="str">
        <x:f t="shared" si="69">IF($A64="","",1/$EA64)</x:f>
      </x:c>
      <x:c r="EC64" s="117" t="str">
        <x:f t="shared" si="70">IF($A64="","",IF($AR64&gt;1,IF($AS64&gt;1,(1/$AR64)/((1/$AR64)+(1/$AS64)),1/$AR64),""))</x:f>
      </x:c>
      <x:c r="ED64" s="117" t="str">
        <x:f t="shared" si="71">IF($A64="","",IF($EC64="","",$EA64-$EC64))</x:f>
      </x:c>
      <x:c r="EE64" s="117" t="str">
        <x:f t="shared" si="72">""</x:f>
      </x:c>
      <x:c r="EF64" s="119" t="str">
        <x:f>IF($A64="","",MAX(0,MIN(100,$CE64-200*MAX(0,$EG64-'Setari model'!$B$77)-IF($AU64&lt;&gt;1,10,0)-IF(COUNT($CY64:$DB64)&lt;4,4,0))))</x:f>
      </x:c>
      <x:c r="EG64" s="117" t="str">
        <x:f>IF($A64="","",'Setari model'!$B$77+IF(MIN($I64,$P64)&lt;'Setari model'!$B$58,0.03,0)+IF(OR($CK64=1,$CL64=1,AND($CJ64&lt;&gt;"",$CJ64&lt;=1)),0.03,0)+IF($AG64=0,0.02,0)+0.03*(1-MIN(1,COUNT($CM64:$CV64)/10))+0.03*(1-MIN(1,IF($AN64="",0,$AN64/'Setari model'!$B$64)))+IF($AR64&lt;=1,0.02,0))</x:f>
      </x:c>
      <x:c r="EH64" s="113" t="str">
        <x:f>IF($A64="","",IF(OR(MIN($I64,$P64)&lt;'Setari model'!$B$58,$CK64=1,$CL64=1,AND($CJ64&lt;&gt;"",$CJ64&lt;=1)),"92% – early/regim",IF(AND($AU64=1,$AR64&gt;1,COUNT($CY64:$DB64)=4),"94% – confirmat","93% – standard")))</x:f>
      </x:c>
      <x:c r="EI64" s="113" t="str">
        <x:f t="shared" si="73">IF($A64="","",IF(AND($EA64&gt;0.9,$AU64&lt;&gt;1),"WAIT XI – HIGH P",IF(AND($EA64&gt;0.9,COUNT($CY64:$DB64)&lt;4),"WAIT DATE CHEIE – HIGH P",IF($EP64&lt;&gt;"DA","NU – PORTOFOLIU","DA"))))</x:f>
      </x:c>
      <x:c r="EJ64" s="117" t="str">
        <x:f t="shared" si="74">IF($A64="","",IF($DE64&lt;&gt;"Live 20-30","",IF(SUM($DG64:$DH64)&gt;0,1,IF($EU64="","",1-MIN(0.95,MAX(0.001,EXP(-$EU64)*$DX64*$DY64/$DW64))))))</x:f>
      </x:c>
      <x:c r="EK64" s="117" t="str">
        <x:f t="shared" si="75">""</x:f>
      </x:c>
      <x:c r="EL64" s="113" t="str">
        <x:f>IF($A64="","",IF($DE64="Live 20-30",IF(SUM($DG64:$DH64)&gt;0,"EVENIMENT ÎNDEPLINIT",IF(OR($DF64="",COUNT($DI64:$DN64)&lt;4),"LIVE – WATCH",IF($EJ64&gt;=0.75,"LIVE – FEZABIL TEHNIC","LIVE – NO BET"))),IF($EI64&lt;&gt;"DA","WATCH / NO BET",IF(AND($EA64&gt;=INDEX('Setari model'!$B$35:$B$40,1),$EF64&gt;=100*'Setari model'!$B$76),"PARIU RECOMANDAT",IF(AND($EA64&gt;=INDEX('Setari model'!$B$35:$B$40,5),$EF64&gt;=100*'Setari model'!$B$40),"WATCH – APROAPE DE PRAG","PARIU EVITAT")))))</x:f>
      </x:c>
      <x:c r="EM64" s="113" t="str">
        <x:f t="shared" si="76">IF($A64="","",IF($DE64="Live 20-30",IF(SUM($DG64:$DH64)&gt;0,"Gol deja marcat.",IF($DF64="","Minut live lipsă.",IF(COUNT($DI64:$DN64)&lt;4,"Lipsesc xG/SOT/big chances live.",IF($EJ64&lt;0.75,"P live sub prag.","Semnal live tehnic complet; EV ignorat.")))),IF($EI64&lt;&gt;"DA",$EI64,IF($EF64&lt;75,"Confidence sub 75.",IF($EA64&lt;0.92,"P sub 92%.","G0/Zero-Mass + confidence trecute; EV ignorat.")))))</x:f>
      </x:c>
      <x:c r="EN64" s="117" t="str">
        <x:f>IF($A64="","",IF(OR($EL64="PARIU RECOMANDAT",$EL64="LIVE – FEZABIL"),MIN(IF($DU64&gt;0,$DU64,'Setari model'!$B$81)/MAX(1,$DR64),IF($DV64&gt;0,$DV64,'Setari model'!$B$80)*MAX(0,((IF($DE64="Live 20-30",$EJ64,$EA64)*IF($DE64="Live 20-30",$DQ64,$AR64)-1)/(IF($DE64="Live 20-30",$DQ64,$AR64)-1)))),0))</x:f>
      </x:c>
      <x:c r="EO64" s="121" t="str">
        <x:f t="shared" si="77">IF($A64="","",IF(AND($EN64&gt;0,$DT64&gt;0),$EN64*$DT64,""))</x:f>
      </x:c>
      <x:c r="EP64" s="113" t="str">
        <x:f>IF($A64="","",IF(OR($DR64&lt;1,$DR64&gt;'Setari model'!$B$78),"NU – 1–5 selecții",IF($DS64&gt;'Setari model'!$B$79,"NU – corelație", "DA")))</x:f>
      </x:c>
      <x:c r="EQ64" s="117" t="str">
        <x:f t="shared" si="78">IF($A64="","",IF(AND($DC64&gt;1,$DD64&gt;1),$DC64/$DD64-1,""))</x:f>
      </x:c>
      <x:c r="ER64" s="113" t="str">
        <x:f t="shared" si="79">IF($A64="","","P v2="&amp;TEXT($EA64,"0.0%")&amp;" ±"&amp;TEXT($EG64,"0.0%")&amp;"; P0 ZIP="&amp;TEXT($DZ64,"0.0%")&amp;"; Confidence="&amp;TEXT($EF64,"0")&amp;"/100; piață reală="&amp;IF($EC64="","NU","DA")&amp;"; EV="&amp;IF($EE64="","n/a",TEXT($EE64,"0.0%"))&amp;"; gate="&amp;$EI64&amp;"; verdict="&amp;$EL64&amp;". "&amp;$EM64)</x:f>
      </x:c>
      <x:c r="ES64" s="119" t="str">
        <x:f>IF($A64="","",'Setari model'!$B$82)</x:f>
      </x:c>
      <x:c r="ET64" s="118" t="str">
        <x:f>IF($A64="","",'Setari model'!$B$83)</x:f>
      </x:c>
      <x:c r="EU64" s="115" t="str">
        <x:f t="shared" si="80">IF(OR($A64="",$DE64&lt;&gt;"Live 20-30",$DF64="",$DF64&lt;$ES64,$DF64&gt;=90),"",MAX(0.05,MIN($BS64*$ET64,$BS64*(90-$DF64)/90+0.35*($DI64+$DJ64)+0.06*($DK64+$DL64)+0.15*($DM64+$DN64)+0.1*(MAX($DO64,$DP64)-MIN($DO64,$DP64)))))</x:f>
      </x:c>
      <x:c r="EV64" s="132"/>
      <x:c r="EW64" s="132"/>
      <x:c r="EX64" s="132"/>
      <x:c r="EY64" s="132"/>
      <x:c r="EZ64" s="132"/>
      <x:c r="FA64" s="132"/>
      <x:c r="FB64" s="247"/>
      <x:c r="FC64" s="134" t="str">
        <x:f t="shared" si="81">IF($A64="","",IF(OR($J64="",$L64="",$L64&lt;=0),"",MAX(0.5,MIN(1.5,$J64/$L64))))</x:f>
      </x:c>
      <x:c r="FD64" s="134" t="str">
        <x:f t="shared" si="82">IF($A64="","",IF(OR($Q64="",$S64="",$S64&lt;=0),"",MAX(0.5,MIN(1.5,$Q64/$S64))))</x:f>
      </x:c>
      <x:c r="FE64" s="134" t="str">
        <x:f>IF($A64="","",IF(COUNT($EV64:$EW64)&lt;2,"",SQRT($EV64*$EW64)/'Setari model'!$B$87))</x:f>
      </x:c>
      <x:c r="FF64" s="134" t="str">
        <x:f>IF($A64="","",IF(COUNT($O64,$V64,$EX64,$EY64)&lt;4,"",AVERAGE(SQRT($O64*$EY64),SQRT($V64*$EX64))/'Setari model'!$B$88))</x:f>
      </x:c>
      <x:c r="FG64" s="134" t="str">
        <x:f t="shared" si="83">IF($A64="","",IF(COUNT($FC64:$FD64)&lt;2,"",MAX(0,1-AVERAGE($FC64:$FD64))))</x:f>
      </x:c>
      <x:c r="FH64" s="134" t="str">
        <x:f>IF($A64="","",IF(COUNT($EZ64:$FA64)&lt;2,"",'Setari model'!$B$94*AVERAGE($EZ64:$FA64)/'Setari model'!$B$89))</x:f>
      </x:c>
      <x:c r="FI64" s="134" t="str">
        <x:f>IF($A64="","",IF(COUNT($FE64:$FH64)&lt;4,"",MAX('Setari model'!$B$97,MIN('Setari model'!$B$98,1+'Setari model'!$B$90*($FE64-1)+'Setari model'!$B$91*($FF64-1)+'Setari model'!$B$92*$FG64+'Setari model'!$B$93*($FH64-1)))))</x:f>
      </x:c>
      <x:c r="FJ64" s="133" t="str">
        <x:f>IF($A64="","",IF($FI64="","",MIN('Setari model'!$B$101,MAX(0.002,$DZ64*$FI64))))</x:f>
      </x:c>
      <x:c r="FK64" s="131" t="str">
        <x:f t="shared" si="84">IF($A64="","",IF(AND(COUNT($EV64:$FA64)=6,COUNT($O64,$V64,$FC64,$FD64)=4),"DA","NU"))</x:f>
      </x:c>
      <x:c r="FL64" s="131" t="str">
        <x:f>IF($A64="","",IF($FK64&lt;&gt;"DA","NEDETERMINAT",IF($FI64&lt;='Setari model'!$B$99,"SCĂZUT",IF($FI64&lt;='Setari model'!$B$100,"MEDIU","RIDICAT"))))</x:f>
      </x:c>
      <x:c r="FM64" s="131" t="str">
        <x:f>IF($A64="","",IF(AND($AR64&gt;1,$EC64&gt;='Setari model'!$B$106),"DA","NU"))</x:f>
      </x:c>
      <x:c r="FN64" s="131" t="str">
        <x:f t="shared" si="85">IF($A64="","",IF(AND($AU64=1,COUNT($CY64:$DB64)=4),"DA","NU"))</x:f>
      </x:c>
      <x:c r="FO64" s="133" t="str">
        <x:f>IF($A64="","",IF(OR($FK64&lt;&gt;"DA",$FL64="RIDICAT"),'Setari model'!$B$102,IF($FL64="MEDIU",'Setari model'!$B$103,IF(AND($FM64="DA",$FN64="DA"),'Setari model'!$B$105,'Setari model'!$B$104))))</x:f>
      </x:c>
      <x:c r="FP64" s="133" t="str">
        <x:f t="shared" si="86">IF($A64="","",IF($FJ64="","",MIN(1-$FJ64,$FO64)))</x:f>
      </x:c>
      <x:c r="FQ64" s="135" t="str">
        <x:f t="shared" si="87">IF($A64="","",IF($FP64="","",IF($FP64&gt;0,1/$FP64,"")))</x:f>
      </x:c>
      <x:c r="FR64" s="133" t="str">
        <x:f t="shared" si="88">IF($A64="","",IF($EC64="","",$FP64-$EC64))</x:f>
      </x:c>
      <x:c r="FS64" s="133" t="str">
        <x:f t="shared" si="89">IF($A64="","",IF($AR64&gt;1,$FP64*$AR64-1,""))</x:f>
      </x:c>
      <x:c r="FT64" s="136" t="str">
        <x:f>IF($A64="","",MAX(0,MIN(100,$EF64-IF($FK64&lt;&gt;"DA",'Setari model'!$B$107,0)-IF($FL64="MEDIU",'Setari model'!$B$108,0)-IF($FL64="RIDICAT",'Setari model'!$B$109,0))))</x:f>
      </x:c>
      <x:c r="FU64" s="131" t="str">
        <x:f t="shared" si="90">IF($A64="","",IF($AR64&lt;=1,"NU – LIPSEȘTE COTA REALĂ",IF($FK64&lt;&gt;"DA","NU – ZERO-RISK INCOMPLET",IF($FL64&lt;&gt;"SCĂZUT","NU – RISC 0-0 "&amp;$FL64,IF($FN64&lt;&gt;"DA","NU – LINEUP NECONFIRMAT",IF($FM64&lt;&gt;"DA","NU – PIAȚĂ NECONFIRMATĂ",IF($EP64&lt;&gt;"DA","NU – PORTOFOLIU","DA")))))))</x:f>
      </x:c>
      <x:c r="FV64" s="131" t="str">
        <x:f>IF($A64="","",IF($FU64&lt;&gt;"DA","WATCH / NO BET",IF(AND($FP64&gt;='Setari model'!$B$35,$FT64&gt;=100*'Setari model'!$B$76,$FS64&gt;0),"PARIU RECOMANDAT",IF(AND($FP64&gt;='Setari model'!$B$39,$FT64&gt;=100*'Setari model'!$B$40,$FS64&gt;0),"WATCH – APROAPE DE PRAG","PARIU EVITAT"))))</x:f>
      </x:c>
      <x:c r="FW64" s="131" t="str">
        <x:f t="shared" si="91">IF($A64="","",IF($FU64&lt;&gt;"DA",$FU64,IF($FT64&lt;75,"Confidence v3 sub 75.",IF($FP64&lt;0.92,"P v3 sub 92%.",IF($FS64&lt;=0,"EV v3 nepozitiv.","P0 v3, lineup și piață confirmate.")))))</x:f>
      </x:c>
      <x:c r="FX64" s="131" t="str">
        <x:f t="shared" si="92">IF($A64="","","P v3="&amp;TEXT($FP64,"0.0%")&amp;"; P0 v3="&amp;TEXT($FJ64,"0.0%")&amp;"; factor zero="&amp;IF($FI64="","n/a",TEXT($FI64,"0.00x"))&amp;" ("&amp;$FL64&amp;"); cap="&amp;TEXT($FO64,"0.0%")&amp;"; Confidence="&amp;TEXT($FT64,"0")&amp;"/100; lineup="&amp;$FN64&amp;"; piață="&amp;$FM64&amp;"; EV="&amp;IF($FS64="","n/a",TEXT($FS64,"0.0%"))&amp;"; gate="&amp;$FU64&amp;"; verdict="&amp;$FV64&amp;". "&amp;$FW64)</x:f>
      </x:c>
      <x:c r="FY64" s="159"/>
      <x:c r="FZ64" s="159"/>
      <x:c r="GA64" s="157"/>
      <x:c r="GB64" s="157"/>
      <x:c r="GC64" s="161" t="str">
        <x:f t="shared" si="93">IF($A64="","",IF(OR($X64="",$Z64="",$Z64&lt;=0),"",MAX(0.5,MIN(1.5,$X64/$Z64))))</x:f>
      </x:c>
      <x:c r="GD64" s="161" t="str">
        <x:f t="shared" si="94">IF($A64="","",IF(OR($AC64="",$AE64="",$AE64&lt;=0),"",MAX(0.5,MIN(1.5,$AC64/$AE64))))</x:f>
      </x:c>
      <x:c r="GE64" s="162" t="str">
        <x:f t="shared" si="95">IF($A64="","",IF(COUNT($Z64,$AE64)&lt;2,"",AVERAGE($Z64,$AE64)))</x:f>
      </x:c>
      <x:c r="GF64" s="158" t="str">
        <x:f>IF($A64="","",IF(COUNT($FY64:$FZ64)&lt;2,"NEDETERMINAT",IF(AND($FY64&gt;='Setari model'!$B$113,$FZ64&gt;='Setari model'!$B$113),"DA","NU")))</x:f>
      </x:c>
      <x:c r="GG64" s="158" t="str">
        <x:f>IF($A64="","",IF(COUNT($FY64:$FZ64,$EX64:$EY64)&lt;4,"NEDETERMINAT",IF(OR(AND($FY64&gt;='Setari model'!$B$113,$EY64&gt;='Setari model'!$B$114),AND($FZ64&gt;='Setari model'!$B$113,$EX64&gt;='Setari model'!$B$114)),"DA","NU")))</x:f>
      </x:c>
      <x:c r="GH64" s="158" t="str">
        <x:f>IF($A64="","",IF(COUNT($BJ64:$BN64,$GC64:$GE64)&lt;8,"NEDETERMINAT",IF(AND((($BJ64*INDEX('Setari model'!$B$5:$B$11,MATCH($E64,'Setari model'!$A$5:$A$11,0))+$BK64*INDEX('Setari model'!$C$5:$C$11,MATCH($E64,'Setari model'!$A$5:$A$11,0))+$BL64*INDEX('Setari model'!$D$5:$D$11,MATCH($E64,'Setari model'!$A$5:$A$11,0))+$BM64*INDEX('Setari model'!$E$5:$E$11,MATCH($E64,'Setari model'!$A$5:$A$11,0))+$BN64*INDEX('Setari model'!$F$5:$F$11,MATCH($E64,'Setari model'!$A$5:$A$11,0)))/(INDEX('Setari model'!$B$5:$B$11,MATCH($E64,'Setari model'!$A$5:$A$11,0))+INDEX('Setari model'!$C$5:$C$11,MATCH($E64,'Setari model'!$A$5:$A$11,0))+INDEX('Setari model'!$D$5:$D$11,MATCH($E64,'Setari model'!$A$5:$A$11,0))+INDEX('Setari model'!$E$5:$E$11,MATCH($E64,'Setari model'!$A$5:$A$11,0))+INDEX('Setari model'!$F$5:$F$11,MATCH($E64,'Setari model'!$A$5:$A$11,0))))*$BR64&gt;='Setari model'!$B$115,(($BJ64*INDEX('Setari model'!$B$5:$B$11,MATCH($E64,'Setari model'!$A$5:$A$11,0))+$BK64*INDEX('Setari model'!$C$5:$C$11,MATCH($E64,'Setari model'!$A$5:$A$11,0))+$BL64*INDEX('Setari model'!$D$5:$D$11,MATCH($E64,'Setari model'!$A$5:$A$11,0))+$BM64*INDEX('Setari model'!$E$5:$E$11,MATCH($E64,'Setari model'!$A$5:$A$11,0))+$BN64*INDEX('Setari model'!$F$5:$F$11,MATCH($E64,'Setari model'!$A$5:$A$11,0)))/(INDEX('Setari model'!$B$5:$B$11,MATCH($E64,'Setari model'!$A$5:$A$11,0))+INDEX('Setari model'!$C$5:$C$11,MATCH($E64,'Setari model'!$A$5:$A$11,0))+INDEX('Setari model'!$D$5:$D$11,MATCH($E64,'Setari model'!$A$5:$A$11,0))+INDEX('Setari model'!$E$5:$E$11,MATCH($E64,'Setari model'!$A$5:$A$11,0))+INDEX('Setari model'!$F$5:$F$11,MATCH($E64,'Setari model'!$A$5:$A$11,0))))*$BR64&lt;='Setari model'!$B$116,AVERAGE($GC64:$GD64)&lt;='Setari model'!$B$117,$GE64&gt;='Setari model'!$B$118),"DA","NU")))</x:f>
      </x:c>
      <x:c r="GI64" s="158" t="str">
        <x:f>IF($A64="","",IF(COUNT($W64,$AB64,$GA64:$GB64)&lt;4,"NEDETERMINAT",IF(AND($W64&gt;='Setari model'!$B$120,$AB64&gt;='Setari model'!$B$120,OR(IFERROR($GA64/$W64,0)&gt;='Setari model'!$B$119,IFERROR($GB64/$AB64,0)&gt;='Setari model'!$B$119)),"DA","NU")))</x:f>
      </x:c>
      <x:c r="GJ64" s="160" t="str">
        <x:f>IF($A64="","",IF(COUNT($FY64:$GB64)&lt;4,"",IF($GH64&lt;&gt;"DA",0,'Setari model'!$B$121*IF($GF64="DA",1,0)+'Setari model'!$B$122*IF($GG64="DA",1,0)+'Setari model'!$B$123+'Setari model'!$B$124*IF($GI64="DA",1,0))))</x:f>
      </x:c>
      <x:c r="GK64" s="161" t="str">
        <x:f>IF($A64="","",IF(COUNT($GJ64)=0,"",1+'Setari model'!$B$125*$GJ64))</x:f>
      </x:c>
      <x:c r="GL64" s="160" t="str">
        <x:f>IF($A64="","",IF($GM64&lt;&gt;"DA",$FJ64,MIN('Setari model'!$B$101,MAX(0.002,$FJ64*$GK64))))</x:f>
      </x:c>
      <x:c r="GM64" s="158" t="str">
        <x:f>IF($A64="","",IF(AND($FK64="DA",COUNT($FY64:$GB64)=4,COUNT($I64,$P64,$W64,$AB64,$Z64,$AE64,$EX64,$EY64,$GC64,$GD64)=10,COUNT($BJ64:$BN64)=5),"DA","NU"))</x:f>
      </x:c>
      <x:c r="GN64" s="158" t="str">
        <x:f>IF($A64="","",IF($GM64&lt;&gt;"DA","NEDETERMINAT",IF($FI64*$GK64&lt;='Setari model'!$B$99,"SCĂZUT",IF($FI64*$GK64&lt;='Setari model'!$B$100,"MEDIU","RIDICAT"))))</x:f>
      </x:c>
      <x:c r="GO64" s="160" t="str">
        <x:f>IF($A64="","",IF(OR($GM64&lt;&gt;"DA",$GN64="RIDICAT"),'Setari model'!$B$102,IF($GN64="MEDIU",'Setari model'!$B$103,IF(AND($FM64="DA",$FN64="DA"),'Setari model'!$B$105,'Setari model'!$B$104))))</x:f>
      </x:c>
      <x:c r="GP64" s="160" t="str">
        <x:f t="shared" si="96">IF($A64="","",IF($GL64="","",MIN(1-$GL64,$GO64)))</x:f>
      </x:c>
      <x:c r="GQ64" s="162" t="str">
        <x:f t="shared" si="97">IF($A64="","",IF($GP64="","",IF($GP64&gt;0,1/$GP64,"")))</x:f>
      </x:c>
      <x:c r="GR64" s="160" t="str">
        <x:f t="shared" si="98">IF($A64="","",IF($EC64="","",$GP64-$EC64))</x:f>
      </x:c>
      <x:c r="GS64" s="160" t="str">
        <x:f t="shared" si="99">IF($A64="","",IF($AR64&gt;1,$GP64*$AR64-1,""))</x:f>
      </x:c>
      <x:c r="GT64" s="163" t="str">
        <x:f>IF($A64="","",MAX(0,MIN(100,$FT64-IF(AND($GM64&lt;&gt;"DA",$FK64="DA"),'Setari model'!$B$107,0)-'Setari model'!$B$126*IF($GJ64="",0,$GJ64))))</x:f>
      </x:c>
      <x:c r="GU64" s="158" t="str">
        <x:f t="shared" si="100">IF($A64="","",IF($AR64&lt;=1,"NU – LIPSEȘTE COTA REALĂ",IF($GM64&lt;&gt;"DA","NU – DATE LOW-CONVERSION INCOMPLETE",IF($GN64&lt;&gt;"SCĂZUT","NU – RISC 0-0 "&amp;$GN64,IF($FN64&lt;&gt;"DA","NU – LINEUP NECONFIRMAT",IF($FM64&lt;&gt;"DA","NU – PIAȚĂ NECONFIRMATĂ",IF($EP64&lt;&gt;"DA","NU – PORTOFOLIU","DA")))))))</x:f>
      </x:c>
      <x:c r="GV64" s="158" t="str">
        <x:f>IF($A64="","",IF($GU64&lt;&gt;"DA","WATCH / NO BET",IF(AND($GP64&gt;='Setari model'!$B$35,$GT64&gt;=100*'Setari model'!$B$76,$GS64&gt;0),"PARIU RECOMANDAT",IF(AND($GP64&gt;='Setari model'!$B$39,$GT64&gt;=100*'Setari model'!$B$40,$GS64&gt;0),"WATCH – APROAPE DE PRAG","PARIU EVITAT"))))</x:f>
      </x:c>
      <x:c r="GW64" s="158" t="str">
        <x:f t="shared" si="101">IF($A64="","",IF($GU64&lt;&gt;"DA",$GU64,IF($GT64&lt;75,"Confidence v5 sub 75.",IF($GP64&lt;0.92,"P v5 sub 92%.",IF($GS64&lt;=0,"EV v5 nepozitiv.",IF($GJ64&gt;0,"Low-conversion absorbit în P0; toate porțile rămân trecute.","Toate porțile v5 sunt trecute."))))))</x:f>
      </x:c>
      <x:c r="GX64" s="158" t="str">
        <x:f t="shared" si="102">IF($A64="","","P v5="&amp;TEXT($GP64,"0.0%")&amp;"; P0 v5="&amp;TEXT($GL64,"0.0%")&amp;"; low-conv="&amp;IF(COUNT($GJ64)=0,"n/a",TEXT($GJ64,"0%"))&amp;"; mult.P0="&amp;IF(COUNT($GK64)=0,"n/a",TEXT($GK64,"0.00"))&amp;"; clasă="&amp;$GN64&amp;"; cap="&amp;TEXT($GO64,"0.0%")&amp;"; Confidence="&amp;TEXT($GT64,"0")&amp;"/100; lineup="&amp;$FN64&amp;"; piață="&amp;$FM64&amp;"; EV="&amp;IF($GS64="","n/a",TEXT($GS64,"0.0%"))&amp;"; gate="&amp;$GU64&amp;"; verdict="&amp;$GV64&amp;". "&amp;$GW64)</x:f>
      </x:c>
      <x:c r="GY64" s="174" t="str">
        <x:f>IF($A64="","",IF($GM64&lt;&gt;"DA","SOURCING INCOMPLETE – REVIEW REQUIRED",IF(MIN($I64,$P64,$W64,$AB64)&lt;'Setari model'!$B$58,"SMALL SAMPLE + PRIOR / SHRINKAGE","VERIFIED / PRIOR / SHRINKAGE")))</x:f>
      </x:c>
      <x:c r="GZ64" s="175" t="str">
        <x:f t="shared" si="103">IF($A64="","",MAX(0,MIN(100,100*(1-AVERAGE(IF($GM64="DA",1,0),MIN(1,$AT64/5))))))</x:f>
      </x:c>
      <x:c r="HA64" s="175" t="str">
        <x:f>IF($A64="","",IF($GM64&lt;&gt;"DA","",MAX(0,MIN(100,100*(($FI64*$GK64)-'Setari model'!$B$97)/('Setari model'!$B$98-'Setari model'!$B$97)))))</x:f>
      </x:c>
      <x:c r="HB64" s="175" t="str">
        <x:f>IF($A64="","",MAX(0,MIN(100,100*(ABS($BR64-1)/MAX(1-'Setari model'!$B$53,'Setari model'!$B$54-1)+MIN(1,$BG64/2))/2)))</x:f>
      </x:c>
      <x:c r="HC64" s="175" t="str">
        <x:f t="shared" si="104">IF($A64="","",MAX(0,MIN(100,100*(1-AVERAGE($CC64,MAX(0,1-(MAX($BJ64:$BN64)-MIN($BJ64:$BN64))/(AVERAGE($BJ64:$BN64)*'Setari model'!$B$45)))))))</x:f>
      </x:c>
      <x:c r="HD64" s="175" t="str">
        <x:f t="shared" si="105">IF($A64="","",MAX(0,MIN(100,100*MAX(IF($GJ64="",0,$GJ64),MIN(1,$BG64/2)))))</x:f>
      </x:c>
      <x:c r="HE64" s="175" t="str">
        <x:f>IF($A64="","",IF(COUNT($GZ64:$HD64)&lt;5,"",$GZ64*Risk_Classification!$E$28+$HA64*Risk_Classification!$E$29+$HB64*Risk_Classification!$E$30+$HC64*Risk_Classification!$E$31+$HD64*Risk_Classification!$E$32))</x:f>
      </x:c>
      <x:c r="HF64" s="176" t="str">
        <x:f t="shared" si="106">IF($A64="","",IF($HE64="","",IF($HE64&lt;=20,1,IF($HE64&lt;=40,2,IF($HE64&lt;=60,3,IF($HE64&lt;=80,4,5))))))</x:f>
      </x:c>
      <x:c r="HG64" s="176" t="str">
        <x:f t="shared" si="107">IF($A64="","",IF($GM64="DA","PASS","FAIL – DATE CRITICE ZERO-MASS INCOMPLETE"))</x:f>
      </x:c>
      <x:c r="HH64" s="176" t="str">
        <x:f t="shared" si="108">IF($A64="","",IF($HG64&lt;&gt;"PASS",5,$HF64))</x:f>
      </x:c>
      <x:c r="HI64" s="174" t="str">
        <x:f t="shared" si="109">IF($A64="","",IF($HH64="","N/A",IF($HH64=1,"DEFENSIV",IF($HH64=2,"PRUDENT",IF($HH64=3,"MODERAT",IF($HH64=4,"RIDICAT","WATCH / NO BET"))))))</x:f>
      </x:c>
      <x:c r="HJ64" s="177" t="str">
        <x:f t="shared" si="110">IF($A64="","","Data="&amp;$GY64&amp;"; DQ="&amp;TEXT($GZ64,"0.0")&amp;"; ZM="&amp;IF($HA64="","n/a",TEXT($HA64,"0.0"))&amp;"; Context="&amp;TEXT($HB64,"0.0")&amp;"; Uncertainty="&amp;TEXT($HC64,"0.0")&amp;"; Compound="&amp;TEXT($HD64,"0.0")&amp;"; Risk Score="&amp;IF($HE64="","n/a",TEXT($HE64,"0.0"))&amp;"; Base="&amp;IF($HF64="","n/a",$HF64)&amp;"; G0="&amp;$HG64&amp;"; Final="&amp;$HH64&amp;". Cota, EV si lineup sunt informative si nu intra in recomandare.")</x:f>
      </x:c>
      <x:c r="HK64" s="174" t="str">
        <x:f t="shared" si="111">IF($A64="","",$HI64)</x:f>
      </x:c>
    </x:row>
    <x:row r="65" ht="24" customHeight="1">
      <x:c r="A65" s="58"/>
      <x:c r="B65" s="24"/>
      <x:c r="C65" s="59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18"/>
      <x:c r="O65" s="18"/>
      <x:c r="P65" s="24"/>
      <x:c r="Q65" s="24"/>
      <x:c r="R65" s="24"/>
      <x:c r="S65" s="24"/>
      <x:c r="T65" s="24"/>
      <x:c r="U65" s="18"/>
      <x:c r="V65" s="18"/>
      <x:c r="W65" s="24"/>
      <x:c r="X65" s="24"/>
      <x:c r="Y65" s="24"/>
      <x:c r="Z65" s="24"/>
      <x:c r="AA65" s="24"/>
      <x:c r="AB65" s="24"/>
      <x:c r="AC65" s="24"/>
      <x:c r="AD65" s="24"/>
      <x:c r="AE65" s="24"/>
      <x:c r="AF65" s="24"/>
      <x:c r="AG65" s="24"/>
      <x:c r="AH65" s="24"/>
      <x:c r="AI65" s="18"/>
      <x:c r="AJ65" s="24"/>
      <x:c r="AK65" s="24"/>
      <x:c r="AL65" s="24"/>
      <x:c r="AM65" s="18"/>
      <x:c r="AN65" s="24"/>
      <x:c r="AO65" s="60"/>
      <x:c r="AP65" s="60"/>
      <x:c r="AQ65" s="60"/>
      <x:c r="AR65" s="60"/>
      <x:c r="AS65" s="60"/>
      <x:c r="AT65" s="24"/>
      <x:c r="AU65" s="24"/>
      <x:c r="AV65" s="24"/>
      <x:c r="AW65" s="24"/>
      <x:c r="AX65" s="24"/>
      <x:c r="AY65" s="24"/>
      <x:c r="AZ65" s="24"/>
      <x:c r="BA65" s="24"/>
      <x:c r="BB65" s="24"/>
      <x:c r="BC65" s="24"/>
      <x:c r="BD65" s="24"/>
      <x:c r="BE65" s="24"/>
      <x:c r="BF65" s="24"/>
      <x:c r="BG65" s="24"/>
      <x:c r="BH65" s="61"/>
      <x:c r="BI65" s="61"/>
      <x:c r="BJ65" s="62" t="str">
        <x:f>IF($A65="","",SQRT((($I65*IF($J65="",$AJ65,$J65)+'Setari model'!$B$30*$AJ65)/($I65+'Setari model'!$B$30))*(($P65*IF($R65="",$AJ65,$R65)+'Setari model'!$B$30*$AJ65)/($P65+'Setari model'!$B$30)))+SQRT((($P65*IF($Q65="",$AK65,$Q65)+'Setari model'!$B$30*$AK65)/($P65+'Setari model'!$B$30))*(($I65*IF($K65="",$AK65,$K65)+'Setari model'!$B$30*$AK65)/($I65+'Setari model'!$B$30))))</x:f>
      </x:c>
      <x:c r="BK65" s="62" t="str">
        <x:f>IF($A65="","",SQRT((($I65*IF($L65="",IF($J65="",$AJ65,$J65),$L65)+'Setari model'!$B$30*$AJ65)/($I65+'Setari model'!$B$30))*(($P65*IF($T65="",IF($R65="",$AJ65,$R65),$T65)+'Setari model'!$B$30*$AJ65)/($P65+'Setari model'!$B$30)))+SQRT((($P65*IF($S65="",IF($Q65="",$AK65,$Q65),$S65)+'Setari model'!$B$30*$AK65)/($P65+'Setari model'!$B$30))*(($I65*IF($M65="",IF($K65="",$AK65,$K65),$M65)+'Setari model'!$B$30*$AK65)/($I65+'Setari model'!$B$30))))</x:f>
      </x:c>
      <x:c r="BL65" s="62" t="str">
        <x:f>IF($A65="","",SQRT((($W65*IF($X65="",$AL65/2,$X65)+'Setari model'!$B$31*$AL65/2)/($W65+'Setari model'!$B$31))*(($AB65*IF($AD65="",$AL65/2,$AD65)+'Setari model'!$B$31*$AL65/2)/($AB65+'Setari model'!$B$31)))+SQRT((($AB65*IF($AC65="",$AL65/2,$AC65)+'Setari model'!$B$31*$AL65/2)/($AB65+'Setari model'!$B$31))*(($W65*IF($Y65="",$AL65/2,$Y65)+'Setari model'!$B$31*$AL65/2)/($W65+'Setari model'!$B$31))))</x:f>
      </x:c>
      <x:c r="BM65" s="62" t="str">
        <x:f>IF($A65="","",SQRT((($W65*IF($Z65="",IF($X65="",$AL65/2,$X65),$Z65)+'Setari model'!$B$31*$AL65/2)/($W65+'Setari model'!$B$31))*(($AB65*IF($AF65="",IF($AD65="",$AL65/2,$AD65),$AF65)+'Setari model'!$B$31*$AL65/2)/($AB65+'Setari model'!$B$31)))+SQRT((($AB65*IF($AE65="",IF($AC65="",$AL65/2,$AC65),$AE65)+'Setari model'!$B$31*$AL65/2)/($AB65+'Setari model'!$B$31))*(($W65*IF($AA65="",IF($Y65="",$AL65/2,$Y65),$AA65)+'Setari model'!$B$31*$AL65/2)/($W65+'Setari model'!$B$31))))</x:f>
      </x:c>
      <x:c r="BN65" s="62" t="str">
        <x:f t="shared" si="56">IF($A65="","",IF($AG65&gt;0,($AG65*IF($AH65="",$AL65,$AH65)+5*$AL65)/($AG65+5),$AL65))</x:f>
      </x:c>
      <x:c r="BO65" s="63" t="str">
        <x:f>IF($A65="","",IF($AR65&gt;1,IF($AS65&gt;1,(1/$AR65)/((1/$AR65+1/$AS65)),MIN(0.995,(1/$AR65)/(1+'Setari model'!$B$32))),1-EXP(-$AL65)))</x:f>
      </x:c>
      <x:c r="BP65" s="62" t="str">
        <x:f t="shared" si="57">IF($A65="","",-LN(1-$BO65))</x:f>
      </x:c>
      <x:c r="BQ65" s="62" t="str">
        <x:f>IF($A65="","",$BJ65*INDEX('Setari model'!$B$5:$B$11,MATCH($E65,'Setari model'!$A$5:$A$11,0))+$BK65*INDEX('Setari model'!$C$5:$C$11,MATCH($E65,'Setari model'!$A$5:$A$11,0))+$BL65*INDEX('Setari model'!$D$5:$D$11,MATCH($E65,'Setari model'!$A$5:$A$11,0))+$BM65*INDEX('Setari model'!$E$5:$E$11,MATCH($E65,'Setari model'!$A$5:$A$11,0))+$BN65*INDEX('Setari model'!$F$5:$F$11,MATCH($E65,'Setari model'!$A$5:$A$11,0))+$BP65*INDEX('Setari model'!$G$5:$G$11,MATCH($E65,'Setari model'!$A$5:$A$11,0)))</x:f>
      </x:c>
      <x:c r="BR65" s="64" t="str">
        <x:f>IF($A65="","",MAX('Setari model'!$B$53,MIN('Setari model'!$B$54,1+($AV65*'Setari model'!$B$15+$AW65*'Setari model'!$B$16+$AX65*'Setari model'!$B$17+$AY65*'Setari model'!$B$18+$AZ65*'Setari model'!$B$19+$BA65*'Setari model'!$B$20+$BB65*'Setari model'!$B$21+$BC65*'Setari model'!$B$22+$BD65*'Setari model'!$B$23+$BE65*'Setari model'!$B$24+$BF65*'Setari model'!$B$25)*INDEX('Setari model'!$H$5:$H$11,MATCH($E65,'Setari model'!$A$5:$A$11,0)))))</x:f>
      </x:c>
      <x:c r="BS65" s="62" t="str">
        <x:f t="shared" si="58">IF($A65="","",$BQ65*$BR65)</x:f>
      </x:c>
      <x:c r="BT65" s="63" t="str">
        <x:f t="shared" si="59">IF($A65="","",EXP(-$BS65))</x:f>
      </x:c>
      <x:c r="BU65" s="65" t="str">
        <x:f>IF($A65="","",IF(OR($AM65="",$AN65=""),1,1+MIN('Setari model'!$B$33,$AN65/100*'Setari model'!$B$33)*($AM65/EXP(-$AL65)-1)))</x:f>
      </x:c>
      <x:c r="BV65" s="63" t="str">
        <x:f>IF($A65="","",MIN(0.45,MAX(0.005,(1-'Setari model'!$B$34*MIN(1,($I65+$P65)/20))*MIN(0.45,$BT65*$BU65)+'Setari model'!$B$34*MIN(1,($I65+$P65)/20)*IF(COUNT($N65,$U65)=2,SQRT(MAX(0,1-$N65)*MAX(0,1-$U65)),IF($AM65="",EXP(-$AL65),$AM65)))))</x:f>
      </x:c>
      <x:c r="BW65" s="63" t="str">
        <x:f t="shared" si="60">IF($A65="","",1-$BV65)</x:f>
      </x:c>
      <x:c r="BX65" s="62" t="str">
        <x:f t="shared" si="61">IF($A65="","",1/$BW65)</x:f>
      </x:c>
      <x:c r="BY65" s="63" t="str">
        <x:f t="shared" si="62">IF($A65="","",$BO65)</x:f>
      </x:c>
      <x:c r="BZ65" s="63" t="str">
        <x:f t="shared" si="63">IF($A65="","",$BW65-$BY65)</x:f>
      </x:c>
      <x:c r="CA65" s="63" t="str">
        <x:f t="shared" si="64">IF($A65="","",IF($AR65&gt;1,$BW65*$AR65-1,""))</x:f>
      </x:c>
      <x:c r="CB65" s="63" t="str">
        <x:f>IF($A65="","",MIN(1,COUNT($I65:$AN65,$AR65:$BG65)/'Setari model'!$B$46))</x:f>
      </x:c>
      <x:c r="CC65" s="63" t="str">
        <x:f t="shared" si="65">IF($A65="","",0.25*MIN(1,$I65/10)+0.25*MIN(1,$P65/10)+0.15*MIN(1,$W65/5)+0.15*MIN(1,$AB65/5)+0.1*MIN(1,$AG65/5)+0.1*MIN(1,$AN65/100))</x:f>
      </x:c>
      <x:c r="CD65" s="63" t="str">
        <x:f>IF($A65="","",MAX(0,1-(MAX($BJ65:$BN65,$BP65)-MIN($BJ65:$BN65,$BP65))/(AVERAGE($BJ65:$BN65,$BP65)*'Setari model'!$B$45)))</x:f>
      </x:c>
      <x:c r="CE65" s="66" t="str">
        <x:f>IF($A65="","",MAX(0,MIN(100,100*INDEX('Setari model'!$I$5:$I$11,MATCH($E65,'Setari model'!$A$5:$A$11,0))*('Setari model'!$B$47*$CB65+'Setari model'!$B$48*$CC65+'Setari model'!$B$49*$CD65+'Setari model'!$B$50*$AT65/5+'Setari model'!$B$51*$AU65)-100*'Setari model'!$B$52*$BG65)))</x:f>
      </x:c>
      <x:c r="CF65" s="65" t="str">
        <x:f t="shared" si="66">IF($A65="","",IF(OR($AT65&lt;3,$BG65&gt;=2,$CB65&lt;0.55,$CC65&lt;0.4),"RIDICAT",IF(OR($AU65=0,$CD65&lt;0.45,$BR65&lt;0.9),"MEDIU","SCĂZUT")))</x:f>
      </x:c>
      <x:c r="CG65" s="65" t="str">
        <x:f>IF($A65="","",IF($AR65&gt;1,IF(AND($BW65&gt;= 'Setari model'!$B$35,$CE65&gt;=100*'Setari model'!$B$36,$BZ65&gt;= 'Setari model'!$B$37,$CA65&gt;= 'Setari model'!$B$38,$CF65&lt;&gt;"RIDICAT"),"PARIU RECOMANDAT",IF(AND($BW65&gt;= 'Setari model'!$B$39,$CE65&gt;=100*'Setari model'!$B$40,$BZ65&gt;= 'Setari model'!$B$41,$CA65&gt;=0,$CF65&lt;&gt;"RIDICAT"),"RECOMANDAT CU PRUDENȚĂ",IF(AND($BW65&gt;= 'Setari model'!$B$42,$CE65&gt;=100*'Setari model'!$B$43),"ANALIZĂ NECONCLUDENTĂ","PARIU EVITAT"))),IF(AND($BW65&gt;= 'Setari model'!$B$35,$CE65&gt;=100*'Setari model'!$B$36,$CF65&lt;&gt;"RIDICAT"),"FAVORABIL STATISTIC – VERIFICĂ COTA",IF(AND($BW65&gt;= 'Setari model'!$B$42,$CE65&gt;=100*'Setari model'!$B$43),"ANALIZĂ NECONCLUDENTĂ","PARIU EVITAT"))))</x:f>
      </x:c>
      <x:c r="CH65" s="67" t="str">
        <x:f t="shared" si="67">IF($A65="","","P(O0,5)="&amp;TEXT($BW65,"0.0%")&amp;"; λ ajustat="&amp;TEXT($BS65,"0.00")&amp;"; Confidence="&amp;TEXT($CE65,"0")&amp;"/100; Edge="&amp;TEXT($BZ65,"0.0%")&amp;"; risc="&amp;$CF65&amp;". "&amp;$BH65)</x:f>
      </x:c>
      <x:c r="CI65" s="68" t="str">
        <x:f t="shared" si="68">IF($A65="","",$BI65)</x:f>
      </x:c>
      <x:c r="CJ65" s="112"/>
      <x:c r="CK65" s="112"/>
      <x:c r="CL65" s="112"/>
      <x:c r="CM65" s="112"/>
      <x:c r="CN65" s="112"/>
      <x:c r="CO65" s="112"/>
      <x:c r="CP65" s="112"/>
      <x:c r="CQ65" s="112"/>
      <x:c r="CR65" s="112"/>
      <x:c r="CS65" s="112"/>
      <x:c r="CT65" s="112"/>
      <x:c r="CU65" s="112"/>
      <x:c r="CV65" s="112"/>
      <x:c r="CW65" s="112"/>
      <x:c r="CX65" s="112"/>
      <x:c r="CY65" s="112"/>
      <x:c r="CZ65" s="112"/>
      <x:c r="DA65" s="112"/>
      <x:c r="DB65" s="112"/>
      <x:c r="DC65" s="114"/>
      <x:c r="DD65" s="114"/>
      <x:c r="DE65" s="112" t="s">
        <x:v>266</x:v>
      </x:c>
      <x:c r="DF65" s="112"/>
      <x:c r="DG65" s="112"/>
      <x:c r="DH65" s="112"/>
      <x:c r="DI65" s="112"/>
      <x:c r="DJ65" s="112"/>
      <x:c r="DK65" s="112"/>
      <x:c r="DL65" s="112"/>
      <x:c r="DM65" s="112"/>
      <x:c r="DN65" s="112"/>
      <x:c r="DO65" s="112"/>
      <x:c r="DP65" s="112"/>
      <x:c r="DQ65" s="114"/>
      <x:c r="DR65" s="112">
        <x:v>1</x:v>
      </x:c>
      <x:c r="DS65" s="116">
        <x:v>0</x:v>
      </x:c>
      <x:c r="DT65" s="120"/>
      <x:c r="DU65" s="116">
        <x:v>0.02</x:v>
      </x:c>
      <x:c r="DV65" s="116">
        <x:v>0.25</x:v>
      </x:c>
      <x:c r="DW65" s="118" t="str">
        <x:f>IF($A65="","",MAX('Setari model'!$B$71,MIN('Setari model'!$B$72,1+0.08*(IFERROR(AVERAGE($CM65:$CN65)/'Setari model'!$B$66,1)-1)+0.08*(IFERROR(AVERAGE($CO65:$CP65)/'Setari model'!$B$67,1)-1)+0.06*(IFERROR(AVERAGE($CQ65:$CR65)/'Setari model'!$B$68,1)-1)+0.04*(IFERROR(AVERAGE($CS65:$CT65)/'Setari model'!$B$69,1)-1)+0.04*(IFERROR(AVERAGE($CU65:$CV65)/'Setari model'!$B$70,1)-1)-'Setari model'!$B$73*IFERROR(AVERAGE($CW65:$CX65),0))))</x:f>
      </x:c>
      <x:c r="DX65" s="118" t="str">
        <x:f>IF($A65="","",1+'Setari model'!$B$62*MAX(IF(OR($CK65=1,$CL65=1),1,0),IF(AND($CJ65&lt;&gt;"",$CJ65&lt;=1),1,0))+'Setari model'!$B$63*IF(AND($CJ65&gt;1,$CJ65&lt;=3),1,0))</x:f>
      </x:c>
      <x:c r="DY65" s="118" t="str">
        <x:f>IF($A65="","",1+'Setari model'!$B$74*(IF($CY65="",0,IF($CY65=0,1,0))+IF($CZ65="",0,IF($CZ65=0,1,0)))+'Setari model'!$B$75*(IF($DA65="",0,IF($DA65=0,1,0))+IF($DB65="",0,IF($DB65=0,1,0))))</x:f>
      </x:c>
      <x:c r="DZ65" s="117" t="str">
        <x:f>IF($A65="","",MIN(0.6,MAX(0.002,(((1-'Setari model'!$B$34*MIN(1,($I65+$P65)/20))*$BT65+'Setari model'!$B$34*MIN(1,($I65+$P65)/20)*IF(COUNT($N65,$U65)=2,SQRT(MAX(0,1-$N65)*MAX(0,1-$U65)),$BT65))*(1-'Setari model'!$B$65*MIN(1,IF($AN65="",0,$AN65/'Setari model'!$B$64)))+'Setari model'!$B$65*MIN(1,IF($AN65="",0,$AN65/'Setari model'!$B$64))*IF($AM65="",$BT65,$AM65))*$DX65*$DY65/$DW65)))</x:f>
      </x:c>
      <x:c r="EA65" s="117" t="str">
        <x:f>IF($A65="","",MIN(1-$DZ65,IF(OR(MIN($I65,$P65)&lt;'Setari model'!$B$58,$CK65=1,$CL65=1,AND($CJ65&lt;&gt;"",$CJ65&lt;=1)),'Setari model'!$B$59,IF(AND($AU65=1,$AR65&gt;1,COUNT($CY65:$DB65)=4),'Setari model'!$B$61,'Setari model'!$B$60))))</x:f>
      </x:c>
      <x:c r="EB65" s="115" t="str">
        <x:f t="shared" si="69">IF($A65="","",1/$EA65)</x:f>
      </x:c>
      <x:c r="EC65" s="117" t="str">
        <x:f t="shared" si="70">IF($A65="","",IF($AR65&gt;1,IF($AS65&gt;1,(1/$AR65)/((1/$AR65)+(1/$AS65)),1/$AR65),""))</x:f>
      </x:c>
      <x:c r="ED65" s="117" t="str">
        <x:f t="shared" si="71">IF($A65="","",IF($EC65="","",$EA65-$EC65))</x:f>
      </x:c>
      <x:c r="EE65" s="117" t="str">
        <x:f t="shared" si="72">""</x:f>
      </x:c>
      <x:c r="EF65" s="119" t="str">
        <x:f>IF($A65="","",MAX(0,MIN(100,$CE65-200*MAX(0,$EG65-'Setari model'!$B$77)-IF($AU65&lt;&gt;1,10,0)-IF(COUNT($CY65:$DB65)&lt;4,4,0))))</x:f>
      </x:c>
      <x:c r="EG65" s="117" t="str">
        <x:f>IF($A65="","",'Setari model'!$B$77+IF(MIN($I65,$P65)&lt;'Setari model'!$B$58,0.03,0)+IF(OR($CK65=1,$CL65=1,AND($CJ65&lt;&gt;"",$CJ65&lt;=1)),0.03,0)+IF($AG65=0,0.02,0)+0.03*(1-MIN(1,COUNT($CM65:$CV65)/10))+0.03*(1-MIN(1,IF($AN65="",0,$AN65/'Setari model'!$B$64)))+IF($AR65&lt;=1,0.02,0))</x:f>
      </x:c>
      <x:c r="EH65" s="113" t="str">
        <x:f>IF($A65="","",IF(OR(MIN($I65,$P65)&lt;'Setari model'!$B$58,$CK65=1,$CL65=1,AND($CJ65&lt;&gt;"",$CJ65&lt;=1)),"92% – early/regim",IF(AND($AU65=1,$AR65&gt;1,COUNT($CY65:$DB65)=4),"94% – confirmat","93% – standard")))</x:f>
      </x:c>
      <x:c r="EI65" s="113" t="str">
        <x:f t="shared" si="73">IF($A65="","",IF(AND($EA65&gt;0.9,$AU65&lt;&gt;1),"WAIT XI – HIGH P",IF(AND($EA65&gt;0.9,COUNT($CY65:$DB65)&lt;4),"WAIT DATE CHEIE – HIGH P",IF($EP65&lt;&gt;"DA","NU – PORTOFOLIU","DA"))))</x:f>
      </x:c>
      <x:c r="EJ65" s="117" t="str">
        <x:f t="shared" si="74">IF($A65="","",IF($DE65&lt;&gt;"Live 20-30","",IF(SUM($DG65:$DH65)&gt;0,1,IF($EU65="","",1-MIN(0.95,MAX(0.001,EXP(-$EU65)*$DX65*$DY65/$DW65))))))</x:f>
      </x:c>
      <x:c r="EK65" s="117" t="str">
        <x:f t="shared" si="75">""</x:f>
      </x:c>
      <x:c r="EL65" s="113" t="str">
        <x:f>IF($A65="","",IF($DE65="Live 20-30",IF(SUM($DG65:$DH65)&gt;0,"EVENIMENT ÎNDEPLINIT",IF(OR($DF65="",COUNT($DI65:$DN65)&lt;4),"LIVE – WATCH",IF($EJ65&gt;=0.75,"LIVE – FEZABIL TEHNIC","LIVE – NO BET"))),IF($EI65&lt;&gt;"DA","WATCH / NO BET",IF(AND($EA65&gt;=INDEX('Setari model'!$B$35:$B$40,1),$EF65&gt;=100*'Setari model'!$B$76),"PARIU RECOMANDAT",IF(AND($EA65&gt;=INDEX('Setari model'!$B$35:$B$40,5),$EF65&gt;=100*'Setari model'!$B$40),"WATCH – APROAPE DE PRAG","PARIU EVITAT")))))</x:f>
      </x:c>
      <x:c r="EM65" s="113" t="str">
        <x:f t="shared" si="76">IF($A65="","",IF($DE65="Live 20-30",IF(SUM($DG65:$DH65)&gt;0,"Gol deja marcat.",IF($DF65="","Minut live lipsă.",IF(COUNT($DI65:$DN65)&lt;4,"Lipsesc xG/SOT/big chances live.",IF($EJ65&lt;0.75,"P live sub prag.","Semnal live tehnic complet; EV ignorat.")))),IF($EI65&lt;&gt;"DA",$EI65,IF($EF65&lt;75,"Confidence sub 75.",IF($EA65&lt;0.92,"P sub 92%.","G0/Zero-Mass + confidence trecute; EV ignorat.")))))</x:f>
      </x:c>
      <x:c r="EN65" s="117" t="str">
        <x:f>IF($A65="","",IF(OR($EL65="PARIU RECOMANDAT",$EL65="LIVE – FEZABIL"),MIN(IF($DU65&gt;0,$DU65,'Setari model'!$B$81)/MAX(1,$DR65),IF($DV65&gt;0,$DV65,'Setari model'!$B$80)*MAX(0,((IF($DE65="Live 20-30",$EJ65,$EA65)*IF($DE65="Live 20-30",$DQ65,$AR65)-1)/(IF($DE65="Live 20-30",$DQ65,$AR65)-1)))),0))</x:f>
      </x:c>
      <x:c r="EO65" s="121" t="str">
        <x:f t="shared" si="77">IF($A65="","",IF(AND($EN65&gt;0,$DT65&gt;0),$EN65*$DT65,""))</x:f>
      </x:c>
      <x:c r="EP65" s="113" t="str">
        <x:f>IF($A65="","",IF(OR($DR65&lt;1,$DR65&gt;'Setari model'!$B$78),"NU – 1–5 selecții",IF($DS65&gt;'Setari model'!$B$79,"NU – corelație", "DA")))</x:f>
      </x:c>
      <x:c r="EQ65" s="117" t="str">
        <x:f t="shared" si="78">IF($A65="","",IF(AND($DC65&gt;1,$DD65&gt;1),$DC65/$DD65-1,""))</x:f>
      </x:c>
      <x:c r="ER65" s="113" t="str">
        <x:f t="shared" si="79">IF($A65="","","P v2="&amp;TEXT($EA65,"0.0%")&amp;" ±"&amp;TEXT($EG65,"0.0%")&amp;"; P0 ZIP="&amp;TEXT($DZ65,"0.0%")&amp;"; Confidence="&amp;TEXT($EF65,"0")&amp;"/100; piață reală="&amp;IF($EC65="","NU","DA")&amp;"; EV="&amp;IF($EE65="","n/a",TEXT($EE65,"0.0%"))&amp;"; gate="&amp;$EI65&amp;"; verdict="&amp;$EL65&amp;". "&amp;$EM65)</x:f>
      </x:c>
      <x:c r="ES65" s="119" t="str">
        <x:f>IF($A65="","",'Setari model'!$B$82)</x:f>
      </x:c>
      <x:c r="ET65" s="118" t="str">
        <x:f>IF($A65="","",'Setari model'!$B$83)</x:f>
      </x:c>
      <x:c r="EU65" s="115" t="str">
        <x:f t="shared" si="80">IF(OR($A65="",$DE65&lt;&gt;"Live 20-30",$DF65="",$DF65&lt;$ES65,$DF65&gt;=90),"",MAX(0.05,MIN($BS65*$ET65,$BS65*(90-$DF65)/90+0.35*($DI65+$DJ65)+0.06*($DK65+$DL65)+0.15*($DM65+$DN65)+0.1*(MAX($DO65,$DP65)-MIN($DO65,$DP65)))))</x:f>
      </x:c>
      <x:c r="EV65" s="132"/>
      <x:c r="EW65" s="132"/>
      <x:c r="EX65" s="132"/>
      <x:c r="EY65" s="132"/>
      <x:c r="EZ65" s="132"/>
      <x:c r="FA65" s="132"/>
      <x:c r="FB65" s="247"/>
      <x:c r="FC65" s="134" t="str">
        <x:f t="shared" si="81">IF($A65="","",IF(OR($J65="",$L65="",$L65&lt;=0),"",MAX(0.5,MIN(1.5,$J65/$L65))))</x:f>
      </x:c>
      <x:c r="FD65" s="134" t="str">
        <x:f t="shared" si="82">IF($A65="","",IF(OR($Q65="",$S65="",$S65&lt;=0),"",MAX(0.5,MIN(1.5,$Q65/$S65))))</x:f>
      </x:c>
      <x:c r="FE65" s="134" t="str">
        <x:f>IF($A65="","",IF(COUNT($EV65:$EW65)&lt;2,"",SQRT($EV65*$EW65)/'Setari model'!$B$87))</x:f>
      </x:c>
      <x:c r="FF65" s="134" t="str">
        <x:f>IF($A65="","",IF(COUNT($O65,$V65,$EX65,$EY65)&lt;4,"",AVERAGE(SQRT($O65*$EY65),SQRT($V65*$EX65))/'Setari model'!$B$88))</x:f>
      </x:c>
      <x:c r="FG65" s="134" t="str">
        <x:f t="shared" si="83">IF($A65="","",IF(COUNT($FC65:$FD65)&lt;2,"",MAX(0,1-AVERAGE($FC65:$FD65))))</x:f>
      </x:c>
      <x:c r="FH65" s="134" t="str">
        <x:f>IF($A65="","",IF(COUNT($EZ65:$FA65)&lt;2,"",'Setari model'!$B$94*AVERAGE($EZ65:$FA65)/'Setari model'!$B$89))</x:f>
      </x:c>
      <x:c r="FI65" s="134" t="str">
        <x:f>IF($A65="","",IF(COUNT($FE65:$FH65)&lt;4,"",MAX('Setari model'!$B$97,MIN('Setari model'!$B$98,1+'Setari model'!$B$90*($FE65-1)+'Setari model'!$B$91*($FF65-1)+'Setari model'!$B$92*$FG65+'Setari model'!$B$93*($FH65-1)))))</x:f>
      </x:c>
      <x:c r="FJ65" s="133" t="str">
        <x:f>IF($A65="","",IF($FI65="","",MIN('Setari model'!$B$101,MAX(0.002,$DZ65*$FI65))))</x:f>
      </x:c>
      <x:c r="FK65" s="131" t="str">
        <x:f t="shared" si="84">IF($A65="","",IF(AND(COUNT($EV65:$FA65)=6,COUNT($O65,$V65,$FC65,$FD65)=4),"DA","NU"))</x:f>
      </x:c>
      <x:c r="FL65" s="131" t="str">
        <x:f>IF($A65="","",IF($FK65&lt;&gt;"DA","NEDETERMINAT",IF($FI65&lt;='Setari model'!$B$99,"SCĂZUT",IF($FI65&lt;='Setari model'!$B$100,"MEDIU","RIDICAT"))))</x:f>
      </x:c>
      <x:c r="FM65" s="131" t="str">
        <x:f>IF($A65="","",IF(AND($AR65&gt;1,$EC65&gt;='Setari model'!$B$106),"DA","NU"))</x:f>
      </x:c>
      <x:c r="FN65" s="131" t="str">
        <x:f t="shared" si="85">IF($A65="","",IF(AND($AU65=1,COUNT($CY65:$DB65)=4),"DA","NU"))</x:f>
      </x:c>
      <x:c r="FO65" s="133" t="str">
        <x:f>IF($A65="","",IF(OR($FK65&lt;&gt;"DA",$FL65="RIDICAT"),'Setari model'!$B$102,IF($FL65="MEDIU",'Setari model'!$B$103,IF(AND($FM65="DA",$FN65="DA"),'Setari model'!$B$105,'Setari model'!$B$104))))</x:f>
      </x:c>
      <x:c r="FP65" s="133" t="str">
        <x:f t="shared" si="86">IF($A65="","",IF($FJ65="","",MIN(1-$FJ65,$FO65)))</x:f>
      </x:c>
      <x:c r="FQ65" s="135" t="str">
        <x:f t="shared" si="87">IF($A65="","",IF($FP65="","",IF($FP65&gt;0,1/$FP65,"")))</x:f>
      </x:c>
      <x:c r="FR65" s="133" t="str">
        <x:f t="shared" si="88">IF($A65="","",IF($EC65="","",$FP65-$EC65))</x:f>
      </x:c>
      <x:c r="FS65" s="133" t="str">
        <x:f t="shared" si="89">IF($A65="","",IF($AR65&gt;1,$FP65*$AR65-1,""))</x:f>
      </x:c>
      <x:c r="FT65" s="136" t="str">
        <x:f>IF($A65="","",MAX(0,MIN(100,$EF65-IF($FK65&lt;&gt;"DA",'Setari model'!$B$107,0)-IF($FL65="MEDIU",'Setari model'!$B$108,0)-IF($FL65="RIDICAT",'Setari model'!$B$109,0))))</x:f>
      </x:c>
      <x:c r="FU65" s="131" t="str">
        <x:f t="shared" si="90">IF($A65="","",IF($AR65&lt;=1,"NU – LIPSEȘTE COTA REALĂ",IF($FK65&lt;&gt;"DA","NU – ZERO-RISK INCOMPLET",IF($FL65&lt;&gt;"SCĂZUT","NU – RISC 0-0 "&amp;$FL65,IF($FN65&lt;&gt;"DA","NU – LINEUP NECONFIRMAT",IF($FM65&lt;&gt;"DA","NU – PIAȚĂ NECONFIRMATĂ",IF($EP65&lt;&gt;"DA","NU – PORTOFOLIU","DA")))))))</x:f>
      </x:c>
      <x:c r="FV65" s="131" t="str">
        <x:f>IF($A65="","",IF($FU65&lt;&gt;"DA","WATCH / NO BET",IF(AND($FP65&gt;='Setari model'!$B$35,$FT65&gt;=100*'Setari model'!$B$76,$FS65&gt;0),"PARIU RECOMANDAT",IF(AND($FP65&gt;='Setari model'!$B$39,$FT65&gt;=100*'Setari model'!$B$40,$FS65&gt;0),"WATCH – APROAPE DE PRAG","PARIU EVITAT"))))</x:f>
      </x:c>
      <x:c r="FW65" s="131" t="str">
        <x:f t="shared" si="91">IF($A65="","",IF($FU65&lt;&gt;"DA",$FU65,IF($FT65&lt;75,"Confidence v3 sub 75.",IF($FP65&lt;0.92,"P v3 sub 92%.",IF($FS65&lt;=0,"EV v3 nepozitiv.","P0 v3, lineup și piață confirmate.")))))</x:f>
      </x:c>
      <x:c r="FX65" s="131" t="str">
        <x:f t="shared" si="92">IF($A65="","","P v3="&amp;TEXT($FP65,"0.0%")&amp;"; P0 v3="&amp;TEXT($FJ65,"0.0%")&amp;"; factor zero="&amp;IF($FI65="","n/a",TEXT($FI65,"0.00x"))&amp;" ("&amp;$FL65&amp;"); cap="&amp;TEXT($FO65,"0.0%")&amp;"; Confidence="&amp;TEXT($FT65,"0")&amp;"/100; lineup="&amp;$FN65&amp;"; piață="&amp;$FM65&amp;"; EV="&amp;IF($FS65="","n/a",TEXT($FS65,"0.0%"))&amp;"; gate="&amp;$FU65&amp;"; verdict="&amp;$FV65&amp;". "&amp;$FW65)</x:f>
      </x:c>
      <x:c r="FY65" s="159"/>
      <x:c r="FZ65" s="159"/>
      <x:c r="GA65" s="157"/>
      <x:c r="GB65" s="157"/>
      <x:c r="GC65" s="161" t="str">
        <x:f t="shared" si="93">IF($A65="","",IF(OR($X65="",$Z65="",$Z65&lt;=0),"",MAX(0.5,MIN(1.5,$X65/$Z65))))</x:f>
      </x:c>
      <x:c r="GD65" s="161" t="str">
        <x:f t="shared" si="94">IF($A65="","",IF(OR($AC65="",$AE65="",$AE65&lt;=0),"",MAX(0.5,MIN(1.5,$AC65/$AE65))))</x:f>
      </x:c>
      <x:c r="GE65" s="162" t="str">
        <x:f t="shared" si="95">IF($A65="","",IF(COUNT($Z65,$AE65)&lt;2,"",AVERAGE($Z65,$AE65)))</x:f>
      </x:c>
      <x:c r="GF65" s="158" t="str">
        <x:f>IF($A65="","",IF(COUNT($FY65:$FZ65)&lt;2,"NEDETERMINAT",IF(AND($FY65&gt;='Setari model'!$B$113,$FZ65&gt;='Setari model'!$B$113),"DA","NU")))</x:f>
      </x:c>
      <x:c r="GG65" s="158" t="str">
        <x:f>IF($A65="","",IF(COUNT($FY65:$FZ65,$EX65:$EY65)&lt;4,"NEDETERMINAT",IF(OR(AND($FY65&gt;='Setari model'!$B$113,$EY65&gt;='Setari model'!$B$114),AND($FZ65&gt;='Setari model'!$B$113,$EX65&gt;='Setari model'!$B$114)),"DA","NU")))</x:f>
      </x:c>
      <x:c r="GH65" s="158" t="str">
        <x:f>IF($A65="","",IF(COUNT($BJ65:$BN65,$GC65:$GE65)&lt;8,"NEDETERMINAT",IF(AND((($BJ65*INDEX('Setari model'!$B$5:$B$11,MATCH($E65,'Setari model'!$A$5:$A$11,0))+$BK65*INDEX('Setari model'!$C$5:$C$11,MATCH($E65,'Setari model'!$A$5:$A$11,0))+$BL65*INDEX('Setari model'!$D$5:$D$11,MATCH($E65,'Setari model'!$A$5:$A$11,0))+$BM65*INDEX('Setari model'!$E$5:$E$11,MATCH($E65,'Setari model'!$A$5:$A$11,0))+$BN65*INDEX('Setari model'!$F$5:$F$11,MATCH($E65,'Setari model'!$A$5:$A$11,0)))/(INDEX('Setari model'!$B$5:$B$11,MATCH($E65,'Setari model'!$A$5:$A$11,0))+INDEX('Setari model'!$C$5:$C$11,MATCH($E65,'Setari model'!$A$5:$A$11,0))+INDEX('Setari model'!$D$5:$D$11,MATCH($E65,'Setari model'!$A$5:$A$11,0))+INDEX('Setari model'!$E$5:$E$11,MATCH($E65,'Setari model'!$A$5:$A$11,0))+INDEX('Setari model'!$F$5:$F$11,MATCH($E65,'Setari model'!$A$5:$A$11,0))))*$BR65&gt;='Setari model'!$B$115,(($BJ65*INDEX('Setari model'!$B$5:$B$11,MATCH($E65,'Setari model'!$A$5:$A$11,0))+$BK65*INDEX('Setari model'!$C$5:$C$11,MATCH($E65,'Setari model'!$A$5:$A$11,0))+$BL65*INDEX('Setari model'!$D$5:$D$11,MATCH($E65,'Setari model'!$A$5:$A$11,0))+$BM65*INDEX('Setari model'!$E$5:$E$11,MATCH($E65,'Setari model'!$A$5:$A$11,0))+$BN65*INDEX('Setari model'!$F$5:$F$11,MATCH($E65,'Setari model'!$A$5:$A$11,0)))/(INDEX('Setari model'!$B$5:$B$11,MATCH($E65,'Setari model'!$A$5:$A$11,0))+INDEX('Setari model'!$C$5:$C$11,MATCH($E65,'Setari model'!$A$5:$A$11,0))+INDEX('Setari model'!$D$5:$D$11,MATCH($E65,'Setari model'!$A$5:$A$11,0))+INDEX('Setari model'!$E$5:$E$11,MATCH($E65,'Setari model'!$A$5:$A$11,0))+INDEX('Setari model'!$F$5:$F$11,MATCH($E65,'Setari model'!$A$5:$A$11,0))))*$BR65&lt;='Setari model'!$B$116,AVERAGE($GC65:$GD65)&lt;='Setari model'!$B$117,$GE65&gt;='Setari model'!$B$118),"DA","NU")))</x:f>
      </x:c>
      <x:c r="GI65" s="158" t="str">
        <x:f>IF($A65="","",IF(COUNT($W65,$AB65,$GA65:$GB65)&lt;4,"NEDETERMINAT",IF(AND($W65&gt;='Setari model'!$B$120,$AB65&gt;='Setari model'!$B$120,OR(IFERROR($GA65/$W65,0)&gt;='Setari model'!$B$119,IFERROR($GB65/$AB65,0)&gt;='Setari model'!$B$119)),"DA","NU")))</x:f>
      </x:c>
      <x:c r="GJ65" s="160" t="str">
        <x:f>IF($A65="","",IF(COUNT($FY65:$GB65)&lt;4,"",IF($GH65&lt;&gt;"DA",0,'Setari model'!$B$121*IF($GF65="DA",1,0)+'Setari model'!$B$122*IF($GG65="DA",1,0)+'Setari model'!$B$123+'Setari model'!$B$124*IF($GI65="DA",1,0))))</x:f>
      </x:c>
      <x:c r="GK65" s="161" t="str">
        <x:f>IF($A65="","",IF(COUNT($GJ65)=0,"",1+'Setari model'!$B$125*$GJ65))</x:f>
      </x:c>
      <x:c r="GL65" s="160" t="str">
        <x:f>IF($A65="","",IF($GM65&lt;&gt;"DA",$FJ65,MIN('Setari model'!$B$101,MAX(0.002,$FJ65*$GK65))))</x:f>
      </x:c>
      <x:c r="GM65" s="158" t="str">
        <x:f>IF($A65="","",IF(AND($FK65="DA",COUNT($FY65:$GB65)=4,COUNT($I65,$P65,$W65,$AB65,$Z65,$AE65,$EX65,$EY65,$GC65,$GD65)=10,COUNT($BJ65:$BN65)=5),"DA","NU"))</x:f>
      </x:c>
      <x:c r="GN65" s="158" t="str">
        <x:f>IF($A65="","",IF($GM65&lt;&gt;"DA","NEDETERMINAT",IF($FI65*$GK65&lt;='Setari model'!$B$99,"SCĂZUT",IF($FI65*$GK65&lt;='Setari model'!$B$100,"MEDIU","RIDICAT"))))</x:f>
      </x:c>
      <x:c r="GO65" s="160" t="str">
        <x:f>IF($A65="","",IF(OR($GM65&lt;&gt;"DA",$GN65="RIDICAT"),'Setari model'!$B$102,IF($GN65="MEDIU",'Setari model'!$B$103,IF(AND($FM65="DA",$FN65="DA"),'Setari model'!$B$105,'Setari model'!$B$104))))</x:f>
      </x:c>
      <x:c r="GP65" s="160" t="str">
        <x:f t="shared" si="96">IF($A65="","",IF($GL65="","",MIN(1-$GL65,$GO65)))</x:f>
      </x:c>
      <x:c r="GQ65" s="162" t="str">
        <x:f t="shared" si="97">IF($A65="","",IF($GP65="","",IF($GP65&gt;0,1/$GP65,"")))</x:f>
      </x:c>
      <x:c r="GR65" s="160" t="str">
        <x:f t="shared" si="98">IF($A65="","",IF($EC65="","",$GP65-$EC65))</x:f>
      </x:c>
      <x:c r="GS65" s="160" t="str">
        <x:f t="shared" si="99">IF($A65="","",IF($AR65&gt;1,$GP65*$AR65-1,""))</x:f>
      </x:c>
      <x:c r="GT65" s="163" t="str">
        <x:f>IF($A65="","",MAX(0,MIN(100,$FT65-IF(AND($GM65&lt;&gt;"DA",$FK65="DA"),'Setari model'!$B$107,0)-'Setari model'!$B$126*IF($GJ65="",0,$GJ65))))</x:f>
      </x:c>
      <x:c r="GU65" s="158" t="str">
        <x:f t="shared" si="100">IF($A65="","",IF($AR65&lt;=1,"NU – LIPSEȘTE COTA REALĂ",IF($GM65&lt;&gt;"DA","NU – DATE LOW-CONVERSION INCOMPLETE",IF($GN65&lt;&gt;"SCĂZUT","NU – RISC 0-0 "&amp;$GN65,IF($FN65&lt;&gt;"DA","NU – LINEUP NECONFIRMAT",IF($FM65&lt;&gt;"DA","NU – PIAȚĂ NECONFIRMATĂ",IF($EP65&lt;&gt;"DA","NU – PORTOFOLIU","DA")))))))</x:f>
      </x:c>
      <x:c r="GV65" s="158" t="str">
        <x:f>IF($A65="","",IF($GU65&lt;&gt;"DA","WATCH / NO BET",IF(AND($GP65&gt;='Setari model'!$B$35,$GT65&gt;=100*'Setari model'!$B$76,$GS65&gt;0),"PARIU RECOMANDAT",IF(AND($GP65&gt;='Setari model'!$B$39,$GT65&gt;=100*'Setari model'!$B$40,$GS65&gt;0),"WATCH – APROAPE DE PRAG","PARIU EVITAT"))))</x:f>
      </x:c>
      <x:c r="GW65" s="158" t="str">
        <x:f t="shared" si="101">IF($A65="","",IF($GU65&lt;&gt;"DA",$GU65,IF($GT65&lt;75,"Confidence v5 sub 75.",IF($GP65&lt;0.92,"P v5 sub 92%.",IF($GS65&lt;=0,"EV v5 nepozitiv.",IF($GJ65&gt;0,"Low-conversion absorbit în P0; toate porțile rămân trecute.","Toate porțile v5 sunt trecute."))))))</x:f>
      </x:c>
      <x:c r="GX65" s="158" t="str">
        <x:f t="shared" si="102">IF($A65="","","P v5="&amp;TEXT($GP65,"0.0%")&amp;"; P0 v5="&amp;TEXT($GL65,"0.0%")&amp;"; low-conv="&amp;IF(COUNT($GJ65)=0,"n/a",TEXT($GJ65,"0%"))&amp;"; mult.P0="&amp;IF(COUNT($GK65)=0,"n/a",TEXT($GK65,"0.00"))&amp;"; clasă="&amp;$GN65&amp;"; cap="&amp;TEXT($GO65,"0.0%")&amp;"; Confidence="&amp;TEXT($GT65,"0")&amp;"/100; lineup="&amp;$FN65&amp;"; piață="&amp;$FM65&amp;"; EV="&amp;IF($GS65="","n/a",TEXT($GS65,"0.0%"))&amp;"; gate="&amp;$GU65&amp;"; verdict="&amp;$GV65&amp;". "&amp;$GW65)</x:f>
      </x:c>
      <x:c r="GY65" s="174" t="str">
        <x:f>IF($A65="","",IF($GM65&lt;&gt;"DA","SOURCING INCOMPLETE – REVIEW REQUIRED",IF(MIN($I65,$P65,$W65,$AB65)&lt;'Setari model'!$B$58,"SMALL SAMPLE + PRIOR / SHRINKAGE","VERIFIED / PRIOR / SHRINKAGE")))</x:f>
      </x:c>
      <x:c r="GZ65" s="175" t="str">
        <x:f t="shared" si="103">IF($A65="","",MAX(0,MIN(100,100*(1-AVERAGE(IF($GM65="DA",1,0),MIN(1,$AT65/5))))))</x:f>
      </x:c>
      <x:c r="HA65" s="175" t="str">
        <x:f>IF($A65="","",IF($GM65&lt;&gt;"DA","",MAX(0,MIN(100,100*(($FI65*$GK65)-'Setari model'!$B$97)/('Setari model'!$B$98-'Setari model'!$B$97)))))</x:f>
      </x:c>
      <x:c r="HB65" s="175" t="str">
        <x:f>IF($A65="","",MAX(0,MIN(100,100*(ABS($BR65-1)/MAX(1-'Setari model'!$B$53,'Setari model'!$B$54-1)+MIN(1,$BG65/2))/2)))</x:f>
      </x:c>
      <x:c r="HC65" s="175" t="str">
        <x:f t="shared" si="104">IF($A65="","",MAX(0,MIN(100,100*(1-AVERAGE($CC65,MAX(0,1-(MAX($BJ65:$BN65)-MIN($BJ65:$BN65))/(AVERAGE($BJ65:$BN65)*'Setari model'!$B$45)))))))</x:f>
      </x:c>
      <x:c r="HD65" s="175" t="str">
        <x:f t="shared" si="105">IF($A65="","",MAX(0,MIN(100,100*MAX(IF($GJ65="",0,$GJ65),MIN(1,$BG65/2)))))</x:f>
      </x:c>
      <x:c r="HE65" s="175" t="str">
        <x:f>IF($A65="","",IF(COUNT($GZ65:$HD65)&lt;5,"",$GZ65*Risk_Classification!$E$28+$HA65*Risk_Classification!$E$29+$HB65*Risk_Classification!$E$30+$HC65*Risk_Classification!$E$31+$HD65*Risk_Classification!$E$32))</x:f>
      </x:c>
      <x:c r="HF65" s="176" t="str">
        <x:f t="shared" si="106">IF($A65="","",IF($HE65="","",IF($HE65&lt;=20,1,IF($HE65&lt;=40,2,IF($HE65&lt;=60,3,IF($HE65&lt;=80,4,5))))))</x:f>
      </x:c>
      <x:c r="HG65" s="176" t="str">
        <x:f t="shared" si="107">IF($A65="","",IF($GM65="DA","PASS","FAIL – DATE CRITICE ZERO-MASS INCOMPLETE"))</x:f>
      </x:c>
      <x:c r="HH65" s="176" t="str">
        <x:f t="shared" si="108">IF($A65="","",IF($HG65&lt;&gt;"PASS",5,$HF65))</x:f>
      </x:c>
      <x:c r="HI65" s="174" t="str">
        <x:f t="shared" si="109">IF($A65="","",IF($HH65="","N/A",IF($HH65=1,"DEFENSIV",IF($HH65=2,"PRUDENT",IF($HH65=3,"MODERAT",IF($HH65=4,"RIDICAT","WATCH / NO BET"))))))</x:f>
      </x:c>
      <x:c r="HJ65" s="177" t="str">
        <x:f t="shared" si="110">IF($A65="","","Data="&amp;$GY65&amp;"; DQ="&amp;TEXT($GZ65,"0.0")&amp;"; ZM="&amp;IF($HA65="","n/a",TEXT($HA65,"0.0"))&amp;"; Context="&amp;TEXT($HB65,"0.0")&amp;"; Uncertainty="&amp;TEXT($HC65,"0.0")&amp;"; Compound="&amp;TEXT($HD65,"0.0")&amp;"; Risk Score="&amp;IF($HE65="","n/a",TEXT($HE65,"0.0"))&amp;"; Base="&amp;IF($HF65="","n/a",$HF65)&amp;"; G0="&amp;$HG65&amp;"; Final="&amp;$HH65&amp;". Cota, EV si lineup sunt informative si nu intra in recomandare.")</x:f>
      </x:c>
      <x:c r="HK65" s="174" t="str">
        <x:f t="shared" si="111">IF($A65="","",$HI65)</x:f>
      </x:c>
    </x:row>
    <x:row r="66" ht="24" customHeight="1">
      <x:c r="A66" s="58"/>
      <x:c r="B66" s="24"/>
      <x:c r="C66" s="59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18"/>
      <x:c r="O66" s="18"/>
      <x:c r="P66" s="24"/>
      <x:c r="Q66" s="24"/>
      <x:c r="R66" s="24"/>
      <x:c r="S66" s="24"/>
      <x:c r="T66" s="24"/>
      <x:c r="U66" s="18"/>
      <x:c r="V66" s="18"/>
      <x:c r="W66" s="24"/>
      <x:c r="X66" s="24"/>
      <x:c r="Y66" s="24"/>
      <x:c r="Z66" s="24"/>
      <x:c r="AA66" s="24"/>
      <x:c r="AB66" s="24"/>
      <x:c r="AC66" s="24"/>
      <x:c r="AD66" s="24"/>
      <x:c r="AE66" s="24"/>
      <x:c r="AF66" s="24"/>
      <x:c r="AG66" s="24"/>
      <x:c r="AH66" s="24"/>
      <x:c r="AI66" s="18"/>
      <x:c r="AJ66" s="24"/>
      <x:c r="AK66" s="24"/>
      <x:c r="AL66" s="24"/>
      <x:c r="AM66" s="18"/>
      <x:c r="AN66" s="24"/>
      <x:c r="AO66" s="60"/>
      <x:c r="AP66" s="60"/>
      <x:c r="AQ66" s="60"/>
      <x:c r="AR66" s="60"/>
      <x:c r="AS66" s="60"/>
      <x:c r="AT66" s="24"/>
      <x:c r="AU66" s="24"/>
      <x:c r="AV66" s="24"/>
      <x:c r="AW66" s="24"/>
      <x:c r="AX66" s="24"/>
      <x:c r="AY66" s="24"/>
      <x:c r="AZ66" s="24"/>
      <x:c r="BA66" s="24"/>
      <x:c r="BB66" s="24"/>
      <x:c r="BC66" s="24"/>
      <x:c r="BD66" s="24"/>
      <x:c r="BE66" s="24"/>
      <x:c r="BF66" s="24"/>
      <x:c r="BG66" s="24"/>
      <x:c r="BH66" s="61"/>
      <x:c r="BI66" s="61"/>
      <x:c r="BJ66" s="62" t="str">
        <x:f>IF($A66="","",SQRT((($I66*IF($J66="",$AJ66,$J66)+'Setari model'!$B$30*$AJ66)/($I66+'Setari model'!$B$30))*(($P66*IF($R66="",$AJ66,$R66)+'Setari model'!$B$30*$AJ66)/($P66+'Setari model'!$B$30)))+SQRT((($P66*IF($Q66="",$AK66,$Q66)+'Setari model'!$B$30*$AK66)/($P66+'Setari model'!$B$30))*(($I66*IF($K66="",$AK66,$K66)+'Setari model'!$B$30*$AK66)/($I66+'Setari model'!$B$30))))</x:f>
      </x:c>
      <x:c r="BK66" s="62" t="str">
        <x:f>IF($A66="","",SQRT((($I66*IF($L66="",IF($J66="",$AJ66,$J66),$L66)+'Setari model'!$B$30*$AJ66)/($I66+'Setari model'!$B$30))*(($P66*IF($T66="",IF($R66="",$AJ66,$R66),$T66)+'Setari model'!$B$30*$AJ66)/($P66+'Setari model'!$B$30)))+SQRT((($P66*IF($S66="",IF($Q66="",$AK66,$Q66),$S66)+'Setari model'!$B$30*$AK66)/($P66+'Setari model'!$B$30))*(($I66*IF($M66="",IF($K66="",$AK66,$K66),$M66)+'Setari model'!$B$30*$AK66)/($I66+'Setari model'!$B$30))))</x:f>
      </x:c>
      <x:c r="BL66" s="62" t="str">
        <x:f>IF($A66="","",SQRT((($W66*IF($X66="",$AL66/2,$X66)+'Setari model'!$B$31*$AL66/2)/($W66+'Setari model'!$B$31))*(($AB66*IF($AD66="",$AL66/2,$AD66)+'Setari model'!$B$31*$AL66/2)/($AB66+'Setari model'!$B$31)))+SQRT((($AB66*IF($AC66="",$AL66/2,$AC66)+'Setari model'!$B$31*$AL66/2)/($AB66+'Setari model'!$B$31))*(($W66*IF($Y66="",$AL66/2,$Y66)+'Setari model'!$B$31*$AL66/2)/($W66+'Setari model'!$B$31))))</x:f>
      </x:c>
      <x:c r="BM66" s="62" t="str">
        <x:f>IF($A66="","",SQRT((($W66*IF($Z66="",IF($X66="",$AL66/2,$X66),$Z66)+'Setari model'!$B$31*$AL66/2)/($W66+'Setari model'!$B$31))*(($AB66*IF($AF66="",IF($AD66="",$AL66/2,$AD66),$AF66)+'Setari model'!$B$31*$AL66/2)/($AB66+'Setari model'!$B$31)))+SQRT((($AB66*IF($AE66="",IF($AC66="",$AL66/2,$AC66),$AE66)+'Setari model'!$B$31*$AL66/2)/($AB66+'Setari model'!$B$31))*(($W66*IF($AA66="",IF($Y66="",$AL66/2,$Y66),$AA66)+'Setari model'!$B$31*$AL66/2)/($W66+'Setari model'!$B$31))))</x:f>
      </x:c>
      <x:c r="BN66" s="62" t="str">
        <x:f t="shared" si="56">IF($A66="","",IF($AG66&gt;0,($AG66*IF($AH66="",$AL66,$AH66)+5*$AL66)/($AG66+5),$AL66))</x:f>
      </x:c>
      <x:c r="BO66" s="63" t="str">
        <x:f>IF($A66="","",IF($AR66&gt;1,IF($AS66&gt;1,(1/$AR66)/((1/$AR66+1/$AS66)),MIN(0.995,(1/$AR66)/(1+'Setari model'!$B$32))),1-EXP(-$AL66)))</x:f>
      </x:c>
      <x:c r="BP66" s="62" t="str">
        <x:f t="shared" si="57">IF($A66="","",-LN(1-$BO66))</x:f>
      </x:c>
      <x:c r="BQ66" s="62" t="str">
        <x:f>IF($A66="","",$BJ66*INDEX('Setari model'!$B$5:$B$11,MATCH($E66,'Setari model'!$A$5:$A$11,0))+$BK66*INDEX('Setari model'!$C$5:$C$11,MATCH($E66,'Setari model'!$A$5:$A$11,0))+$BL66*INDEX('Setari model'!$D$5:$D$11,MATCH($E66,'Setari model'!$A$5:$A$11,0))+$BM66*INDEX('Setari model'!$E$5:$E$11,MATCH($E66,'Setari model'!$A$5:$A$11,0))+$BN66*INDEX('Setari model'!$F$5:$F$11,MATCH($E66,'Setari model'!$A$5:$A$11,0))+$BP66*INDEX('Setari model'!$G$5:$G$11,MATCH($E66,'Setari model'!$A$5:$A$11,0)))</x:f>
      </x:c>
      <x:c r="BR66" s="64" t="str">
        <x:f>IF($A66="","",MAX('Setari model'!$B$53,MIN('Setari model'!$B$54,1+($AV66*'Setari model'!$B$15+$AW66*'Setari model'!$B$16+$AX66*'Setari model'!$B$17+$AY66*'Setari model'!$B$18+$AZ66*'Setari model'!$B$19+$BA66*'Setari model'!$B$20+$BB66*'Setari model'!$B$21+$BC66*'Setari model'!$B$22+$BD66*'Setari model'!$B$23+$BE66*'Setari model'!$B$24+$BF66*'Setari model'!$B$25)*INDEX('Setari model'!$H$5:$H$11,MATCH($E66,'Setari model'!$A$5:$A$11,0)))))</x:f>
      </x:c>
      <x:c r="BS66" s="62" t="str">
        <x:f t="shared" si="58">IF($A66="","",$BQ66*$BR66)</x:f>
      </x:c>
      <x:c r="BT66" s="63" t="str">
        <x:f t="shared" si="59">IF($A66="","",EXP(-$BS66))</x:f>
      </x:c>
      <x:c r="BU66" s="65" t="str">
        <x:f>IF($A66="","",IF(OR($AM66="",$AN66=""),1,1+MIN('Setari model'!$B$33,$AN66/100*'Setari model'!$B$33)*($AM66/EXP(-$AL66)-1)))</x:f>
      </x:c>
      <x:c r="BV66" s="63" t="str">
        <x:f>IF($A66="","",MIN(0.45,MAX(0.005,(1-'Setari model'!$B$34*MIN(1,($I66+$P66)/20))*MIN(0.45,$BT66*$BU66)+'Setari model'!$B$34*MIN(1,($I66+$P66)/20)*IF(COUNT($N66,$U66)=2,SQRT(MAX(0,1-$N66)*MAX(0,1-$U66)),IF($AM66="",EXP(-$AL66),$AM66)))))</x:f>
      </x:c>
      <x:c r="BW66" s="63" t="str">
        <x:f t="shared" si="60">IF($A66="","",1-$BV66)</x:f>
      </x:c>
      <x:c r="BX66" s="62" t="str">
        <x:f t="shared" si="61">IF($A66="","",1/$BW66)</x:f>
      </x:c>
      <x:c r="BY66" s="63" t="str">
        <x:f t="shared" si="62">IF($A66="","",$BO66)</x:f>
      </x:c>
      <x:c r="BZ66" s="63" t="str">
        <x:f t="shared" si="63">IF($A66="","",$BW66-$BY66)</x:f>
      </x:c>
      <x:c r="CA66" s="63" t="str">
        <x:f t="shared" si="64">IF($A66="","",IF($AR66&gt;1,$BW66*$AR66-1,""))</x:f>
      </x:c>
      <x:c r="CB66" s="63" t="str">
        <x:f>IF($A66="","",MIN(1,COUNT($I66:$AN66,$AR66:$BG66)/'Setari model'!$B$46))</x:f>
      </x:c>
      <x:c r="CC66" s="63" t="str">
        <x:f t="shared" si="65">IF($A66="","",0.25*MIN(1,$I66/10)+0.25*MIN(1,$P66/10)+0.15*MIN(1,$W66/5)+0.15*MIN(1,$AB66/5)+0.1*MIN(1,$AG66/5)+0.1*MIN(1,$AN66/100))</x:f>
      </x:c>
      <x:c r="CD66" s="63" t="str">
        <x:f>IF($A66="","",MAX(0,1-(MAX($BJ66:$BN66,$BP66)-MIN($BJ66:$BN66,$BP66))/(AVERAGE($BJ66:$BN66,$BP66)*'Setari model'!$B$45)))</x:f>
      </x:c>
      <x:c r="CE66" s="66" t="str">
        <x:f>IF($A66="","",MAX(0,MIN(100,100*INDEX('Setari model'!$I$5:$I$11,MATCH($E66,'Setari model'!$A$5:$A$11,0))*('Setari model'!$B$47*$CB66+'Setari model'!$B$48*$CC66+'Setari model'!$B$49*$CD66+'Setari model'!$B$50*$AT66/5+'Setari model'!$B$51*$AU66)-100*'Setari model'!$B$52*$BG66)))</x:f>
      </x:c>
      <x:c r="CF66" s="65" t="str">
        <x:f t="shared" si="66">IF($A66="","",IF(OR($AT66&lt;3,$BG66&gt;=2,$CB66&lt;0.55,$CC66&lt;0.4),"RIDICAT",IF(OR($AU66=0,$CD66&lt;0.45,$BR66&lt;0.9),"MEDIU","SCĂZUT")))</x:f>
      </x:c>
      <x:c r="CG66" s="65" t="str">
        <x:f>IF($A66="","",IF($AR66&gt;1,IF(AND($BW66&gt;= 'Setari model'!$B$35,$CE66&gt;=100*'Setari model'!$B$36,$BZ66&gt;= 'Setari model'!$B$37,$CA66&gt;= 'Setari model'!$B$38,$CF66&lt;&gt;"RIDICAT"),"PARIU RECOMANDAT",IF(AND($BW66&gt;= 'Setari model'!$B$39,$CE66&gt;=100*'Setari model'!$B$40,$BZ66&gt;= 'Setari model'!$B$41,$CA66&gt;=0,$CF66&lt;&gt;"RIDICAT"),"RECOMANDAT CU PRUDENȚĂ",IF(AND($BW66&gt;= 'Setari model'!$B$42,$CE66&gt;=100*'Setari model'!$B$43),"ANALIZĂ NECONCLUDENTĂ","PARIU EVITAT"))),IF(AND($BW66&gt;= 'Setari model'!$B$35,$CE66&gt;=100*'Setari model'!$B$36,$CF66&lt;&gt;"RIDICAT"),"FAVORABIL STATISTIC – VERIFICĂ COTA",IF(AND($BW66&gt;= 'Setari model'!$B$42,$CE66&gt;=100*'Setari model'!$B$43),"ANALIZĂ NECONCLUDENTĂ","PARIU EVITAT"))))</x:f>
      </x:c>
      <x:c r="CH66" s="67" t="str">
        <x:f t="shared" si="67">IF($A66="","","P(O0,5)="&amp;TEXT($BW66,"0.0%")&amp;"; λ ajustat="&amp;TEXT($BS66,"0.00")&amp;"; Confidence="&amp;TEXT($CE66,"0")&amp;"/100; Edge="&amp;TEXT($BZ66,"0.0%")&amp;"; risc="&amp;$CF66&amp;". "&amp;$BH66)</x:f>
      </x:c>
      <x:c r="CI66" s="68" t="str">
        <x:f t="shared" si="68">IF($A66="","",$BI66)</x:f>
      </x:c>
      <x:c r="CJ66" s="112"/>
      <x:c r="CK66" s="112"/>
      <x:c r="CL66" s="112"/>
      <x:c r="CM66" s="112"/>
      <x:c r="CN66" s="112"/>
      <x:c r="CO66" s="112"/>
      <x:c r="CP66" s="112"/>
      <x:c r="CQ66" s="112"/>
      <x:c r="CR66" s="112"/>
      <x:c r="CS66" s="112"/>
      <x:c r="CT66" s="112"/>
      <x:c r="CU66" s="112"/>
      <x:c r="CV66" s="112"/>
      <x:c r="CW66" s="112"/>
      <x:c r="CX66" s="112"/>
      <x:c r="CY66" s="112"/>
      <x:c r="CZ66" s="112"/>
      <x:c r="DA66" s="112"/>
      <x:c r="DB66" s="112"/>
      <x:c r="DC66" s="114"/>
      <x:c r="DD66" s="114"/>
      <x:c r="DE66" s="112" t="s">
        <x:v>266</x:v>
      </x:c>
      <x:c r="DF66" s="112"/>
      <x:c r="DG66" s="112"/>
      <x:c r="DH66" s="112"/>
      <x:c r="DI66" s="112"/>
      <x:c r="DJ66" s="112"/>
      <x:c r="DK66" s="112"/>
      <x:c r="DL66" s="112"/>
      <x:c r="DM66" s="112"/>
      <x:c r="DN66" s="112"/>
      <x:c r="DO66" s="112"/>
      <x:c r="DP66" s="112"/>
      <x:c r="DQ66" s="114"/>
      <x:c r="DR66" s="112">
        <x:v>1</x:v>
      </x:c>
      <x:c r="DS66" s="116">
        <x:v>0</x:v>
      </x:c>
      <x:c r="DT66" s="120"/>
      <x:c r="DU66" s="116">
        <x:v>0.02</x:v>
      </x:c>
      <x:c r="DV66" s="116">
        <x:v>0.25</x:v>
      </x:c>
      <x:c r="DW66" s="118" t="str">
        <x:f>IF($A66="","",MAX('Setari model'!$B$71,MIN('Setari model'!$B$72,1+0.08*(IFERROR(AVERAGE($CM66:$CN66)/'Setari model'!$B$66,1)-1)+0.08*(IFERROR(AVERAGE($CO66:$CP66)/'Setari model'!$B$67,1)-1)+0.06*(IFERROR(AVERAGE($CQ66:$CR66)/'Setari model'!$B$68,1)-1)+0.04*(IFERROR(AVERAGE($CS66:$CT66)/'Setari model'!$B$69,1)-1)+0.04*(IFERROR(AVERAGE($CU66:$CV66)/'Setari model'!$B$70,1)-1)-'Setari model'!$B$73*IFERROR(AVERAGE($CW66:$CX66),0))))</x:f>
      </x:c>
      <x:c r="DX66" s="118" t="str">
        <x:f>IF($A66="","",1+'Setari model'!$B$62*MAX(IF(OR($CK66=1,$CL66=1),1,0),IF(AND($CJ66&lt;&gt;"",$CJ66&lt;=1),1,0))+'Setari model'!$B$63*IF(AND($CJ66&gt;1,$CJ66&lt;=3),1,0))</x:f>
      </x:c>
      <x:c r="DY66" s="118" t="str">
        <x:f>IF($A66="","",1+'Setari model'!$B$74*(IF($CY66="",0,IF($CY66=0,1,0))+IF($CZ66="",0,IF($CZ66=0,1,0)))+'Setari model'!$B$75*(IF($DA66="",0,IF($DA66=0,1,0))+IF($DB66="",0,IF($DB66=0,1,0))))</x:f>
      </x:c>
      <x:c r="DZ66" s="117" t="str">
        <x:f>IF($A66="","",MIN(0.6,MAX(0.002,(((1-'Setari model'!$B$34*MIN(1,($I66+$P66)/20))*$BT66+'Setari model'!$B$34*MIN(1,($I66+$P66)/20)*IF(COUNT($N66,$U66)=2,SQRT(MAX(0,1-$N66)*MAX(0,1-$U66)),$BT66))*(1-'Setari model'!$B$65*MIN(1,IF($AN66="",0,$AN66/'Setari model'!$B$64)))+'Setari model'!$B$65*MIN(1,IF($AN66="",0,$AN66/'Setari model'!$B$64))*IF($AM66="",$BT66,$AM66))*$DX66*$DY66/$DW66)))</x:f>
      </x:c>
      <x:c r="EA66" s="117" t="str">
        <x:f>IF($A66="","",MIN(1-$DZ66,IF(OR(MIN($I66,$P66)&lt;'Setari model'!$B$58,$CK66=1,$CL66=1,AND($CJ66&lt;&gt;"",$CJ66&lt;=1)),'Setari model'!$B$59,IF(AND($AU66=1,$AR66&gt;1,COUNT($CY66:$DB66)=4),'Setari model'!$B$61,'Setari model'!$B$60))))</x:f>
      </x:c>
      <x:c r="EB66" s="115" t="str">
        <x:f t="shared" si="69">IF($A66="","",1/$EA66)</x:f>
      </x:c>
      <x:c r="EC66" s="117" t="str">
        <x:f t="shared" si="70">IF($A66="","",IF($AR66&gt;1,IF($AS66&gt;1,(1/$AR66)/((1/$AR66)+(1/$AS66)),1/$AR66),""))</x:f>
      </x:c>
      <x:c r="ED66" s="117" t="str">
        <x:f t="shared" si="71">IF($A66="","",IF($EC66="","",$EA66-$EC66))</x:f>
      </x:c>
      <x:c r="EE66" s="117" t="str">
        <x:f t="shared" si="72">""</x:f>
      </x:c>
      <x:c r="EF66" s="119" t="str">
        <x:f>IF($A66="","",MAX(0,MIN(100,$CE66-200*MAX(0,$EG66-'Setari model'!$B$77)-IF($AU66&lt;&gt;1,10,0)-IF(COUNT($CY66:$DB66)&lt;4,4,0))))</x:f>
      </x:c>
      <x:c r="EG66" s="117" t="str">
        <x:f>IF($A66="","",'Setari model'!$B$77+IF(MIN($I66,$P66)&lt;'Setari model'!$B$58,0.03,0)+IF(OR($CK66=1,$CL66=1,AND($CJ66&lt;&gt;"",$CJ66&lt;=1)),0.03,0)+IF($AG66=0,0.02,0)+0.03*(1-MIN(1,COUNT($CM66:$CV66)/10))+0.03*(1-MIN(1,IF($AN66="",0,$AN66/'Setari model'!$B$64)))+IF($AR66&lt;=1,0.02,0))</x:f>
      </x:c>
      <x:c r="EH66" s="113" t="str">
        <x:f>IF($A66="","",IF(OR(MIN($I66,$P66)&lt;'Setari model'!$B$58,$CK66=1,$CL66=1,AND($CJ66&lt;&gt;"",$CJ66&lt;=1)),"92% – early/regim",IF(AND($AU66=1,$AR66&gt;1,COUNT($CY66:$DB66)=4),"94% – confirmat","93% – standard")))</x:f>
      </x:c>
      <x:c r="EI66" s="113" t="str">
        <x:f t="shared" si="73">IF($A66="","",IF(AND($EA66&gt;0.9,$AU66&lt;&gt;1),"WAIT XI – HIGH P",IF(AND($EA66&gt;0.9,COUNT($CY66:$DB66)&lt;4),"WAIT DATE CHEIE – HIGH P",IF($EP66&lt;&gt;"DA","NU – PORTOFOLIU","DA"))))</x:f>
      </x:c>
      <x:c r="EJ66" s="117" t="str">
        <x:f t="shared" si="74">IF($A66="","",IF($DE66&lt;&gt;"Live 20-30","",IF(SUM($DG66:$DH66)&gt;0,1,IF($EU66="","",1-MIN(0.95,MAX(0.001,EXP(-$EU66)*$DX66*$DY66/$DW66))))))</x:f>
      </x:c>
      <x:c r="EK66" s="117" t="str">
        <x:f t="shared" si="75">""</x:f>
      </x:c>
      <x:c r="EL66" s="113" t="str">
        <x:f>IF($A66="","",IF($DE66="Live 20-30",IF(SUM($DG66:$DH66)&gt;0,"EVENIMENT ÎNDEPLINIT",IF(OR($DF66="",COUNT($DI66:$DN66)&lt;4),"LIVE – WATCH",IF($EJ66&gt;=0.75,"LIVE – FEZABIL TEHNIC","LIVE – NO BET"))),IF($EI66&lt;&gt;"DA","WATCH / NO BET",IF(AND($EA66&gt;=INDEX('Setari model'!$B$35:$B$40,1),$EF66&gt;=100*'Setari model'!$B$76),"PARIU RECOMANDAT",IF(AND($EA66&gt;=INDEX('Setari model'!$B$35:$B$40,5),$EF66&gt;=100*'Setari model'!$B$40),"WATCH – APROAPE DE PRAG","PARIU EVITAT")))))</x:f>
      </x:c>
      <x:c r="EM66" s="113" t="str">
        <x:f t="shared" si="76">IF($A66="","",IF($DE66="Live 20-30",IF(SUM($DG66:$DH66)&gt;0,"Gol deja marcat.",IF($DF66="","Minut live lipsă.",IF(COUNT($DI66:$DN66)&lt;4,"Lipsesc xG/SOT/big chances live.",IF($EJ66&lt;0.75,"P live sub prag.","Semnal live tehnic complet; EV ignorat.")))),IF($EI66&lt;&gt;"DA",$EI66,IF($EF66&lt;75,"Confidence sub 75.",IF($EA66&lt;0.92,"P sub 92%.","G0/Zero-Mass + confidence trecute; EV ignorat.")))))</x:f>
      </x:c>
      <x:c r="EN66" s="117" t="str">
        <x:f>IF($A66="","",IF(OR($EL66="PARIU RECOMANDAT",$EL66="LIVE – FEZABIL"),MIN(IF($DU66&gt;0,$DU66,'Setari model'!$B$81)/MAX(1,$DR66),IF($DV66&gt;0,$DV66,'Setari model'!$B$80)*MAX(0,((IF($DE66="Live 20-30",$EJ66,$EA66)*IF($DE66="Live 20-30",$DQ66,$AR66)-1)/(IF($DE66="Live 20-30",$DQ66,$AR66)-1)))),0))</x:f>
      </x:c>
      <x:c r="EO66" s="121" t="str">
        <x:f t="shared" si="77">IF($A66="","",IF(AND($EN66&gt;0,$DT66&gt;0),$EN66*$DT66,""))</x:f>
      </x:c>
      <x:c r="EP66" s="113" t="str">
        <x:f>IF($A66="","",IF(OR($DR66&lt;1,$DR66&gt;'Setari model'!$B$78),"NU – 1–5 selecții",IF($DS66&gt;'Setari model'!$B$79,"NU – corelație", "DA")))</x:f>
      </x:c>
      <x:c r="EQ66" s="117" t="str">
        <x:f t="shared" si="78">IF($A66="","",IF(AND($DC66&gt;1,$DD66&gt;1),$DC66/$DD66-1,""))</x:f>
      </x:c>
      <x:c r="ER66" s="113" t="str">
        <x:f t="shared" si="79">IF($A66="","","P v2="&amp;TEXT($EA66,"0.0%")&amp;" ±"&amp;TEXT($EG66,"0.0%")&amp;"; P0 ZIP="&amp;TEXT($DZ66,"0.0%")&amp;"; Confidence="&amp;TEXT($EF66,"0")&amp;"/100; piață reală="&amp;IF($EC66="","NU","DA")&amp;"; EV="&amp;IF($EE66="","n/a",TEXT($EE66,"0.0%"))&amp;"; gate="&amp;$EI66&amp;"; verdict="&amp;$EL66&amp;". "&amp;$EM66)</x:f>
      </x:c>
      <x:c r="ES66" s="119" t="str">
        <x:f>IF($A66="","",'Setari model'!$B$82)</x:f>
      </x:c>
      <x:c r="ET66" s="118" t="str">
        <x:f>IF($A66="","",'Setari model'!$B$83)</x:f>
      </x:c>
      <x:c r="EU66" s="115" t="str">
        <x:f t="shared" si="80">IF(OR($A66="",$DE66&lt;&gt;"Live 20-30",$DF66="",$DF66&lt;$ES66,$DF66&gt;=90),"",MAX(0.05,MIN($BS66*$ET66,$BS66*(90-$DF66)/90+0.35*($DI66+$DJ66)+0.06*($DK66+$DL66)+0.15*($DM66+$DN66)+0.1*(MAX($DO66,$DP66)-MIN($DO66,$DP66)))))</x:f>
      </x:c>
      <x:c r="EV66" s="132"/>
      <x:c r="EW66" s="132"/>
      <x:c r="EX66" s="132"/>
      <x:c r="EY66" s="132"/>
      <x:c r="EZ66" s="132"/>
      <x:c r="FA66" s="132"/>
      <x:c r="FB66" s="247"/>
      <x:c r="FC66" s="134" t="str">
        <x:f t="shared" si="81">IF($A66="","",IF(OR($J66="",$L66="",$L66&lt;=0),"",MAX(0.5,MIN(1.5,$J66/$L66))))</x:f>
      </x:c>
      <x:c r="FD66" s="134" t="str">
        <x:f t="shared" si="82">IF($A66="","",IF(OR($Q66="",$S66="",$S66&lt;=0),"",MAX(0.5,MIN(1.5,$Q66/$S66))))</x:f>
      </x:c>
      <x:c r="FE66" s="134" t="str">
        <x:f>IF($A66="","",IF(COUNT($EV66:$EW66)&lt;2,"",SQRT($EV66*$EW66)/'Setari model'!$B$87))</x:f>
      </x:c>
      <x:c r="FF66" s="134" t="str">
        <x:f>IF($A66="","",IF(COUNT($O66,$V66,$EX66,$EY66)&lt;4,"",AVERAGE(SQRT($O66*$EY66),SQRT($V66*$EX66))/'Setari model'!$B$88))</x:f>
      </x:c>
      <x:c r="FG66" s="134" t="str">
        <x:f t="shared" si="83">IF($A66="","",IF(COUNT($FC66:$FD66)&lt;2,"",MAX(0,1-AVERAGE($FC66:$FD66))))</x:f>
      </x:c>
      <x:c r="FH66" s="134" t="str">
        <x:f>IF($A66="","",IF(COUNT($EZ66:$FA66)&lt;2,"",'Setari model'!$B$94*AVERAGE($EZ66:$FA66)/'Setari model'!$B$89))</x:f>
      </x:c>
      <x:c r="FI66" s="134" t="str">
        <x:f>IF($A66="","",IF(COUNT($FE66:$FH66)&lt;4,"",MAX('Setari model'!$B$97,MIN('Setari model'!$B$98,1+'Setari model'!$B$90*($FE66-1)+'Setari model'!$B$91*($FF66-1)+'Setari model'!$B$92*$FG66+'Setari model'!$B$93*($FH66-1)))))</x:f>
      </x:c>
      <x:c r="FJ66" s="133" t="str">
        <x:f>IF($A66="","",IF($FI66="","",MIN('Setari model'!$B$101,MAX(0.002,$DZ66*$FI66))))</x:f>
      </x:c>
      <x:c r="FK66" s="131" t="str">
        <x:f t="shared" si="84">IF($A66="","",IF(AND(COUNT($EV66:$FA66)=6,COUNT($O66,$V66,$FC66,$FD66)=4),"DA","NU"))</x:f>
      </x:c>
      <x:c r="FL66" s="131" t="str">
        <x:f>IF($A66="","",IF($FK66&lt;&gt;"DA","NEDETERMINAT",IF($FI66&lt;='Setari model'!$B$99,"SCĂZUT",IF($FI66&lt;='Setari model'!$B$100,"MEDIU","RIDICAT"))))</x:f>
      </x:c>
      <x:c r="FM66" s="131" t="str">
        <x:f>IF($A66="","",IF(AND($AR66&gt;1,$EC66&gt;='Setari model'!$B$106),"DA","NU"))</x:f>
      </x:c>
      <x:c r="FN66" s="131" t="str">
        <x:f t="shared" si="85">IF($A66="","",IF(AND($AU66=1,COUNT($CY66:$DB66)=4),"DA","NU"))</x:f>
      </x:c>
      <x:c r="FO66" s="133" t="str">
        <x:f>IF($A66="","",IF(OR($FK66&lt;&gt;"DA",$FL66="RIDICAT"),'Setari model'!$B$102,IF($FL66="MEDIU",'Setari model'!$B$103,IF(AND($FM66="DA",$FN66="DA"),'Setari model'!$B$105,'Setari model'!$B$104))))</x:f>
      </x:c>
      <x:c r="FP66" s="133" t="str">
        <x:f t="shared" si="86">IF($A66="","",IF($FJ66="","",MIN(1-$FJ66,$FO66)))</x:f>
      </x:c>
      <x:c r="FQ66" s="135" t="str">
        <x:f t="shared" si="87">IF($A66="","",IF($FP66="","",IF($FP66&gt;0,1/$FP66,"")))</x:f>
      </x:c>
      <x:c r="FR66" s="133" t="str">
        <x:f t="shared" si="88">IF($A66="","",IF($EC66="","",$FP66-$EC66))</x:f>
      </x:c>
      <x:c r="FS66" s="133" t="str">
        <x:f t="shared" si="89">IF($A66="","",IF($AR66&gt;1,$FP66*$AR66-1,""))</x:f>
      </x:c>
      <x:c r="FT66" s="136" t="str">
        <x:f>IF($A66="","",MAX(0,MIN(100,$EF66-IF($FK66&lt;&gt;"DA",'Setari model'!$B$107,0)-IF($FL66="MEDIU",'Setari model'!$B$108,0)-IF($FL66="RIDICAT",'Setari model'!$B$109,0))))</x:f>
      </x:c>
      <x:c r="FU66" s="131" t="str">
        <x:f t="shared" si="90">IF($A66="","",IF($AR66&lt;=1,"NU – LIPSEȘTE COTA REALĂ",IF($FK66&lt;&gt;"DA","NU – ZERO-RISK INCOMPLET",IF($FL66&lt;&gt;"SCĂZUT","NU – RISC 0-0 "&amp;$FL66,IF($FN66&lt;&gt;"DA","NU – LINEUP NECONFIRMAT",IF($FM66&lt;&gt;"DA","NU – PIAȚĂ NECONFIRMATĂ",IF($EP66&lt;&gt;"DA","NU – PORTOFOLIU","DA")))))))</x:f>
      </x:c>
      <x:c r="FV66" s="131" t="str">
        <x:f>IF($A66="","",IF($FU66&lt;&gt;"DA","WATCH / NO BET",IF(AND($FP66&gt;='Setari model'!$B$35,$FT66&gt;=100*'Setari model'!$B$76,$FS66&gt;0),"PARIU RECOMANDAT",IF(AND($FP66&gt;='Setari model'!$B$39,$FT66&gt;=100*'Setari model'!$B$40,$FS66&gt;0),"WATCH – APROAPE DE PRAG","PARIU EVITAT"))))</x:f>
      </x:c>
      <x:c r="FW66" s="131" t="str">
        <x:f t="shared" si="91">IF($A66="","",IF($FU66&lt;&gt;"DA",$FU66,IF($FT66&lt;75,"Confidence v3 sub 75.",IF($FP66&lt;0.92,"P v3 sub 92%.",IF($FS66&lt;=0,"EV v3 nepozitiv.","P0 v3, lineup și piață confirmate.")))))</x:f>
      </x:c>
      <x:c r="FX66" s="131" t="str">
        <x:f t="shared" si="92">IF($A66="","","P v3="&amp;TEXT($FP66,"0.0%")&amp;"; P0 v3="&amp;TEXT($FJ66,"0.0%")&amp;"; factor zero="&amp;IF($FI66="","n/a",TEXT($FI66,"0.00x"))&amp;" ("&amp;$FL66&amp;"); cap="&amp;TEXT($FO66,"0.0%")&amp;"; Confidence="&amp;TEXT($FT66,"0")&amp;"/100; lineup="&amp;$FN66&amp;"; piață="&amp;$FM66&amp;"; EV="&amp;IF($FS66="","n/a",TEXT($FS66,"0.0%"))&amp;"; gate="&amp;$FU66&amp;"; verdict="&amp;$FV66&amp;". "&amp;$FW66)</x:f>
      </x:c>
      <x:c r="FY66" s="159"/>
      <x:c r="FZ66" s="159"/>
      <x:c r="GA66" s="157"/>
      <x:c r="GB66" s="157"/>
      <x:c r="GC66" s="161" t="str">
        <x:f t="shared" si="93">IF($A66="","",IF(OR($X66="",$Z66="",$Z66&lt;=0),"",MAX(0.5,MIN(1.5,$X66/$Z66))))</x:f>
      </x:c>
      <x:c r="GD66" s="161" t="str">
        <x:f t="shared" si="94">IF($A66="","",IF(OR($AC66="",$AE66="",$AE66&lt;=0),"",MAX(0.5,MIN(1.5,$AC66/$AE66))))</x:f>
      </x:c>
      <x:c r="GE66" s="162" t="str">
        <x:f t="shared" si="95">IF($A66="","",IF(COUNT($Z66,$AE66)&lt;2,"",AVERAGE($Z66,$AE66)))</x:f>
      </x:c>
      <x:c r="GF66" s="158" t="str">
        <x:f>IF($A66="","",IF(COUNT($FY66:$FZ66)&lt;2,"NEDETERMINAT",IF(AND($FY66&gt;='Setari model'!$B$113,$FZ66&gt;='Setari model'!$B$113),"DA","NU")))</x:f>
      </x:c>
      <x:c r="GG66" s="158" t="str">
        <x:f>IF($A66="","",IF(COUNT($FY66:$FZ66,$EX66:$EY66)&lt;4,"NEDETERMINAT",IF(OR(AND($FY66&gt;='Setari model'!$B$113,$EY66&gt;='Setari model'!$B$114),AND($FZ66&gt;='Setari model'!$B$113,$EX66&gt;='Setari model'!$B$114)),"DA","NU")))</x:f>
      </x:c>
      <x:c r="GH66" s="158" t="str">
        <x:f>IF($A66="","",IF(COUNT($BJ66:$BN66,$GC66:$GE66)&lt;8,"NEDETERMINAT",IF(AND((($BJ66*INDEX('Setari model'!$B$5:$B$11,MATCH($E66,'Setari model'!$A$5:$A$11,0))+$BK66*INDEX('Setari model'!$C$5:$C$11,MATCH($E66,'Setari model'!$A$5:$A$11,0))+$BL66*INDEX('Setari model'!$D$5:$D$11,MATCH($E66,'Setari model'!$A$5:$A$11,0))+$BM66*INDEX('Setari model'!$E$5:$E$11,MATCH($E66,'Setari model'!$A$5:$A$11,0))+$BN66*INDEX('Setari model'!$F$5:$F$11,MATCH($E66,'Setari model'!$A$5:$A$11,0)))/(INDEX('Setari model'!$B$5:$B$11,MATCH($E66,'Setari model'!$A$5:$A$11,0))+INDEX('Setari model'!$C$5:$C$11,MATCH($E66,'Setari model'!$A$5:$A$11,0))+INDEX('Setari model'!$D$5:$D$11,MATCH($E66,'Setari model'!$A$5:$A$11,0))+INDEX('Setari model'!$E$5:$E$11,MATCH($E66,'Setari model'!$A$5:$A$11,0))+INDEX('Setari model'!$F$5:$F$11,MATCH($E66,'Setari model'!$A$5:$A$11,0))))*$BR66&gt;='Setari model'!$B$115,(($BJ66*INDEX('Setari model'!$B$5:$B$11,MATCH($E66,'Setari model'!$A$5:$A$11,0))+$BK66*INDEX('Setari model'!$C$5:$C$11,MATCH($E66,'Setari model'!$A$5:$A$11,0))+$BL66*INDEX('Setari model'!$D$5:$D$11,MATCH($E66,'Setari model'!$A$5:$A$11,0))+$BM66*INDEX('Setari model'!$E$5:$E$11,MATCH($E66,'Setari model'!$A$5:$A$11,0))+$BN66*INDEX('Setari model'!$F$5:$F$11,MATCH($E66,'Setari model'!$A$5:$A$11,0)))/(INDEX('Setari model'!$B$5:$B$11,MATCH($E66,'Setari model'!$A$5:$A$11,0))+INDEX('Setari model'!$C$5:$C$11,MATCH($E66,'Setari model'!$A$5:$A$11,0))+INDEX('Setari model'!$D$5:$D$11,MATCH($E66,'Setari model'!$A$5:$A$11,0))+INDEX('Setari model'!$E$5:$E$11,MATCH($E66,'Setari model'!$A$5:$A$11,0))+INDEX('Setari model'!$F$5:$F$11,MATCH($E66,'Setari model'!$A$5:$A$11,0))))*$BR66&lt;='Setari model'!$B$116,AVERAGE($GC66:$GD66)&lt;='Setari model'!$B$117,$GE66&gt;='Setari model'!$B$118),"DA","NU")))</x:f>
      </x:c>
      <x:c r="GI66" s="158" t="str">
        <x:f>IF($A66="","",IF(COUNT($W66,$AB66,$GA66:$GB66)&lt;4,"NEDETERMINAT",IF(AND($W66&gt;='Setari model'!$B$120,$AB66&gt;='Setari model'!$B$120,OR(IFERROR($GA66/$W66,0)&gt;='Setari model'!$B$119,IFERROR($GB66/$AB66,0)&gt;='Setari model'!$B$119)),"DA","NU")))</x:f>
      </x:c>
      <x:c r="GJ66" s="160" t="str">
        <x:f>IF($A66="","",IF(COUNT($FY66:$GB66)&lt;4,"",IF($GH66&lt;&gt;"DA",0,'Setari model'!$B$121*IF($GF66="DA",1,0)+'Setari model'!$B$122*IF($GG66="DA",1,0)+'Setari model'!$B$123+'Setari model'!$B$124*IF($GI66="DA",1,0))))</x:f>
      </x:c>
      <x:c r="GK66" s="161" t="str">
        <x:f>IF($A66="","",IF(COUNT($GJ66)=0,"",1+'Setari model'!$B$125*$GJ66))</x:f>
      </x:c>
      <x:c r="GL66" s="160" t="str">
        <x:f>IF($A66="","",IF($GM66&lt;&gt;"DA",$FJ66,MIN('Setari model'!$B$101,MAX(0.002,$FJ66*$GK66))))</x:f>
      </x:c>
      <x:c r="GM66" s="158" t="str">
        <x:f>IF($A66="","",IF(AND($FK66="DA",COUNT($FY66:$GB66)=4,COUNT($I66,$P66,$W66,$AB66,$Z66,$AE66,$EX66,$EY66,$GC66,$GD66)=10,COUNT($BJ66:$BN66)=5),"DA","NU"))</x:f>
      </x:c>
      <x:c r="GN66" s="158" t="str">
        <x:f>IF($A66="","",IF($GM66&lt;&gt;"DA","NEDETERMINAT",IF($FI66*$GK66&lt;='Setari model'!$B$99,"SCĂZUT",IF($FI66*$GK66&lt;='Setari model'!$B$100,"MEDIU","RIDICAT"))))</x:f>
      </x:c>
      <x:c r="GO66" s="160" t="str">
        <x:f>IF($A66="","",IF(OR($GM66&lt;&gt;"DA",$GN66="RIDICAT"),'Setari model'!$B$102,IF($GN66="MEDIU",'Setari model'!$B$103,IF(AND($FM66="DA",$FN66="DA"),'Setari model'!$B$105,'Setari model'!$B$104))))</x:f>
      </x:c>
      <x:c r="GP66" s="160" t="str">
        <x:f t="shared" si="96">IF($A66="","",IF($GL66="","",MIN(1-$GL66,$GO66)))</x:f>
      </x:c>
      <x:c r="GQ66" s="162" t="str">
        <x:f t="shared" si="97">IF($A66="","",IF($GP66="","",IF($GP66&gt;0,1/$GP66,"")))</x:f>
      </x:c>
      <x:c r="GR66" s="160" t="str">
        <x:f t="shared" si="98">IF($A66="","",IF($EC66="","",$GP66-$EC66))</x:f>
      </x:c>
      <x:c r="GS66" s="160" t="str">
        <x:f t="shared" si="99">IF($A66="","",IF($AR66&gt;1,$GP66*$AR66-1,""))</x:f>
      </x:c>
      <x:c r="GT66" s="163" t="str">
        <x:f>IF($A66="","",MAX(0,MIN(100,$FT66-IF(AND($GM66&lt;&gt;"DA",$FK66="DA"),'Setari model'!$B$107,0)-'Setari model'!$B$126*IF($GJ66="",0,$GJ66))))</x:f>
      </x:c>
      <x:c r="GU66" s="158" t="str">
        <x:f t="shared" si="100">IF($A66="","",IF($AR66&lt;=1,"NU – LIPSEȘTE COTA REALĂ",IF($GM66&lt;&gt;"DA","NU – DATE LOW-CONVERSION INCOMPLETE",IF($GN66&lt;&gt;"SCĂZUT","NU – RISC 0-0 "&amp;$GN66,IF($FN66&lt;&gt;"DA","NU – LINEUP NECONFIRMAT",IF($FM66&lt;&gt;"DA","NU – PIAȚĂ NECONFIRMATĂ",IF($EP66&lt;&gt;"DA","NU – PORTOFOLIU","DA")))))))</x:f>
      </x:c>
      <x:c r="GV66" s="158" t="str">
        <x:f>IF($A66="","",IF($GU66&lt;&gt;"DA","WATCH / NO BET",IF(AND($GP66&gt;='Setari model'!$B$35,$GT66&gt;=100*'Setari model'!$B$76,$GS66&gt;0),"PARIU RECOMANDAT",IF(AND($GP66&gt;='Setari model'!$B$39,$GT66&gt;=100*'Setari model'!$B$40,$GS66&gt;0),"WATCH – APROAPE DE PRAG","PARIU EVITAT"))))</x:f>
      </x:c>
      <x:c r="GW66" s="158" t="str">
        <x:f t="shared" si="101">IF($A66="","",IF($GU66&lt;&gt;"DA",$GU66,IF($GT66&lt;75,"Confidence v5 sub 75.",IF($GP66&lt;0.92,"P v5 sub 92%.",IF($GS66&lt;=0,"EV v5 nepozitiv.",IF($GJ66&gt;0,"Low-conversion absorbit în P0; toate porțile rămân trecute.","Toate porțile v5 sunt trecute."))))))</x:f>
      </x:c>
      <x:c r="GX66" s="158" t="str">
        <x:f t="shared" si="102">IF($A66="","","P v5="&amp;TEXT($GP66,"0.0%")&amp;"; P0 v5="&amp;TEXT($GL66,"0.0%")&amp;"; low-conv="&amp;IF(COUNT($GJ66)=0,"n/a",TEXT($GJ66,"0%"))&amp;"; mult.P0="&amp;IF(COUNT($GK66)=0,"n/a",TEXT($GK66,"0.00"))&amp;"; clasă="&amp;$GN66&amp;"; cap="&amp;TEXT($GO66,"0.0%")&amp;"; Confidence="&amp;TEXT($GT66,"0")&amp;"/100; lineup="&amp;$FN66&amp;"; piață="&amp;$FM66&amp;"; EV="&amp;IF($GS66="","n/a",TEXT($GS66,"0.0%"))&amp;"; gate="&amp;$GU66&amp;"; verdict="&amp;$GV66&amp;". "&amp;$GW66)</x:f>
      </x:c>
      <x:c r="GY66" s="174" t="str">
        <x:f>IF($A66="","",IF($GM66&lt;&gt;"DA","SOURCING INCOMPLETE – REVIEW REQUIRED",IF(MIN($I66,$P66,$W66,$AB66)&lt;'Setari model'!$B$58,"SMALL SAMPLE + PRIOR / SHRINKAGE","VERIFIED / PRIOR / SHRINKAGE")))</x:f>
      </x:c>
      <x:c r="GZ66" s="175" t="str">
        <x:f t="shared" si="103">IF($A66="","",MAX(0,MIN(100,100*(1-AVERAGE(IF($GM66="DA",1,0),MIN(1,$AT66/5))))))</x:f>
      </x:c>
      <x:c r="HA66" s="175" t="str">
        <x:f>IF($A66="","",IF($GM66&lt;&gt;"DA","",MAX(0,MIN(100,100*(($FI66*$GK66)-'Setari model'!$B$97)/('Setari model'!$B$98-'Setari model'!$B$97)))))</x:f>
      </x:c>
      <x:c r="HB66" s="175" t="str">
        <x:f>IF($A66="","",MAX(0,MIN(100,100*(ABS($BR66-1)/MAX(1-'Setari model'!$B$53,'Setari model'!$B$54-1)+MIN(1,$BG66/2))/2)))</x:f>
      </x:c>
      <x:c r="HC66" s="175" t="str">
        <x:f t="shared" si="104">IF($A66="","",MAX(0,MIN(100,100*(1-AVERAGE($CC66,MAX(0,1-(MAX($BJ66:$BN66)-MIN($BJ66:$BN66))/(AVERAGE($BJ66:$BN66)*'Setari model'!$B$45)))))))</x:f>
      </x:c>
      <x:c r="HD66" s="175" t="str">
        <x:f t="shared" si="105">IF($A66="","",MAX(0,MIN(100,100*MAX(IF($GJ66="",0,$GJ66),MIN(1,$BG66/2)))))</x:f>
      </x:c>
      <x:c r="HE66" s="175" t="str">
        <x:f>IF($A66="","",IF(COUNT($GZ66:$HD66)&lt;5,"",$GZ66*Risk_Classification!$E$28+$HA66*Risk_Classification!$E$29+$HB66*Risk_Classification!$E$30+$HC66*Risk_Classification!$E$31+$HD66*Risk_Classification!$E$32))</x:f>
      </x:c>
      <x:c r="HF66" s="176" t="str">
        <x:f t="shared" si="106">IF($A66="","",IF($HE66="","",IF($HE66&lt;=20,1,IF($HE66&lt;=40,2,IF($HE66&lt;=60,3,IF($HE66&lt;=80,4,5))))))</x:f>
      </x:c>
      <x:c r="HG66" s="176" t="str">
        <x:f t="shared" si="107">IF($A66="","",IF($GM66="DA","PASS","FAIL – DATE CRITICE ZERO-MASS INCOMPLETE"))</x:f>
      </x:c>
      <x:c r="HH66" s="176" t="str">
        <x:f t="shared" si="108">IF($A66="","",IF($HG66&lt;&gt;"PASS",5,$HF66))</x:f>
      </x:c>
      <x:c r="HI66" s="174" t="str">
        <x:f t="shared" si="109">IF($A66="","",IF($HH66="","N/A",IF($HH66=1,"DEFENSIV",IF($HH66=2,"PRUDENT",IF($HH66=3,"MODERAT",IF($HH66=4,"RIDICAT","WATCH / NO BET"))))))</x:f>
      </x:c>
      <x:c r="HJ66" s="177" t="str">
        <x:f t="shared" si="110">IF($A66="","","Data="&amp;$GY66&amp;"; DQ="&amp;TEXT($GZ66,"0.0")&amp;"; ZM="&amp;IF($HA66="","n/a",TEXT($HA66,"0.0"))&amp;"; Context="&amp;TEXT($HB66,"0.0")&amp;"; Uncertainty="&amp;TEXT($HC66,"0.0")&amp;"; Compound="&amp;TEXT($HD66,"0.0")&amp;"; Risk Score="&amp;IF($HE66="","n/a",TEXT($HE66,"0.0"))&amp;"; Base="&amp;IF($HF66="","n/a",$HF66)&amp;"; G0="&amp;$HG66&amp;"; Final="&amp;$HH66&amp;". Cota, EV si lineup sunt informative si nu intra in recomandare.")</x:f>
      </x:c>
      <x:c r="HK66" s="174" t="str">
        <x:f t="shared" si="111">IF($A66="","",$HI66)</x:f>
      </x:c>
    </x:row>
    <x:row r="67" ht="24" customHeight="1">
      <x:c r="A67" s="58"/>
      <x:c r="B67" s="24"/>
      <x:c r="C67" s="59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18"/>
      <x:c r="O67" s="18"/>
      <x:c r="P67" s="24"/>
      <x:c r="Q67" s="24"/>
      <x:c r="R67" s="24"/>
      <x:c r="S67" s="24"/>
      <x:c r="T67" s="24"/>
      <x:c r="U67" s="18"/>
      <x:c r="V67" s="18"/>
      <x:c r="W67" s="24"/>
      <x:c r="X67" s="24"/>
      <x:c r="Y67" s="24"/>
      <x:c r="Z67" s="24"/>
      <x:c r="AA67" s="24"/>
      <x:c r="AB67" s="24"/>
      <x:c r="AC67" s="24"/>
      <x:c r="AD67" s="24"/>
      <x:c r="AE67" s="24"/>
      <x:c r="AF67" s="24"/>
      <x:c r="AG67" s="24"/>
      <x:c r="AH67" s="24"/>
      <x:c r="AI67" s="18"/>
      <x:c r="AJ67" s="24"/>
      <x:c r="AK67" s="24"/>
      <x:c r="AL67" s="24"/>
      <x:c r="AM67" s="18"/>
      <x:c r="AN67" s="24"/>
      <x:c r="AO67" s="60"/>
      <x:c r="AP67" s="60"/>
      <x:c r="AQ67" s="60"/>
      <x:c r="AR67" s="60"/>
      <x:c r="AS67" s="60"/>
      <x:c r="AT67" s="24"/>
      <x:c r="AU67" s="24"/>
      <x:c r="AV67" s="24"/>
      <x:c r="AW67" s="24"/>
      <x:c r="AX67" s="24"/>
      <x:c r="AY67" s="24"/>
      <x:c r="AZ67" s="24"/>
      <x:c r="BA67" s="24"/>
      <x:c r="BB67" s="24"/>
      <x:c r="BC67" s="24"/>
      <x:c r="BD67" s="24"/>
      <x:c r="BE67" s="24"/>
      <x:c r="BF67" s="24"/>
      <x:c r="BG67" s="24"/>
      <x:c r="BH67" s="61"/>
      <x:c r="BI67" s="61"/>
      <x:c r="BJ67" s="62" t="str">
        <x:f>IF($A67="","",SQRT((($I67*IF($J67="",$AJ67,$J67)+'Setari model'!$B$30*$AJ67)/($I67+'Setari model'!$B$30))*(($P67*IF($R67="",$AJ67,$R67)+'Setari model'!$B$30*$AJ67)/($P67+'Setari model'!$B$30)))+SQRT((($P67*IF($Q67="",$AK67,$Q67)+'Setari model'!$B$30*$AK67)/($P67+'Setari model'!$B$30))*(($I67*IF($K67="",$AK67,$K67)+'Setari model'!$B$30*$AK67)/($I67+'Setari model'!$B$30))))</x:f>
      </x:c>
      <x:c r="BK67" s="62" t="str">
        <x:f>IF($A67="","",SQRT((($I67*IF($L67="",IF($J67="",$AJ67,$J67),$L67)+'Setari model'!$B$30*$AJ67)/($I67+'Setari model'!$B$30))*(($P67*IF($T67="",IF($R67="",$AJ67,$R67),$T67)+'Setari model'!$B$30*$AJ67)/($P67+'Setari model'!$B$30)))+SQRT((($P67*IF($S67="",IF($Q67="",$AK67,$Q67),$S67)+'Setari model'!$B$30*$AK67)/($P67+'Setari model'!$B$30))*(($I67*IF($M67="",IF($K67="",$AK67,$K67),$M67)+'Setari model'!$B$30*$AK67)/($I67+'Setari model'!$B$30))))</x:f>
      </x:c>
      <x:c r="BL67" s="62" t="str">
        <x:f>IF($A67="","",SQRT((($W67*IF($X67="",$AL67/2,$X67)+'Setari model'!$B$31*$AL67/2)/($W67+'Setari model'!$B$31))*(($AB67*IF($AD67="",$AL67/2,$AD67)+'Setari model'!$B$31*$AL67/2)/($AB67+'Setari model'!$B$31)))+SQRT((($AB67*IF($AC67="",$AL67/2,$AC67)+'Setari model'!$B$31*$AL67/2)/($AB67+'Setari model'!$B$31))*(($W67*IF($Y67="",$AL67/2,$Y67)+'Setari model'!$B$31*$AL67/2)/($W67+'Setari model'!$B$31))))</x:f>
      </x:c>
      <x:c r="BM67" s="62" t="str">
        <x:f>IF($A67="","",SQRT((($W67*IF($Z67="",IF($X67="",$AL67/2,$X67),$Z67)+'Setari model'!$B$31*$AL67/2)/($W67+'Setari model'!$B$31))*(($AB67*IF($AF67="",IF($AD67="",$AL67/2,$AD67),$AF67)+'Setari model'!$B$31*$AL67/2)/($AB67+'Setari model'!$B$31)))+SQRT((($AB67*IF($AE67="",IF($AC67="",$AL67/2,$AC67),$AE67)+'Setari model'!$B$31*$AL67/2)/($AB67+'Setari model'!$B$31))*(($W67*IF($AA67="",IF($Y67="",$AL67/2,$Y67),$AA67)+'Setari model'!$B$31*$AL67/2)/($W67+'Setari model'!$B$31))))</x:f>
      </x:c>
      <x:c r="BN67" s="62" t="str">
        <x:f t="shared" si="56">IF($A67="","",IF($AG67&gt;0,($AG67*IF($AH67="",$AL67,$AH67)+5*$AL67)/($AG67+5),$AL67))</x:f>
      </x:c>
      <x:c r="BO67" s="63" t="str">
        <x:f>IF($A67="","",IF($AR67&gt;1,IF($AS67&gt;1,(1/$AR67)/((1/$AR67+1/$AS67)),MIN(0.995,(1/$AR67)/(1+'Setari model'!$B$32))),1-EXP(-$AL67)))</x:f>
      </x:c>
      <x:c r="BP67" s="62" t="str">
        <x:f t="shared" si="57">IF($A67="","",-LN(1-$BO67))</x:f>
      </x:c>
      <x:c r="BQ67" s="62" t="str">
        <x:f>IF($A67="","",$BJ67*INDEX('Setari model'!$B$5:$B$11,MATCH($E67,'Setari model'!$A$5:$A$11,0))+$BK67*INDEX('Setari model'!$C$5:$C$11,MATCH($E67,'Setari model'!$A$5:$A$11,0))+$BL67*INDEX('Setari model'!$D$5:$D$11,MATCH($E67,'Setari model'!$A$5:$A$11,0))+$BM67*INDEX('Setari model'!$E$5:$E$11,MATCH($E67,'Setari model'!$A$5:$A$11,0))+$BN67*INDEX('Setari model'!$F$5:$F$11,MATCH($E67,'Setari model'!$A$5:$A$11,0))+$BP67*INDEX('Setari model'!$G$5:$G$11,MATCH($E67,'Setari model'!$A$5:$A$11,0)))</x:f>
      </x:c>
      <x:c r="BR67" s="64" t="str">
        <x:f>IF($A67="","",MAX('Setari model'!$B$53,MIN('Setari model'!$B$54,1+($AV67*'Setari model'!$B$15+$AW67*'Setari model'!$B$16+$AX67*'Setari model'!$B$17+$AY67*'Setari model'!$B$18+$AZ67*'Setari model'!$B$19+$BA67*'Setari model'!$B$20+$BB67*'Setari model'!$B$21+$BC67*'Setari model'!$B$22+$BD67*'Setari model'!$B$23+$BE67*'Setari model'!$B$24+$BF67*'Setari model'!$B$25)*INDEX('Setari model'!$H$5:$H$11,MATCH($E67,'Setari model'!$A$5:$A$11,0)))))</x:f>
      </x:c>
      <x:c r="BS67" s="62" t="str">
        <x:f t="shared" si="58">IF($A67="","",$BQ67*$BR67)</x:f>
      </x:c>
      <x:c r="BT67" s="63" t="str">
        <x:f t="shared" si="59">IF($A67="","",EXP(-$BS67))</x:f>
      </x:c>
      <x:c r="BU67" s="65" t="str">
        <x:f>IF($A67="","",IF(OR($AM67="",$AN67=""),1,1+MIN('Setari model'!$B$33,$AN67/100*'Setari model'!$B$33)*($AM67/EXP(-$AL67)-1)))</x:f>
      </x:c>
      <x:c r="BV67" s="63" t="str">
        <x:f>IF($A67="","",MIN(0.45,MAX(0.005,(1-'Setari model'!$B$34*MIN(1,($I67+$P67)/20))*MIN(0.45,$BT67*$BU67)+'Setari model'!$B$34*MIN(1,($I67+$P67)/20)*IF(COUNT($N67,$U67)=2,SQRT(MAX(0,1-$N67)*MAX(0,1-$U67)),IF($AM67="",EXP(-$AL67),$AM67)))))</x:f>
      </x:c>
      <x:c r="BW67" s="63" t="str">
        <x:f t="shared" si="60">IF($A67="","",1-$BV67)</x:f>
      </x:c>
      <x:c r="BX67" s="62" t="str">
        <x:f t="shared" si="61">IF($A67="","",1/$BW67)</x:f>
      </x:c>
      <x:c r="BY67" s="63" t="str">
        <x:f t="shared" si="62">IF($A67="","",$BO67)</x:f>
      </x:c>
      <x:c r="BZ67" s="63" t="str">
        <x:f t="shared" si="63">IF($A67="","",$BW67-$BY67)</x:f>
      </x:c>
      <x:c r="CA67" s="63" t="str">
        <x:f t="shared" si="64">IF($A67="","",IF($AR67&gt;1,$BW67*$AR67-1,""))</x:f>
      </x:c>
      <x:c r="CB67" s="63" t="str">
        <x:f>IF($A67="","",MIN(1,COUNT($I67:$AN67,$AR67:$BG67)/'Setari model'!$B$46))</x:f>
      </x:c>
      <x:c r="CC67" s="63" t="str">
        <x:f t="shared" si="65">IF($A67="","",0.25*MIN(1,$I67/10)+0.25*MIN(1,$P67/10)+0.15*MIN(1,$W67/5)+0.15*MIN(1,$AB67/5)+0.1*MIN(1,$AG67/5)+0.1*MIN(1,$AN67/100))</x:f>
      </x:c>
      <x:c r="CD67" s="63" t="str">
        <x:f>IF($A67="","",MAX(0,1-(MAX($BJ67:$BN67,$BP67)-MIN($BJ67:$BN67,$BP67))/(AVERAGE($BJ67:$BN67,$BP67)*'Setari model'!$B$45)))</x:f>
      </x:c>
      <x:c r="CE67" s="66" t="str">
        <x:f>IF($A67="","",MAX(0,MIN(100,100*INDEX('Setari model'!$I$5:$I$11,MATCH($E67,'Setari model'!$A$5:$A$11,0))*('Setari model'!$B$47*$CB67+'Setari model'!$B$48*$CC67+'Setari model'!$B$49*$CD67+'Setari model'!$B$50*$AT67/5+'Setari model'!$B$51*$AU67)-100*'Setari model'!$B$52*$BG67)))</x:f>
      </x:c>
      <x:c r="CF67" s="65" t="str">
        <x:f t="shared" si="66">IF($A67="","",IF(OR($AT67&lt;3,$BG67&gt;=2,$CB67&lt;0.55,$CC67&lt;0.4),"RIDICAT",IF(OR($AU67=0,$CD67&lt;0.45,$BR67&lt;0.9),"MEDIU","SCĂZUT")))</x:f>
      </x:c>
      <x:c r="CG67" s="65" t="str">
        <x:f>IF($A67="","",IF($AR67&gt;1,IF(AND($BW67&gt;= 'Setari model'!$B$35,$CE67&gt;=100*'Setari model'!$B$36,$BZ67&gt;= 'Setari model'!$B$37,$CA67&gt;= 'Setari model'!$B$38,$CF67&lt;&gt;"RIDICAT"),"PARIU RECOMANDAT",IF(AND($BW67&gt;= 'Setari model'!$B$39,$CE67&gt;=100*'Setari model'!$B$40,$BZ67&gt;= 'Setari model'!$B$41,$CA67&gt;=0,$CF67&lt;&gt;"RIDICAT"),"RECOMANDAT CU PRUDENȚĂ",IF(AND($BW67&gt;= 'Setari model'!$B$42,$CE67&gt;=100*'Setari model'!$B$43),"ANALIZĂ NECONCLUDENTĂ","PARIU EVITAT"))),IF(AND($BW67&gt;= 'Setari model'!$B$35,$CE67&gt;=100*'Setari model'!$B$36,$CF67&lt;&gt;"RIDICAT"),"FAVORABIL STATISTIC – VERIFICĂ COTA",IF(AND($BW67&gt;= 'Setari model'!$B$42,$CE67&gt;=100*'Setari model'!$B$43),"ANALIZĂ NECONCLUDENTĂ","PARIU EVITAT"))))</x:f>
      </x:c>
      <x:c r="CH67" s="67" t="str">
        <x:f t="shared" si="67">IF($A67="","","P(O0,5)="&amp;TEXT($BW67,"0.0%")&amp;"; λ ajustat="&amp;TEXT($BS67,"0.00")&amp;"; Confidence="&amp;TEXT($CE67,"0")&amp;"/100; Edge="&amp;TEXT($BZ67,"0.0%")&amp;"; risc="&amp;$CF67&amp;". "&amp;$BH67)</x:f>
      </x:c>
      <x:c r="CI67" s="68" t="str">
        <x:f t="shared" si="68">IF($A67="","",$BI67)</x:f>
      </x:c>
      <x:c r="CJ67" s="112"/>
      <x:c r="CK67" s="112"/>
      <x:c r="CL67" s="112"/>
      <x:c r="CM67" s="112"/>
      <x:c r="CN67" s="112"/>
      <x:c r="CO67" s="112"/>
      <x:c r="CP67" s="112"/>
      <x:c r="CQ67" s="112"/>
      <x:c r="CR67" s="112"/>
      <x:c r="CS67" s="112"/>
      <x:c r="CT67" s="112"/>
      <x:c r="CU67" s="112"/>
      <x:c r="CV67" s="112"/>
      <x:c r="CW67" s="112"/>
      <x:c r="CX67" s="112"/>
      <x:c r="CY67" s="112"/>
      <x:c r="CZ67" s="112"/>
      <x:c r="DA67" s="112"/>
      <x:c r="DB67" s="112"/>
      <x:c r="DC67" s="114"/>
      <x:c r="DD67" s="114"/>
      <x:c r="DE67" s="112" t="s">
        <x:v>266</x:v>
      </x:c>
      <x:c r="DF67" s="112"/>
      <x:c r="DG67" s="112"/>
      <x:c r="DH67" s="112"/>
      <x:c r="DI67" s="112"/>
      <x:c r="DJ67" s="112"/>
      <x:c r="DK67" s="112"/>
      <x:c r="DL67" s="112"/>
      <x:c r="DM67" s="112"/>
      <x:c r="DN67" s="112"/>
      <x:c r="DO67" s="112"/>
      <x:c r="DP67" s="112"/>
      <x:c r="DQ67" s="114"/>
      <x:c r="DR67" s="112">
        <x:v>1</x:v>
      </x:c>
      <x:c r="DS67" s="116">
        <x:v>0</x:v>
      </x:c>
      <x:c r="DT67" s="120"/>
      <x:c r="DU67" s="116">
        <x:v>0.02</x:v>
      </x:c>
      <x:c r="DV67" s="116">
        <x:v>0.25</x:v>
      </x:c>
      <x:c r="DW67" s="118" t="str">
        <x:f>IF($A67="","",MAX('Setari model'!$B$71,MIN('Setari model'!$B$72,1+0.08*(IFERROR(AVERAGE($CM67:$CN67)/'Setari model'!$B$66,1)-1)+0.08*(IFERROR(AVERAGE($CO67:$CP67)/'Setari model'!$B$67,1)-1)+0.06*(IFERROR(AVERAGE($CQ67:$CR67)/'Setari model'!$B$68,1)-1)+0.04*(IFERROR(AVERAGE($CS67:$CT67)/'Setari model'!$B$69,1)-1)+0.04*(IFERROR(AVERAGE($CU67:$CV67)/'Setari model'!$B$70,1)-1)-'Setari model'!$B$73*IFERROR(AVERAGE($CW67:$CX67),0))))</x:f>
      </x:c>
      <x:c r="DX67" s="118" t="str">
        <x:f>IF($A67="","",1+'Setari model'!$B$62*MAX(IF(OR($CK67=1,$CL67=1),1,0),IF(AND($CJ67&lt;&gt;"",$CJ67&lt;=1),1,0))+'Setari model'!$B$63*IF(AND($CJ67&gt;1,$CJ67&lt;=3),1,0))</x:f>
      </x:c>
      <x:c r="DY67" s="118" t="str">
        <x:f>IF($A67="","",1+'Setari model'!$B$74*(IF($CY67="",0,IF($CY67=0,1,0))+IF($CZ67="",0,IF($CZ67=0,1,0)))+'Setari model'!$B$75*(IF($DA67="",0,IF($DA67=0,1,0))+IF($DB67="",0,IF($DB67=0,1,0))))</x:f>
      </x:c>
      <x:c r="DZ67" s="117" t="str">
        <x:f>IF($A67="","",MIN(0.6,MAX(0.002,(((1-'Setari model'!$B$34*MIN(1,($I67+$P67)/20))*$BT67+'Setari model'!$B$34*MIN(1,($I67+$P67)/20)*IF(COUNT($N67,$U67)=2,SQRT(MAX(0,1-$N67)*MAX(0,1-$U67)),$BT67))*(1-'Setari model'!$B$65*MIN(1,IF($AN67="",0,$AN67/'Setari model'!$B$64)))+'Setari model'!$B$65*MIN(1,IF($AN67="",0,$AN67/'Setari model'!$B$64))*IF($AM67="",$BT67,$AM67))*$DX67*$DY67/$DW67)))</x:f>
      </x:c>
      <x:c r="EA67" s="117" t="str">
        <x:f>IF($A67="","",MIN(1-$DZ67,IF(OR(MIN($I67,$P67)&lt;'Setari model'!$B$58,$CK67=1,$CL67=1,AND($CJ67&lt;&gt;"",$CJ67&lt;=1)),'Setari model'!$B$59,IF(AND($AU67=1,$AR67&gt;1,COUNT($CY67:$DB67)=4),'Setari model'!$B$61,'Setari model'!$B$60))))</x:f>
      </x:c>
      <x:c r="EB67" s="115" t="str">
        <x:f t="shared" si="69">IF($A67="","",1/$EA67)</x:f>
      </x:c>
      <x:c r="EC67" s="117" t="str">
        <x:f t="shared" si="70">IF($A67="","",IF($AR67&gt;1,IF($AS67&gt;1,(1/$AR67)/((1/$AR67)+(1/$AS67)),1/$AR67),""))</x:f>
      </x:c>
      <x:c r="ED67" s="117" t="str">
        <x:f t="shared" si="71">IF($A67="","",IF($EC67="","",$EA67-$EC67))</x:f>
      </x:c>
      <x:c r="EE67" s="117" t="str">
        <x:f t="shared" si="72">""</x:f>
      </x:c>
      <x:c r="EF67" s="119" t="str">
        <x:f>IF($A67="","",MAX(0,MIN(100,$CE67-200*MAX(0,$EG67-'Setari model'!$B$77)-IF($AU67&lt;&gt;1,10,0)-IF(COUNT($CY67:$DB67)&lt;4,4,0))))</x:f>
      </x:c>
      <x:c r="EG67" s="117" t="str">
        <x:f>IF($A67="","",'Setari model'!$B$77+IF(MIN($I67,$P67)&lt;'Setari model'!$B$58,0.03,0)+IF(OR($CK67=1,$CL67=1,AND($CJ67&lt;&gt;"",$CJ67&lt;=1)),0.03,0)+IF($AG67=0,0.02,0)+0.03*(1-MIN(1,COUNT($CM67:$CV67)/10))+0.03*(1-MIN(1,IF($AN67="",0,$AN67/'Setari model'!$B$64)))+IF($AR67&lt;=1,0.02,0))</x:f>
      </x:c>
      <x:c r="EH67" s="113" t="str">
        <x:f>IF($A67="","",IF(OR(MIN($I67,$P67)&lt;'Setari model'!$B$58,$CK67=1,$CL67=1,AND($CJ67&lt;&gt;"",$CJ67&lt;=1)),"92% – early/regim",IF(AND($AU67=1,$AR67&gt;1,COUNT($CY67:$DB67)=4),"94% – confirmat","93% – standard")))</x:f>
      </x:c>
      <x:c r="EI67" s="113" t="str">
        <x:f t="shared" si="73">IF($A67="","",IF(AND($EA67&gt;0.9,$AU67&lt;&gt;1),"WAIT XI – HIGH P",IF(AND($EA67&gt;0.9,COUNT($CY67:$DB67)&lt;4),"WAIT DATE CHEIE – HIGH P",IF($EP67&lt;&gt;"DA","NU – PORTOFOLIU","DA"))))</x:f>
      </x:c>
      <x:c r="EJ67" s="117" t="str">
        <x:f t="shared" si="74">IF($A67="","",IF($DE67&lt;&gt;"Live 20-30","",IF(SUM($DG67:$DH67)&gt;0,1,IF($EU67="","",1-MIN(0.95,MAX(0.001,EXP(-$EU67)*$DX67*$DY67/$DW67))))))</x:f>
      </x:c>
      <x:c r="EK67" s="117" t="str">
        <x:f t="shared" si="75">""</x:f>
      </x:c>
      <x:c r="EL67" s="113" t="str">
        <x:f>IF($A67="","",IF($DE67="Live 20-30",IF(SUM($DG67:$DH67)&gt;0,"EVENIMENT ÎNDEPLINIT",IF(OR($DF67="",COUNT($DI67:$DN67)&lt;4),"LIVE – WATCH",IF($EJ67&gt;=0.75,"LIVE – FEZABIL TEHNIC","LIVE – NO BET"))),IF($EI67&lt;&gt;"DA","WATCH / NO BET",IF(AND($EA67&gt;=INDEX('Setari model'!$B$35:$B$40,1),$EF67&gt;=100*'Setari model'!$B$76),"PARIU RECOMANDAT",IF(AND($EA67&gt;=INDEX('Setari model'!$B$35:$B$40,5),$EF67&gt;=100*'Setari model'!$B$40),"WATCH – APROAPE DE PRAG","PARIU EVITAT")))))</x:f>
      </x:c>
      <x:c r="EM67" s="113" t="str">
        <x:f t="shared" si="76">IF($A67="","",IF($DE67="Live 20-30",IF(SUM($DG67:$DH67)&gt;0,"Gol deja marcat.",IF($DF67="","Minut live lipsă.",IF(COUNT($DI67:$DN67)&lt;4,"Lipsesc xG/SOT/big chances live.",IF($EJ67&lt;0.75,"P live sub prag.","Semnal live tehnic complet; EV ignorat.")))),IF($EI67&lt;&gt;"DA",$EI67,IF($EF67&lt;75,"Confidence sub 75.",IF($EA67&lt;0.92,"P sub 92%.","G0/Zero-Mass + confidence trecute; EV ignorat.")))))</x:f>
      </x:c>
      <x:c r="EN67" s="117" t="str">
        <x:f>IF($A67="","",IF(OR($EL67="PARIU RECOMANDAT",$EL67="LIVE – FEZABIL"),MIN(IF($DU67&gt;0,$DU67,'Setari model'!$B$81)/MAX(1,$DR67),IF($DV67&gt;0,$DV67,'Setari model'!$B$80)*MAX(0,((IF($DE67="Live 20-30",$EJ67,$EA67)*IF($DE67="Live 20-30",$DQ67,$AR67)-1)/(IF($DE67="Live 20-30",$DQ67,$AR67)-1)))),0))</x:f>
      </x:c>
      <x:c r="EO67" s="121" t="str">
        <x:f t="shared" si="77">IF($A67="","",IF(AND($EN67&gt;0,$DT67&gt;0),$EN67*$DT67,""))</x:f>
      </x:c>
      <x:c r="EP67" s="113" t="str">
        <x:f>IF($A67="","",IF(OR($DR67&lt;1,$DR67&gt;'Setari model'!$B$78),"NU – 1–5 selecții",IF($DS67&gt;'Setari model'!$B$79,"NU – corelație", "DA")))</x:f>
      </x:c>
      <x:c r="EQ67" s="117" t="str">
        <x:f t="shared" si="78">IF($A67="","",IF(AND($DC67&gt;1,$DD67&gt;1),$DC67/$DD67-1,""))</x:f>
      </x:c>
      <x:c r="ER67" s="113" t="str">
        <x:f t="shared" si="79">IF($A67="","","P v2="&amp;TEXT($EA67,"0.0%")&amp;" ±"&amp;TEXT($EG67,"0.0%")&amp;"; P0 ZIP="&amp;TEXT($DZ67,"0.0%")&amp;"; Confidence="&amp;TEXT($EF67,"0")&amp;"/100; piață reală="&amp;IF($EC67="","NU","DA")&amp;"; EV="&amp;IF($EE67="","n/a",TEXT($EE67,"0.0%"))&amp;"; gate="&amp;$EI67&amp;"; verdict="&amp;$EL67&amp;". "&amp;$EM67)</x:f>
      </x:c>
      <x:c r="ES67" s="119" t="str">
        <x:f>IF($A67="","",'Setari model'!$B$82)</x:f>
      </x:c>
      <x:c r="ET67" s="118" t="str">
        <x:f>IF($A67="","",'Setari model'!$B$83)</x:f>
      </x:c>
      <x:c r="EU67" s="115" t="str">
        <x:f t="shared" si="80">IF(OR($A67="",$DE67&lt;&gt;"Live 20-30",$DF67="",$DF67&lt;$ES67,$DF67&gt;=90),"",MAX(0.05,MIN($BS67*$ET67,$BS67*(90-$DF67)/90+0.35*($DI67+$DJ67)+0.06*($DK67+$DL67)+0.15*($DM67+$DN67)+0.1*(MAX($DO67,$DP67)-MIN($DO67,$DP67)))))</x:f>
      </x:c>
      <x:c r="EV67" s="132"/>
      <x:c r="EW67" s="132"/>
      <x:c r="EX67" s="132"/>
      <x:c r="EY67" s="132"/>
      <x:c r="EZ67" s="132"/>
      <x:c r="FA67" s="132"/>
      <x:c r="FB67" s="247"/>
      <x:c r="FC67" s="134" t="str">
        <x:f t="shared" si="81">IF($A67="","",IF(OR($J67="",$L67="",$L67&lt;=0),"",MAX(0.5,MIN(1.5,$J67/$L67))))</x:f>
      </x:c>
      <x:c r="FD67" s="134" t="str">
        <x:f t="shared" si="82">IF($A67="","",IF(OR($Q67="",$S67="",$S67&lt;=0),"",MAX(0.5,MIN(1.5,$Q67/$S67))))</x:f>
      </x:c>
      <x:c r="FE67" s="134" t="str">
        <x:f>IF($A67="","",IF(COUNT($EV67:$EW67)&lt;2,"",SQRT($EV67*$EW67)/'Setari model'!$B$87))</x:f>
      </x:c>
      <x:c r="FF67" s="134" t="str">
        <x:f>IF($A67="","",IF(COUNT($O67,$V67,$EX67,$EY67)&lt;4,"",AVERAGE(SQRT($O67*$EY67),SQRT($V67*$EX67))/'Setari model'!$B$88))</x:f>
      </x:c>
      <x:c r="FG67" s="134" t="str">
        <x:f t="shared" si="83">IF($A67="","",IF(COUNT($FC67:$FD67)&lt;2,"",MAX(0,1-AVERAGE($FC67:$FD67))))</x:f>
      </x:c>
      <x:c r="FH67" s="134" t="str">
        <x:f>IF($A67="","",IF(COUNT($EZ67:$FA67)&lt;2,"",'Setari model'!$B$94*AVERAGE($EZ67:$FA67)/'Setari model'!$B$89))</x:f>
      </x:c>
      <x:c r="FI67" s="134" t="str">
        <x:f>IF($A67="","",IF(COUNT($FE67:$FH67)&lt;4,"",MAX('Setari model'!$B$97,MIN('Setari model'!$B$98,1+'Setari model'!$B$90*($FE67-1)+'Setari model'!$B$91*($FF67-1)+'Setari model'!$B$92*$FG67+'Setari model'!$B$93*($FH67-1)))))</x:f>
      </x:c>
      <x:c r="FJ67" s="133" t="str">
        <x:f>IF($A67="","",IF($FI67="","",MIN('Setari model'!$B$101,MAX(0.002,$DZ67*$FI67))))</x:f>
      </x:c>
      <x:c r="FK67" s="131" t="str">
        <x:f t="shared" si="84">IF($A67="","",IF(AND(COUNT($EV67:$FA67)=6,COUNT($O67,$V67,$FC67,$FD67)=4),"DA","NU"))</x:f>
      </x:c>
      <x:c r="FL67" s="131" t="str">
        <x:f>IF($A67="","",IF($FK67&lt;&gt;"DA","NEDETERMINAT",IF($FI67&lt;='Setari model'!$B$99,"SCĂZUT",IF($FI67&lt;='Setari model'!$B$100,"MEDIU","RIDICAT"))))</x:f>
      </x:c>
      <x:c r="FM67" s="131" t="str">
        <x:f>IF($A67="","",IF(AND($AR67&gt;1,$EC67&gt;='Setari model'!$B$106),"DA","NU"))</x:f>
      </x:c>
      <x:c r="FN67" s="131" t="str">
        <x:f t="shared" si="85">IF($A67="","",IF(AND($AU67=1,COUNT($CY67:$DB67)=4),"DA","NU"))</x:f>
      </x:c>
      <x:c r="FO67" s="133" t="str">
        <x:f>IF($A67="","",IF(OR($FK67&lt;&gt;"DA",$FL67="RIDICAT"),'Setari model'!$B$102,IF($FL67="MEDIU",'Setari model'!$B$103,IF(AND($FM67="DA",$FN67="DA"),'Setari model'!$B$105,'Setari model'!$B$104))))</x:f>
      </x:c>
      <x:c r="FP67" s="133" t="str">
        <x:f t="shared" si="86">IF($A67="","",IF($FJ67="","",MIN(1-$FJ67,$FO67)))</x:f>
      </x:c>
      <x:c r="FQ67" s="135" t="str">
        <x:f t="shared" si="87">IF($A67="","",IF($FP67="","",IF($FP67&gt;0,1/$FP67,"")))</x:f>
      </x:c>
      <x:c r="FR67" s="133" t="str">
        <x:f t="shared" si="88">IF($A67="","",IF($EC67="","",$FP67-$EC67))</x:f>
      </x:c>
      <x:c r="FS67" s="133" t="str">
        <x:f t="shared" si="89">IF($A67="","",IF($AR67&gt;1,$FP67*$AR67-1,""))</x:f>
      </x:c>
      <x:c r="FT67" s="136" t="str">
        <x:f>IF($A67="","",MAX(0,MIN(100,$EF67-IF($FK67&lt;&gt;"DA",'Setari model'!$B$107,0)-IF($FL67="MEDIU",'Setari model'!$B$108,0)-IF($FL67="RIDICAT",'Setari model'!$B$109,0))))</x:f>
      </x:c>
      <x:c r="FU67" s="131" t="str">
        <x:f t="shared" si="90">IF($A67="","",IF($AR67&lt;=1,"NU – LIPSEȘTE COTA REALĂ",IF($FK67&lt;&gt;"DA","NU – ZERO-RISK INCOMPLET",IF($FL67&lt;&gt;"SCĂZUT","NU – RISC 0-0 "&amp;$FL67,IF($FN67&lt;&gt;"DA","NU – LINEUP NECONFIRMAT",IF($FM67&lt;&gt;"DA","NU – PIAȚĂ NECONFIRMATĂ",IF($EP67&lt;&gt;"DA","NU – PORTOFOLIU","DA")))))))</x:f>
      </x:c>
      <x:c r="FV67" s="131" t="str">
        <x:f>IF($A67="","",IF($FU67&lt;&gt;"DA","WATCH / NO BET",IF(AND($FP67&gt;='Setari model'!$B$35,$FT67&gt;=100*'Setari model'!$B$76,$FS67&gt;0),"PARIU RECOMANDAT",IF(AND($FP67&gt;='Setari model'!$B$39,$FT67&gt;=100*'Setari model'!$B$40,$FS67&gt;0),"WATCH – APROAPE DE PRAG","PARIU EVITAT"))))</x:f>
      </x:c>
      <x:c r="FW67" s="131" t="str">
        <x:f t="shared" si="91">IF($A67="","",IF($FU67&lt;&gt;"DA",$FU67,IF($FT67&lt;75,"Confidence v3 sub 75.",IF($FP67&lt;0.92,"P v3 sub 92%.",IF($FS67&lt;=0,"EV v3 nepozitiv.","P0 v3, lineup și piață confirmate.")))))</x:f>
      </x:c>
      <x:c r="FX67" s="131" t="str">
        <x:f t="shared" si="92">IF($A67="","","P v3="&amp;TEXT($FP67,"0.0%")&amp;"; P0 v3="&amp;TEXT($FJ67,"0.0%")&amp;"; factor zero="&amp;IF($FI67="","n/a",TEXT($FI67,"0.00x"))&amp;" ("&amp;$FL67&amp;"); cap="&amp;TEXT($FO67,"0.0%")&amp;"; Confidence="&amp;TEXT($FT67,"0")&amp;"/100; lineup="&amp;$FN67&amp;"; piață="&amp;$FM67&amp;"; EV="&amp;IF($FS67="","n/a",TEXT($FS67,"0.0%"))&amp;"; gate="&amp;$FU67&amp;"; verdict="&amp;$FV67&amp;". "&amp;$FW67)</x:f>
      </x:c>
      <x:c r="FY67" s="159"/>
      <x:c r="FZ67" s="159"/>
      <x:c r="GA67" s="157"/>
      <x:c r="GB67" s="157"/>
      <x:c r="GC67" s="161" t="str">
        <x:f t="shared" si="93">IF($A67="","",IF(OR($X67="",$Z67="",$Z67&lt;=0),"",MAX(0.5,MIN(1.5,$X67/$Z67))))</x:f>
      </x:c>
      <x:c r="GD67" s="161" t="str">
        <x:f t="shared" si="94">IF($A67="","",IF(OR($AC67="",$AE67="",$AE67&lt;=0),"",MAX(0.5,MIN(1.5,$AC67/$AE67))))</x:f>
      </x:c>
      <x:c r="GE67" s="162" t="str">
        <x:f t="shared" si="95">IF($A67="","",IF(COUNT($Z67,$AE67)&lt;2,"",AVERAGE($Z67,$AE67)))</x:f>
      </x:c>
      <x:c r="GF67" s="158" t="str">
        <x:f>IF($A67="","",IF(COUNT($FY67:$FZ67)&lt;2,"NEDETERMINAT",IF(AND($FY67&gt;='Setari model'!$B$113,$FZ67&gt;='Setari model'!$B$113),"DA","NU")))</x:f>
      </x:c>
      <x:c r="GG67" s="158" t="str">
        <x:f>IF($A67="","",IF(COUNT($FY67:$FZ67,$EX67:$EY67)&lt;4,"NEDETERMINAT",IF(OR(AND($FY67&gt;='Setari model'!$B$113,$EY67&gt;='Setari model'!$B$114),AND($FZ67&gt;='Setari model'!$B$113,$EX67&gt;='Setari model'!$B$114)),"DA","NU")))</x:f>
      </x:c>
      <x:c r="GH67" s="158" t="str">
        <x:f>IF($A67="","",IF(COUNT($BJ67:$BN67,$GC67:$GE67)&lt;8,"NEDETERMINAT",IF(AND((($BJ67*INDEX('Setari model'!$B$5:$B$11,MATCH($E67,'Setari model'!$A$5:$A$11,0))+$BK67*INDEX('Setari model'!$C$5:$C$11,MATCH($E67,'Setari model'!$A$5:$A$11,0))+$BL67*INDEX('Setari model'!$D$5:$D$11,MATCH($E67,'Setari model'!$A$5:$A$11,0))+$BM67*INDEX('Setari model'!$E$5:$E$11,MATCH($E67,'Setari model'!$A$5:$A$11,0))+$BN67*INDEX('Setari model'!$F$5:$F$11,MATCH($E67,'Setari model'!$A$5:$A$11,0)))/(INDEX('Setari model'!$B$5:$B$11,MATCH($E67,'Setari model'!$A$5:$A$11,0))+INDEX('Setari model'!$C$5:$C$11,MATCH($E67,'Setari model'!$A$5:$A$11,0))+INDEX('Setari model'!$D$5:$D$11,MATCH($E67,'Setari model'!$A$5:$A$11,0))+INDEX('Setari model'!$E$5:$E$11,MATCH($E67,'Setari model'!$A$5:$A$11,0))+INDEX('Setari model'!$F$5:$F$11,MATCH($E67,'Setari model'!$A$5:$A$11,0))))*$BR67&gt;='Setari model'!$B$115,(($BJ67*INDEX('Setari model'!$B$5:$B$11,MATCH($E67,'Setari model'!$A$5:$A$11,0))+$BK67*INDEX('Setari model'!$C$5:$C$11,MATCH($E67,'Setari model'!$A$5:$A$11,0))+$BL67*INDEX('Setari model'!$D$5:$D$11,MATCH($E67,'Setari model'!$A$5:$A$11,0))+$BM67*INDEX('Setari model'!$E$5:$E$11,MATCH($E67,'Setari model'!$A$5:$A$11,0))+$BN67*INDEX('Setari model'!$F$5:$F$11,MATCH($E67,'Setari model'!$A$5:$A$11,0)))/(INDEX('Setari model'!$B$5:$B$11,MATCH($E67,'Setari model'!$A$5:$A$11,0))+INDEX('Setari model'!$C$5:$C$11,MATCH($E67,'Setari model'!$A$5:$A$11,0))+INDEX('Setari model'!$D$5:$D$11,MATCH($E67,'Setari model'!$A$5:$A$11,0))+INDEX('Setari model'!$E$5:$E$11,MATCH($E67,'Setari model'!$A$5:$A$11,0))+INDEX('Setari model'!$F$5:$F$11,MATCH($E67,'Setari model'!$A$5:$A$11,0))))*$BR67&lt;='Setari model'!$B$116,AVERAGE($GC67:$GD67)&lt;='Setari model'!$B$117,$GE67&gt;='Setari model'!$B$118),"DA","NU")))</x:f>
      </x:c>
      <x:c r="GI67" s="158" t="str">
        <x:f>IF($A67="","",IF(COUNT($W67,$AB67,$GA67:$GB67)&lt;4,"NEDETERMINAT",IF(AND($W67&gt;='Setari model'!$B$120,$AB67&gt;='Setari model'!$B$120,OR(IFERROR($GA67/$W67,0)&gt;='Setari model'!$B$119,IFERROR($GB67/$AB67,0)&gt;='Setari model'!$B$119)),"DA","NU")))</x:f>
      </x:c>
      <x:c r="GJ67" s="160" t="str">
        <x:f>IF($A67="","",IF(COUNT($FY67:$GB67)&lt;4,"",IF($GH67&lt;&gt;"DA",0,'Setari model'!$B$121*IF($GF67="DA",1,0)+'Setari model'!$B$122*IF($GG67="DA",1,0)+'Setari model'!$B$123+'Setari model'!$B$124*IF($GI67="DA",1,0))))</x:f>
      </x:c>
      <x:c r="GK67" s="161" t="str">
        <x:f>IF($A67="","",IF(COUNT($GJ67)=0,"",1+'Setari model'!$B$125*$GJ67))</x:f>
      </x:c>
      <x:c r="GL67" s="160" t="str">
        <x:f>IF($A67="","",IF($GM67&lt;&gt;"DA",$FJ67,MIN('Setari model'!$B$101,MAX(0.002,$FJ67*$GK67))))</x:f>
      </x:c>
      <x:c r="GM67" s="158" t="str">
        <x:f>IF($A67="","",IF(AND($FK67="DA",COUNT($FY67:$GB67)=4,COUNT($I67,$P67,$W67,$AB67,$Z67,$AE67,$EX67,$EY67,$GC67,$GD67)=10,COUNT($BJ67:$BN67)=5),"DA","NU"))</x:f>
      </x:c>
      <x:c r="GN67" s="158" t="str">
        <x:f>IF($A67="","",IF($GM67&lt;&gt;"DA","NEDETERMINAT",IF($FI67*$GK67&lt;='Setari model'!$B$99,"SCĂZUT",IF($FI67*$GK67&lt;='Setari model'!$B$100,"MEDIU","RIDICAT"))))</x:f>
      </x:c>
      <x:c r="GO67" s="160" t="str">
        <x:f>IF($A67="","",IF(OR($GM67&lt;&gt;"DA",$GN67="RIDICAT"),'Setari model'!$B$102,IF($GN67="MEDIU",'Setari model'!$B$103,IF(AND($FM67="DA",$FN67="DA"),'Setari model'!$B$105,'Setari model'!$B$104))))</x:f>
      </x:c>
      <x:c r="GP67" s="160" t="str">
        <x:f t="shared" si="96">IF($A67="","",IF($GL67="","",MIN(1-$GL67,$GO67)))</x:f>
      </x:c>
      <x:c r="GQ67" s="162" t="str">
        <x:f t="shared" si="97">IF($A67="","",IF($GP67="","",IF($GP67&gt;0,1/$GP67,"")))</x:f>
      </x:c>
      <x:c r="GR67" s="160" t="str">
        <x:f t="shared" si="98">IF($A67="","",IF($EC67="","",$GP67-$EC67))</x:f>
      </x:c>
      <x:c r="GS67" s="160" t="str">
        <x:f t="shared" si="99">IF($A67="","",IF($AR67&gt;1,$GP67*$AR67-1,""))</x:f>
      </x:c>
      <x:c r="GT67" s="163" t="str">
        <x:f>IF($A67="","",MAX(0,MIN(100,$FT67-IF(AND($GM67&lt;&gt;"DA",$FK67="DA"),'Setari model'!$B$107,0)-'Setari model'!$B$126*IF($GJ67="",0,$GJ67))))</x:f>
      </x:c>
      <x:c r="GU67" s="158" t="str">
        <x:f t="shared" si="100">IF($A67="","",IF($AR67&lt;=1,"NU – LIPSEȘTE COTA REALĂ",IF($GM67&lt;&gt;"DA","NU – DATE LOW-CONVERSION INCOMPLETE",IF($GN67&lt;&gt;"SCĂZUT","NU – RISC 0-0 "&amp;$GN67,IF($FN67&lt;&gt;"DA","NU – LINEUP NECONFIRMAT",IF($FM67&lt;&gt;"DA","NU – PIAȚĂ NECONFIRMATĂ",IF($EP67&lt;&gt;"DA","NU – PORTOFOLIU","DA")))))))</x:f>
      </x:c>
      <x:c r="GV67" s="158" t="str">
        <x:f>IF($A67="","",IF($GU67&lt;&gt;"DA","WATCH / NO BET",IF(AND($GP67&gt;='Setari model'!$B$35,$GT67&gt;=100*'Setari model'!$B$76,$GS67&gt;0),"PARIU RECOMANDAT",IF(AND($GP67&gt;='Setari model'!$B$39,$GT67&gt;=100*'Setari model'!$B$40,$GS67&gt;0),"WATCH – APROAPE DE PRAG","PARIU EVITAT"))))</x:f>
      </x:c>
      <x:c r="GW67" s="158" t="str">
        <x:f t="shared" si="101">IF($A67="","",IF($GU67&lt;&gt;"DA",$GU67,IF($GT67&lt;75,"Confidence v5 sub 75.",IF($GP67&lt;0.92,"P v5 sub 92%.",IF($GS67&lt;=0,"EV v5 nepozitiv.",IF($GJ67&gt;0,"Low-conversion absorbit în P0; toate porțile rămân trecute.","Toate porțile v5 sunt trecute."))))))</x:f>
      </x:c>
      <x:c r="GX67" s="158" t="str">
        <x:f t="shared" si="102">IF($A67="","","P v5="&amp;TEXT($GP67,"0.0%")&amp;"; P0 v5="&amp;TEXT($GL67,"0.0%")&amp;"; low-conv="&amp;IF(COUNT($GJ67)=0,"n/a",TEXT($GJ67,"0%"))&amp;"; mult.P0="&amp;IF(COUNT($GK67)=0,"n/a",TEXT($GK67,"0.00"))&amp;"; clasă="&amp;$GN67&amp;"; cap="&amp;TEXT($GO67,"0.0%")&amp;"; Confidence="&amp;TEXT($GT67,"0")&amp;"/100; lineup="&amp;$FN67&amp;"; piață="&amp;$FM67&amp;"; EV="&amp;IF($GS67="","n/a",TEXT($GS67,"0.0%"))&amp;"; gate="&amp;$GU67&amp;"; verdict="&amp;$GV67&amp;". "&amp;$GW67)</x:f>
      </x:c>
      <x:c r="GY67" s="174" t="str">
        <x:f>IF($A67="","",IF($GM67&lt;&gt;"DA","SOURCING INCOMPLETE – REVIEW REQUIRED",IF(MIN($I67,$P67,$W67,$AB67)&lt;'Setari model'!$B$58,"SMALL SAMPLE + PRIOR / SHRINKAGE","VERIFIED / PRIOR / SHRINKAGE")))</x:f>
      </x:c>
      <x:c r="GZ67" s="175" t="str">
        <x:f t="shared" si="103">IF($A67="","",MAX(0,MIN(100,100*(1-AVERAGE(IF($GM67="DA",1,0),MIN(1,$AT67/5))))))</x:f>
      </x:c>
      <x:c r="HA67" s="175" t="str">
        <x:f>IF($A67="","",IF($GM67&lt;&gt;"DA","",MAX(0,MIN(100,100*(($FI67*$GK67)-'Setari model'!$B$97)/('Setari model'!$B$98-'Setari model'!$B$97)))))</x:f>
      </x:c>
      <x:c r="HB67" s="175" t="str">
        <x:f>IF($A67="","",MAX(0,MIN(100,100*(ABS($BR67-1)/MAX(1-'Setari model'!$B$53,'Setari model'!$B$54-1)+MIN(1,$BG67/2))/2)))</x:f>
      </x:c>
      <x:c r="HC67" s="175" t="str">
        <x:f t="shared" si="104">IF($A67="","",MAX(0,MIN(100,100*(1-AVERAGE($CC67,MAX(0,1-(MAX($BJ67:$BN67)-MIN($BJ67:$BN67))/(AVERAGE($BJ67:$BN67)*'Setari model'!$B$45)))))))</x:f>
      </x:c>
      <x:c r="HD67" s="175" t="str">
        <x:f t="shared" si="105">IF($A67="","",MAX(0,MIN(100,100*MAX(IF($GJ67="",0,$GJ67),MIN(1,$BG67/2)))))</x:f>
      </x:c>
      <x:c r="HE67" s="175" t="str">
        <x:f>IF($A67="","",IF(COUNT($GZ67:$HD67)&lt;5,"",$GZ67*Risk_Classification!$E$28+$HA67*Risk_Classification!$E$29+$HB67*Risk_Classification!$E$30+$HC67*Risk_Classification!$E$31+$HD67*Risk_Classification!$E$32))</x:f>
      </x:c>
      <x:c r="HF67" s="176" t="str">
        <x:f t="shared" si="106">IF($A67="","",IF($HE67="","",IF($HE67&lt;=20,1,IF($HE67&lt;=40,2,IF($HE67&lt;=60,3,IF($HE67&lt;=80,4,5))))))</x:f>
      </x:c>
      <x:c r="HG67" s="176" t="str">
        <x:f t="shared" si="107">IF($A67="","",IF($GM67="DA","PASS","FAIL – DATE CRITICE ZERO-MASS INCOMPLETE"))</x:f>
      </x:c>
      <x:c r="HH67" s="176" t="str">
        <x:f t="shared" si="108">IF($A67="","",IF($HG67&lt;&gt;"PASS",5,$HF67))</x:f>
      </x:c>
      <x:c r="HI67" s="174" t="str">
        <x:f t="shared" si="109">IF($A67="","",IF($HH67="","N/A",IF($HH67=1,"DEFENSIV",IF($HH67=2,"PRUDENT",IF($HH67=3,"MODERAT",IF($HH67=4,"RIDICAT","WATCH / NO BET"))))))</x:f>
      </x:c>
      <x:c r="HJ67" s="177" t="str">
        <x:f t="shared" si="110">IF($A67="","","Data="&amp;$GY67&amp;"; DQ="&amp;TEXT($GZ67,"0.0")&amp;"; ZM="&amp;IF($HA67="","n/a",TEXT($HA67,"0.0"))&amp;"; Context="&amp;TEXT($HB67,"0.0")&amp;"; Uncertainty="&amp;TEXT($HC67,"0.0")&amp;"; Compound="&amp;TEXT($HD67,"0.0")&amp;"; Risk Score="&amp;IF($HE67="","n/a",TEXT($HE67,"0.0"))&amp;"; Base="&amp;IF($HF67="","n/a",$HF67)&amp;"; G0="&amp;$HG67&amp;"; Final="&amp;$HH67&amp;". Cota, EV si lineup sunt informative si nu intra in recomandare.")</x:f>
      </x:c>
      <x:c r="HK67" s="174" t="str">
        <x:f t="shared" si="111">IF($A67="","",$HI67)</x:f>
      </x:c>
    </x:row>
    <x:row r="68" ht="24" customHeight="1">
      <x:c r="A68" s="58"/>
      <x:c r="B68" s="24"/>
      <x:c r="C68" s="59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18"/>
      <x:c r="O68" s="18"/>
      <x:c r="P68" s="24"/>
      <x:c r="Q68" s="24"/>
      <x:c r="R68" s="24"/>
      <x:c r="S68" s="24"/>
      <x:c r="T68" s="24"/>
      <x:c r="U68" s="18"/>
      <x:c r="V68" s="18"/>
      <x:c r="W68" s="24"/>
      <x:c r="X68" s="24"/>
      <x:c r="Y68" s="24"/>
      <x:c r="Z68" s="24"/>
      <x:c r="AA68" s="24"/>
      <x:c r="AB68" s="24"/>
      <x:c r="AC68" s="24"/>
      <x:c r="AD68" s="24"/>
      <x:c r="AE68" s="24"/>
      <x:c r="AF68" s="24"/>
      <x:c r="AG68" s="24"/>
      <x:c r="AH68" s="24"/>
      <x:c r="AI68" s="18"/>
      <x:c r="AJ68" s="24"/>
      <x:c r="AK68" s="24"/>
      <x:c r="AL68" s="24"/>
      <x:c r="AM68" s="18"/>
      <x:c r="AN68" s="24"/>
      <x:c r="AO68" s="60"/>
      <x:c r="AP68" s="60"/>
      <x:c r="AQ68" s="60"/>
      <x:c r="AR68" s="60"/>
      <x:c r="AS68" s="60"/>
      <x:c r="AT68" s="24"/>
      <x:c r="AU68" s="24"/>
      <x:c r="AV68" s="24"/>
      <x:c r="AW68" s="24"/>
      <x:c r="AX68" s="24"/>
      <x:c r="AY68" s="24"/>
      <x:c r="AZ68" s="24"/>
      <x:c r="BA68" s="24"/>
      <x:c r="BB68" s="24"/>
      <x:c r="BC68" s="24"/>
      <x:c r="BD68" s="24"/>
      <x:c r="BE68" s="24"/>
      <x:c r="BF68" s="24"/>
      <x:c r="BG68" s="24"/>
      <x:c r="BH68" s="61"/>
      <x:c r="BI68" s="61"/>
      <x:c r="BJ68" s="62" t="str">
        <x:f>IF($A68="","",SQRT((($I68*IF($J68="",$AJ68,$J68)+'Setari model'!$B$30*$AJ68)/($I68+'Setari model'!$B$30))*(($P68*IF($R68="",$AJ68,$R68)+'Setari model'!$B$30*$AJ68)/($P68+'Setari model'!$B$30)))+SQRT((($P68*IF($Q68="",$AK68,$Q68)+'Setari model'!$B$30*$AK68)/($P68+'Setari model'!$B$30))*(($I68*IF($K68="",$AK68,$K68)+'Setari model'!$B$30*$AK68)/($I68+'Setari model'!$B$30))))</x:f>
      </x:c>
      <x:c r="BK68" s="62" t="str">
        <x:f>IF($A68="","",SQRT((($I68*IF($L68="",IF($J68="",$AJ68,$J68),$L68)+'Setari model'!$B$30*$AJ68)/($I68+'Setari model'!$B$30))*(($P68*IF($T68="",IF($R68="",$AJ68,$R68),$T68)+'Setari model'!$B$30*$AJ68)/($P68+'Setari model'!$B$30)))+SQRT((($P68*IF($S68="",IF($Q68="",$AK68,$Q68),$S68)+'Setari model'!$B$30*$AK68)/($P68+'Setari model'!$B$30))*(($I68*IF($M68="",IF($K68="",$AK68,$K68),$M68)+'Setari model'!$B$30*$AK68)/($I68+'Setari model'!$B$30))))</x:f>
      </x:c>
      <x:c r="BL68" s="62" t="str">
        <x:f>IF($A68="","",SQRT((($W68*IF($X68="",$AL68/2,$X68)+'Setari model'!$B$31*$AL68/2)/($W68+'Setari model'!$B$31))*(($AB68*IF($AD68="",$AL68/2,$AD68)+'Setari model'!$B$31*$AL68/2)/($AB68+'Setari model'!$B$31)))+SQRT((($AB68*IF($AC68="",$AL68/2,$AC68)+'Setari model'!$B$31*$AL68/2)/($AB68+'Setari model'!$B$31))*(($W68*IF($Y68="",$AL68/2,$Y68)+'Setari model'!$B$31*$AL68/2)/($W68+'Setari model'!$B$31))))</x:f>
      </x:c>
      <x:c r="BM68" s="62" t="str">
        <x:f>IF($A68="","",SQRT((($W68*IF($Z68="",IF($X68="",$AL68/2,$X68),$Z68)+'Setari model'!$B$31*$AL68/2)/($W68+'Setari model'!$B$31))*(($AB68*IF($AF68="",IF($AD68="",$AL68/2,$AD68),$AF68)+'Setari model'!$B$31*$AL68/2)/($AB68+'Setari model'!$B$31)))+SQRT((($AB68*IF($AE68="",IF($AC68="",$AL68/2,$AC68),$AE68)+'Setari model'!$B$31*$AL68/2)/($AB68+'Setari model'!$B$31))*(($W68*IF($AA68="",IF($Y68="",$AL68/2,$Y68),$AA68)+'Setari model'!$B$31*$AL68/2)/($W68+'Setari model'!$B$31))))</x:f>
      </x:c>
      <x:c r="BN68" s="62" t="str">
        <x:f t="shared" ref="BN68:BN103" si="112">IF($A68="","",IF($AG68&gt;0,($AG68*IF($AH68="",$AL68,$AH68)+5*$AL68)/($AG68+5),$AL68))</x:f>
      </x:c>
      <x:c r="BO68" s="63" t="str">
        <x:f>IF($A68="","",IF($AR68&gt;1,IF($AS68&gt;1,(1/$AR68)/((1/$AR68+1/$AS68)),MIN(0.995,(1/$AR68)/(1+'Setari model'!$B$32))),1-EXP(-$AL68)))</x:f>
      </x:c>
      <x:c r="BP68" s="62" t="str">
        <x:f t="shared" ref="BP68:BP103" si="113">IF($A68="","",-LN(1-$BO68))</x:f>
      </x:c>
      <x:c r="BQ68" s="62" t="str">
        <x:f>IF($A68="","",$BJ68*INDEX('Setari model'!$B$5:$B$11,MATCH($E68,'Setari model'!$A$5:$A$11,0))+$BK68*INDEX('Setari model'!$C$5:$C$11,MATCH($E68,'Setari model'!$A$5:$A$11,0))+$BL68*INDEX('Setari model'!$D$5:$D$11,MATCH($E68,'Setari model'!$A$5:$A$11,0))+$BM68*INDEX('Setari model'!$E$5:$E$11,MATCH($E68,'Setari model'!$A$5:$A$11,0))+$BN68*INDEX('Setari model'!$F$5:$F$11,MATCH($E68,'Setari model'!$A$5:$A$11,0))+$BP68*INDEX('Setari model'!$G$5:$G$11,MATCH($E68,'Setari model'!$A$5:$A$11,0)))</x:f>
      </x:c>
      <x:c r="BR68" s="64" t="str">
        <x:f>IF($A68="","",MAX('Setari model'!$B$53,MIN('Setari model'!$B$54,1+($AV68*'Setari model'!$B$15+$AW68*'Setari model'!$B$16+$AX68*'Setari model'!$B$17+$AY68*'Setari model'!$B$18+$AZ68*'Setari model'!$B$19+$BA68*'Setari model'!$B$20+$BB68*'Setari model'!$B$21+$BC68*'Setari model'!$B$22+$BD68*'Setari model'!$B$23+$BE68*'Setari model'!$B$24+$BF68*'Setari model'!$B$25)*INDEX('Setari model'!$H$5:$H$11,MATCH($E68,'Setari model'!$A$5:$A$11,0)))))</x:f>
      </x:c>
      <x:c r="BS68" s="62" t="str">
        <x:f t="shared" ref="BS68:BS103" si="114">IF($A68="","",$BQ68*$BR68)</x:f>
      </x:c>
      <x:c r="BT68" s="63" t="str">
        <x:f t="shared" ref="BT68:BT103" si="115">IF($A68="","",EXP(-$BS68))</x:f>
      </x:c>
      <x:c r="BU68" s="65" t="str">
        <x:f>IF($A68="","",IF(OR($AM68="",$AN68=""),1,1+MIN('Setari model'!$B$33,$AN68/100*'Setari model'!$B$33)*($AM68/EXP(-$AL68)-1)))</x:f>
      </x:c>
      <x:c r="BV68" s="63" t="str">
        <x:f>IF($A68="","",MIN(0.45,MAX(0.005,(1-'Setari model'!$B$34*MIN(1,($I68+$P68)/20))*MIN(0.45,$BT68*$BU68)+'Setari model'!$B$34*MIN(1,($I68+$P68)/20)*IF(COUNT($N68,$U68)=2,SQRT(MAX(0,1-$N68)*MAX(0,1-$U68)),IF($AM68="",EXP(-$AL68),$AM68)))))</x:f>
      </x:c>
      <x:c r="BW68" s="63" t="str">
        <x:f t="shared" ref="BW68:BW103" si="116">IF($A68="","",1-$BV68)</x:f>
      </x:c>
      <x:c r="BX68" s="62" t="str">
        <x:f t="shared" ref="BX68:BX103" si="117">IF($A68="","",1/$BW68)</x:f>
      </x:c>
      <x:c r="BY68" s="63" t="str">
        <x:f t="shared" ref="BY68:BY103" si="118">IF($A68="","",$BO68)</x:f>
      </x:c>
      <x:c r="BZ68" s="63" t="str">
        <x:f t="shared" ref="BZ68:BZ103" si="119">IF($A68="","",$BW68-$BY68)</x:f>
      </x:c>
      <x:c r="CA68" s="63" t="str">
        <x:f t="shared" ref="CA68:CA103" si="120">IF($A68="","",IF($AR68&gt;1,$BW68*$AR68-1,""))</x:f>
      </x:c>
      <x:c r="CB68" s="63" t="str">
        <x:f>IF($A68="","",MIN(1,COUNT($I68:$AN68,$AR68:$BG68)/'Setari model'!$B$46))</x:f>
      </x:c>
      <x:c r="CC68" s="63" t="str">
        <x:f t="shared" ref="CC68:CC103" si="121">IF($A68="","",0.25*MIN(1,$I68/10)+0.25*MIN(1,$P68/10)+0.15*MIN(1,$W68/5)+0.15*MIN(1,$AB68/5)+0.1*MIN(1,$AG68/5)+0.1*MIN(1,$AN68/100))</x:f>
      </x:c>
      <x:c r="CD68" s="63" t="str">
        <x:f>IF($A68="","",MAX(0,1-(MAX($BJ68:$BN68,$BP68)-MIN($BJ68:$BN68,$BP68))/(AVERAGE($BJ68:$BN68,$BP68)*'Setari model'!$B$45)))</x:f>
      </x:c>
      <x:c r="CE68" s="66" t="str">
        <x:f>IF($A68="","",MAX(0,MIN(100,100*INDEX('Setari model'!$I$5:$I$11,MATCH($E68,'Setari model'!$A$5:$A$11,0))*('Setari model'!$B$47*$CB68+'Setari model'!$B$48*$CC68+'Setari model'!$B$49*$CD68+'Setari model'!$B$50*$AT68/5+'Setari model'!$B$51*$AU68)-100*'Setari model'!$B$52*$BG68)))</x:f>
      </x:c>
      <x:c r="CF68" s="65" t="str">
        <x:f t="shared" ref="CF68:CF103" si="122">IF($A68="","",IF(OR($AT68&lt;3,$BG68&gt;=2,$CB68&lt;0.55,$CC68&lt;0.4),"RIDICAT",IF(OR($AU68=0,$CD68&lt;0.45,$BR68&lt;0.9),"MEDIU","SCĂZUT")))</x:f>
      </x:c>
      <x:c r="CG68" s="65" t="str">
        <x:f>IF($A68="","",IF($AR68&gt;1,IF(AND($BW68&gt;= 'Setari model'!$B$35,$CE68&gt;=100*'Setari model'!$B$36,$BZ68&gt;= 'Setari model'!$B$37,$CA68&gt;= 'Setari model'!$B$38,$CF68&lt;&gt;"RIDICAT"),"PARIU RECOMANDAT",IF(AND($BW68&gt;= 'Setari model'!$B$39,$CE68&gt;=100*'Setari model'!$B$40,$BZ68&gt;= 'Setari model'!$B$41,$CA68&gt;=0,$CF68&lt;&gt;"RIDICAT"),"RECOMANDAT CU PRUDENȚĂ",IF(AND($BW68&gt;= 'Setari model'!$B$42,$CE68&gt;=100*'Setari model'!$B$43),"ANALIZĂ NECONCLUDENTĂ","PARIU EVITAT"))),IF(AND($BW68&gt;= 'Setari model'!$B$35,$CE68&gt;=100*'Setari model'!$B$36,$CF68&lt;&gt;"RIDICAT"),"FAVORABIL STATISTIC – VERIFICĂ COTA",IF(AND($BW68&gt;= 'Setari model'!$B$42,$CE68&gt;=100*'Setari model'!$B$43),"ANALIZĂ NECONCLUDENTĂ","PARIU EVITAT"))))</x:f>
      </x:c>
      <x:c r="CH68" s="67" t="str">
        <x:f t="shared" ref="CH68:CH103" si="123">IF($A68="","","P(O0,5)="&amp;TEXT($BW68,"0.0%")&amp;"; λ ajustat="&amp;TEXT($BS68,"0.00")&amp;"; Confidence="&amp;TEXT($CE68,"0")&amp;"/100; Edge="&amp;TEXT($BZ68,"0.0%")&amp;"; risc="&amp;$CF68&amp;". "&amp;$BH68)</x:f>
      </x:c>
      <x:c r="CI68" s="68" t="str">
        <x:f t="shared" ref="CI68:CI103" si="124">IF($A68="","",$BI68)</x:f>
      </x:c>
      <x:c r="CJ68" s="112"/>
      <x:c r="CK68" s="112"/>
      <x:c r="CL68" s="112"/>
      <x:c r="CM68" s="112"/>
      <x:c r="CN68" s="112"/>
      <x:c r="CO68" s="112"/>
      <x:c r="CP68" s="112"/>
      <x:c r="CQ68" s="112"/>
      <x:c r="CR68" s="112"/>
      <x:c r="CS68" s="112"/>
      <x:c r="CT68" s="112"/>
      <x:c r="CU68" s="112"/>
      <x:c r="CV68" s="112"/>
      <x:c r="CW68" s="112"/>
      <x:c r="CX68" s="112"/>
      <x:c r="CY68" s="112"/>
      <x:c r="CZ68" s="112"/>
      <x:c r="DA68" s="112"/>
      <x:c r="DB68" s="112"/>
      <x:c r="DC68" s="114"/>
      <x:c r="DD68" s="114"/>
      <x:c r="DE68" s="112" t="s">
        <x:v>266</x:v>
      </x:c>
      <x:c r="DF68" s="112"/>
      <x:c r="DG68" s="112"/>
      <x:c r="DH68" s="112"/>
      <x:c r="DI68" s="112"/>
      <x:c r="DJ68" s="112"/>
      <x:c r="DK68" s="112"/>
      <x:c r="DL68" s="112"/>
      <x:c r="DM68" s="112"/>
      <x:c r="DN68" s="112"/>
      <x:c r="DO68" s="112"/>
      <x:c r="DP68" s="112"/>
      <x:c r="DQ68" s="114"/>
      <x:c r="DR68" s="112">
        <x:v>1</x:v>
      </x:c>
      <x:c r="DS68" s="116">
        <x:v>0</x:v>
      </x:c>
      <x:c r="DT68" s="120"/>
      <x:c r="DU68" s="116">
        <x:v>0.02</x:v>
      </x:c>
      <x:c r="DV68" s="116">
        <x:v>0.25</x:v>
      </x:c>
      <x:c r="DW68" s="118" t="str">
        <x:f>IF($A68="","",MAX('Setari model'!$B$71,MIN('Setari model'!$B$72,1+0.08*(IFERROR(AVERAGE($CM68:$CN68)/'Setari model'!$B$66,1)-1)+0.08*(IFERROR(AVERAGE($CO68:$CP68)/'Setari model'!$B$67,1)-1)+0.06*(IFERROR(AVERAGE($CQ68:$CR68)/'Setari model'!$B$68,1)-1)+0.04*(IFERROR(AVERAGE($CS68:$CT68)/'Setari model'!$B$69,1)-1)+0.04*(IFERROR(AVERAGE($CU68:$CV68)/'Setari model'!$B$70,1)-1)-'Setari model'!$B$73*IFERROR(AVERAGE($CW68:$CX68),0))))</x:f>
      </x:c>
      <x:c r="DX68" s="118" t="str">
        <x:f>IF($A68="","",1+'Setari model'!$B$62*MAX(IF(OR($CK68=1,$CL68=1),1,0),IF(AND($CJ68&lt;&gt;"",$CJ68&lt;=1),1,0))+'Setari model'!$B$63*IF(AND($CJ68&gt;1,$CJ68&lt;=3),1,0))</x:f>
      </x:c>
      <x:c r="DY68" s="118" t="str">
        <x:f>IF($A68="","",1+'Setari model'!$B$74*(IF($CY68="",0,IF($CY68=0,1,0))+IF($CZ68="",0,IF($CZ68=0,1,0)))+'Setari model'!$B$75*(IF($DA68="",0,IF($DA68=0,1,0))+IF($DB68="",0,IF($DB68=0,1,0))))</x:f>
      </x:c>
      <x:c r="DZ68" s="117" t="str">
        <x:f>IF($A68="","",MIN(0.6,MAX(0.002,(((1-'Setari model'!$B$34*MIN(1,($I68+$P68)/20))*$BT68+'Setari model'!$B$34*MIN(1,($I68+$P68)/20)*IF(COUNT($N68,$U68)=2,SQRT(MAX(0,1-$N68)*MAX(0,1-$U68)),$BT68))*(1-'Setari model'!$B$65*MIN(1,IF($AN68="",0,$AN68/'Setari model'!$B$64)))+'Setari model'!$B$65*MIN(1,IF($AN68="",0,$AN68/'Setari model'!$B$64))*IF($AM68="",$BT68,$AM68))*$DX68*$DY68/$DW68)))</x:f>
      </x:c>
      <x:c r="EA68" s="117" t="str">
        <x:f>IF($A68="","",MIN(1-$DZ68,IF(OR(MIN($I68,$P68)&lt;'Setari model'!$B$58,$CK68=1,$CL68=1,AND($CJ68&lt;&gt;"",$CJ68&lt;=1)),'Setari model'!$B$59,IF(AND($AU68=1,$AR68&gt;1,COUNT($CY68:$DB68)=4),'Setari model'!$B$61,'Setari model'!$B$60))))</x:f>
      </x:c>
      <x:c r="EB68" s="115" t="str">
        <x:f t="shared" ref="EB68:EB103" si="125">IF($A68="","",1/$EA68)</x:f>
      </x:c>
      <x:c r="EC68" s="117" t="str">
        <x:f t="shared" ref="EC68:EC103" si="126">IF($A68="","",IF($AR68&gt;1,IF($AS68&gt;1,(1/$AR68)/((1/$AR68)+(1/$AS68)),1/$AR68),""))</x:f>
      </x:c>
      <x:c r="ED68" s="117" t="str">
        <x:f t="shared" ref="ED68:ED103" si="127">IF($A68="","",IF($EC68="","",$EA68-$EC68))</x:f>
      </x:c>
      <x:c r="EE68" s="117" t="str">
        <x:f t="shared" ref="EE68:EE103" si="128">""</x:f>
      </x:c>
      <x:c r="EF68" s="119" t="str">
        <x:f>IF($A68="","",MAX(0,MIN(100,$CE68-200*MAX(0,$EG68-'Setari model'!$B$77)-IF($AU68&lt;&gt;1,10,0)-IF(COUNT($CY68:$DB68)&lt;4,4,0))))</x:f>
      </x:c>
      <x:c r="EG68" s="117" t="str">
        <x:f>IF($A68="","",'Setari model'!$B$77+IF(MIN($I68,$P68)&lt;'Setari model'!$B$58,0.03,0)+IF(OR($CK68=1,$CL68=1,AND($CJ68&lt;&gt;"",$CJ68&lt;=1)),0.03,0)+IF($AG68=0,0.02,0)+0.03*(1-MIN(1,COUNT($CM68:$CV68)/10))+0.03*(1-MIN(1,IF($AN68="",0,$AN68/'Setari model'!$B$64)))+IF($AR68&lt;=1,0.02,0))</x:f>
      </x:c>
      <x:c r="EH68" s="113" t="str">
        <x:f>IF($A68="","",IF(OR(MIN($I68,$P68)&lt;'Setari model'!$B$58,$CK68=1,$CL68=1,AND($CJ68&lt;&gt;"",$CJ68&lt;=1)),"92% – early/regim",IF(AND($AU68=1,$AR68&gt;1,COUNT($CY68:$DB68)=4),"94% – confirmat","93% – standard")))</x:f>
      </x:c>
      <x:c r="EI68" s="113" t="str">
        <x:f t="shared" ref="EI68:EI103" si="129">IF($A68="","",IF(AND($EA68&gt;0.9,$AU68&lt;&gt;1),"WAIT XI – HIGH P",IF(AND($EA68&gt;0.9,COUNT($CY68:$DB68)&lt;4),"WAIT DATE CHEIE – HIGH P",IF($EP68&lt;&gt;"DA","NU – PORTOFOLIU","DA"))))</x:f>
      </x:c>
      <x:c r="EJ68" s="117" t="str">
        <x:f t="shared" ref="EJ68:EJ103" si="130">IF($A68="","",IF($DE68&lt;&gt;"Live 20-30","",IF(SUM($DG68:$DH68)&gt;0,1,IF($EU68="","",1-MIN(0.95,MAX(0.001,EXP(-$EU68)*$DX68*$DY68/$DW68))))))</x:f>
      </x:c>
      <x:c r="EK68" s="117" t="str">
        <x:f t="shared" ref="EK68:EK103" si="131">""</x:f>
      </x:c>
      <x:c r="EL68" s="113" t="str">
        <x:f>IF($A68="","",IF($DE68="Live 20-30",IF(SUM($DG68:$DH68)&gt;0,"EVENIMENT ÎNDEPLINIT",IF(OR($DF68="",COUNT($DI68:$DN68)&lt;4),"LIVE – WATCH",IF($EJ68&gt;=0.75,"LIVE – FEZABIL TEHNIC","LIVE – NO BET"))),IF($EI68&lt;&gt;"DA","WATCH / NO BET",IF(AND($EA68&gt;=INDEX('Setari model'!$B$35:$B$40,1),$EF68&gt;=100*'Setari model'!$B$76),"PARIU RECOMANDAT",IF(AND($EA68&gt;=INDEX('Setari model'!$B$35:$B$40,5),$EF68&gt;=100*'Setari model'!$B$40),"WATCH – APROAPE DE PRAG","PARIU EVITAT")))))</x:f>
      </x:c>
      <x:c r="EM68" s="113" t="str">
        <x:f t="shared" ref="EM68:EM103" si="132">IF($A68="","",IF($DE68="Live 20-30",IF(SUM($DG68:$DH68)&gt;0,"Gol deja marcat.",IF($DF68="","Minut live lipsă.",IF(COUNT($DI68:$DN68)&lt;4,"Lipsesc xG/SOT/big chances live.",IF($EJ68&lt;0.75,"P live sub prag.","Semnal live tehnic complet; EV ignorat.")))),IF($EI68&lt;&gt;"DA",$EI68,IF($EF68&lt;75,"Confidence sub 75.",IF($EA68&lt;0.92,"P sub 92%.","G0/Zero-Mass + confidence trecute; EV ignorat.")))))</x:f>
      </x:c>
      <x:c r="EN68" s="117" t="str">
        <x:f>IF($A68="","",IF(OR($EL68="PARIU RECOMANDAT",$EL68="LIVE – FEZABIL"),MIN(IF($DU68&gt;0,$DU68,'Setari model'!$B$81)/MAX(1,$DR68),IF($DV68&gt;0,$DV68,'Setari model'!$B$80)*MAX(0,((IF($DE68="Live 20-30",$EJ68,$EA68)*IF($DE68="Live 20-30",$DQ68,$AR68)-1)/(IF($DE68="Live 20-30",$DQ68,$AR68)-1)))),0))</x:f>
      </x:c>
      <x:c r="EO68" s="121" t="str">
        <x:f t="shared" ref="EO68:EO103" si="133">IF($A68="","",IF(AND($EN68&gt;0,$DT68&gt;0),$EN68*$DT68,""))</x:f>
      </x:c>
      <x:c r="EP68" s="113" t="str">
        <x:f>IF($A68="","",IF(OR($DR68&lt;1,$DR68&gt;'Setari model'!$B$78),"NU – 1–5 selecții",IF($DS68&gt;'Setari model'!$B$79,"NU – corelație", "DA")))</x:f>
      </x:c>
      <x:c r="EQ68" s="117" t="str">
        <x:f t="shared" ref="EQ68:EQ103" si="134">IF($A68="","",IF(AND($DC68&gt;1,$DD68&gt;1),$DC68/$DD68-1,""))</x:f>
      </x:c>
      <x:c r="ER68" s="113" t="str">
        <x:f t="shared" ref="ER68:ER103" si="135">IF($A68="","","P v2="&amp;TEXT($EA68,"0.0%")&amp;" ±"&amp;TEXT($EG68,"0.0%")&amp;"; P0 ZIP="&amp;TEXT($DZ68,"0.0%")&amp;"; Confidence="&amp;TEXT($EF68,"0")&amp;"/100; piață reală="&amp;IF($EC68="","NU","DA")&amp;"; EV="&amp;IF($EE68="","n/a",TEXT($EE68,"0.0%"))&amp;"; gate="&amp;$EI68&amp;"; verdict="&amp;$EL68&amp;". "&amp;$EM68)</x:f>
      </x:c>
      <x:c r="ES68" s="119" t="str">
        <x:f>IF($A68="","",'Setari model'!$B$82)</x:f>
      </x:c>
      <x:c r="ET68" s="118" t="str">
        <x:f>IF($A68="","",'Setari model'!$B$83)</x:f>
      </x:c>
      <x:c r="EU68" s="115" t="str">
        <x:f t="shared" ref="EU68:EU103" si="136">IF(OR($A68="",$DE68&lt;&gt;"Live 20-30",$DF68="",$DF68&lt;$ES68,$DF68&gt;=90),"",MAX(0.05,MIN($BS68*$ET68,$BS68*(90-$DF68)/90+0.35*($DI68+$DJ68)+0.06*($DK68+$DL68)+0.15*($DM68+$DN68)+0.1*(MAX($DO68,$DP68)-MIN($DO68,$DP68)))))</x:f>
      </x:c>
      <x:c r="EV68" s="132"/>
      <x:c r="EW68" s="132"/>
      <x:c r="EX68" s="132"/>
      <x:c r="EY68" s="132"/>
      <x:c r="EZ68" s="132"/>
      <x:c r="FA68" s="132"/>
      <x:c r="FB68" s="247"/>
      <x:c r="FC68" s="134" t="str">
        <x:f t="shared" ref="FC68:FC103" si="137">IF($A68="","",IF(OR($J68="",$L68="",$L68&lt;=0),"",MAX(0.5,MIN(1.5,$J68/$L68))))</x:f>
      </x:c>
      <x:c r="FD68" s="134" t="str">
        <x:f t="shared" ref="FD68:FD103" si="138">IF($A68="","",IF(OR($Q68="",$S68="",$S68&lt;=0),"",MAX(0.5,MIN(1.5,$Q68/$S68))))</x:f>
      </x:c>
      <x:c r="FE68" s="134" t="str">
        <x:f>IF($A68="","",IF(COUNT($EV68:$EW68)&lt;2,"",SQRT($EV68*$EW68)/'Setari model'!$B$87))</x:f>
      </x:c>
      <x:c r="FF68" s="134" t="str">
        <x:f>IF($A68="","",IF(COUNT($O68,$V68,$EX68,$EY68)&lt;4,"",AVERAGE(SQRT($O68*$EY68),SQRT($V68*$EX68))/'Setari model'!$B$88))</x:f>
      </x:c>
      <x:c r="FG68" s="134" t="str">
        <x:f t="shared" ref="FG68:FG103" si="139">IF($A68="","",IF(COUNT($FC68:$FD68)&lt;2,"",MAX(0,1-AVERAGE($FC68:$FD68))))</x:f>
      </x:c>
      <x:c r="FH68" s="134" t="str">
        <x:f>IF($A68="","",IF(COUNT($EZ68:$FA68)&lt;2,"",'Setari model'!$B$94*AVERAGE($EZ68:$FA68)/'Setari model'!$B$89))</x:f>
      </x:c>
      <x:c r="FI68" s="134" t="str">
        <x:f>IF($A68="","",IF(COUNT($FE68:$FH68)&lt;4,"",MAX('Setari model'!$B$97,MIN('Setari model'!$B$98,1+'Setari model'!$B$90*($FE68-1)+'Setari model'!$B$91*($FF68-1)+'Setari model'!$B$92*$FG68+'Setari model'!$B$93*($FH68-1)))))</x:f>
      </x:c>
      <x:c r="FJ68" s="133" t="str">
        <x:f>IF($A68="","",IF($FI68="","",MIN('Setari model'!$B$101,MAX(0.002,$DZ68*$FI68))))</x:f>
      </x:c>
      <x:c r="FK68" s="131" t="str">
        <x:f t="shared" ref="FK68:FK103" si="140">IF($A68="","",IF(AND(COUNT($EV68:$FA68)=6,COUNT($O68,$V68,$FC68,$FD68)=4),"DA","NU"))</x:f>
      </x:c>
      <x:c r="FL68" s="131" t="str">
        <x:f>IF($A68="","",IF($FK68&lt;&gt;"DA","NEDETERMINAT",IF($FI68&lt;='Setari model'!$B$99,"SCĂZUT",IF($FI68&lt;='Setari model'!$B$100,"MEDIU","RIDICAT"))))</x:f>
      </x:c>
      <x:c r="FM68" s="131" t="str">
        <x:f>IF($A68="","",IF(AND($AR68&gt;1,$EC68&gt;='Setari model'!$B$106),"DA","NU"))</x:f>
      </x:c>
      <x:c r="FN68" s="131" t="str">
        <x:f t="shared" ref="FN68:FN103" si="141">IF($A68="","",IF(AND($AU68=1,COUNT($CY68:$DB68)=4),"DA","NU"))</x:f>
      </x:c>
      <x:c r="FO68" s="133" t="str">
        <x:f>IF($A68="","",IF(OR($FK68&lt;&gt;"DA",$FL68="RIDICAT"),'Setari model'!$B$102,IF($FL68="MEDIU",'Setari model'!$B$103,IF(AND($FM68="DA",$FN68="DA"),'Setari model'!$B$105,'Setari model'!$B$104))))</x:f>
      </x:c>
      <x:c r="FP68" s="133" t="str">
        <x:f t="shared" ref="FP68:FP103" si="142">IF($A68="","",IF($FJ68="","",MIN(1-$FJ68,$FO68)))</x:f>
      </x:c>
      <x:c r="FQ68" s="135" t="str">
        <x:f t="shared" ref="FQ68:FQ103" si="143">IF($A68="","",IF($FP68="","",IF($FP68&gt;0,1/$FP68,"")))</x:f>
      </x:c>
      <x:c r="FR68" s="133" t="str">
        <x:f t="shared" ref="FR68:FR103" si="144">IF($A68="","",IF($EC68="","",$FP68-$EC68))</x:f>
      </x:c>
      <x:c r="FS68" s="133" t="str">
        <x:f t="shared" ref="FS68:FS103" si="145">IF($A68="","",IF($AR68&gt;1,$FP68*$AR68-1,""))</x:f>
      </x:c>
      <x:c r="FT68" s="136" t="str">
        <x:f>IF($A68="","",MAX(0,MIN(100,$EF68-IF($FK68&lt;&gt;"DA",'Setari model'!$B$107,0)-IF($FL68="MEDIU",'Setari model'!$B$108,0)-IF($FL68="RIDICAT",'Setari model'!$B$109,0))))</x:f>
      </x:c>
      <x:c r="FU68" s="131" t="str">
        <x:f t="shared" ref="FU68:FU103" si="146">IF($A68="","",IF($AR68&lt;=1,"NU – LIPSEȘTE COTA REALĂ",IF($FK68&lt;&gt;"DA","NU – ZERO-RISK INCOMPLET",IF($FL68&lt;&gt;"SCĂZUT","NU – RISC 0-0 "&amp;$FL68,IF($FN68&lt;&gt;"DA","NU – LINEUP NECONFIRMAT",IF($FM68&lt;&gt;"DA","NU – PIAȚĂ NECONFIRMATĂ",IF($EP68&lt;&gt;"DA","NU – PORTOFOLIU","DA")))))))</x:f>
      </x:c>
      <x:c r="FV68" s="131" t="str">
        <x:f>IF($A68="","",IF($FU68&lt;&gt;"DA","WATCH / NO BET",IF(AND($FP68&gt;='Setari model'!$B$35,$FT68&gt;=100*'Setari model'!$B$76,$FS68&gt;0),"PARIU RECOMANDAT",IF(AND($FP68&gt;='Setari model'!$B$39,$FT68&gt;=100*'Setari model'!$B$40,$FS68&gt;0),"WATCH – APROAPE DE PRAG","PARIU EVITAT"))))</x:f>
      </x:c>
      <x:c r="FW68" s="131" t="str">
        <x:f t="shared" ref="FW68:FW103" si="147">IF($A68="","",IF($FU68&lt;&gt;"DA",$FU68,IF($FT68&lt;75,"Confidence v3 sub 75.",IF($FP68&lt;0.92,"P v3 sub 92%.",IF($FS68&lt;=0,"EV v3 nepozitiv.","P0 v3, lineup și piață confirmate.")))))</x:f>
      </x:c>
      <x:c r="FX68" s="131" t="str">
        <x:f t="shared" ref="FX68:FX103" si="148">IF($A68="","","P v3="&amp;TEXT($FP68,"0.0%")&amp;"; P0 v3="&amp;TEXT($FJ68,"0.0%")&amp;"; factor zero="&amp;IF($FI68="","n/a",TEXT($FI68,"0.00x"))&amp;" ("&amp;$FL68&amp;"); cap="&amp;TEXT($FO68,"0.0%")&amp;"; Confidence="&amp;TEXT($FT68,"0")&amp;"/100; lineup="&amp;$FN68&amp;"; piață="&amp;$FM68&amp;"; EV="&amp;IF($FS68="","n/a",TEXT($FS68,"0.0%"))&amp;"; gate="&amp;$FU68&amp;"; verdict="&amp;$FV68&amp;". "&amp;$FW68)</x:f>
      </x:c>
      <x:c r="FY68" s="159"/>
      <x:c r="FZ68" s="159"/>
      <x:c r="GA68" s="157"/>
      <x:c r="GB68" s="157"/>
      <x:c r="GC68" s="161" t="str">
        <x:f t="shared" ref="GC68:GC103" si="149">IF($A68="","",IF(OR($X68="",$Z68="",$Z68&lt;=0),"",MAX(0.5,MIN(1.5,$X68/$Z68))))</x:f>
      </x:c>
      <x:c r="GD68" s="161" t="str">
        <x:f t="shared" ref="GD68:GD103" si="150">IF($A68="","",IF(OR($AC68="",$AE68="",$AE68&lt;=0),"",MAX(0.5,MIN(1.5,$AC68/$AE68))))</x:f>
      </x:c>
      <x:c r="GE68" s="162" t="str">
        <x:f t="shared" ref="GE68:GE103" si="151">IF($A68="","",IF(COUNT($Z68,$AE68)&lt;2,"",AVERAGE($Z68,$AE68)))</x:f>
      </x:c>
      <x:c r="GF68" s="158" t="str">
        <x:f>IF($A68="","",IF(COUNT($FY68:$FZ68)&lt;2,"NEDETERMINAT",IF(AND($FY68&gt;='Setari model'!$B$113,$FZ68&gt;='Setari model'!$B$113),"DA","NU")))</x:f>
      </x:c>
      <x:c r="GG68" s="158" t="str">
        <x:f>IF($A68="","",IF(COUNT($FY68:$FZ68,$EX68:$EY68)&lt;4,"NEDETERMINAT",IF(OR(AND($FY68&gt;='Setari model'!$B$113,$EY68&gt;='Setari model'!$B$114),AND($FZ68&gt;='Setari model'!$B$113,$EX68&gt;='Setari model'!$B$114)),"DA","NU")))</x:f>
      </x:c>
      <x:c r="GH68" s="158" t="str">
        <x:f>IF($A68="","",IF(COUNT($BJ68:$BN68,$GC68:$GE68)&lt;8,"NEDETERMINAT",IF(AND((($BJ68*INDEX('Setari model'!$B$5:$B$11,MATCH($E68,'Setari model'!$A$5:$A$11,0))+$BK68*INDEX('Setari model'!$C$5:$C$11,MATCH($E68,'Setari model'!$A$5:$A$11,0))+$BL68*INDEX('Setari model'!$D$5:$D$11,MATCH($E68,'Setari model'!$A$5:$A$11,0))+$BM68*INDEX('Setari model'!$E$5:$E$11,MATCH($E68,'Setari model'!$A$5:$A$11,0))+$BN68*INDEX('Setari model'!$F$5:$F$11,MATCH($E68,'Setari model'!$A$5:$A$11,0)))/(INDEX('Setari model'!$B$5:$B$11,MATCH($E68,'Setari model'!$A$5:$A$11,0))+INDEX('Setari model'!$C$5:$C$11,MATCH($E68,'Setari model'!$A$5:$A$11,0))+INDEX('Setari model'!$D$5:$D$11,MATCH($E68,'Setari model'!$A$5:$A$11,0))+INDEX('Setari model'!$E$5:$E$11,MATCH($E68,'Setari model'!$A$5:$A$11,0))+INDEX('Setari model'!$F$5:$F$11,MATCH($E68,'Setari model'!$A$5:$A$11,0))))*$BR68&gt;='Setari model'!$B$115,(($BJ68*INDEX('Setari model'!$B$5:$B$11,MATCH($E68,'Setari model'!$A$5:$A$11,0))+$BK68*INDEX('Setari model'!$C$5:$C$11,MATCH($E68,'Setari model'!$A$5:$A$11,0))+$BL68*INDEX('Setari model'!$D$5:$D$11,MATCH($E68,'Setari model'!$A$5:$A$11,0))+$BM68*INDEX('Setari model'!$E$5:$E$11,MATCH($E68,'Setari model'!$A$5:$A$11,0))+$BN68*INDEX('Setari model'!$F$5:$F$11,MATCH($E68,'Setari model'!$A$5:$A$11,0)))/(INDEX('Setari model'!$B$5:$B$11,MATCH($E68,'Setari model'!$A$5:$A$11,0))+INDEX('Setari model'!$C$5:$C$11,MATCH($E68,'Setari model'!$A$5:$A$11,0))+INDEX('Setari model'!$D$5:$D$11,MATCH($E68,'Setari model'!$A$5:$A$11,0))+INDEX('Setari model'!$E$5:$E$11,MATCH($E68,'Setari model'!$A$5:$A$11,0))+INDEX('Setari model'!$F$5:$F$11,MATCH($E68,'Setari model'!$A$5:$A$11,0))))*$BR68&lt;='Setari model'!$B$116,AVERAGE($GC68:$GD68)&lt;='Setari model'!$B$117,$GE68&gt;='Setari model'!$B$118),"DA","NU")))</x:f>
      </x:c>
      <x:c r="GI68" s="158" t="str">
        <x:f>IF($A68="","",IF(COUNT($W68,$AB68,$GA68:$GB68)&lt;4,"NEDETERMINAT",IF(AND($W68&gt;='Setari model'!$B$120,$AB68&gt;='Setari model'!$B$120,OR(IFERROR($GA68/$W68,0)&gt;='Setari model'!$B$119,IFERROR($GB68/$AB68,0)&gt;='Setari model'!$B$119)),"DA","NU")))</x:f>
      </x:c>
      <x:c r="GJ68" s="160" t="str">
        <x:f>IF($A68="","",IF(COUNT($FY68:$GB68)&lt;4,"",IF($GH68&lt;&gt;"DA",0,'Setari model'!$B$121*IF($GF68="DA",1,0)+'Setari model'!$B$122*IF($GG68="DA",1,0)+'Setari model'!$B$123+'Setari model'!$B$124*IF($GI68="DA",1,0))))</x:f>
      </x:c>
      <x:c r="GK68" s="161" t="str">
        <x:f>IF($A68="","",IF(COUNT($GJ68)=0,"",1+'Setari model'!$B$125*$GJ68))</x:f>
      </x:c>
      <x:c r="GL68" s="160" t="str">
        <x:f>IF($A68="","",IF($GM68&lt;&gt;"DA",$FJ68,MIN('Setari model'!$B$101,MAX(0.002,$FJ68*$GK68))))</x:f>
      </x:c>
      <x:c r="GM68" s="158" t="str">
        <x:f>IF($A68="","",IF(AND($FK68="DA",COUNT($FY68:$GB68)=4,COUNT($I68,$P68,$W68,$AB68,$Z68,$AE68,$EX68,$EY68,$GC68,$GD68)=10,COUNT($BJ68:$BN68)=5),"DA","NU"))</x:f>
      </x:c>
      <x:c r="GN68" s="158" t="str">
        <x:f>IF($A68="","",IF($GM68&lt;&gt;"DA","NEDETERMINAT",IF($FI68*$GK68&lt;='Setari model'!$B$99,"SCĂZUT",IF($FI68*$GK68&lt;='Setari model'!$B$100,"MEDIU","RIDICAT"))))</x:f>
      </x:c>
      <x:c r="GO68" s="160" t="str">
        <x:f>IF($A68="","",IF(OR($GM68&lt;&gt;"DA",$GN68="RIDICAT"),'Setari model'!$B$102,IF($GN68="MEDIU",'Setari model'!$B$103,IF(AND($FM68="DA",$FN68="DA"),'Setari model'!$B$105,'Setari model'!$B$104))))</x:f>
      </x:c>
      <x:c r="GP68" s="160" t="str">
        <x:f t="shared" ref="GP68:GP103" si="152">IF($A68="","",IF($GL68="","",MIN(1-$GL68,$GO68)))</x:f>
      </x:c>
      <x:c r="GQ68" s="162" t="str">
        <x:f t="shared" ref="GQ68:GQ103" si="153">IF($A68="","",IF($GP68="","",IF($GP68&gt;0,1/$GP68,"")))</x:f>
      </x:c>
      <x:c r="GR68" s="160" t="str">
        <x:f t="shared" ref="GR68:GR103" si="154">IF($A68="","",IF($EC68="","",$GP68-$EC68))</x:f>
      </x:c>
      <x:c r="GS68" s="160" t="str">
        <x:f t="shared" ref="GS68:GS103" si="155">IF($A68="","",IF($AR68&gt;1,$GP68*$AR68-1,""))</x:f>
      </x:c>
      <x:c r="GT68" s="163" t="str">
        <x:f>IF($A68="","",MAX(0,MIN(100,$FT68-IF(AND($GM68&lt;&gt;"DA",$FK68="DA"),'Setari model'!$B$107,0)-'Setari model'!$B$126*IF($GJ68="",0,$GJ68))))</x:f>
      </x:c>
      <x:c r="GU68" s="158" t="str">
        <x:f t="shared" ref="GU68:GU103" si="156">IF($A68="","",IF($AR68&lt;=1,"NU – LIPSEȘTE COTA REALĂ",IF($GM68&lt;&gt;"DA","NU – DATE LOW-CONVERSION INCOMPLETE",IF($GN68&lt;&gt;"SCĂZUT","NU – RISC 0-0 "&amp;$GN68,IF($FN68&lt;&gt;"DA","NU – LINEUP NECONFIRMAT",IF($FM68&lt;&gt;"DA","NU – PIAȚĂ NECONFIRMATĂ",IF($EP68&lt;&gt;"DA","NU – PORTOFOLIU","DA")))))))</x:f>
      </x:c>
      <x:c r="GV68" s="158" t="str">
        <x:f>IF($A68="","",IF($GU68&lt;&gt;"DA","WATCH / NO BET",IF(AND($GP68&gt;='Setari model'!$B$35,$GT68&gt;=100*'Setari model'!$B$76,$GS68&gt;0),"PARIU RECOMANDAT",IF(AND($GP68&gt;='Setari model'!$B$39,$GT68&gt;=100*'Setari model'!$B$40,$GS68&gt;0),"WATCH – APROAPE DE PRAG","PARIU EVITAT"))))</x:f>
      </x:c>
      <x:c r="GW68" s="158" t="str">
        <x:f t="shared" ref="GW68:GW103" si="157">IF($A68="","",IF($GU68&lt;&gt;"DA",$GU68,IF($GT68&lt;75,"Confidence v5 sub 75.",IF($GP68&lt;0.92,"P v5 sub 92%.",IF($GS68&lt;=0,"EV v5 nepozitiv.",IF($GJ68&gt;0,"Low-conversion absorbit în P0; toate porțile rămân trecute.","Toate porțile v5 sunt trecute."))))))</x:f>
      </x:c>
      <x:c r="GX68" s="158" t="str">
        <x:f t="shared" ref="GX68:GX103" si="158">IF($A68="","","P v5="&amp;TEXT($GP68,"0.0%")&amp;"; P0 v5="&amp;TEXT($GL68,"0.0%")&amp;"; low-conv="&amp;IF(COUNT($GJ68)=0,"n/a",TEXT($GJ68,"0%"))&amp;"; mult.P0="&amp;IF(COUNT($GK68)=0,"n/a",TEXT($GK68,"0.00"))&amp;"; clasă="&amp;$GN68&amp;"; cap="&amp;TEXT($GO68,"0.0%")&amp;"; Confidence="&amp;TEXT($GT68,"0")&amp;"/100; lineup="&amp;$FN68&amp;"; piață="&amp;$FM68&amp;"; EV="&amp;IF($GS68="","n/a",TEXT($GS68,"0.0%"))&amp;"; gate="&amp;$GU68&amp;"; verdict="&amp;$GV68&amp;". "&amp;$GW68)</x:f>
      </x:c>
      <x:c r="GY68" s="174" t="str">
        <x:f>IF($A68="","",IF($GM68&lt;&gt;"DA","SOURCING INCOMPLETE – REVIEW REQUIRED",IF(MIN($I68,$P68,$W68,$AB68)&lt;'Setari model'!$B$58,"SMALL SAMPLE + PRIOR / SHRINKAGE","VERIFIED / PRIOR / SHRINKAGE")))</x:f>
      </x:c>
      <x:c r="GZ68" s="175" t="str">
        <x:f t="shared" ref="GZ68:GZ103" si="159">IF($A68="","",MAX(0,MIN(100,100*(1-AVERAGE(IF($GM68="DA",1,0),MIN(1,$AT68/5))))))</x:f>
      </x:c>
      <x:c r="HA68" s="175" t="str">
        <x:f>IF($A68="","",IF($GM68&lt;&gt;"DA","",MAX(0,MIN(100,100*(($FI68*$GK68)-'Setari model'!$B$97)/('Setari model'!$B$98-'Setari model'!$B$97)))))</x:f>
      </x:c>
      <x:c r="HB68" s="175" t="str">
        <x:f>IF($A68="","",MAX(0,MIN(100,100*(ABS($BR68-1)/MAX(1-'Setari model'!$B$53,'Setari model'!$B$54-1)+MIN(1,$BG68/2))/2)))</x:f>
      </x:c>
      <x:c r="HC68" s="175" t="str">
        <x:f t="shared" ref="HC68:HC103" si="160">IF($A68="","",MAX(0,MIN(100,100*(1-AVERAGE($CC68,MAX(0,1-(MAX($BJ68:$BN68)-MIN($BJ68:$BN68))/(AVERAGE($BJ68:$BN68)*'Setari model'!$B$45)))))))</x:f>
      </x:c>
      <x:c r="HD68" s="175" t="str">
        <x:f t="shared" ref="HD68:HD103" si="161">IF($A68="","",MAX(0,MIN(100,100*MAX(IF($GJ68="",0,$GJ68),MIN(1,$BG68/2)))))</x:f>
      </x:c>
      <x:c r="HE68" s="175" t="str">
        <x:f>IF($A68="","",IF(COUNT($GZ68:$HD68)&lt;5,"",$GZ68*Risk_Classification!$E$28+$HA68*Risk_Classification!$E$29+$HB68*Risk_Classification!$E$30+$HC68*Risk_Classification!$E$31+$HD68*Risk_Classification!$E$32))</x:f>
      </x:c>
      <x:c r="HF68" s="176" t="str">
        <x:f t="shared" ref="HF68:HF103" si="162">IF($A68="","",IF($HE68="","",IF($HE68&lt;=20,1,IF($HE68&lt;=40,2,IF($HE68&lt;=60,3,IF($HE68&lt;=80,4,5))))))</x:f>
      </x:c>
      <x:c r="HG68" s="176" t="str">
        <x:f t="shared" ref="HG68:HG103" si="163">IF($A68="","",IF($GM68="DA","PASS","FAIL – DATE CRITICE ZERO-MASS INCOMPLETE"))</x:f>
      </x:c>
      <x:c r="HH68" s="176" t="str">
        <x:f t="shared" ref="HH68:HH103" si="164">IF($A68="","",IF($HG68&lt;&gt;"PASS",5,$HF68))</x:f>
      </x:c>
      <x:c r="HI68" s="174" t="str">
        <x:f t="shared" ref="HI68:HI103" si="165">IF($A68="","",IF($HH68="","N/A",IF($HH68=1,"DEFENSIV",IF($HH68=2,"PRUDENT",IF($HH68=3,"MODERAT",IF($HH68=4,"RIDICAT","WATCH / NO BET"))))))</x:f>
      </x:c>
      <x:c r="HJ68" s="177" t="str">
        <x:f t="shared" ref="HJ68:HJ103" si="166">IF($A68="","","Data="&amp;$GY68&amp;"; DQ="&amp;TEXT($GZ68,"0.0")&amp;"; ZM="&amp;IF($HA68="","n/a",TEXT($HA68,"0.0"))&amp;"; Context="&amp;TEXT($HB68,"0.0")&amp;"; Uncertainty="&amp;TEXT($HC68,"0.0")&amp;"; Compound="&amp;TEXT($HD68,"0.0")&amp;"; Risk Score="&amp;IF($HE68="","n/a",TEXT($HE68,"0.0"))&amp;"; Base="&amp;IF($HF68="","n/a",$HF68)&amp;"; G0="&amp;$HG68&amp;"; Final="&amp;$HH68&amp;". Cota, EV si lineup sunt informative si nu intra in recomandare.")</x:f>
      </x:c>
      <x:c r="HK68" s="174" t="str">
        <x:f t="shared" ref="HK68:HK103" si="167">IF($A68="","",$HI68)</x:f>
      </x:c>
    </x:row>
    <x:row r="69" ht="24" customHeight="1">
      <x:c r="A69" s="58"/>
      <x:c r="B69" s="24"/>
      <x:c r="C69" s="59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18"/>
      <x:c r="O69" s="18"/>
      <x:c r="P69" s="24"/>
      <x:c r="Q69" s="24"/>
      <x:c r="R69" s="24"/>
      <x:c r="S69" s="24"/>
      <x:c r="T69" s="24"/>
      <x:c r="U69" s="18"/>
      <x:c r="V69" s="18"/>
      <x:c r="W69" s="24"/>
      <x:c r="X69" s="24"/>
      <x:c r="Y69" s="24"/>
      <x:c r="Z69" s="24"/>
      <x:c r="AA69" s="24"/>
      <x:c r="AB69" s="24"/>
      <x:c r="AC69" s="24"/>
      <x:c r="AD69" s="24"/>
      <x:c r="AE69" s="24"/>
      <x:c r="AF69" s="24"/>
      <x:c r="AG69" s="24"/>
      <x:c r="AH69" s="24"/>
      <x:c r="AI69" s="18"/>
      <x:c r="AJ69" s="24"/>
      <x:c r="AK69" s="24"/>
      <x:c r="AL69" s="24"/>
      <x:c r="AM69" s="18"/>
      <x:c r="AN69" s="24"/>
      <x:c r="AO69" s="60"/>
      <x:c r="AP69" s="60"/>
      <x:c r="AQ69" s="60"/>
      <x:c r="AR69" s="60"/>
      <x:c r="AS69" s="60"/>
      <x:c r="AT69" s="24"/>
      <x:c r="AU69" s="24"/>
      <x:c r="AV69" s="24"/>
      <x:c r="AW69" s="24"/>
      <x:c r="AX69" s="24"/>
      <x:c r="AY69" s="24"/>
      <x:c r="AZ69" s="24"/>
      <x:c r="BA69" s="24"/>
      <x:c r="BB69" s="24"/>
      <x:c r="BC69" s="24"/>
      <x:c r="BD69" s="24"/>
      <x:c r="BE69" s="24"/>
      <x:c r="BF69" s="24"/>
      <x:c r="BG69" s="24"/>
      <x:c r="BH69" s="61"/>
      <x:c r="BI69" s="61"/>
      <x:c r="BJ69" s="62" t="str">
        <x:f>IF($A69="","",SQRT((($I69*IF($J69="",$AJ69,$J69)+'Setari model'!$B$30*$AJ69)/($I69+'Setari model'!$B$30))*(($P69*IF($R69="",$AJ69,$R69)+'Setari model'!$B$30*$AJ69)/($P69+'Setari model'!$B$30)))+SQRT((($P69*IF($Q69="",$AK69,$Q69)+'Setari model'!$B$30*$AK69)/($P69+'Setari model'!$B$30))*(($I69*IF($K69="",$AK69,$K69)+'Setari model'!$B$30*$AK69)/($I69+'Setari model'!$B$30))))</x:f>
      </x:c>
      <x:c r="BK69" s="62" t="str">
        <x:f>IF($A69="","",SQRT((($I69*IF($L69="",IF($J69="",$AJ69,$J69),$L69)+'Setari model'!$B$30*$AJ69)/($I69+'Setari model'!$B$30))*(($P69*IF($T69="",IF($R69="",$AJ69,$R69),$T69)+'Setari model'!$B$30*$AJ69)/($P69+'Setari model'!$B$30)))+SQRT((($P69*IF($S69="",IF($Q69="",$AK69,$Q69),$S69)+'Setari model'!$B$30*$AK69)/($P69+'Setari model'!$B$30))*(($I69*IF($M69="",IF($K69="",$AK69,$K69),$M69)+'Setari model'!$B$30*$AK69)/($I69+'Setari model'!$B$30))))</x:f>
      </x:c>
      <x:c r="BL69" s="62" t="str">
        <x:f>IF($A69="","",SQRT((($W69*IF($X69="",$AL69/2,$X69)+'Setari model'!$B$31*$AL69/2)/($W69+'Setari model'!$B$31))*(($AB69*IF($AD69="",$AL69/2,$AD69)+'Setari model'!$B$31*$AL69/2)/($AB69+'Setari model'!$B$31)))+SQRT((($AB69*IF($AC69="",$AL69/2,$AC69)+'Setari model'!$B$31*$AL69/2)/($AB69+'Setari model'!$B$31))*(($W69*IF($Y69="",$AL69/2,$Y69)+'Setari model'!$B$31*$AL69/2)/($W69+'Setari model'!$B$31))))</x:f>
      </x:c>
      <x:c r="BM69" s="62" t="str">
        <x:f>IF($A69="","",SQRT((($W69*IF($Z69="",IF($X69="",$AL69/2,$X69),$Z69)+'Setari model'!$B$31*$AL69/2)/($W69+'Setari model'!$B$31))*(($AB69*IF($AF69="",IF($AD69="",$AL69/2,$AD69),$AF69)+'Setari model'!$B$31*$AL69/2)/($AB69+'Setari model'!$B$31)))+SQRT((($AB69*IF($AE69="",IF($AC69="",$AL69/2,$AC69),$AE69)+'Setari model'!$B$31*$AL69/2)/($AB69+'Setari model'!$B$31))*(($W69*IF($AA69="",IF($Y69="",$AL69/2,$Y69),$AA69)+'Setari model'!$B$31*$AL69/2)/($W69+'Setari model'!$B$31))))</x:f>
      </x:c>
      <x:c r="BN69" s="62" t="str">
        <x:f t="shared" si="112">IF($A69="","",IF($AG69&gt;0,($AG69*IF($AH69="",$AL69,$AH69)+5*$AL69)/($AG69+5),$AL69))</x:f>
      </x:c>
      <x:c r="BO69" s="63" t="str">
        <x:f>IF($A69="","",IF($AR69&gt;1,IF($AS69&gt;1,(1/$AR69)/((1/$AR69+1/$AS69)),MIN(0.995,(1/$AR69)/(1+'Setari model'!$B$32))),1-EXP(-$AL69)))</x:f>
      </x:c>
      <x:c r="BP69" s="62" t="str">
        <x:f t="shared" si="113">IF($A69="","",-LN(1-$BO69))</x:f>
      </x:c>
      <x:c r="BQ69" s="62" t="str">
        <x:f>IF($A69="","",$BJ69*INDEX('Setari model'!$B$5:$B$11,MATCH($E69,'Setari model'!$A$5:$A$11,0))+$BK69*INDEX('Setari model'!$C$5:$C$11,MATCH($E69,'Setari model'!$A$5:$A$11,0))+$BL69*INDEX('Setari model'!$D$5:$D$11,MATCH($E69,'Setari model'!$A$5:$A$11,0))+$BM69*INDEX('Setari model'!$E$5:$E$11,MATCH($E69,'Setari model'!$A$5:$A$11,0))+$BN69*INDEX('Setari model'!$F$5:$F$11,MATCH($E69,'Setari model'!$A$5:$A$11,0))+$BP69*INDEX('Setari model'!$G$5:$G$11,MATCH($E69,'Setari model'!$A$5:$A$11,0)))</x:f>
      </x:c>
      <x:c r="BR69" s="64" t="str">
        <x:f>IF($A69="","",MAX('Setari model'!$B$53,MIN('Setari model'!$B$54,1+($AV69*'Setari model'!$B$15+$AW69*'Setari model'!$B$16+$AX69*'Setari model'!$B$17+$AY69*'Setari model'!$B$18+$AZ69*'Setari model'!$B$19+$BA69*'Setari model'!$B$20+$BB69*'Setari model'!$B$21+$BC69*'Setari model'!$B$22+$BD69*'Setari model'!$B$23+$BE69*'Setari model'!$B$24+$BF69*'Setari model'!$B$25)*INDEX('Setari model'!$H$5:$H$11,MATCH($E69,'Setari model'!$A$5:$A$11,0)))))</x:f>
      </x:c>
      <x:c r="BS69" s="62" t="str">
        <x:f t="shared" si="114">IF($A69="","",$BQ69*$BR69)</x:f>
      </x:c>
      <x:c r="BT69" s="63" t="str">
        <x:f t="shared" si="115">IF($A69="","",EXP(-$BS69))</x:f>
      </x:c>
      <x:c r="BU69" s="65" t="str">
        <x:f>IF($A69="","",IF(OR($AM69="",$AN69=""),1,1+MIN('Setari model'!$B$33,$AN69/100*'Setari model'!$B$33)*($AM69/EXP(-$AL69)-1)))</x:f>
      </x:c>
      <x:c r="BV69" s="63" t="str">
        <x:f>IF($A69="","",MIN(0.45,MAX(0.005,(1-'Setari model'!$B$34*MIN(1,($I69+$P69)/20))*MIN(0.45,$BT69*$BU69)+'Setari model'!$B$34*MIN(1,($I69+$P69)/20)*IF(COUNT($N69,$U69)=2,SQRT(MAX(0,1-$N69)*MAX(0,1-$U69)),IF($AM69="",EXP(-$AL69),$AM69)))))</x:f>
      </x:c>
      <x:c r="BW69" s="63" t="str">
        <x:f t="shared" si="116">IF($A69="","",1-$BV69)</x:f>
      </x:c>
      <x:c r="BX69" s="62" t="str">
        <x:f t="shared" si="117">IF($A69="","",1/$BW69)</x:f>
      </x:c>
      <x:c r="BY69" s="63" t="str">
        <x:f t="shared" si="118">IF($A69="","",$BO69)</x:f>
      </x:c>
      <x:c r="BZ69" s="63" t="str">
        <x:f t="shared" si="119">IF($A69="","",$BW69-$BY69)</x:f>
      </x:c>
      <x:c r="CA69" s="63" t="str">
        <x:f t="shared" si="120">IF($A69="","",IF($AR69&gt;1,$BW69*$AR69-1,""))</x:f>
      </x:c>
      <x:c r="CB69" s="63" t="str">
        <x:f>IF($A69="","",MIN(1,COUNT($I69:$AN69,$AR69:$BG69)/'Setari model'!$B$46))</x:f>
      </x:c>
      <x:c r="CC69" s="63" t="str">
        <x:f t="shared" si="121">IF($A69="","",0.25*MIN(1,$I69/10)+0.25*MIN(1,$P69/10)+0.15*MIN(1,$W69/5)+0.15*MIN(1,$AB69/5)+0.1*MIN(1,$AG69/5)+0.1*MIN(1,$AN69/100))</x:f>
      </x:c>
      <x:c r="CD69" s="63" t="str">
        <x:f>IF($A69="","",MAX(0,1-(MAX($BJ69:$BN69,$BP69)-MIN($BJ69:$BN69,$BP69))/(AVERAGE($BJ69:$BN69,$BP69)*'Setari model'!$B$45)))</x:f>
      </x:c>
      <x:c r="CE69" s="66" t="str">
        <x:f>IF($A69="","",MAX(0,MIN(100,100*INDEX('Setari model'!$I$5:$I$11,MATCH($E69,'Setari model'!$A$5:$A$11,0))*('Setari model'!$B$47*$CB69+'Setari model'!$B$48*$CC69+'Setari model'!$B$49*$CD69+'Setari model'!$B$50*$AT69/5+'Setari model'!$B$51*$AU69)-100*'Setari model'!$B$52*$BG69)))</x:f>
      </x:c>
      <x:c r="CF69" s="65" t="str">
        <x:f t="shared" si="122">IF($A69="","",IF(OR($AT69&lt;3,$BG69&gt;=2,$CB69&lt;0.55,$CC69&lt;0.4),"RIDICAT",IF(OR($AU69=0,$CD69&lt;0.45,$BR69&lt;0.9),"MEDIU","SCĂZUT")))</x:f>
      </x:c>
      <x:c r="CG69" s="65" t="str">
        <x:f>IF($A69="","",IF($AR69&gt;1,IF(AND($BW69&gt;= 'Setari model'!$B$35,$CE69&gt;=100*'Setari model'!$B$36,$BZ69&gt;= 'Setari model'!$B$37,$CA69&gt;= 'Setari model'!$B$38,$CF69&lt;&gt;"RIDICAT"),"PARIU RECOMANDAT",IF(AND($BW69&gt;= 'Setari model'!$B$39,$CE69&gt;=100*'Setari model'!$B$40,$BZ69&gt;= 'Setari model'!$B$41,$CA69&gt;=0,$CF69&lt;&gt;"RIDICAT"),"RECOMANDAT CU PRUDENȚĂ",IF(AND($BW69&gt;= 'Setari model'!$B$42,$CE69&gt;=100*'Setari model'!$B$43),"ANALIZĂ NECONCLUDENTĂ","PARIU EVITAT"))),IF(AND($BW69&gt;= 'Setari model'!$B$35,$CE69&gt;=100*'Setari model'!$B$36,$CF69&lt;&gt;"RIDICAT"),"FAVORABIL STATISTIC – VERIFICĂ COTA",IF(AND($BW69&gt;= 'Setari model'!$B$42,$CE69&gt;=100*'Setari model'!$B$43),"ANALIZĂ NECONCLUDENTĂ","PARIU EVITAT"))))</x:f>
      </x:c>
      <x:c r="CH69" s="67" t="str">
        <x:f t="shared" si="123">IF($A69="","","P(O0,5)="&amp;TEXT($BW69,"0.0%")&amp;"; λ ajustat="&amp;TEXT($BS69,"0.00")&amp;"; Confidence="&amp;TEXT($CE69,"0")&amp;"/100; Edge="&amp;TEXT($BZ69,"0.0%")&amp;"; risc="&amp;$CF69&amp;". "&amp;$BH69)</x:f>
      </x:c>
      <x:c r="CI69" s="68" t="str">
        <x:f t="shared" si="124">IF($A69="","",$BI69)</x:f>
      </x:c>
      <x:c r="CJ69" s="112"/>
      <x:c r="CK69" s="112"/>
      <x:c r="CL69" s="112"/>
      <x:c r="CM69" s="112"/>
      <x:c r="CN69" s="112"/>
      <x:c r="CO69" s="112"/>
      <x:c r="CP69" s="112"/>
      <x:c r="CQ69" s="112"/>
      <x:c r="CR69" s="112"/>
      <x:c r="CS69" s="112"/>
      <x:c r="CT69" s="112"/>
      <x:c r="CU69" s="112"/>
      <x:c r="CV69" s="112"/>
      <x:c r="CW69" s="112"/>
      <x:c r="CX69" s="112"/>
      <x:c r="CY69" s="112"/>
      <x:c r="CZ69" s="112"/>
      <x:c r="DA69" s="112"/>
      <x:c r="DB69" s="112"/>
      <x:c r="DC69" s="114"/>
      <x:c r="DD69" s="114"/>
      <x:c r="DE69" s="112" t="s">
        <x:v>266</x:v>
      </x:c>
      <x:c r="DF69" s="112"/>
      <x:c r="DG69" s="112"/>
      <x:c r="DH69" s="112"/>
      <x:c r="DI69" s="112"/>
      <x:c r="DJ69" s="112"/>
      <x:c r="DK69" s="112"/>
      <x:c r="DL69" s="112"/>
      <x:c r="DM69" s="112"/>
      <x:c r="DN69" s="112"/>
      <x:c r="DO69" s="112"/>
      <x:c r="DP69" s="112"/>
      <x:c r="DQ69" s="114"/>
      <x:c r="DR69" s="112">
        <x:v>1</x:v>
      </x:c>
      <x:c r="DS69" s="116">
        <x:v>0</x:v>
      </x:c>
      <x:c r="DT69" s="120"/>
      <x:c r="DU69" s="116">
        <x:v>0.02</x:v>
      </x:c>
      <x:c r="DV69" s="116">
        <x:v>0.25</x:v>
      </x:c>
      <x:c r="DW69" s="118" t="str">
        <x:f>IF($A69="","",MAX('Setari model'!$B$71,MIN('Setari model'!$B$72,1+0.08*(IFERROR(AVERAGE($CM69:$CN69)/'Setari model'!$B$66,1)-1)+0.08*(IFERROR(AVERAGE($CO69:$CP69)/'Setari model'!$B$67,1)-1)+0.06*(IFERROR(AVERAGE($CQ69:$CR69)/'Setari model'!$B$68,1)-1)+0.04*(IFERROR(AVERAGE($CS69:$CT69)/'Setari model'!$B$69,1)-1)+0.04*(IFERROR(AVERAGE($CU69:$CV69)/'Setari model'!$B$70,1)-1)-'Setari model'!$B$73*IFERROR(AVERAGE($CW69:$CX69),0))))</x:f>
      </x:c>
      <x:c r="DX69" s="118" t="str">
        <x:f>IF($A69="","",1+'Setari model'!$B$62*MAX(IF(OR($CK69=1,$CL69=1),1,0),IF(AND($CJ69&lt;&gt;"",$CJ69&lt;=1),1,0))+'Setari model'!$B$63*IF(AND($CJ69&gt;1,$CJ69&lt;=3),1,0))</x:f>
      </x:c>
      <x:c r="DY69" s="118" t="str">
        <x:f>IF($A69="","",1+'Setari model'!$B$74*(IF($CY69="",0,IF($CY69=0,1,0))+IF($CZ69="",0,IF($CZ69=0,1,0)))+'Setari model'!$B$75*(IF($DA69="",0,IF($DA69=0,1,0))+IF($DB69="",0,IF($DB69=0,1,0))))</x:f>
      </x:c>
      <x:c r="DZ69" s="117" t="str">
        <x:f>IF($A69="","",MIN(0.6,MAX(0.002,(((1-'Setari model'!$B$34*MIN(1,($I69+$P69)/20))*$BT69+'Setari model'!$B$34*MIN(1,($I69+$P69)/20)*IF(COUNT($N69,$U69)=2,SQRT(MAX(0,1-$N69)*MAX(0,1-$U69)),$BT69))*(1-'Setari model'!$B$65*MIN(1,IF($AN69="",0,$AN69/'Setari model'!$B$64)))+'Setari model'!$B$65*MIN(1,IF($AN69="",0,$AN69/'Setari model'!$B$64))*IF($AM69="",$BT69,$AM69))*$DX69*$DY69/$DW69)))</x:f>
      </x:c>
      <x:c r="EA69" s="117" t="str">
        <x:f>IF($A69="","",MIN(1-$DZ69,IF(OR(MIN($I69,$P69)&lt;'Setari model'!$B$58,$CK69=1,$CL69=1,AND($CJ69&lt;&gt;"",$CJ69&lt;=1)),'Setari model'!$B$59,IF(AND($AU69=1,$AR69&gt;1,COUNT($CY69:$DB69)=4),'Setari model'!$B$61,'Setari model'!$B$60))))</x:f>
      </x:c>
      <x:c r="EB69" s="115" t="str">
        <x:f t="shared" si="125">IF($A69="","",1/$EA69)</x:f>
      </x:c>
      <x:c r="EC69" s="117" t="str">
        <x:f t="shared" si="126">IF($A69="","",IF($AR69&gt;1,IF($AS69&gt;1,(1/$AR69)/((1/$AR69)+(1/$AS69)),1/$AR69),""))</x:f>
      </x:c>
      <x:c r="ED69" s="117" t="str">
        <x:f t="shared" si="127">IF($A69="","",IF($EC69="","",$EA69-$EC69))</x:f>
      </x:c>
      <x:c r="EE69" s="117" t="str">
        <x:f t="shared" si="128">""</x:f>
      </x:c>
      <x:c r="EF69" s="119" t="str">
        <x:f>IF($A69="","",MAX(0,MIN(100,$CE69-200*MAX(0,$EG69-'Setari model'!$B$77)-IF($AU69&lt;&gt;1,10,0)-IF(COUNT($CY69:$DB69)&lt;4,4,0))))</x:f>
      </x:c>
      <x:c r="EG69" s="117" t="str">
        <x:f>IF($A69="","",'Setari model'!$B$77+IF(MIN($I69,$P69)&lt;'Setari model'!$B$58,0.03,0)+IF(OR($CK69=1,$CL69=1,AND($CJ69&lt;&gt;"",$CJ69&lt;=1)),0.03,0)+IF($AG69=0,0.02,0)+0.03*(1-MIN(1,COUNT($CM69:$CV69)/10))+0.03*(1-MIN(1,IF($AN69="",0,$AN69/'Setari model'!$B$64)))+IF($AR69&lt;=1,0.02,0))</x:f>
      </x:c>
      <x:c r="EH69" s="113" t="str">
        <x:f>IF($A69="","",IF(OR(MIN($I69,$P69)&lt;'Setari model'!$B$58,$CK69=1,$CL69=1,AND($CJ69&lt;&gt;"",$CJ69&lt;=1)),"92% – early/regim",IF(AND($AU69=1,$AR69&gt;1,COUNT($CY69:$DB69)=4),"94% – confirmat","93% – standard")))</x:f>
      </x:c>
      <x:c r="EI69" s="113" t="str">
        <x:f t="shared" si="129">IF($A69="","",IF(AND($EA69&gt;0.9,$AU69&lt;&gt;1),"WAIT XI – HIGH P",IF(AND($EA69&gt;0.9,COUNT($CY69:$DB69)&lt;4),"WAIT DATE CHEIE – HIGH P",IF($EP69&lt;&gt;"DA","NU – PORTOFOLIU","DA"))))</x:f>
      </x:c>
      <x:c r="EJ69" s="117" t="str">
        <x:f t="shared" si="130">IF($A69="","",IF($DE69&lt;&gt;"Live 20-30","",IF(SUM($DG69:$DH69)&gt;0,1,IF($EU69="","",1-MIN(0.95,MAX(0.001,EXP(-$EU69)*$DX69*$DY69/$DW69))))))</x:f>
      </x:c>
      <x:c r="EK69" s="117" t="str">
        <x:f t="shared" si="131">""</x:f>
      </x:c>
      <x:c r="EL69" s="113" t="str">
        <x:f>IF($A69="","",IF($DE69="Live 20-30",IF(SUM($DG69:$DH69)&gt;0,"EVENIMENT ÎNDEPLINIT",IF(OR($DF69="",COUNT($DI69:$DN69)&lt;4),"LIVE – WATCH",IF($EJ69&gt;=0.75,"LIVE – FEZABIL TEHNIC","LIVE – NO BET"))),IF($EI69&lt;&gt;"DA","WATCH / NO BET",IF(AND($EA69&gt;=INDEX('Setari model'!$B$35:$B$40,1),$EF69&gt;=100*'Setari model'!$B$76),"PARIU RECOMANDAT",IF(AND($EA69&gt;=INDEX('Setari model'!$B$35:$B$40,5),$EF69&gt;=100*'Setari model'!$B$40),"WATCH – APROAPE DE PRAG","PARIU EVITAT")))))</x:f>
      </x:c>
      <x:c r="EM69" s="113" t="str">
        <x:f t="shared" si="132">IF($A69="","",IF($DE69="Live 20-30",IF(SUM($DG69:$DH69)&gt;0,"Gol deja marcat.",IF($DF69="","Minut live lipsă.",IF(COUNT($DI69:$DN69)&lt;4,"Lipsesc xG/SOT/big chances live.",IF($EJ69&lt;0.75,"P live sub prag.","Semnal live tehnic complet; EV ignorat.")))),IF($EI69&lt;&gt;"DA",$EI69,IF($EF69&lt;75,"Confidence sub 75.",IF($EA69&lt;0.92,"P sub 92%.","G0/Zero-Mass + confidence trecute; EV ignorat.")))))</x:f>
      </x:c>
      <x:c r="EN69" s="117" t="str">
        <x:f>IF($A69="","",IF(OR($EL69="PARIU RECOMANDAT",$EL69="LIVE – FEZABIL"),MIN(IF($DU69&gt;0,$DU69,'Setari model'!$B$81)/MAX(1,$DR69),IF($DV69&gt;0,$DV69,'Setari model'!$B$80)*MAX(0,((IF($DE69="Live 20-30",$EJ69,$EA69)*IF($DE69="Live 20-30",$DQ69,$AR69)-1)/(IF($DE69="Live 20-30",$DQ69,$AR69)-1)))),0))</x:f>
      </x:c>
      <x:c r="EO69" s="121" t="str">
        <x:f t="shared" si="133">IF($A69="","",IF(AND($EN69&gt;0,$DT69&gt;0),$EN69*$DT69,""))</x:f>
      </x:c>
      <x:c r="EP69" s="113" t="str">
        <x:f>IF($A69="","",IF(OR($DR69&lt;1,$DR69&gt;'Setari model'!$B$78),"NU – 1–5 selecții",IF($DS69&gt;'Setari model'!$B$79,"NU – corelație", "DA")))</x:f>
      </x:c>
      <x:c r="EQ69" s="117" t="str">
        <x:f t="shared" si="134">IF($A69="","",IF(AND($DC69&gt;1,$DD69&gt;1),$DC69/$DD69-1,""))</x:f>
      </x:c>
      <x:c r="ER69" s="113" t="str">
        <x:f t="shared" si="135">IF($A69="","","P v2="&amp;TEXT($EA69,"0.0%")&amp;" ±"&amp;TEXT($EG69,"0.0%")&amp;"; P0 ZIP="&amp;TEXT($DZ69,"0.0%")&amp;"; Confidence="&amp;TEXT($EF69,"0")&amp;"/100; piață reală="&amp;IF($EC69="","NU","DA")&amp;"; EV="&amp;IF($EE69="","n/a",TEXT($EE69,"0.0%"))&amp;"; gate="&amp;$EI69&amp;"; verdict="&amp;$EL69&amp;". "&amp;$EM69)</x:f>
      </x:c>
      <x:c r="ES69" s="119" t="str">
        <x:f>IF($A69="","",'Setari model'!$B$82)</x:f>
      </x:c>
      <x:c r="ET69" s="118" t="str">
        <x:f>IF($A69="","",'Setari model'!$B$83)</x:f>
      </x:c>
      <x:c r="EU69" s="115" t="str">
        <x:f t="shared" si="136">IF(OR($A69="",$DE69&lt;&gt;"Live 20-30",$DF69="",$DF69&lt;$ES69,$DF69&gt;=90),"",MAX(0.05,MIN($BS69*$ET69,$BS69*(90-$DF69)/90+0.35*($DI69+$DJ69)+0.06*($DK69+$DL69)+0.15*($DM69+$DN69)+0.1*(MAX($DO69,$DP69)-MIN($DO69,$DP69)))))</x:f>
      </x:c>
      <x:c r="EV69" s="132"/>
      <x:c r="EW69" s="132"/>
      <x:c r="EX69" s="132"/>
      <x:c r="EY69" s="132"/>
      <x:c r="EZ69" s="132"/>
      <x:c r="FA69" s="132"/>
      <x:c r="FB69" s="247"/>
      <x:c r="FC69" s="134" t="str">
        <x:f t="shared" si="137">IF($A69="","",IF(OR($J69="",$L69="",$L69&lt;=0),"",MAX(0.5,MIN(1.5,$J69/$L69))))</x:f>
      </x:c>
      <x:c r="FD69" s="134" t="str">
        <x:f t="shared" si="138">IF($A69="","",IF(OR($Q69="",$S69="",$S69&lt;=0),"",MAX(0.5,MIN(1.5,$Q69/$S69))))</x:f>
      </x:c>
      <x:c r="FE69" s="134" t="str">
        <x:f>IF($A69="","",IF(COUNT($EV69:$EW69)&lt;2,"",SQRT($EV69*$EW69)/'Setari model'!$B$87))</x:f>
      </x:c>
      <x:c r="FF69" s="134" t="str">
        <x:f>IF($A69="","",IF(COUNT($O69,$V69,$EX69,$EY69)&lt;4,"",AVERAGE(SQRT($O69*$EY69),SQRT($V69*$EX69))/'Setari model'!$B$88))</x:f>
      </x:c>
      <x:c r="FG69" s="134" t="str">
        <x:f t="shared" si="139">IF($A69="","",IF(COUNT($FC69:$FD69)&lt;2,"",MAX(0,1-AVERAGE($FC69:$FD69))))</x:f>
      </x:c>
      <x:c r="FH69" s="134" t="str">
        <x:f>IF($A69="","",IF(COUNT($EZ69:$FA69)&lt;2,"",'Setari model'!$B$94*AVERAGE($EZ69:$FA69)/'Setari model'!$B$89))</x:f>
      </x:c>
      <x:c r="FI69" s="134" t="str">
        <x:f>IF($A69="","",IF(COUNT($FE69:$FH69)&lt;4,"",MAX('Setari model'!$B$97,MIN('Setari model'!$B$98,1+'Setari model'!$B$90*($FE69-1)+'Setari model'!$B$91*($FF69-1)+'Setari model'!$B$92*$FG69+'Setari model'!$B$93*($FH69-1)))))</x:f>
      </x:c>
      <x:c r="FJ69" s="133" t="str">
        <x:f>IF($A69="","",IF($FI69="","",MIN('Setari model'!$B$101,MAX(0.002,$DZ69*$FI69))))</x:f>
      </x:c>
      <x:c r="FK69" s="131" t="str">
        <x:f t="shared" si="140">IF($A69="","",IF(AND(COUNT($EV69:$FA69)=6,COUNT($O69,$V69,$FC69,$FD69)=4),"DA","NU"))</x:f>
      </x:c>
      <x:c r="FL69" s="131" t="str">
        <x:f>IF($A69="","",IF($FK69&lt;&gt;"DA","NEDETERMINAT",IF($FI69&lt;='Setari model'!$B$99,"SCĂZUT",IF($FI69&lt;='Setari model'!$B$100,"MEDIU","RIDICAT"))))</x:f>
      </x:c>
      <x:c r="FM69" s="131" t="str">
        <x:f>IF($A69="","",IF(AND($AR69&gt;1,$EC69&gt;='Setari model'!$B$106),"DA","NU"))</x:f>
      </x:c>
      <x:c r="FN69" s="131" t="str">
        <x:f t="shared" si="141">IF($A69="","",IF(AND($AU69=1,COUNT($CY69:$DB69)=4),"DA","NU"))</x:f>
      </x:c>
      <x:c r="FO69" s="133" t="str">
        <x:f>IF($A69="","",IF(OR($FK69&lt;&gt;"DA",$FL69="RIDICAT"),'Setari model'!$B$102,IF($FL69="MEDIU",'Setari model'!$B$103,IF(AND($FM69="DA",$FN69="DA"),'Setari model'!$B$105,'Setari model'!$B$104))))</x:f>
      </x:c>
      <x:c r="FP69" s="133" t="str">
        <x:f t="shared" si="142">IF($A69="","",IF($FJ69="","",MIN(1-$FJ69,$FO69)))</x:f>
      </x:c>
      <x:c r="FQ69" s="135" t="str">
        <x:f t="shared" si="143">IF($A69="","",IF($FP69="","",IF($FP69&gt;0,1/$FP69,"")))</x:f>
      </x:c>
      <x:c r="FR69" s="133" t="str">
        <x:f t="shared" si="144">IF($A69="","",IF($EC69="","",$FP69-$EC69))</x:f>
      </x:c>
      <x:c r="FS69" s="133" t="str">
        <x:f t="shared" si="145">IF($A69="","",IF($AR69&gt;1,$FP69*$AR69-1,""))</x:f>
      </x:c>
      <x:c r="FT69" s="136" t="str">
        <x:f>IF($A69="","",MAX(0,MIN(100,$EF69-IF($FK69&lt;&gt;"DA",'Setari model'!$B$107,0)-IF($FL69="MEDIU",'Setari model'!$B$108,0)-IF($FL69="RIDICAT",'Setari model'!$B$109,0))))</x:f>
      </x:c>
      <x:c r="FU69" s="131" t="str">
        <x:f t="shared" si="146">IF($A69="","",IF($AR69&lt;=1,"NU – LIPSEȘTE COTA REALĂ",IF($FK69&lt;&gt;"DA","NU – ZERO-RISK INCOMPLET",IF($FL69&lt;&gt;"SCĂZUT","NU – RISC 0-0 "&amp;$FL69,IF($FN69&lt;&gt;"DA","NU – LINEUP NECONFIRMAT",IF($FM69&lt;&gt;"DA","NU – PIAȚĂ NECONFIRMATĂ",IF($EP69&lt;&gt;"DA","NU – PORTOFOLIU","DA")))))))</x:f>
      </x:c>
      <x:c r="FV69" s="131" t="str">
        <x:f>IF($A69="","",IF($FU69&lt;&gt;"DA","WATCH / NO BET",IF(AND($FP69&gt;='Setari model'!$B$35,$FT69&gt;=100*'Setari model'!$B$76,$FS69&gt;0),"PARIU RECOMANDAT",IF(AND($FP69&gt;='Setari model'!$B$39,$FT69&gt;=100*'Setari model'!$B$40,$FS69&gt;0),"WATCH – APROAPE DE PRAG","PARIU EVITAT"))))</x:f>
      </x:c>
      <x:c r="FW69" s="131" t="str">
        <x:f t="shared" si="147">IF($A69="","",IF($FU69&lt;&gt;"DA",$FU69,IF($FT69&lt;75,"Confidence v3 sub 75.",IF($FP69&lt;0.92,"P v3 sub 92%.",IF($FS69&lt;=0,"EV v3 nepozitiv.","P0 v3, lineup și piață confirmate.")))))</x:f>
      </x:c>
      <x:c r="FX69" s="131" t="str">
        <x:f t="shared" si="148">IF($A69="","","P v3="&amp;TEXT($FP69,"0.0%")&amp;"; P0 v3="&amp;TEXT($FJ69,"0.0%")&amp;"; factor zero="&amp;IF($FI69="","n/a",TEXT($FI69,"0.00x"))&amp;" ("&amp;$FL69&amp;"); cap="&amp;TEXT($FO69,"0.0%")&amp;"; Confidence="&amp;TEXT($FT69,"0")&amp;"/100; lineup="&amp;$FN69&amp;"; piață="&amp;$FM69&amp;"; EV="&amp;IF($FS69="","n/a",TEXT($FS69,"0.0%"))&amp;"; gate="&amp;$FU69&amp;"; verdict="&amp;$FV69&amp;". "&amp;$FW69)</x:f>
      </x:c>
      <x:c r="FY69" s="159"/>
      <x:c r="FZ69" s="159"/>
      <x:c r="GA69" s="157"/>
      <x:c r="GB69" s="157"/>
      <x:c r="GC69" s="161" t="str">
        <x:f t="shared" si="149">IF($A69="","",IF(OR($X69="",$Z69="",$Z69&lt;=0),"",MAX(0.5,MIN(1.5,$X69/$Z69))))</x:f>
      </x:c>
      <x:c r="GD69" s="161" t="str">
        <x:f t="shared" si="150">IF($A69="","",IF(OR($AC69="",$AE69="",$AE69&lt;=0),"",MAX(0.5,MIN(1.5,$AC69/$AE69))))</x:f>
      </x:c>
      <x:c r="GE69" s="162" t="str">
        <x:f t="shared" si="151">IF($A69="","",IF(COUNT($Z69,$AE69)&lt;2,"",AVERAGE($Z69,$AE69)))</x:f>
      </x:c>
      <x:c r="GF69" s="158" t="str">
        <x:f>IF($A69="","",IF(COUNT($FY69:$FZ69)&lt;2,"NEDETERMINAT",IF(AND($FY69&gt;='Setari model'!$B$113,$FZ69&gt;='Setari model'!$B$113),"DA","NU")))</x:f>
      </x:c>
      <x:c r="GG69" s="158" t="str">
        <x:f>IF($A69="","",IF(COUNT($FY69:$FZ69,$EX69:$EY69)&lt;4,"NEDETERMINAT",IF(OR(AND($FY69&gt;='Setari model'!$B$113,$EY69&gt;='Setari model'!$B$114),AND($FZ69&gt;='Setari model'!$B$113,$EX69&gt;='Setari model'!$B$114)),"DA","NU")))</x:f>
      </x:c>
      <x:c r="GH69" s="158" t="str">
        <x:f>IF($A69="","",IF(COUNT($BJ69:$BN69,$GC69:$GE69)&lt;8,"NEDETERMINAT",IF(AND((($BJ69*INDEX('Setari model'!$B$5:$B$11,MATCH($E69,'Setari model'!$A$5:$A$11,0))+$BK69*INDEX('Setari model'!$C$5:$C$11,MATCH($E69,'Setari model'!$A$5:$A$11,0))+$BL69*INDEX('Setari model'!$D$5:$D$11,MATCH($E69,'Setari model'!$A$5:$A$11,0))+$BM69*INDEX('Setari model'!$E$5:$E$11,MATCH($E69,'Setari model'!$A$5:$A$11,0))+$BN69*INDEX('Setari model'!$F$5:$F$11,MATCH($E69,'Setari model'!$A$5:$A$11,0)))/(INDEX('Setari model'!$B$5:$B$11,MATCH($E69,'Setari model'!$A$5:$A$11,0))+INDEX('Setari model'!$C$5:$C$11,MATCH($E69,'Setari model'!$A$5:$A$11,0))+INDEX('Setari model'!$D$5:$D$11,MATCH($E69,'Setari model'!$A$5:$A$11,0))+INDEX('Setari model'!$E$5:$E$11,MATCH($E69,'Setari model'!$A$5:$A$11,0))+INDEX('Setari model'!$F$5:$F$11,MATCH($E69,'Setari model'!$A$5:$A$11,0))))*$BR69&gt;='Setari model'!$B$115,(($BJ69*INDEX('Setari model'!$B$5:$B$11,MATCH($E69,'Setari model'!$A$5:$A$11,0))+$BK69*INDEX('Setari model'!$C$5:$C$11,MATCH($E69,'Setari model'!$A$5:$A$11,0))+$BL69*INDEX('Setari model'!$D$5:$D$11,MATCH($E69,'Setari model'!$A$5:$A$11,0))+$BM69*INDEX('Setari model'!$E$5:$E$11,MATCH($E69,'Setari model'!$A$5:$A$11,0))+$BN69*INDEX('Setari model'!$F$5:$F$11,MATCH($E69,'Setari model'!$A$5:$A$11,0)))/(INDEX('Setari model'!$B$5:$B$11,MATCH($E69,'Setari model'!$A$5:$A$11,0))+INDEX('Setari model'!$C$5:$C$11,MATCH($E69,'Setari model'!$A$5:$A$11,0))+INDEX('Setari model'!$D$5:$D$11,MATCH($E69,'Setari model'!$A$5:$A$11,0))+INDEX('Setari model'!$E$5:$E$11,MATCH($E69,'Setari model'!$A$5:$A$11,0))+INDEX('Setari model'!$F$5:$F$11,MATCH($E69,'Setari model'!$A$5:$A$11,0))))*$BR69&lt;='Setari model'!$B$116,AVERAGE($GC69:$GD69)&lt;='Setari model'!$B$117,$GE69&gt;='Setari model'!$B$118),"DA","NU")))</x:f>
      </x:c>
      <x:c r="GI69" s="158" t="str">
        <x:f>IF($A69="","",IF(COUNT($W69,$AB69,$GA69:$GB69)&lt;4,"NEDETERMINAT",IF(AND($W69&gt;='Setari model'!$B$120,$AB69&gt;='Setari model'!$B$120,OR(IFERROR($GA69/$W69,0)&gt;='Setari model'!$B$119,IFERROR($GB69/$AB69,0)&gt;='Setari model'!$B$119)),"DA","NU")))</x:f>
      </x:c>
      <x:c r="GJ69" s="160" t="str">
        <x:f>IF($A69="","",IF(COUNT($FY69:$GB69)&lt;4,"",IF($GH69&lt;&gt;"DA",0,'Setari model'!$B$121*IF($GF69="DA",1,0)+'Setari model'!$B$122*IF($GG69="DA",1,0)+'Setari model'!$B$123+'Setari model'!$B$124*IF($GI69="DA",1,0))))</x:f>
      </x:c>
      <x:c r="GK69" s="161" t="str">
        <x:f>IF($A69="","",IF(COUNT($GJ69)=0,"",1+'Setari model'!$B$125*$GJ69))</x:f>
      </x:c>
      <x:c r="GL69" s="160" t="str">
        <x:f>IF($A69="","",IF($GM69&lt;&gt;"DA",$FJ69,MIN('Setari model'!$B$101,MAX(0.002,$FJ69*$GK69))))</x:f>
      </x:c>
      <x:c r="GM69" s="158" t="str">
        <x:f>IF($A69="","",IF(AND($FK69="DA",COUNT($FY69:$GB69)=4,COUNT($I69,$P69,$W69,$AB69,$Z69,$AE69,$EX69,$EY69,$GC69,$GD69)=10,COUNT($BJ69:$BN69)=5),"DA","NU"))</x:f>
      </x:c>
      <x:c r="GN69" s="158" t="str">
        <x:f>IF($A69="","",IF($GM69&lt;&gt;"DA","NEDETERMINAT",IF($FI69*$GK69&lt;='Setari model'!$B$99,"SCĂZUT",IF($FI69*$GK69&lt;='Setari model'!$B$100,"MEDIU","RIDICAT"))))</x:f>
      </x:c>
      <x:c r="GO69" s="160" t="str">
        <x:f>IF($A69="","",IF(OR($GM69&lt;&gt;"DA",$GN69="RIDICAT"),'Setari model'!$B$102,IF($GN69="MEDIU",'Setari model'!$B$103,IF(AND($FM69="DA",$FN69="DA"),'Setari model'!$B$105,'Setari model'!$B$104))))</x:f>
      </x:c>
      <x:c r="GP69" s="160" t="str">
        <x:f t="shared" si="152">IF($A69="","",IF($GL69="","",MIN(1-$GL69,$GO69)))</x:f>
      </x:c>
      <x:c r="GQ69" s="162" t="str">
        <x:f t="shared" si="153">IF($A69="","",IF($GP69="","",IF($GP69&gt;0,1/$GP69,"")))</x:f>
      </x:c>
      <x:c r="GR69" s="160" t="str">
        <x:f t="shared" si="154">IF($A69="","",IF($EC69="","",$GP69-$EC69))</x:f>
      </x:c>
      <x:c r="GS69" s="160" t="str">
        <x:f t="shared" si="155">IF($A69="","",IF($AR69&gt;1,$GP69*$AR69-1,""))</x:f>
      </x:c>
      <x:c r="GT69" s="163" t="str">
        <x:f>IF($A69="","",MAX(0,MIN(100,$FT69-IF(AND($GM69&lt;&gt;"DA",$FK69="DA"),'Setari model'!$B$107,0)-'Setari model'!$B$126*IF($GJ69="",0,$GJ69))))</x:f>
      </x:c>
      <x:c r="GU69" s="158" t="str">
        <x:f t="shared" si="156">IF($A69="","",IF($AR69&lt;=1,"NU – LIPSEȘTE COTA REALĂ",IF($GM69&lt;&gt;"DA","NU – DATE LOW-CONVERSION INCOMPLETE",IF($GN69&lt;&gt;"SCĂZUT","NU – RISC 0-0 "&amp;$GN69,IF($FN69&lt;&gt;"DA","NU – LINEUP NECONFIRMAT",IF($FM69&lt;&gt;"DA","NU – PIAȚĂ NECONFIRMATĂ",IF($EP69&lt;&gt;"DA","NU – PORTOFOLIU","DA")))))))</x:f>
      </x:c>
      <x:c r="GV69" s="158" t="str">
        <x:f>IF($A69="","",IF($GU69&lt;&gt;"DA","WATCH / NO BET",IF(AND($GP69&gt;='Setari model'!$B$35,$GT69&gt;=100*'Setari model'!$B$76,$GS69&gt;0),"PARIU RECOMANDAT",IF(AND($GP69&gt;='Setari model'!$B$39,$GT69&gt;=100*'Setari model'!$B$40,$GS69&gt;0),"WATCH – APROAPE DE PRAG","PARIU EVITAT"))))</x:f>
      </x:c>
      <x:c r="GW69" s="158" t="str">
        <x:f t="shared" si="157">IF($A69="","",IF($GU69&lt;&gt;"DA",$GU69,IF($GT69&lt;75,"Confidence v5 sub 75.",IF($GP69&lt;0.92,"P v5 sub 92%.",IF($GS69&lt;=0,"EV v5 nepozitiv.",IF($GJ69&gt;0,"Low-conversion absorbit în P0; toate porțile rămân trecute.","Toate porțile v5 sunt trecute."))))))</x:f>
      </x:c>
      <x:c r="GX69" s="158" t="str">
        <x:f t="shared" si="158">IF($A69="","","P v5="&amp;TEXT($GP69,"0.0%")&amp;"; P0 v5="&amp;TEXT($GL69,"0.0%")&amp;"; low-conv="&amp;IF(COUNT($GJ69)=0,"n/a",TEXT($GJ69,"0%"))&amp;"; mult.P0="&amp;IF(COUNT($GK69)=0,"n/a",TEXT($GK69,"0.00"))&amp;"; clasă="&amp;$GN69&amp;"; cap="&amp;TEXT($GO69,"0.0%")&amp;"; Confidence="&amp;TEXT($GT69,"0")&amp;"/100; lineup="&amp;$FN69&amp;"; piață="&amp;$FM69&amp;"; EV="&amp;IF($GS69="","n/a",TEXT($GS69,"0.0%"))&amp;"; gate="&amp;$GU69&amp;"; verdict="&amp;$GV69&amp;". "&amp;$GW69)</x:f>
      </x:c>
      <x:c r="GY69" s="174" t="str">
        <x:f>IF($A69="","",IF($GM69&lt;&gt;"DA","SOURCING INCOMPLETE – REVIEW REQUIRED",IF(MIN($I69,$P69,$W69,$AB69)&lt;'Setari model'!$B$58,"SMALL SAMPLE + PRIOR / SHRINKAGE","VERIFIED / PRIOR / SHRINKAGE")))</x:f>
      </x:c>
      <x:c r="GZ69" s="175" t="str">
        <x:f t="shared" si="159">IF($A69="","",MAX(0,MIN(100,100*(1-AVERAGE(IF($GM69="DA",1,0),MIN(1,$AT69/5))))))</x:f>
      </x:c>
      <x:c r="HA69" s="175" t="str">
        <x:f>IF($A69="","",IF($GM69&lt;&gt;"DA","",MAX(0,MIN(100,100*(($FI69*$GK69)-'Setari model'!$B$97)/('Setari model'!$B$98-'Setari model'!$B$97)))))</x:f>
      </x:c>
      <x:c r="HB69" s="175" t="str">
        <x:f>IF($A69="","",MAX(0,MIN(100,100*(ABS($BR69-1)/MAX(1-'Setari model'!$B$53,'Setari model'!$B$54-1)+MIN(1,$BG69/2))/2)))</x:f>
      </x:c>
      <x:c r="HC69" s="175" t="str">
        <x:f t="shared" si="160">IF($A69="","",MAX(0,MIN(100,100*(1-AVERAGE($CC69,MAX(0,1-(MAX($BJ69:$BN69)-MIN($BJ69:$BN69))/(AVERAGE($BJ69:$BN69)*'Setari model'!$B$45)))))))</x:f>
      </x:c>
      <x:c r="HD69" s="175" t="str">
        <x:f t="shared" si="161">IF($A69="","",MAX(0,MIN(100,100*MAX(IF($GJ69="",0,$GJ69),MIN(1,$BG69/2)))))</x:f>
      </x:c>
      <x:c r="HE69" s="175" t="str">
        <x:f>IF($A69="","",IF(COUNT($GZ69:$HD69)&lt;5,"",$GZ69*Risk_Classification!$E$28+$HA69*Risk_Classification!$E$29+$HB69*Risk_Classification!$E$30+$HC69*Risk_Classification!$E$31+$HD69*Risk_Classification!$E$32))</x:f>
      </x:c>
      <x:c r="HF69" s="176" t="str">
        <x:f t="shared" si="162">IF($A69="","",IF($HE69="","",IF($HE69&lt;=20,1,IF($HE69&lt;=40,2,IF($HE69&lt;=60,3,IF($HE69&lt;=80,4,5))))))</x:f>
      </x:c>
      <x:c r="HG69" s="176" t="str">
        <x:f t="shared" si="163">IF($A69="","",IF($GM69="DA","PASS","FAIL – DATE CRITICE ZERO-MASS INCOMPLETE"))</x:f>
      </x:c>
      <x:c r="HH69" s="176" t="str">
        <x:f t="shared" si="164">IF($A69="","",IF($HG69&lt;&gt;"PASS",5,$HF69))</x:f>
      </x:c>
      <x:c r="HI69" s="174" t="str">
        <x:f t="shared" si="165">IF($A69="","",IF($HH69="","N/A",IF($HH69=1,"DEFENSIV",IF($HH69=2,"PRUDENT",IF($HH69=3,"MODERAT",IF($HH69=4,"RIDICAT","WATCH / NO BET"))))))</x:f>
      </x:c>
      <x:c r="HJ69" s="177" t="str">
        <x:f t="shared" si="166">IF($A69="","","Data="&amp;$GY69&amp;"; DQ="&amp;TEXT($GZ69,"0.0")&amp;"; ZM="&amp;IF($HA69="","n/a",TEXT($HA69,"0.0"))&amp;"; Context="&amp;TEXT($HB69,"0.0")&amp;"; Uncertainty="&amp;TEXT($HC69,"0.0")&amp;"; Compound="&amp;TEXT($HD69,"0.0")&amp;"; Risk Score="&amp;IF($HE69="","n/a",TEXT($HE69,"0.0"))&amp;"; Base="&amp;IF($HF69="","n/a",$HF69)&amp;"; G0="&amp;$HG69&amp;"; Final="&amp;$HH69&amp;". Cota, EV si lineup sunt informative si nu intra in recomandare.")</x:f>
      </x:c>
      <x:c r="HK69" s="174" t="str">
        <x:f t="shared" si="167">IF($A69="","",$HI69)</x:f>
      </x:c>
    </x:row>
    <x:row r="70" ht="24" customHeight="1">
      <x:c r="A70" s="58"/>
      <x:c r="B70" s="24"/>
      <x:c r="C70" s="59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18"/>
      <x:c r="O70" s="18"/>
      <x:c r="P70" s="24"/>
      <x:c r="Q70" s="24"/>
      <x:c r="R70" s="24"/>
      <x:c r="S70" s="24"/>
      <x:c r="T70" s="24"/>
      <x:c r="U70" s="18"/>
      <x:c r="V70" s="18"/>
      <x:c r="W70" s="24"/>
      <x:c r="X70" s="24"/>
      <x:c r="Y70" s="24"/>
      <x:c r="Z70" s="24"/>
      <x:c r="AA70" s="24"/>
      <x:c r="AB70" s="24"/>
      <x:c r="AC70" s="24"/>
      <x:c r="AD70" s="24"/>
      <x:c r="AE70" s="24"/>
      <x:c r="AF70" s="24"/>
      <x:c r="AG70" s="24"/>
      <x:c r="AH70" s="24"/>
      <x:c r="AI70" s="18"/>
      <x:c r="AJ70" s="24"/>
      <x:c r="AK70" s="24"/>
      <x:c r="AL70" s="24"/>
      <x:c r="AM70" s="18"/>
      <x:c r="AN70" s="24"/>
      <x:c r="AO70" s="60"/>
      <x:c r="AP70" s="60"/>
      <x:c r="AQ70" s="60"/>
      <x:c r="AR70" s="60"/>
      <x:c r="AS70" s="60"/>
      <x:c r="AT70" s="24"/>
      <x:c r="AU70" s="24"/>
      <x:c r="AV70" s="24"/>
      <x:c r="AW70" s="24"/>
      <x:c r="AX70" s="24"/>
      <x:c r="AY70" s="24"/>
      <x:c r="AZ70" s="24"/>
      <x:c r="BA70" s="24"/>
      <x:c r="BB70" s="24"/>
      <x:c r="BC70" s="24"/>
      <x:c r="BD70" s="24"/>
      <x:c r="BE70" s="24"/>
      <x:c r="BF70" s="24"/>
      <x:c r="BG70" s="24"/>
      <x:c r="BH70" s="61"/>
      <x:c r="BI70" s="61"/>
      <x:c r="BJ70" s="62" t="str">
        <x:f>IF($A70="","",SQRT((($I70*IF($J70="",$AJ70,$J70)+'Setari model'!$B$30*$AJ70)/($I70+'Setari model'!$B$30))*(($P70*IF($R70="",$AJ70,$R70)+'Setari model'!$B$30*$AJ70)/($P70+'Setari model'!$B$30)))+SQRT((($P70*IF($Q70="",$AK70,$Q70)+'Setari model'!$B$30*$AK70)/($P70+'Setari model'!$B$30))*(($I70*IF($K70="",$AK70,$K70)+'Setari model'!$B$30*$AK70)/($I70+'Setari model'!$B$30))))</x:f>
      </x:c>
      <x:c r="BK70" s="62" t="str">
        <x:f>IF($A70="","",SQRT((($I70*IF($L70="",IF($J70="",$AJ70,$J70),$L70)+'Setari model'!$B$30*$AJ70)/($I70+'Setari model'!$B$30))*(($P70*IF($T70="",IF($R70="",$AJ70,$R70),$T70)+'Setari model'!$B$30*$AJ70)/($P70+'Setari model'!$B$30)))+SQRT((($P70*IF($S70="",IF($Q70="",$AK70,$Q70),$S70)+'Setari model'!$B$30*$AK70)/($P70+'Setari model'!$B$30))*(($I70*IF($M70="",IF($K70="",$AK70,$K70),$M70)+'Setari model'!$B$30*$AK70)/($I70+'Setari model'!$B$30))))</x:f>
      </x:c>
      <x:c r="BL70" s="62" t="str">
        <x:f>IF($A70="","",SQRT((($W70*IF($X70="",$AL70/2,$X70)+'Setari model'!$B$31*$AL70/2)/($W70+'Setari model'!$B$31))*(($AB70*IF($AD70="",$AL70/2,$AD70)+'Setari model'!$B$31*$AL70/2)/($AB70+'Setari model'!$B$31)))+SQRT((($AB70*IF($AC70="",$AL70/2,$AC70)+'Setari model'!$B$31*$AL70/2)/($AB70+'Setari model'!$B$31))*(($W70*IF($Y70="",$AL70/2,$Y70)+'Setari model'!$B$31*$AL70/2)/($W70+'Setari model'!$B$31))))</x:f>
      </x:c>
      <x:c r="BM70" s="62" t="str">
        <x:f>IF($A70="","",SQRT((($W70*IF($Z70="",IF($X70="",$AL70/2,$X70),$Z70)+'Setari model'!$B$31*$AL70/2)/($W70+'Setari model'!$B$31))*(($AB70*IF($AF70="",IF($AD70="",$AL70/2,$AD70),$AF70)+'Setari model'!$B$31*$AL70/2)/($AB70+'Setari model'!$B$31)))+SQRT((($AB70*IF($AE70="",IF($AC70="",$AL70/2,$AC70),$AE70)+'Setari model'!$B$31*$AL70/2)/($AB70+'Setari model'!$B$31))*(($W70*IF($AA70="",IF($Y70="",$AL70/2,$Y70),$AA70)+'Setari model'!$B$31*$AL70/2)/($W70+'Setari model'!$B$31))))</x:f>
      </x:c>
      <x:c r="BN70" s="62" t="str">
        <x:f t="shared" si="112">IF($A70="","",IF($AG70&gt;0,($AG70*IF($AH70="",$AL70,$AH70)+5*$AL70)/($AG70+5),$AL70))</x:f>
      </x:c>
      <x:c r="BO70" s="63" t="str">
        <x:f>IF($A70="","",IF($AR70&gt;1,IF($AS70&gt;1,(1/$AR70)/((1/$AR70+1/$AS70)),MIN(0.995,(1/$AR70)/(1+'Setari model'!$B$32))),1-EXP(-$AL70)))</x:f>
      </x:c>
      <x:c r="BP70" s="62" t="str">
        <x:f t="shared" si="113">IF($A70="","",-LN(1-$BO70))</x:f>
      </x:c>
      <x:c r="BQ70" s="62" t="str">
        <x:f>IF($A70="","",$BJ70*INDEX('Setari model'!$B$5:$B$11,MATCH($E70,'Setari model'!$A$5:$A$11,0))+$BK70*INDEX('Setari model'!$C$5:$C$11,MATCH($E70,'Setari model'!$A$5:$A$11,0))+$BL70*INDEX('Setari model'!$D$5:$D$11,MATCH($E70,'Setari model'!$A$5:$A$11,0))+$BM70*INDEX('Setari model'!$E$5:$E$11,MATCH($E70,'Setari model'!$A$5:$A$11,0))+$BN70*INDEX('Setari model'!$F$5:$F$11,MATCH($E70,'Setari model'!$A$5:$A$11,0))+$BP70*INDEX('Setari model'!$G$5:$G$11,MATCH($E70,'Setari model'!$A$5:$A$11,0)))</x:f>
      </x:c>
      <x:c r="BR70" s="64" t="str">
        <x:f>IF($A70="","",MAX('Setari model'!$B$53,MIN('Setari model'!$B$54,1+($AV70*'Setari model'!$B$15+$AW70*'Setari model'!$B$16+$AX70*'Setari model'!$B$17+$AY70*'Setari model'!$B$18+$AZ70*'Setari model'!$B$19+$BA70*'Setari model'!$B$20+$BB70*'Setari model'!$B$21+$BC70*'Setari model'!$B$22+$BD70*'Setari model'!$B$23+$BE70*'Setari model'!$B$24+$BF70*'Setari model'!$B$25)*INDEX('Setari model'!$H$5:$H$11,MATCH($E70,'Setari model'!$A$5:$A$11,0)))))</x:f>
      </x:c>
      <x:c r="BS70" s="62" t="str">
        <x:f t="shared" si="114">IF($A70="","",$BQ70*$BR70)</x:f>
      </x:c>
      <x:c r="BT70" s="63" t="str">
        <x:f t="shared" si="115">IF($A70="","",EXP(-$BS70))</x:f>
      </x:c>
      <x:c r="BU70" s="65" t="str">
        <x:f>IF($A70="","",IF(OR($AM70="",$AN70=""),1,1+MIN('Setari model'!$B$33,$AN70/100*'Setari model'!$B$33)*($AM70/EXP(-$AL70)-1)))</x:f>
      </x:c>
      <x:c r="BV70" s="63" t="str">
        <x:f>IF($A70="","",MIN(0.45,MAX(0.005,(1-'Setari model'!$B$34*MIN(1,($I70+$P70)/20))*MIN(0.45,$BT70*$BU70)+'Setari model'!$B$34*MIN(1,($I70+$P70)/20)*IF(COUNT($N70,$U70)=2,SQRT(MAX(0,1-$N70)*MAX(0,1-$U70)),IF($AM70="",EXP(-$AL70),$AM70)))))</x:f>
      </x:c>
      <x:c r="BW70" s="63" t="str">
        <x:f t="shared" si="116">IF($A70="","",1-$BV70)</x:f>
      </x:c>
      <x:c r="BX70" s="62" t="str">
        <x:f t="shared" si="117">IF($A70="","",1/$BW70)</x:f>
      </x:c>
      <x:c r="BY70" s="63" t="str">
        <x:f t="shared" si="118">IF($A70="","",$BO70)</x:f>
      </x:c>
      <x:c r="BZ70" s="63" t="str">
        <x:f t="shared" si="119">IF($A70="","",$BW70-$BY70)</x:f>
      </x:c>
      <x:c r="CA70" s="63" t="str">
        <x:f t="shared" si="120">IF($A70="","",IF($AR70&gt;1,$BW70*$AR70-1,""))</x:f>
      </x:c>
      <x:c r="CB70" s="63" t="str">
        <x:f>IF($A70="","",MIN(1,COUNT($I70:$AN70,$AR70:$BG70)/'Setari model'!$B$46))</x:f>
      </x:c>
      <x:c r="CC70" s="63" t="str">
        <x:f t="shared" si="121">IF($A70="","",0.25*MIN(1,$I70/10)+0.25*MIN(1,$P70/10)+0.15*MIN(1,$W70/5)+0.15*MIN(1,$AB70/5)+0.1*MIN(1,$AG70/5)+0.1*MIN(1,$AN70/100))</x:f>
      </x:c>
      <x:c r="CD70" s="63" t="str">
        <x:f>IF($A70="","",MAX(0,1-(MAX($BJ70:$BN70,$BP70)-MIN($BJ70:$BN70,$BP70))/(AVERAGE($BJ70:$BN70,$BP70)*'Setari model'!$B$45)))</x:f>
      </x:c>
      <x:c r="CE70" s="66" t="str">
        <x:f>IF($A70="","",MAX(0,MIN(100,100*INDEX('Setari model'!$I$5:$I$11,MATCH($E70,'Setari model'!$A$5:$A$11,0))*('Setari model'!$B$47*$CB70+'Setari model'!$B$48*$CC70+'Setari model'!$B$49*$CD70+'Setari model'!$B$50*$AT70/5+'Setari model'!$B$51*$AU70)-100*'Setari model'!$B$52*$BG70)))</x:f>
      </x:c>
      <x:c r="CF70" s="65" t="str">
        <x:f t="shared" si="122">IF($A70="","",IF(OR($AT70&lt;3,$BG70&gt;=2,$CB70&lt;0.55,$CC70&lt;0.4),"RIDICAT",IF(OR($AU70=0,$CD70&lt;0.45,$BR70&lt;0.9),"MEDIU","SCĂZUT")))</x:f>
      </x:c>
      <x:c r="CG70" s="65" t="str">
        <x:f>IF($A70="","",IF($AR70&gt;1,IF(AND($BW70&gt;= 'Setari model'!$B$35,$CE70&gt;=100*'Setari model'!$B$36,$BZ70&gt;= 'Setari model'!$B$37,$CA70&gt;= 'Setari model'!$B$38,$CF70&lt;&gt;"RIDICAT"),"PARIU RECOMANDAT",IF(AND($BW70&gt;= 'Setari model'!$B$39,$CE70&gt;=100*'Setari model'!$B$40,$BZ70&gt;= 'Setari model'!$B$41,$CA70&gt;=0,$CF70&lt;&gt;"RIDICAT"),"RECOMANDAT CU PRUDENȚĂ",IF(AND($BW70&gt;= 'Setari model'!$B$42,$CE70&gt;=100*'Setari model'!$B$43),"ANALIZĂ NECONCLUDENTĂ","PARIU EVITAT"))),IF(AND($BW70&gt;= 'Setari model'!$B$35,$CE70&gt;=100*'Setari model'!$B$36,$CF70&lt;&gt;"RIDICAT"),"FAVORABIL STATISTIC – VERIFICĂ COTA",IF(AND($BW70&gt;= 'Setari model'!$B$42,$CE70&gt;=100*'Setari model'!$B$43),"ANALIZĂ NECONCLUDENTĂ","PARIU EVITAT"))))</x:f>
      </x:c>
      <x:c r="CH70" s="67" t="str">
        <x:f t="shared" si="123">IF($A70="","","P(O0,5)="&amp;TEXT($BW70,"0.0%")&amp;"; λ ajustat="&amp;TEXT($BS70,"0.00")&amp;"; Confidence="&amp;TEXT($CE70,"0")&amp;"/100; Edge="&amp;TEXT($BZ70,"0.0%")&amp;"; risc="&amp;$CF70&amp;". "&amp;$BH70)</x:f>
      </x:c>
      <x:c r="CI70" s="68" t="str">
        <x:f t="shared" si="124">IF($A70="","",$BI70)</x:f>
      </x:c>
      <x:c r="CJ70" s="112"/>
      <x:c r="CK70" s="112"/>
      <x:c r="CL70" s="112"/>
      <x:c r="CM70" s="112"/>
      <x:c r="CN70" s="112"/>
      <x:c r="CO70" s="112"/>
      <x:c r="CP70" s="112"/>
      <x:c r="CQ70" s="112"/>
      <x:c r="CR70" s="112"/>
      <x:c r="CS70" s="112"/>
      <x:c r="CT70" s="112"/>
      <x:c r="CU70" s="112"/>
      <x:c r="CV70" s="112"/>
      <x:c r="CW70" s="112"/>
      <x:c r="CX70" s="112"/>
      <x:c r="CY70" s="112"/>
      <x:c r="CZ70" s="112"/>
      <x:c r="DA70" s="112"/>
      <x:c r="DB70" s="112"/>
      <x:c r="DC70" s="114"/>
      <x:c r="DD70" s="114"/>
      <x:c r="DE70" s="112" t="s">
        <x:v>266</x:v>
      </x:c>
      <x:c r="DF70" s="112"/>
      <x:c r="DG70" s="112"/>
      <x:c r="DH70" s="112"/>
      <x:c r="DI70" s="112"/>
      <x:c r="DJ70" s="112"/>
      <x:c r="DK70" s="112"/>
      <x:c r="DL70" s="112"/>
      <x:c r="DM70" s="112"/>
      <x:c r="DN70" s="112"/>
      <x:c r="DO70" s="112"/>
      <x:c r="DP70" s="112"/>
      <x:c r="DQ70" s="114"/>
      <x:c r="DR70" s="112">
        <x:v>1</x:v>
      </x:c>
      <x:c r="DS70" s="116">
        <x:v>0</x:v>
      </x:c>
      <x:c r="DT70" s="120"/>
      <x:c r="DU70" s="116">
        <x:v>0.02</x:v>
      </x:c>
      <x:c r="DV70" s="116">
        <x:v>0.25</x:v>
      </x:c>
      <x:c r="DW70" s="118" t="str">
        <x:f>IF($A70="","",MAX('Setari model'!$B$71,MIN('Setari model'!$B$72,1+0.08*(IFERROR(AVERAGE($CM70:$CN70)/'Setari model'!$B$66,1)-1)+0.08*(IFERROR(AVERAGE($CO70:$CP70)/'Setari model'!$B$67,1)-1)+0.06*(IFERROR(AVERAGE($CQ70:$CR70)/'Setari model'!$B$68,1)-1)+0.04*(IFERROR(AVERAGE($CS70:$CT70)/'Setari model'!$B$69,1)-1)+0.04*(IFERROR(AVERAGE($CU70:$CV70)/'Setari model'!$B$70,1)-1)-'Setari model'!$B$73*IFERROR(AVERAGE($CW70:$CX70),0))))</x:f>
      </x:c>
      <x:c r="DX70" s="118" t="str">
        <x:f>IF($A70="","",1+'Setari model'!$B$62*MAX(IF(OR($CK70=1,$CL70=1),1,0),IF(AND($CJ70&lt;&gt;"",$CJ70&lt;=1),1,0))+'Setari model'!$B$63*IF(AND($CJ70&gt;1,$CJ70&lt;=3),1,0))</x:f>
      </x:c>
      <x:c r="DY70" s="118" t="str">
        <x:f>IF($A70="","",1+'Setari model'!$B$74*(IF($CY70="",0,IF($CY70=0,1,0))+IF($CZ70="",0,IF($CZ70=0,1,0)))+'Setari model'!$B$75*(IF($DA70="",0,IF($DA70=0,1,0))+IF($DB70="",0,IF($DB70=0,1,0))))</x:f>
      </x:c>
      <x:c r="DZ70" s="117" t="str">
        <x:f>IF($A70="","",MIN(0.6,MAX(0.002,(((1-'Setari model'!$B$34*MIN(1,($I70+$P70)/20))*$BT70+'Setari model'!$B$34*MIN(1,($I70+$P70)/20)*IF(COUNT($N70,$U70)=2,SQRT(MAX(0,1-$N70)*MAX(0,1-$U70)),$BT70))*(1-'Setari model'!$B$65*MIN(1,IF($AN70="",0,$AN70/'Setari model'!$B$64)))+'Setari model'!$B$65*MIN(1,IF($AN70="",0,$AN70/'Setari model'!$B$64))*IF($AM70="",$BT70,$AM70))*$DX70*$DY70/$DW70)))</x:f>
      </x:c>
      <x:c r="EA70" s="117" t="str">
        <x:f>IF($A70="","",MIN(1-$DZ70,IF(OR(MIN($I70,$P70)&lt;'Setari model'!$B$58,$CK70=1,$CL70=1,AND($CJ70&lt;&gt;"",$CJ70&lt;=1)),'Setari model'!$B$59,IF(AND($AU70=1,$AR70&gt;1,COUNT($CY70:$DB70)=4),'Setari model'!$B$61,'Setari model'!$B$60))))</x:f>
      </x:c>
      <x:c r="EB70" s="115" t="str">
        <x:f t="shared" si="125">IF($A70="","",1/$EA70)</x:f>
      </x:c>
      <x:c r="EC70" s="117" t="str">
        <x:f t="shared" si="126">IF($A70="","",IF($AR70&gt;1,IF($AS70&gt;1,(1/$AR70)/((1/$AR70)+(1/$AS70)),1/$AR70),""))</x:f>
      </x:c>
      <x:c r="ED70" s="117" t="str">
        <x:f t="shared" si="127">IF($A70="","",IF($EC70="","",$EA70-$EC70))</x:f>
      </x:c>
      <x:c r="EE70" s="117" t="str">
        <x:f t="shared" si="128">""</x:f>
      </x:c>
      <x:c r="EF70" s="119" t="str">
        <x:f>IF($A70="","",MAX(0,MIN(100,$CE70-200*MAX(0,$EG70-'Setari model'!$B$77)-IF($AU70&lt;&gt;1,10,0)-IF(COUNT($CY70:$DB70)&lt;4,4,0))))</x:f>
      </x:c>
      <x:c r="EG70" s="117" t="str">
        <x:f>IF($A70="","",'Setari model'!$B$77+IF(MIN($I70,$P70)&lt;'Setari model'!$B$58,0.03,0)+IF(OR($CK70=1,$CL70=1,AND($CJ70&lt;&gt;"",$CJ70&lt;=1)),0.03,0)+IF($AG70=0,0.02,0)+0.03*(1-MIN(1,COUNT($CM70:$CV70)/10))+0.03*(1-MIN(1,IF($AN70="",0,$AN70/'Setari model'!$B$64)))+IF($AR70&lt;=1,0.02,0))</x:f>
      </x:c>
      <x:c r="EH70" s="113" t="str">
        <x:f>IF($A70="","",IF(OR(MIN($I70,$P70)&lt;'Setari model'!$B$58,$CK70=1,$CL70=1,AND($CJ70&lt;&gt;"",$CJ70&lt;=1)),"92% – early/regim",IF(AND($AU70=1,$AR70&gt;1,COUNT($CY70:$DB70)=4),"94% – confirmat","93% – standard")))</x:f>
      </x:c>
      <x:c r="EI70" s="113" t="str">
        <x:f t="shared" si="129">IF($A70="","",IF(AND($EA70&gt;0.9,$AU70&lt;&gt;1),"WAIT XI – HIGH P",IF(AND($EA70&gt;0.9,COUNT($CY70:$DB70)&lt;4),"WAIT DATE CHEIE – HIGH P",IF($EP70&lt;&gt;"DA","NU – PORTOFOLIU","DA"))))</x:f>
      </x:c>
      <x:c r="EJ70" s="117" t="str">
        <x:f t="shared" si="130">IF($A70="","",IF($DE70&lt;&gt;"Live 20-30","",IF(SUM($DG70:$DH70)&gt;0,1,IF($EU70="","",1-MIN(0.95,MAX(0.001,EXP(-$EU70)*$DX70*$DY70/$DW70))))))</x:f>
      </x:c>
      <x:c r="EK70" s="117" t="str">
        <x:f t="shared" si="131">""</x:f>
      </x:c>
      <x:c r="EL70" s="113" t="str">
        <x:f>IF($A70="","",IF($DE70="Live 20-30",IF(SUM($DG70:$DH70)&gt;0,"EVENIMENT ÎNDEPLINIT",IF(OR($DF70="",COUNT($DI70:$DN70)&lt;4),"LIVE – WATCH",IF($EJ70&gt;=0.75,"LIVE – FEZABIL TEHNIC","LIVE – NO BET"))),IF($EI70&lt;&gt;"DA","WATCH / NO BET",IF(AND($EA70&gt;=INDEX('Setari model'!$B$35:$B$40,1),$EF70&gt;=100*'Setari model'!$B$76),"PARIU RECOMANDAT",IF(AND($EA70&gt;=INDEX('Setari model'!$B$35:$B$40,5),$EF70&gt;=100*'Setari model'!$B$40),"WATCH – APROAPE DE PRAG","PARIU EVITAT")))))</x:f>
      </x:c>
      <x:c r="EM70" s="113" t="str">
        <x:f t="shared" si="132">IF($A70="","",IF($DE70="Live 20-30",IF(SUM($DG70:$DH70)&gt;0,"Gol deja marcat.",IF($DF70="","Minut live lipsă.",IF(COUNT($DI70:$DN70)&lt;4,"Lipsesc xG/SOT/big chances live.",IF($EJ70&lt;0.75,"P live sub prag.","Semnal live tehnic complet; EV ignorat.")))),IF($EI70&lt;&gt;"DA",$EI70,IF($EF70&lt;75,"Confidence sub 75.",IF($EA70&lt;0.92,"P sub 92%.","G0/Zero-Mass + confidence trecute; EV ignorat.")))))</x:f>
      </x:c>
      <x:c r="EN70" s="117" t="str">
        <x:f>IF($A70="","",IF(OR($EL70="PARIU RECOMANDAT",$EL70="LIVE – FEZABIL"),MIN(IF($DU70&gt;0,$DU70,'Setari model'!$B$81)/MAX(1,$DR70),IF($DV70&gt;0,$DV70,'Setari model'!$B$80)*MAX(0,((IF($DE70="Live 20-30",$EJ70,$EA70)*IF($DE70="Live 20-30",$DQ70,$AR70)-1)/(IF($DE70="Live 20-30",$DQ70,$AR70)-1)))),0))</x:f>
      </x:c>
      <x:c r="EO70" s="121" t="str">
        <x:f t="shared" si="133">IF($A70="","",IF(AND($EN70&gt;0,$DT70&gt;0),$EN70*$DT70,""))</x:f>
      </x:c>
      <x:c r="EP70" s="113" t="str">
        <x:f>IF($A70="","",IF(OR($DR70&lt;1,$DR70&gt;'Setari model'!$B$78),"NU – 1–5 selecții",IF($DS70&gt;'Setari model'!$B$79,"NU – corelație", "DA")))</x:f>
      </x:c>
      <x:c r="EQ70" s="117" t="str">
        <x:f t="shared" si="134">IF($A70="","",IF(AND($DC70&gt;1,$DD70&gt;1),$DC70/$DD70-1,""))</x:f>
      </x:c>
      <x:c r="ER70" s="113" t="str">
        <x:f t="shared" si="135">IF($A70="","","P v2="&amp;TEXT($EA70,"0.0%")&amp;" ±"&amp;TEXT($EG70,"0.0%")&amp;"; P0 ZIP="&amp;TEXT($DZ70,"0.0%")&amp;"; Confidence="&amp;TEXT($EF70,"0")&amp;"/100; piață reală="&amp;IF($EC70="","NU","DA")&amp;"; EV="&amp;IF($EE70="","n/a",TEXT($EE70,"0.0%"))&amp;"; gate="&amp;$EI70&amp;"; verdict="&amp;$EL70&amp;". "&amp;$EM70)</x:f>
      </x:c>
      <x:c r="ES70" s="119" t="str">
        <x:f>IF($A70="","",'Setari model'!$B$82)</x:f>
      </x:c>
      <x:c r="ET70" s="118" t="str">
        <x:f>IF($A70="","",'Setari model'!$B$83)</x:f>
      </x:c>
      <x:c r="EU70" s="115" t="str">
        <x:f t="shared" si="136">IF(OR($A70="",$DE70&lt;&gt;"Live 20-30",$DF70="",$DF70&lt;$ES70,$DF70&gt;=90),"",MAX(0.05,MIN($BS70*$ET70,$BS70*(90-$DF70)/90+0.35*($DI70+$DJ70)+0.06*($DK70+$DL70)+0.15*($DM70+$DN70)+0.1*(MAX($DO70,$DP70)-MIN($DO70,$DP70)))))</x:f>
      </x:c>
      <x:c r="EV70" s="132"/>
      <x:c r="EW70" s="132"/>
      <x:c r="EX70" s="132"/>
      <x:c r="EY70" s="132"/>
      <x:c r="EZ70" s="132"/>
      <x:c r="FA70" s="132"/>
      <x:c r="FB70" s="247"/>
      <x:c r="FC70" s="134" t="str">
        <x:f t="shared" si="137">IF($A70="","",IF(OR($J70="",$L70="",$L70&lt;=0),"",MAX(0.5,MIN(1.5,$J70/$L70))))</x:f>
      </x:c>
      <x:c r="FD70" s="134" t="str">
        <x:f t="shared" si="138">IF($A70="","",IF(OR($Q70="",$S70="",$S70&lt;=0),"",MAX(0.5,MIN(1.5,$Q70/$S70))))</x:f>
      </x:c>
      <x:c r="FE70" s="134" t="str">
        <x:f>IF($A70="","",IF(COUNT($EV70:$EW70)&lt;2,"",SQRT($EV70*$EW70)/'Setari model'!$B$87))</x:f>
      </x:c>
      <x:c r="FF70" s="134" t="str">
        <x:f>IF($A70="","",IF(COUNT($O70,$V70,$EX70,$EY70)&lt;4,"",AVERAGE(SQRT($O70*$EY70),SQRT($V70*$EX70))/'Setari model'!$B$88))</x:f>
      </x:c>
      <x:c r="FG70" s="134" t="str">
        <x:f t="shared" si="139">IF($A70="","",IF(COUNT($FC70:$FD70)&lt;2,"",MAX(0,1-AVERAGE($FC70:$FD70))))</x:f>
      </x:c>
      <x:c r="FH70" s="134" t="str">
        <x:f>IF($A70="","",IF(COUNT($EZ70:$FA70)&lt;2,"",'Setari model'!$B$94*AVERAGE($EZ70:$FA70)/'Setari model'!$B$89))</x:f>
      </x:c>
      <x:c r="FI70" s="134" t="str">
        <x:f>IF($A70="","",IF(COUNT($FE70:$FH70)&lt;4,"",MAX('Setari model'!$B$97,MIN('Setari model'!$B$98,1+'Setari model'!$B$90*($FE70-1)+'Setari model'!$B$91*($FF70-1)+'Setari model'!$B$92*$FG70+'Setari model'!$B$93*($FH70-1)))))</x:f>
      </x:c>
      <x:c r="FJ70" s="133" t="str">
        <x:f>IF($A70="","",IF($FI70="","",MIN('Setari model'!$B$101,MAX(0.002,$DZ70*$FI70))))</x:f>
      </x:c>
      <x:c r="FK70" s="131" t="str">
        <x:f t="shared" si="140">IF($A70="","",IF(AND(COUNT($EV70:$FA70)=6,COUNT($O70,$V70,$FC70,$FD70)=4),"DA","NU"))</x:f>
      </x:c>
      <x:c r="FL70" s="131" t="str">
        <x:f>IF($A70="","",IF($FK70&lt;&gt;"DA","NEDETERMINAT",IF($FI70&lt;='Setari model'!$B$99,"SCĂZUT",IF($FI70&lt;='Setari model'!$B$100,"MEDIU","RIDICAT"))))</x:f>
      </x:c>
      <x:c r="FM70" s="131" t="str">
        <x:f>IF($A70="","",IF(AND($AR70&gt;1,$EC70&gt;='Setari model'!$B$106),"DA","NU"))</x:f>
      </x:c>
      <x:c r="FN70" s="131" t="str">
        <x:f t="shared" si="141">IF($A70="","",IF(AND($AU70=1,COUNT($CY70:$DB70)=4),"DA","NU"))</x:f>
      </x:c>
      <x:c r="FO70" s="133" t="str">
        <x:f>IF($A70="","",IF(OR($FK70&lt;&gt;"DA",$FL70="RIDICAT"),'Setari model'!$B$102,IF($FL70="MEDIU",'Setari model'!$B$103,IF(AND($FM70="DA",$FN70="DA"),'Setari model'!$B$105,'Setari model'!$B$104))))</x:f>
      </x:c>
      <x:c r="FP70" s="133" t="str">
        <x:f t="shared" si="142">IF($A70="","",IF($FJ70="","",MIN(1-$FJ70,$FO70)))</x:f>
      </x:c>
      <x:c r="FQ70" s="135" t="str">
        <x:f t="shared" si="143">IF($A70="","",IF($FP70="","",IF($FP70&gt;0,1/$FP70,"")))</x:f>
      </x:c>
      <x:c r="FR70" s="133" t="str">
        <x:f t="shared" si="144">IF($A70="","",IF($EC70="","",$FP70-$EC70))</x:f>
      </x:c>
      <x:c r="FS70" s="133" t="str">
        <x:f t="shared" si="145">IF($A70="","",IF($AR70&gt;1,$FP70*$AR70-1,""))</x:f>
      </x:c>
      <x:c r="FT70" s="136" t="str">
        <x:f>IF($A70="","",MAX(0,MIN(100,$EF70-IF($FK70&lt;&gt;"DA",'Setari model'!$B$107,0)-IF($FL70="MEDIU",'Setari model'!$B$108,0)-IF($FL70="RIDICAT",'Setari model'!$B$109,0))))</x:f>
      </x:c>
      <x:c r="FU70" s="131" t="str">
        <x:f t="shared" si="146">IF($A70="","",IF($AR70&lt;=1,"NU – LIPSEȘTE COTA REALĂ",IF($FK70&lt;&gt;"DA","NU – ZERO-RISK INCOMPLET",IF($FL70&lt;&gt;"SCĂZUT","NU – RISC 0-0 "&amp;$FL70,IF($FN70&lt;&gt;"DA","NU – LINEUP NECONFIRMAT",IF($FM70&lt;&gt;"DA","NU – PIAȚĂ NECONFIRMATĂ",IF($EP70&lt;&gt;"DA","NU – PORTOFOLIU","DA")))))))</x:f>
      </x:c>
      <x:c r="FV70" s="131" t="str">
        <x:f>IF($A70="","",IF($FU70&lt;&gt;"DA","WATCH / NO BET",IF(AND($FP70&gt;='Setari model'!$B$35,$FT70&gt;=100*'Setari model'!$B$76,$FS70&gt;0),"PARIU RECOMANDAT",IF(AND($FP70&gt;='Setari model'!$B$39,$FT70&gt;=100*'Setari model'!$B$40,$FS70&gt;0),"WATCH – APROAPE DE PRAG","PARIU EVITAT"))))</x:f>
      </x:c>
      <x:c r="FW70" s="131" t="str">
        <x:f t="shared" si="147">IF($A70="","",IF($FU70&lt;&gt;"DA",$FU70,IF($FT70&lt;75,"Confidence v3 sub 75.",IF($FP70&lt;0.92,"P v3 sub 92%.",IF($FS70&lt;=0,"EV v3 nepozitiv.","P0 v3, lineup și piață confirmate.")))))</x:f>
      </x:c>
      <x:c r="FX70" s="131" t="str">
        <x:f t="shared" si="148">IF($A70="","","P v3="&amp;TEXT($FP70,"0.0%")&amp;"; P0 v3="&amp;TEXT($FJ70,"0.0%")&amp;"; factor zero="&amp;IF($FI70="","n/a",TEXT($FI70,"0.00x"))&amp;" ("&amp;$FL70&amp;"); cap="&amp;TEXT($FO70,"0.0%")&amp;"; Confidence="&amp;TEXT($FT70,"0")&amp;"/100; lineup="&amp;$FN70&amp;"; piață="&amp;$FM70&amp;"; EV="&amp;IF($FS70="","n/a",TEXT($FS70,"0.0%"))&amp;"; gate="&amp;$FU70&amp;"; verdict="&amp;$FV70&amp;". "&amp;$FW70)</x:f>
      </x:c>
      <x:c r="FY70" s="159"/>
      <x:c r="FZ70" s="159"/>
      <x:c r="GA70" s="157"/>
      <x:c r="GB70" s="157"/>
      <x:c r="GC70" s="161" t="str">
        <x:f t="shared" si="149">IF($A70="","",IF(OR($X70="",$Z70="",$Z70&lt;=0),"",MAX(0.5,MIN(1.5,$X70/$Z70))))</x:f>
      </x:c>
      <x:c r="GD70" s="161" t="str">
        <x:f t="shared" si="150">IF($A70="","",IF(OR($AC70="",$AE70="",$AE70&lt;=0),"",MAX(0.5,MIN(1.5,$AC70/$AE70))))</x:f>
      </x:c>
      <x:c r="GE70" s="162" t="str">
        <x:f t="shared" si="151">IF($A70="","",IF(COUNT($Z70,$AE70)&lt;2,"",AVERAGE($Z70,$AE70)))</x:f>
      </x:c>
      <x:c r="GF70" s="158" t="str">
        <x:f>IF($A70="","",IF(COUNT($FY70:$FZ70)&lt;2,"NEDETERMINAT",IF(AND($FY70&gt;='Setari model'!$B$113,$FZ70&gt;='Setari model'!$B$113),"DA","NU")))</x:f>
      </x:c>
      <x:c r="GG70" s="158" t="str">
        <x:f>IF($A70="","",IF(COUNT($FY70:$FZ70,$EX70:$EY70)&lt;4,"NEDETERMINAT",IF(OR(AND($FY70&gt;='Setari model'!$B$113,$EY70&gt;='Setari model'!$B$114),AND($FZ70&gt;='Setari model'!$B$113,$EX70&gt;='Setari model'!$B$114)),"DA","NU")))</x:f>
      </x:c>
      <x:c r="GH70" s="158" t="str">
        <x:f>IF($A70="","",IF(COUNT($BJ70:$BN70,$GC70:$GE70)&lt;8,"NEDETERMINAT",IF(AND((($BJ70*INDEX('Setari model'!$B$5:$B$11,MATCH($E70,'Setari model'!$A$5:$A$11,0))+$BK70*INDEX('Setari model'!$C$5:$C$11,MATCH($E70,'Setari model'!$A$5:$A$11,0))+$BL70*INDEX('Setari model'!$D$5:$D$11,MATCH($E70,'Setari model'!$A$5:$A$11,0))+$BM70*INDEX('Setari model'!$E$5:$E$11,MATCH($E70,'Setari model'!$A$5:$A$11,0))+$BN70*INDEX('Setari model'!$F$5:$F$11,MATCH($E70,'Setari model'!$A$5:$A$11,0)))/(INDEX('Setari model'!$B$5:$B$11,MATCH($E70,'Setari model'!$A$5:$A$11,0))+INDEX('Setari model'!$C$5:$C$11,MATCH($E70,'Setari model'!$A$5:$A$11,0))+INDEX('Setari model'!$D$5:$D$11,MATCH($E70,'Setari model'!$A$5:$A$11,0))+INDEX('Setari model'!$E$5:$E$11,MATCH($E70,'Setari model'!$A$5:$A$11,0))+INDEX('Setari model'!$F$5:$F$11,MATCH($E70,'Setari model'!$A$5:$A$11,0))))*$BR70&gt;='Setari model'!$B$115,(($BJ70*INDEX('Setari model'!$B$5:$B$11,MATCH($E70,'Setari model'!$A$5:$A$11,0))+$BK70*INDEX('Setari model'!$C$5:$C$11,MATCH($E70,'Setari model'!$A$5:$A$11,0))+$BL70*INDEX('Setari model'!$D$5:$D$11,MATCH($E70,'Setari model'!$A$5:$A$11,0))+$BM70*INDEX('Setari model'!$E$5:$E$11,MATCH($E70,'Setari model'!$A$5:$A$11,0))+$BN70*INDEX('Setari model'!$F$5:$F$11,MATCH($E70,'Setari model'!$A$5:$A$11,0)))/(INDEX('Setari model'!$B$5:$B$11,MATCH($E70,'Setari model'!$A$5:$A$11,0))+INDEX('Setari model'!$C$5:$C$11,MATCH($E70,'Setari model'!$A$5:$A$11,0))+INDEX('Setari model'!$D$5:$D$11,MATCH($E70,'Setari model'!$A$5:$A$11,0))+INDEX('Setari model'!$E$5:$E$11,MATCH($E70,'Setari model'!$A$5:$A$11,0))+INDEX('Setari model'!$F$5:$F$11,MATCH($E70,'Setari model'!$A$5:$A$11,0))))*$BR70&lt;='Setari model'!$B$116,AVERAGE($GC70:$GD70)&lt;='Setari model'!$B$117,$GE70&gt;='Setari model'!$B$118),"DA","NU")))</x:f>
      </x:c>
      <x:c r="GI70" s="158" t="str">
        <x:f>IF($A70="","",IF(COUNT($W70,$AB70,$GA70:$GB70)&lt;4,"NEDETERMINAT",IF(AND($W70&gt;='Setari model'!$B$120,$AB70&gt;='Setari model'!$B$120,OR(IFERROR($GA70/$W70,0)&gt;='Setari model'!$B$119,IFERROR($GB70/$AB70,0)&gt;='Setari model'!$B$119)),"DA","NU")))</x:f>
      </x:c>
      <x:c r="GJ70" s="160" t="str">
        <x:f>IF($A70="","",IF(COUNT($FY70:$GB70)&lt;4,"",IF($GH70&lt;&gt;"DA",0,'Setari model'!$B$121*IF($GF70="DA",1,0)+'Setari model'!$B$122*IF($GG70="DA",1,0)+'Setari model'!$B$123+'Setari model'!$B$124*IF($GI70="DA",1,0))))</x:f>
      </x:c>
      <x:c r="GK70" s="161" t="str">
        <x:f>IF($A70="","",IF(COUNT($GJ70)=0,"",1+'Setari model'!$B$125*$GJ70))</x:f>
      </x:c>
      <x:c r="GL70" s="160" t="str">
        <x:f>IF($A70="","",IF($GM70&lt;&gt;"DA",$FJ70,MIN('Setari model'!$B$101,MAX(0.002,$FJ70*$GK70))))</x:f>
      </x:c>
      <x:c r="GM70" s="158" t="str">
        <x:f>IF($A70="","",IF(AND($FK70="DA",COUNT($FY70:$GB70)=4,COUNT($I70,$P70,$W70,$AB70,$Z70,$AE70,$EX70,$EY70,$GC70,$GD70)=10,COUNT($BJ70:$BN70)=5),"DA","NU"))</x:f>
      </x:c>
      <x:c r="GN70" s="158" t="str">
        <x:f>IF($A70="","",IF($GM70&lt;&gt;"DA","NEDETERMINAT",IF($FI70*$GK70&lt;='Setari model'!$B$99,"SCĂZUT",IF($FI70*$GK70&lt;='Setari model'!$B$100,"MEDIU","RIDICAT"))))</x:f>
      </x:c>
      <x:c r="GO70" s="160" t="str">
        <x:f>IF($A70="","",IF(OR($GM70&lt;&gt;"DA",$GN70="RIDICAT"),'Setari model'!$B$102,IF($GN70="MEDIU",'Setari model'!$B$103,IF(AND($FM70="DA",$FN70="DA"),'Setari model'!$B$105,'Setari model'!$B$104))))</x:f>
      </x:c>
      <x:c r="GP70" s="160" t="str">
        <x:f t="shared" si="152">IF($A70="","",IF($GL70="","",MIN(1-$GL70,$GO70)))</x:f>
      </x:c>
      <x:c r="GQ70" s="162" t="str">
        <x:f t="shared" si="153">IF($A70="","",IF($GP70="","",IF($GP70&gt;0,1/$GP70,"")))</x:f>
      </x:c>
      <x:c r="GR70" s="160" t="str">
        <x:f t="shared" si="154">IF($A70="","",IF($EC70="","",$GP70-$EC70))</x:f>
      </x:c>
      <x:c r="GS70" s="160" t="str">
        <x:f t="shared" si="155">IF($A70="","",IF($AR70&gt;1,$GP70*$AR70-1,""))</x:f>
      </x:c>
      <x:c r="GT70" s="163" t="str">
        <x:f>IF($A70="","",MAX(0,MIN(100,$FT70-IF(AND($GM70&lt;&gt;"DA",$FK70="DA"),'Setari model'!$B$107,0)-'Setari model'!$B$126*IF($GJ70="",0,$GJ70))))</x:f>
      </x:c>
      <x:c r="GU70" s="158" t="str">
        <x:f t="shared" si="156">IF($A70="","",IF($AR70&lt;=1,"NU – LIPSEȘTE COTA REALĂ",IF($GM70&lt;&gt;"DA","NU – DATE LOW-CONVERSION INCOMPLETE",IF($GN70&lt;&gt;"SCĂZUT","NU – RISC 0-0 "&amp;$GN70,IF($FN70&lt;&gt;"DA","NU – LINEUP NECONFIRMAT",IF($FM70&lt;&gt;"DA","NU – PIAȚĂ NECONFIRMATĂ",IF($EP70&lt;&gt;"DA","NU – PORTOFOLIU","DA")))))))</x:f>
      </x:c>
      <x:c r="GV70" s="158" t="str">
        <x:f>IF($A70="","",IF($GU70&lt;&gt;"DA","WATCH / NO BET",IF(AND($GP70&gt;='Setari model'!$B$35,$GT70&gt;=100*'Setari model'!$B$76,$GS70&gt;0),"PARIU RECOMANDAT",IF(AND($GP70&gt;='Setari model'!$B$39,$GT70&gt;=100*'Setari model'!$B$40,$GS70&gt;0),"WATCH – APROAPE DE PRAG","PARIU EVITAT"))))</x:f>
      </x:c>
      <x:c r="GW70" s="158" t="str">
        <x:f t="shared" si="157">IF($A70="","",IF($GU70&lt;&gt;"DA",$GU70,IF($GT70&lt;75,"Confidence v5 sub 75.",IF($GP70&lt;0.92,"P v5 sub 92%.",IF($GS70&lt;=0,"EV v5 nepozitiv.",IF($GJ70&gt;0,"Low-conversion absorbit în P0; toate porțile rămân trecute.","Toate porțile v5 sunt trecute."))))))</x:f>
      </x:c>
      <x:c r="GX70" s="158" t="str">
        <x:f t="shared" si="158">IF($A70="","","P v5="&amp;TEXT($GP70,"0.0%")&amp;"; P0 v5="&amp;TEXT($GL70,"0.0%")&amp;"; low-conv="&amp;IF(COUNT($GJ70)=0,"n/a",TEXT($GJ70,"0%"))&amp;"; mult.P0="&amp;IF(COUNT($GK70)=0,"n/a",TEXT($GK70,"0.00"))&amp;"; clasă="&amp;$GN70&amp;"; cap="&amp;TEXT($GO70,"0.0%")&amp;"; Confidence="&amp;TEXT($GT70,"0")&amp;"/100; lineup="&amp;$FN70&amp;"; piață="&amp;$FM70&amp;"; EV="&amp;IF($GS70="","n/a",TEXT($GS70,"0.0%"))&amp;"; gate="&amp;$GU70&amp;"; verdict="&amp;$GV70&amp;". "&amp;$GW70)</x:f>
      </x:c>
      <x:c r="GY70" s="174" t="str">
        <x:f>IF($A70="","",IF($GM70&lt;&gt;"DA","SOURCING INCOMPLETE – REVIEW REQUIRED",IF(MIN($I70,$P70,$W70,$AB70)&lt;'Setari model'!$B$58,"SMALL SAMPLE + PRIOR / SHRINKAGE","VERIFIED / PRIOR / SHRINKAGE")))</x:f>
      </x:c>
      <x:c r="GZ70" s="175" t="str">
        <x:f t="shared" si="159">IF($A70="","",MAX(0,MIN(100,100*(1-AVERAGE(IF($GM70="DA",1,0),MIN(1,$AT70/5))))))</x:f>
      </x:c>
      <x:c r="HA70" s="175" t="str">
        <x:f>IF($A70="","",IF($GM70&lt;&gt;"DA","",MAX(0,MIN(100,100*(($FI70*$GK70)-'Setari model'!$B$97)/('Setari model'!$B$98-'Setari model'!$B$97)))))</x:f>
      </x:c>
      <x:c r="HB70" s="175" t="str">
        <x:f>IF($A70="","",MAX(0,MIN(100,100*(ABS($BR70-1)/MAX(1-'Setari model'!$B$53,'Setari model'!$B$54-1)+MIN(1,$BG70/2))/2)))</x:f>
      </x:c>
      <x:c r="HC70" s="175" t="str">
        <x:f t="shared" si="160">IF($A70="","",MAX(0,MIN(100,100*(1-AVERAGE($CC70,MAX(0,1-(MAX($BJ70:$BN70)-MIN($BJ70:$BN70))/(AVERAGE($BJ70:$BN70)*'Setari model'!$B$45)))))))</x:f>
      </x:c>
      <x:c r="HD70" s="175" t="str">
        <x:f t="shared" si="161">IF($A70="","",MAX(0,MIN(100,100*MAX(IF($GJ70="",0,$GJ70),MIN(1,$BG70/2)))))</x:f>
      </x:c>
      <x:c r="HE70" s="175" t="str">
        <x:f>IF($A70="","",IF(COUNT($GZ70:$HD70)&lt;5,"",$GZ70*Risk_Classification!$E$28+$HA70*Risk_Classification!$E$29+$HB70*Risk_Classification!$E$30+$HC70*Risk_Classification!$E$31+$HD70*Risk_Classification!$E$32))</x:f>
      </x:c>
      <x:c r="HF70" s="176" t="str">
        <x:f t="shared" si="162">IF($A70="","",IF($HE70="","",IF($HE70&lt;=20,1,IF($HE70&lt;=40,2,IF($HE70&lt;=60,3,IF($HE70&lt;=80,4,5))))))</x:f>
      </x:c>
      <x:c r="HG70" s="176" t="str">
        <x:f t="shared" si="163">IF($A70="","",IF($GM70="DA","PASS","FAIL – DATE CRITICE ZERO-MASS INCOMPLETE"))</x:f>
      </x:c>
      <x:c r="HH70" s="176" t="str">
        <x:f t="shared" si="164">IF($A70="","",IF($HG70&lt;&gt;"PASS",5,$HF70))</x:f>
      </x:c>
      <x:c r="HI70" s="174" t="str">
        <x:f t="shared" si="165">IF($A70="","",IF($HH70="","N/A",IF($HH70=1,"DEFENSIV",IF($HH70=2,"PRUDENT",IF($HH70=3,"MODERAT",IF($HH70=4,"RIDICAT","WATCH / NO BET"))))))</x:f>
      </x:c>
      <x:c r="HJ70" s="177" t="str">
        <x:f t="shared" si="166">IF($A70="","","Data="&amp;$GY70&amp;"; DQ="&amp;TEXT($GZ70,"0.0")&amp;"; ZM="&amp;IF($HA70="","n/a",TEXT($HA70,"0.0"))&amp;"; Context="&amp;TEXT($HB70,"0.0")&amp;"; Uncertainty="&amp;TEXT($HC70,"0.0")&amp;"; Compound="&amp;TEXT($HD70,"0.0")&amp;"; Risk Score="&amp;IF($HE70="","n/a",TEXT($HE70,"0.0"))&amp;"; Base="&amp;IF($HF70="","n/a",$HF70)&amp;"; G0="&amp;$HG70&amp;"; Final="&amp;$HH70&amp;". Cota, EV si lineup sunt informative si nu intra in recomandare.")</x:f>
      </x:c>
      <x:c r="HK70" s="174" t="str">
        <x:f t="shared" si="167">IF($A70="","",$HI70)</x:f>
      </x:c>
    </x:row>
    <x:row r="71" ht="24" customHeight="1">
      <x:c r="A71" s="58"/>
      <x:c r="B71" s="24"/>
      <x:c r="C71" s="59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18"/>
      <x:c r="O71" s="18"/>
      <x:c r="P71" s="24"/>
      <x:c r="Q71" s="24"/>
      <x:c r="R71" s="24"/>
      <x:c r="S71" s="24"/>
      <x:c r="T71" s="24"/>
      <x:c r="U71" s="18"/>
      <x:c r="V71" s="18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24"/>
      <x:c r="AH71" s="24"/>
      <x:c r="AI71" s="18"/>
      <x:c r="AJ71" s="24"/>
      <x:c r="AK71" s="24"/>
      <x:c r="AL71" s="24"/>
      <x:c r="AM71" s="18"/>
      <x:c r="AN71" s="24"/>
      <x:c r="AO71" s="60"/>
      <x:c r="AP71" s="60"/>
      <x:c r="AQ71" s="60"/>
      <x:c r="AR71" s="60"/>
      <x:c r="AS71" s="60"/>
      <x:c r="AT71" s="24"/>
      <x:c r="AU71" s="24"/>
      <x:c r="AV71" s="24"/>
      <x:c r="AW71" s="24"/>
      <x:c r="AX71" s="24"/>
      <x:c r="AY71" s="24"/>
      <x:c r="AZ71" s="24"/>
      <x:c r="BA71" s="24"/>
      <x:c r="BB71" s="24"/>
      <x:c r="BC71" s="24"/>
      <x:c r="BD71" s="24"/>
      <x:c r="BE71" s="24"/>
      <x:c r="BF71" s="24"/>
      <x:c r="BG71" s="24"/>
      <x:c r="BH71" s="61"/>
      <x:c r="BI71" s="61"/>
      <x:c r="BJ71" s="62" t="str">
        <x:f>IF($A71="","",SQRT((($I71*IF($J71="",$AJ71,$J71)+'Setari model'!$B$30*$AJ71)/($I71+'Setari model'!$B$30))*(($P71*IF($R71="",$AJ71,$R71)+'Setari model'!$B$30*$AJ71)/($P71+'Setari model'!$B$30)))+SQRT((($P71*IF($Q71="",$AK71,$Q71)+'Setari model'!$B$30*$AK71)/($P71+'Setari model'!$B$30))*(($I71*IF($K71="",$AK71,$K71)+'Setari model'!$B$30*$AK71)/($I71+'Setari model'!$B$30))))</x:f>
      </x:c>
      <x:c r="BK71" s="62" t="str">
        <x:f>IF($A71="","",SQRT((($I71*IF($L71="",IF($J71="",$AJ71,$J71),$L71)+'Setari model'!$B$30*$AJ71)/($I71+'Setari model'!$B$30))*(($P71*IF($T71="",IF($R71="",$AJ71,$R71),$T71)+'Setari model'!$B$30*$AJ71)/($P71+'Setari model'!$B$30)))+SQRT((($P71*IF($S71="",IF($Q71="",$AK71,$Q71),$S71)+'Setari model'!$B$30*$AK71)/($P71+'Setari model'!$B$30))*(($I71*IF($M71="",IF($K71="",$AK71,$K71),$M71)+'Setari model'!$B$30*$AK71)/($I71+'Setari model'!$B$30))))</x:f>
      </x:c>
      <x:c r="BL71" s="62" t="str">
        <x:f>IF($A71="","",SQRT((($W71*IF($X71="",$AL71/2,$X71)+'Setari model'!$B$31*$AL71/2)/($W71+'Setari model'!$B$31))*(($AB71*IF($AD71="",$AL71/2,$AD71)+'Setari model'!$B$31*$AL71/2)/($AB71+'Setari model'!$B$31)))+SQRT((($AB71*IF($AC71="",$AL71/2,$AC71)+'Setari model'!$B$31*$AL71/2)/($AB71+'Setari model'!$B$31))*(($W71*IF($Y71="",$AL71/2,$Y71)+'Setari model'!$B$31*$AL71/2)/($W71+'Setari model'!$B$31))))</x:f>
      </x:c>
      <x:c r="BM71" s="62" t="str">
        <x:f>IF($A71="","",SQRT((($W71*IF($Z71="",IF($X71="",$AL71/2,$X71),$Z71)+'Setari model'!$B$31*$AL71/2)/($W71+'Setari model'!$B$31))*(($AB71*IF($AF71="",IF($AD71="",$AL71/2,$AD71),$AF71)+'Setari model'!$B$31*$AL71/2)/($AB71+'Setari model'!$B$31)))+SQRT((($AB71*IF($AE71="",IF($AC71="",$AL71/2,$AC71),$AE71)+'Setari model'!$B$31*$AL71/2)/($AB71+'Setari model'!$B$31))*(($W71*IF($AA71="",IF($Y71="",$AL71/2,$Y71),$AA71)+'Setari model'!$B$31*$AL71/2)/($W71+'Setari model'!$B$31))))</x:f>
      </x:c>
      <x:c r="BN71" s="62" t="str">
        <x:f t="shared" si="112">IF($A71="","",IF($AG71&gt;0,($AG71*IF($AH71="",$AL71,$AH71)+5*$AL71)/($AG71+5),$AL71))</x:f>
      </x:c>
      <x:c r="BO71" s="63" t="str">
        <x:f>IF($A71="","",IF($AR71&gt;1,IF($AS71&gt;1,(1/$AR71)/((1/$AR71+1/$AS71)),MIN(0.995,(1/$AR71)/(1+'Setari model'!$B$32))),1-EXP(-$AL71)))</x:f>
      </x:c>
      <x:c r="BP71" s="62" t="str">
        <x:f t="shared" si="113">IF($A71="","",-LN(1-$BO71))</x:f>
      </x:c>
      <x:c r="BQ71" s="62" t="str">
        <x:f>IF($A71="","",$BJ71*INDEX('Setari model'!$B$5:$B$11,MATCH($E71,'Setari model'!$A$5:$A$11,0))+$BK71*INDEX('Setari model'!$C$5:$C$11,MATCH($E71,'Setari model'!$A$5:$A$11,0))+$BL71*INDEX('Setari model'!$D$5:$D$11,MATCH($E71,'Setari model'!$A$5:$A$11,0))+$BM71*INDEX('Setari model'!$E$5:$E$11,MATCH($E71,'Setari model'!$A$5:$A$11,0))+$BN71*INDEX('Setari model'!$F$5:$F$11,MATCH($E71,'Setari model'!$A$5:$A$11,0))+$BP71*INDEX('Setari model'!$G$5:$G$11,MATCH($E71,'Setari model'!$A$5:$A$11,0)))</x:f>
      </x:c>
      <x:c r="BR71" s="64" t="str">
        <x:f>IF($A71="","",MAX('Setari model'!$B$53,MIN('Setari model'!$B$54,1+($AV71*'Setari model'!$B$15+$AW71*'Setari model'!$B$16+$AX71*'Setari model'!$B$17+$AY71*'Setari model'!$B$18+$AZ71*'Setari model'!$B$19+$BA71*'Setari model'!$B$20+$BB71*'Setari model'!$B$21+$BC71*'Setari model'!$B$22+$BD71*'Setari model'!$B$23+$BE71*'Setari model'!$B$24+$BF71*'Setari model'!$B$25)*INDEX('Setari model'!$H$5:$H$11,MATCH($E71,'Setari model'!$A$5:$A$11,0)))))</x:f>
      </x:c>
      <x:c r="BS71" s="62" t="str">
        <x:f t="shared" si="114">IF($A71="","",$BQ71*$BR71)</x:f>
      </x:c>
      <x:c r="BT71" s="63" t="str">
        <x:f t="shared" si="115">IF($A71="","",EXP(-$BS71))</x:f>
      </x:c>
      <x:c r="BU71" s="65" t="str">
        <x:f>IF($A71="","",IF(OR($AM71="",$AN71=""),1,1+MIN('Setari model'!$B$33,$AN71/100*'Setari model'!$B$33)*($AM71/EXP(-$AL71)-1)))</x:f>
      </x:c>
      <x:c r="BV71" s="63" t="str">
        <x:f>IF($A71="","",MIN(0.45,MAX(0.005,(1-'Setari model'!$B$34*MIN(1,($I71+$P71)/20))*MIN(0.45,$BT71*$BU71)+'Setari model'!$B$34*MIN(1,($I71+$P71)/20)*IF(COUNT($N71,$U71)=2,SQRT(MAX(0,1-$N71)*MAX(0,1-$U71)),IF($AM71="",EXP(-$AL71),$AM71)))))</x:f>
      </x:c>
      <x:c r="BW71" s="63" t="str">
        <x:f t="shared" si="116">IF($A71="","",1-$BV71)</x:f>
      </x:c>
      <x:c r="BX71" s="62" t="str">
        <x:f t="shared" si="117">IF($A71="","",1/$BW71)</x:f>
      </x:c>
      <x:c r="BY71" s="63" t="str">
        <x:f t="shared" si="118">IF($A71="","",$BO71)</x:f>
      </x:c>
      <x:c r="BZ71" s="63" t="str">
        <x:f t="shared" si="119">IF($A71="","",$BW71-$BY71)</x:f>
      </x:c>
      <x:c r="CA71" s="63" t="str">
        <x:f t="shared" si="120">IF($A71="","",IF($AR71&gt;1,$BW71*$AR71-1,""))</x:f>
      </x:c>
      <x:c r="CB71" s="63" t="str">
        <x:f>IF($A71="","",MIN(1,COUNT($I71:$AN71,$AR71:$BG71)/'Setari model'!$B$46))</x:f>
      </x:c>
      <x:c r="CC71" s="63" t="str">
        <x:f t="shared" si="121">IF($A71="","",0.25*MIN(1,$I71/10)+0.25*MIN(1,$P71/10)+0.15*MIN(1,$W71/5)+0.15*MIN(1,$AB71/5)+0.1*MIN(1,$AG71/5)+0.1*MIN(1,$AN71/100))</x:f>
      </x:c>
      <x:c r="CD71" s="63" t="str">
        <x:f>IF($A71="","",MAX(0,1-(MAX($BJ71:$BN71,$BP71)-MIN($BJ71:$BN71,$BP71))/(AVERAGE($BJ71:$BN71,$BP71)*'Setari model'!$B$45)))</x:f>
      </x:c>
      <x:c r="CE71" s="66" t="str">
        <x:f>IF($A71="","",MAX(0,MIN(100,100*INDEX('Setari model'!$I$5:$I$11,MATCH($E71,'Setari model'!$A$5:$A$11,0))*('Setari model'!$B$47*$CB71+'Setari model'!$B$48*$CC71+'Setari model'!$B$49*$CD71+'Setari model'!$B$50*$AT71/5+'Setari model'!$B$51*$AU71)-100*'Setari model'!$B$52*$BG71)))</x:f>
      </x:c>
      <x:c r="CF71" s="65" t="str">
        <x:f t="shared" si="122">IF($A71="","",IF(OR($AT71&lt;3,$BG71&gt;=2,$CB71&lt;0.55,$CC71&lt;0.4),"RIDICAT",IF(OR($AU71=0,$CD71&lt;0.45,$BR71&lt;0.9),"MEDIU","SCĂZUT")))</x:f>
      </x:c>
      <x:c r="CG71" s="65" t="str">
        <x:f>IF($A71="","",IF($AR71&gt;1,IF(AND($BW71&gt;= 'Setari model'!$B$35,$CE71&gt;=100*'Setari model'!$B$36,$BZ71&gt;= 'Setari model'!$B$37,$CA71&gt;= 'Setari model'!$B$38,$CF71&lt;&gt;"RIDICAT"),"PARIU RECOMANDAT",IF(AND($BW71&gt;= 'Setari model'!$B$39,$CE71&gt;=100*'Setari model'!$B$40,$BZ71&gt;= 'Setari model'!$B$41,$CA71&gt;=0,$CF71&lt;&gt;"RIDICAT"),"RECOMANDAT CU PRUDENȚĂ",IF(AND($BW71&gt;= 'Setari model'!$B$42,$CE71&gt;=100*'Setari model'!$B$43),"ANALIZĂ NECONCLUDENTĂ","PARIU EVITAT"))),IF(AND($BW71&gt;= 'Setari model'!$B$35,$CE71&gt;=100*'Setari model'!$B$36,$CF71&lt;&gt;"RIDICAT"),"FAVORABIL STATISTIC – VERIFICĂ COTA",IF(AND($BW71&gt;= 'Setari model'!$B$42,$CE71&gt;=100*'Setari model'!$B$43),"ANALIZĂ NECONCLUDENTĂ","PARIU EVITAT"))))</x:f>
      </x:c>
      <x:c r="CH71" s="67" t="str">
        <x:f t="shared" si="123">IF($A71="","","P(O0,5)="&amp;TEXT($BW71,"0.0%")&amp;"; λ ajustat="&amp;TEXT($BS71,"0.00")&amp;"; Confidence="&amp;TEXT($CE71,"0")&amp;"/100; Edge="&amp;TEXT($BZ71,"0.0%")&amp;"; risc="&amp;$CF71&amp;". "&amp;$BH71)</x:f>
      </x:c>
      <x:c r="CI71" s="68" t="str">
        <x:f t="shared" si="124">IF($A71="","",$BI71)</x:f>
      </x:c>
      <x:c r="CJ71" s="112"/>
      <x:c r="CK71" s="112"/>
      <x:c r="CL71" s="112"/>
      <x:c r="CM71" s="112"/>
      <x:c r="CN71" s="112"/>
      <x:c r="CO71" s="112"/>
      <x:c r="CP71" s="112"/>
      <x:c r="CQ71" s="112"/>
      <x:c r="CR71" s="112"/>
      <x:c r="CS71" s="112"/>
      <x:c r="CT71" s="112"/>
      <x:c r="CU71" s="112"/>
      <x:c r="CV71" s="112"/>
      <x:c r="CW71" s="112"/>
      <x:c r="CX71" s="112"/>
      <x:c r="CY71" s="112"/>
      <x:c r="CZ71" s="112"/>
      <x:c r="DA71" s="112"/>
      <x:c r="DB71" s="112"/>
      <x:c r="DC71" s="114"/>
      <x:c r="DD71" s="114"/>
      <x:c r="DE71" s="112" t="s">
        <x:v>266</x:v>
      </x:c>
      <x:c r="DF71" s="112"/>
      <x:c r="DG71" s="112"/>
      <x:c r="DH71" s="112"/>
      <x:c r="DI71" s="112"/>
      <x:c r="DJ71" s="112"/>
      <x:c r="DK71" s="112"/>
      <x:c r="DL71" s="112"/>
      <x:c r="DM71" s="112"/>
      <x:c r="DN71" s="112"/>
      <x:c r="DO71" s="112"/>
      <x:c r="DP71" s="112"/>
      <x:c r="DQ71" s="114"/>
      <x:c r="DR71" s="112">
        <x:v>1</x:v>
      </x:c>
      <x:c r="DS71" s="116">
        <x:v>0</x:v>
      </x:c>
      <x:c r="DT71" s="120"/>
      <x:c r="DU71" s="116">
        <x:v>0.02</x:v>
      </x:c>
      <x:c r="DV71" s="116">
        <x:v>0.25</x:v>
      </x:c>
      <x:c r="DW71" s="118" t="str">
        <x:f>IF($A71="","",MAX('Setari model'!$B$71,MIN('Setari model'!$B$72,1+0.08*(IFERROR(AVERAGE($CM71:$CN71)/'Setari model'!$B$66,1)-1)+0.08*(IFERROR(AVERAGE($CO71:$CP71)/'Setari model'!$B$67,1)-1)+0.06*(IFERROR(AVERAGE($CQ71:$CR71)/'Setari model'!$B$68,1)-1)+0.04*(IFERROR(AVERAGE($CS71:$CT71)/'Setari model'!$B$69,1)-1)+0.04*(IFERROR(AVERAGE($CU71:$CV71)/'Setari model'!$B$70,1)-1)-'Setari model'!$B$73*IFERROR(AVERAGE($CW71:$CX71),0))))</x:f>
      </x:c>
      <x:c r="DX71" s="118" t="str">
        <x:f>IF($A71="","",1+'Setari model'!$B$62*MAX(IF(OR($CK71=1,$CL71=1),1,0),IF(AND($CJ71&lt;&gt;"",$CJ71&lt;=1),1,0))+'Setari model'!$B$63*IF(AND($CJ71&gt;1,$CJ71&lt;=3),1,0))</x:f>
      </x:c>
      <x:c r="DY71" s="118" t="str">
        <x:f>IF($A71="","",1+'Setari model'!$B$74*(IF($CY71="",0,IF($CY71=0,1,0))+IF($CZ71="",0,IF($CZ71=0,1,0)))+'Setari model'!$B$75*(IF($DA71="",0,IF($DA71=0,1,0))+IF($DB71="",0,IF($DB71=0,1,0))))</x:f>
      </x:c>
      <x:c r="DZ71" s="117" t="str">
        <x:f>IF($A71="","",MIN(0.6,MAX(0.002,(((1-'Setari model'!$B$34*MIN(1,($I71+$P71)/20))*$BT71+'Setari model'!$B$34*MIN(1,($I71+$P71)/20)*IF(COUNT($N71,$U71)=2,SQRT(MAX(0,1-$N71)*MAX(0,1-$U71)),$BT71))*(1-'Setari model'!$B$65*MIN(1,IF($AN71="",0,$AN71/'Setari model'!$B$64)))+'Setari model'!$B$65*MIN(1,IF($AN71="",0,$AN71/'Setari model'!$B$64))*IF($AM71="",$BT71,$AM71))*$DX71*$DY71/$DW71)))</x:f>
      </x:c>
      <x:c r="EA71" s="117" t="str">
        <x:f>IF($A71="","",MIN(1-$DZ71,IF(OR(MIN($I71,$P71)&lt;'Setari model'!$B$58,$CK71=1,$CL71=1,AND($CJ71&lt;&gt;"",$CJ71&lt;=1)),'Setari model'!$B$59,IF(AND($AU71=1,$AR71&gt;1,COUNT($CY71:$DB71)=4),'Setari model'!$B$61,'Setari model'!$B$60))))</x:f>
      </x:c>
      <x:c r="EB71" s="115" t="str">
        <x:f t="shared" si="125">IF($A71="","",1/$EA71)</x:f>
      </x:c>
      <x:c r="EC71" s="117" t="str">
        <x:f t="shared" si="126">IF($A71="","",IF($AR71&gt;1,IF($AS71&gt;1,(1/$AR71)/((1/$AR71)+(1/$AS71)),1/$AR71),""))</x:f>
      </x:c>
      <x:c r="ED71" s="117" t="str">
        <x:f t="shared" si="127">IF($A71="","",IF($EC71="","",$EA71-$EC71))</x:f>
      </x:c>
      <x:c r="EE71" s="117" t="str">
        <x:f t="shared" si="128">""</x:f>
      </x:c>
      <x:c r="EF71" s="119" t="str">
        <x:f>IF($A71="","",MAX(0,MIN(100,$CE71-200*MAX(0,$EG71-'Setari model'!$B$77)-IF($AU71&lt;&gt;1,10,0)-IF(COUNT($CY71:$DB71)&lt;4,4,0))))</x:f>
      </x:c>
      <x:c r="EG71" s="117" t="str">
        <x:f>IF($A71="","",'Setari model'!$B$77+IF(MIN($I71,$P71)&lt;'Setari model'!$B$58,0.03,0)+IF(OR($CK71=1,$CL71=1,AND($CJ71&lt;&gt;"",$CJ71&lt;=1)),0.03,0)+IF($AG71=0,0.02,0)+0.03*(1-MIN(1,COUNT($CM71:$CV71)/10))+0.03*(1-MIN(1,IF($AN71="",0,$AN71/'Setari model'!$B$64)))+IF($AR71&lt;=1,0.02,0))</x:f>
      </x:c>
      <x:c r="EH71" s="113" t="str">
        <x:f>IF($A71="","",IF(OR(MIN($I71,$P71)&lt;'Setari model'!$B$58,$CK71=1,$CL71=1,AND($CJ71&lt;&gt;"",$CJ71&lt;=1)),"92% – early/regim",IF(AND($AU71=1,$AR71&gt;1,COUNT($CY71:$DB71)=4),"94% – confirmat","93% – standard")))</x:f>
      </x:c>
      <x:c r="EI71" s="113" t="str">
        <x:f t="shared" si="129">IF($A71="","",IF(AND($EA71&gt;0.9,$AU71&lt;&gt;1),"WAIT XI – HIGH P",IF(AND($EA71&gt;0.9,COUNT($CY71:$DB71)&lt;4),"WAIT DATE CHEIE – HIGH P",IF($EP71&lt;&gt;"DA","NU – PORTOFOLIU","DA"))))</x:f>
      </x:c>
      <x:c r="EJ71" s="117" t="str">
        <x:f t="shared" si="130">IF($A71="","",IF($DE71&lt;&gt;"Live 20-30","",IF(SUM($DG71:$DH71)&gt;0,1,IF($EU71="","",1-MIN(0.95,MAX(0.001,EXP(-$EU71)*$DX71*$DY71/$DW71))))))</x:f>
      </x:c>
      <x:c r="EK71" s="117" t="str">
        <x:f t="shared" si="131">""</x:f>
      </x:c>
      <x:c r="EL71" s="113" t="str">
        <x:f>IF($A71="","",IF($DE71="Live 20-30",IF(SUM($DG71:$DH71)&gt;0,"EVENIMENT ÎNDEPLINIT",IF(OR($DF71="",COUNT($DI71:$DN71)&lt;4),"LIVE – WATCH",IF($EJ71&gt;=0.75,"LIVE – FEZABIL TEHNIC","LIVE – NO BET"))),IF($EI71&lt;&gt;"DA","WATCH / NO BET",IF(AND($EA71&gt;=INDEX('Setari model'!$B$35:$B$40,1),$EF71&gt;=100*'Setari model'!$B$76),"PARIU RECOMANDAT",IF(AND($EA71&gt;=INDEX('Setari model'!$B$35:$B$40,5),$EF71&gt;=100*'Setari model'!$B$40),"WATCH – APROAPE DE PRAG","PARIU EVITAT")))))</x:f>
      </x:c>
      <x:c r="EM71" s="113" t="str">
        <x:f t="shared" si="132">IF($A71="","",IF($DE71="Live 20-30",IF(SUM($DG71:$DH71)&gt;0,"Gol deja marcat.",IF($DF71="","Minut live lipsă.",IF(COUNT($DI71:$DN71)&lt;4,"Lipsesc xG/SOT/big chances live.",IF($EJ71&lt;0.75,"P live sub prag.","Semnal live tehnic complet; EV ignorat.")))),IF($EI71&lt;&gt;"DA",$EI71,IF($EF71&lt;75,"Confidence sub 75.",IF($EA71&lt;0.92,"P sub 92%.","G0/Zero-Mass + confidence trecute; EV ignorat.")))))</x:f>
      </x:c>
      <x:c r="EN71" s="117" t="str">
        <x:f>IF($A71="","",IF(OR($EL71="PARIU RECOMANDAT",$EL71="LIVE – FEZABIL"),MIN(IF($DU71&gt;0,$DU71,'Setari model'!$B$81)/MAX(1,$DR71),IF($DV71&gt;0,$DV71,'Setari model'!$B$80)*MAX(0,((IF($DE71="Live 20-30",$EJ71,$EA71)*IF($DE71="Live 20-30",$DQ71,$AR71)-1)/(IF($DE71="Live 20-30",$DQ71,$AR71)-1)))),0))</x:f>
      </x:c>
      <x:c r="EO71" s="121" t="str">
        <x:f t="shared" si="133">IF($A71="","",IF(AND($EN71&gt;0,$DT71&gt;0),$EN71*$DT71,""))</x:f>
      </x:c>
      <x:c r="EP71" s="113" t="str">
        <x:f>IF($A71="","",IF(OR($DR71&lt;1,$DR71&gt;'Setari model'!$B$78),"NU – 1–5 selecții",IF($DS71&gt;'Setari model'!$B$79,"NU – corelație", "DA")))</x:f>
      </x:c>
      <x:c r="EQ71" s="117" t="str">
        <x:f t="shared" si="134">IF($A71="","",IF(AND($DC71&gt;1,$DD71&gt;1),$DC71/$DD71-1,""))</x:f>
      </x:c>
      <x:c r="ER71" s="113" t="str">
        <x:f t="shared" si="135">IF($A71="","","P v2="&amp;TEXT($EA71,"0.0%")&amp;" ±"&amp;TEXT($EG71,"0.0%")&amp;"; P0 ZIP="&amp;TEXT($DZ71,"0.0%")&amp;"; Confidence="&amp;TEXT($EF71,"0")&amp;"/100; piață reală="&amp;IF($EC71="","NU","DA")&amp;"; EV="&amp;IF($EE71="","n/a",TEXT($EE71,"0.0%"))&amp;"; gate="&amp;$EI71&amp;"; verdict="&amp;$EL71&amp;". "&amp;$EM71)</x:f>
      </x:c>
      <x:c r="ES71" s="119" t="str">
        <x:f>IF($A71="","",'Setari model'!$B$82)</x:f>
      </x:c>
      <x:c r="ET71" s="118" t="str">
        <x:f>IF($A71="","",'Setari model'!$B$83)</x:f>
      </x:c>
      <x:c r="EU71" s="115" t="str">
        <x:f t="shared" si="136">IF(OR($A71="",$DE71&lt;&gt;"Live 20-30",$DF71="",$DF71&lt;$ES71,$DF71&gt;=90),"",MAX(0.05,MIN($BS71*$ET71,$BS71*(90-$DF71)/90+0.35*($DI71+$DJ71)+0.06*($DK71+$DL71)+0.15*($DM71+$DN71)+0.1*(MAX($DO71,$DP71)-MIN($DO71,$DP71)))))</x:f>
      </x:c>
      <x:c r="EV71" s="132"/>
      <x:c r="EW71" s="132"/>
      <x:c r="EX71" s="132"/>
      <x:c r="EY71" s="132"/>
      <x:c r="EZ71" s="132"/>
      <x:c r="FA71" s="132"/>
      <x:c r="FB71" s="247"/>
      <x:c r="FC71" s="134" t="str">
        <x:f t="shared" si="137">IF($A71="","",IF(OR($J71="",$L71="",$L71&lt;=0),"",MAX(0.5,MIN(1.5,$J71/$L71))))</x:f>
      </x:c>
      <x:c r="FD71" s="134" t="str">
        <x:f t="shared" si="138">IF($A71="","",IF(OR($Q71="",$S71="",$S71&lt;=0),"",MAX(0.5,MIN(1.5,$Q71/$S71))))</x:f>
      </x:c>
      <x:c r="FE71" s="134" t="str">
        <x:f>IF($A71="","",IF(COUNT($EV71:$EW71)&lt;2,"",SQRT($EV71*$EW71)/'Setari model'!$B$87))</x:f>
      </x:c>
      <x:c r="FF71" s="134" t="str">
        <x:f>IF($A71="","",IF(COUNT($O71,$V71,$EX71,$EY71)&lt;4,"",AVERAGE(SQRT($O71*$EY71),SQRT($V71*$EX71))/'Setari model'!$B$88))</x:f>
      </x:c>
      <x:c r="FG71" s="134" t="str">
        <x:f t="shared" si="139">IF($A71="","",IF(COUNT($FC71:$FD71)&lt;2,"",MAX(0,1-AVERAGE($FC71:$FD71))))</x:f>
      </x:c>
      <x:c r="FH71" s="134" t="str">
        <x:f>IF($A71="","",IF(COUNT($EZ71:$FA71)&lt;2,"",'Setari model'!$B$94*AVERAGE($EZ71:$FA71)/'Setari model'!$B$89))</x:f>
      </x:c>
      <x:c r="FI71" s="134" t="str">
        <x:f>IF($A71="","",IF(COUNT($FE71:$FH71)&lt;4,"",MAX('Setari model'!$B$97,MIN('Setari model'!$B$98,1+'Setari model'!$B$90*($FE71-1)+'Setari model'!$B$91*($FF71-1)+'Setari model'!$B$92*$FG71+'Setari model'!$B$93*($FH71-1)))))</x:f>
      </x:c>
      <x:c r="FJ71" s="133" t="str">
        <x:f>IF($A71="","",IF($FI71="","",MIN('Setari model'!$B$101,MAX(0.002,$DZ71*$FI71))))</x:f>
      </x:c>
      <x:c r="FK71" s="131" t="str">
        <x:f t="shared" si="140">IF($A71="","",IF(AND(COUNT($EV71:$FA71)=6,COUNT($O71,$V71,$FC71,$FD71)=4),"DA","NU"))</x:f>
      </x:c>
      <x:c r="FL71" s="131" t="str">
        <x:f>IF($A71="","",IF($FK71&lt;&gt;"DA","NEDETERMINAT",IF($FI71&lt;='Setari model'!$B$99,"SCĂZUT",IF($FI71&lt;='Setari model'!$B$100,"MEDIU","RIDICAT"))))</x:f>
      </x:c>
      <x:c r="FM71" s="131" t="str">
        <x:f>IF($A71="","",IF(AND($AR71&gt;1,$EC71&gt;='Setari model'!$B$106),"DA","NU"))</x:f>
      </x:c>
      <x:c r="FN71" s="131" t="str">
        <x:f t="shared" si="141">IF($A71="","",IF(AND($AU71=1,COUNT($CY71:$DB71)=4),"DA","NU"))</x:f>
      </x:c>
      <x:c r="FO71" s="133" t="str">
        <x:f>IF($A71="","",IF(OR($FK71&lt;&gt;"DA",$FL71="RIDICAT"),'Setari model'!$B$102,IF($FL71="MEDIU",'Setari model'!$B$103,IF(AND($FM71="DA",$FN71="DA"),'Setari model'!$B$105,'Setari model'!$B$104))))</x:f>
      </x:c>
      <x:c r="FP71" s="133" t="str">
        <x:f t="shared" si="142">IF($A71="","",IF($FJ71="","",MIN(1-$FJ71,$FO71)))</x:f>
      </x:c>
      <x:c r="FQ71" s="135" t="str">
        <x:f t="shared" si="143">IF($A71="","",IF($FP71="","",IF($FP71&gt;0,1/$FP71,"")))</x:f>
      </x:c>
      <x:c r="FR71" s="133" t="str">
        <x:f t="shared" si="144">IF($A71="","",IF($EC71="","",$FP71-$EC71))</x:f>
      </x:c>
      <x:c r="FS71" s="133" t="str">
        <x:f t="shared" si="145">IF($A71="","",IF($AR71&gt;1,$FP71*$AR71-1,""))</x:f>
      </x:c>
      <x:c r="FT71" s="136" t="str">
        <x:f>IF($A71="","",MAX(0,MIN(100,$EF71-IF($FK71&lt;&gt;"DA",'Setari model'!$B$107,0)-IF($FL71="MEDIU",'Setari model'!$B$108,0)-IF($FL71="RIDICAT",'Setari model'!$B$109,0))))</x:f>
      </x:c>
      <x:c r="FU71" s="131" t="str">
        <x:f t="shared" si="146">IF($A71="","",IF($AR71&lt;=1,"NU – LIPSEȘTE COTA REALĂ",IF($FK71&lt;&gt;"DA","NU – ZERO-RISK INCOMPLET",IF($FL71&lt;&gt;"SCĂZUT","NU – RISC 0-0 "&amp;$FL71,IF($FN71&lt;&gt;"DA","NU – LINEUP NECONFIRMAT",IF($FM71&lt;&gt;"DA","NU – PIAȚĂ NECONFIRMATĂ",IF($EP71&lt;&gt;"DA","NU – PORTOFOLIU","DA")))))))</x:f>
      </x:c>
      <x:c r="FV71" s="131" t="str">
        <x:f>IF($A71="","",IF($FU71&lt;&gt;"DA","WATCH / NO BET",IF(AND($FP71&gt;='Setari model'!$B$35,$FT71&gt;=100*'Setari model'!$B$76,$FS71&gt;0),"PARIU RECOMANDAT",IF(AND($FP71&gt;='Setari model'!$B$39,$FT71&gt;=100*'Setari model'!$B$40,$FS71&gt;0),"WATCH – APROAPE DE PRAG","PARIU EVITAT"))))</x:f>
      </x:c>
      <x:c r="FW71" s="131" t="str">
        <x:f t="shared" si="147">IF($A71="","",IF($FU71&lt;&gt;"DA",$FU71,IF($FT71&lt;75,"Confidence v3 sub 75.",IF($FP71&lt;0.92,"P v3 sub 92%.",IF($FS71&lt;=0,"EV v3 nepozitiv.","P0 v3, lineup și piață confirmate.")))))</x:f>
      </x:c>
      <x:c r="FX71" s="131" t="str">
        <x:f t="shared" si="148">IF($A71="","","P v3="&amp;TEXT($FP71,"0.0%")&amp;"; P0 v3="&amp;TEXT($FJ71,"0.0%")&amp;"; factor zero="&amp;IF($FI71="","n/a",TEXT($FI71,"0.00x"))&amp;" ("&amp;$FL71&amp;"); cap="&amp;TEXT($FO71,"0.0%")&amp;"; Confidence="&amp;TEXT($FT71,"0")&amp;"/100; lineup="&amp;$FN71&amp;"; piață="&amp;$FM71&amp;"; EV="&amp;IF($FS71="","n/a",TEXT($FS71,"0.0%"))&amp;"; gate="&amp;$FU71&amp;"; verdict="&amp;$FV71&amp;". "&amp;$FW71)</x:f>
      </x:c>
      <x:c r="FY71" s="159"/>
      <x:c r="FZ71" s="159"/>
      <x:c r="GA71" s="157"/>
      <x:c r="GB71" s="157"/>
      <x:c r="GC71" s="161" t="str">
        <x:f t="shared" si="149">IF($A71="","",IF(OR($X71="",$Z71="",$Z71&lt;=0),"",MAX(0.5,MIN(1.5,$X71/$Z71))))</x:f>
      </x:c>
      <x:c r="GD71" s="161" t="str">
        <x:f t="shared" si="150">IF($A71="","",IF(OR($AC71="",$AE71="",$AE71&lt;=0),"",MAX(0.5,MIN(1.5,$AC71/$AE71))))</x:f>
      </x:c>
      <x:c r="GE71" s="162" t="str">
        <x:f t="shared" si="151">IF($A71="","",IF(COUNT($Z71,$AE71)&lt;2,"",AVERAGE($Z71,$AE71)))</x:f>
      </x:c>
      <x:c r="GF71" s="158" t="str">
        <x:f>IF($A71="","",IF(COUNT($FY71:$FZ71)&lt;2,"NEDETERMINAT",IF(AND($FY71&gt;='Setari model'!$B$113,$FZ71&gt;='Setari model'!$B$113),"DA","NU")))</x:f>
      </x:c>
      <x:c r="GG71" s="158" t="str">
        <x:f>IF($A71="","",IF(COUNT($FY71:$FZ71,$EX71:$EY71)&lt;4,"NEDETERMINAT",IF(OR(AND($FY71&gt;='Setari model'!$B$113,$EY71&gt;='Setari model'!$B$114),AND($FZ71&gt;='Setari model'!$B$113,$EX71&gt;='Setari model'!$B$114)),"DA","NU")))</x:f>
      </x:c>
      <x:c r="GH71" s="158" t="str">
        <x:f>IF($A71="","",IF(COUNT($BJ71:$BN71,$GC71:$GE71)&lt;8,"NEDETERMINAT",IF(AND((($BJ71*INDEX('Setari model'!$B$5:$B$11,MATCH($E71,'Setari model'!$A$5:$A$11,0))+$BK71*INDEX('Setari model'!$C$5:$C$11,MATCH($E71,'Setari model'!$A$5:$A$11,0))+$BL71*INDEX('Setari model'!$D$5:$D$11,MATCH($E71,'Setari model'!$A$5:$A$11,0))+$BM71*INDEX('Setari model'!$E$5:$E$11,MATCH($E71,'Setari model'!$A$5:$A$11,0))+$BN71*INDEX('Setari model'!$F$5:$F$11,MATCH($E71,'Setari model'!$A$5:$A$11,0)))/(INDEX('Setari model'!$B$5:$B$11,MATCH($E71,'Setari model'!$A$5:$A$11,0))+INDEX('Setari model'!$C$5:$C$11,MATCH($E71,'Setari model'!$A$5:$A$11,0))+INDEX('Setari model'!$D$5:$D$11,MATCH($E71,'Setari model'!$A$5:$A$11,0))+INDEX('Setari model'!$E$5:$E$11,MATCH($E71,'Setari model'!$A$5:$A$11,0))+INDEX('Setari model'!$F$5:$F$11,MATCH($E71,'Setari model'!$A$5:$A$11,0))))*$BR71&gt;='Setari model'!$B$115,(($BJ71*INDEX('Setari model'!$B$5:$B$11,MATCH($E71,'Setari model'!$A$5:$A$11,0))+$BK71*INDEX('Setari model'!$C$5:$C$11,MATCH($E71,'Setari model'!$A$5:$A$11,0))+$BL71*INDEX('Setari model'!$D$5:$D$11,MATCH($E71,'Setari model'!$A$5:$A$11,0))+$BM71*INDEX('Setari model'!$E$5:$E$11,MATCH($E71,'Setari model'!$A$5:$A$11,0))+$BN71*INDEX('Setari model'!$F$5:$F$11,MATCH($E71,'Setari model'!$A$5:$A$11,0)))/(INDEX('Setari model'!$B$5:$B$11,MATCH($E71,'Setari model'!$A$5:$A$11,0))+INDEX('Setari model'!$C$5:$C$11,MATCH($E71,'Setari model'!$A$5:$A$11,0))+INDEX('Setari model'!$D$5:$D$11,MATCH($E71,'Setari model'!$A$5:$A$11,0))+INDEX('Setari model'!$E$5:$E$11,MATCH($E71,'Setari model'!$A$5:$A$11,0))+INDEX('Setari model'!$F$5:$F$11,MATCH($E71,'Setari model'!$A$5:$A$11,0))))*$BR71&lt;='Setari model'!$B$116,AVERAGE($GC71:$GD71)&lt;='Setari model'!$B$117,$GE71&gt;='Setari model'!$B$118),"DA","NU")))</x:f>
      </x:c>
      <x:c r="GI71" s="158" t="str">
        <x:f>IF($A71="","",IF(COUNT($W71,$AB71,$GA71:$GB71)&lt;4,"NEDETERMINAT",IF(AND($W71&gt;='Setari model'!$B$120,$AB71&gt;='Setari model'!$B$120,OR(IFERROR($GA71/$W71,0)&gt;='Setari model'!$B$119,IFERROR($GB71/$AB71,0)&gt;='Setari model'!$B$119)),"DA","NU")))</x:f>
      </x:c>
      <x:c r="GJ71" s="160" t="str">
        <x:f>IF($A71="","",IF(COUNT($FY71:$GB71)&lt;4,"",IF($GH71&lt;&gt;"DA",0,'Setari model'!$B$121*IF($GF71="DA",1,0)+'Setari model'!$B$122*IF($GG71="DA",1,0)+'Setari model'!$B$123+'Setari model'!$B$124*IF($GI71="DA",1,0))))</x:f>
      </x:c>
      <x:c r="GK71" s="161" t="str">
        <x:f>IF($A71="","",IF(COUNT($GJ71)=0,"",1+'Setari model'!$B$125*$GJ71))</x:f>
      </x:c>
      <x:c r="GL71" s="160" t="str">
        <x:f>IF($A71="","",IF($GM71&lt;&gt;"DA",$FJ71,MIN('Setari model'!$B$101,MAX(0.002,$FJ71*$GK71))))</x:f>
      </x:c>
      <x:c r="GM71" s="158" t="str">
        <x:f>IF($A71="","",IF(AND($FK71="DA",COUNT($FY71:$GB71)=4,COUNT($I71,$P71,$W71,$AB71,$Z71,$AE71,$EX71,$EY71,$GC71,$GD71)=10,COUNT($BJ71:$BN71)=5),"DA","NU"))</x:f>
      </x:c>
      <x:c r="GN71" s="158" t="str">
        <x:f>IF($A71="","",IF($GM71&lt;&gt;"DA","NEDETERMINAT",IF($FI71*$GK71&lt;='Setari model'!$B$99,"SCĂZUT",IF($FI71*$GK71&lt;='Setari model'!$B$100,"MEDIU","RIDICAT"))))</x:f>
      </x:c>
      <x:c r="GO71" s="160" t="str">
        <x:f>IF($A71="","",IF(OR($GM71&lt;&gt;"DA",$GN71="RIDICAT"),'Setari model'!$B$102,IF($GN71="MEDIU",'Setari model'!$B$103,IF(AND($FM71="DA",$FN71="DA"),'Setari model'!$B$105,'Setari model'!$B$104))))</x:f>
      </x:c>
      <x:c r="GP71" s="160" t="str">
        <x:f t="shared" si="152">IF($A71="","",IF($GL71="","",MIN(1-$GL71,$GO71)))</x:f>
      </x:c>
      <x:c r="GQ71" s="162" t="str">
        <x:f t="shared" si="153">IF($A71="","",IF($GP71="","",IF($GP71&gt;0,1/$GP71,"")))</x:f>
      </x:c>
      <x:c r="GR71" s="160" t="str">
        <x:f t="shared" si="154">IF($A71="","",IF($EC71="","",$GP71-$EC71))</x:f>
      </x:c>
      <x:c r="GS71" s="160" t="str">
        <x:f t="shared" si="155">IF($A71="","",IF($AR71&gt;1,$GP71*$AR71-1,""))</x:f>
      </x:c>
      <x:c r="GT71" s="163" t="str">
        <x:f>IF($A71="","",MAX(0,MIN(100,$FT71-IF(AND($GM71&lt;&gt;"DA",$FK71="DA"),'Setari model'!$B$107,0)-'Setari model'!$B$126*IF($GJ71="",0,$GJ71))))</x:f>
      </x:c>
      <x:c r="GU71" s="158" t="str">
        <x:f t="shared" si="156">IF($A71="","",IF($AR71&lt;=1,"NU – LIPSEȘTE COTA REALĂ",IF($GM71&lt;&gt;"DA","NU – DATE LOW-CONVERSION INCOMPLETE",IF($GN71&lt;&gt;"SCĂZUT","NU – RISC 0-0 "&amp;$GN71,IF($FN71&lt;&gt;"DA","NU – LINEUP NECONFIRMAT",IF($FM71&lt;&gt;"DA","NU – PIAȚĂ NECONFIRMATĂ",IF($EP71&lt;&gt;"DA","NU – PORTOFOLIU","DA")))))))</x:f>
      </x:c>
      <x:c r="GV71" s="158" t="str">
        <x:f>IF($A71="","",IF($GU71&lt;&gt;"DA","WATCH / NO BET",IF(AND($GP71&gt;='Setari model'!$B$35,$GT71&gt;=100*'Setari model'!$B$76,$GS71&gt;0),"PARIU RECOMANDAT",IF(AND($GP71&gt;='Setari model'!$B$39,$GT71&gt;=100*'Setari model'!$B$40,$GS71&gt;0),"WATCH – APROAPE DE PRAG","PARIU EVITAT"))))</x:f>
      </x:c>
      <x:c r="GW71" s="158" t="str">
        <x:f t="shared" si="157">IF($A71="","",IF($GU71&lt;&gt;"DA",$GU71,IF($GT71&lt;75,"Confidence v5 sub 75.",IF($GP71&lt;0.92,"P v5 sub 92%.",IF($GS71&lt;=0,"EV v5 nepozitiv.",IF($GJ71&gt;0,"Low-conversion absorbit în P0; toate porțile rămân trecute.","Toate porțile v5 sunt trecute."))))))</x:f>
      </x:c>
      <x:c r="GX71" s="158" t="str">
        <x:f t="shared" si="158">IF($A71="","","P v5="&amp;TEXT($GP71,"0.0%")&amp;"; P0 v5="&amp;TEXT($GL71,"0.0%")&amp;"; low-conv="&amp;IF(COUNT($GJ71)=0,"n/a",TEXT($GJ71,"0%"))&amp;"; mult.P0="&amp;IF(COUNT($GK71)=0,"n/a",TEXT($GK71,"0.00"))&amp;"; clasă="&amp;$GN71&amp;"; cap="&amp;TEXT($GO71,"0.0%")&amp;"; Confidence="&amp;TEXT($GT71,"0")&amp;"/100; lineup="&amp;$FN71&amp;"; piață="&amp;$FM71&amp;"; EV="&amp;IF($GS71="","n/a",TEXT($GS71,"0.0%"))&amp;"; gate="&amp;$GU71&amp;"; verdict="&amp;$GV71&amp;". "&amp;$GW71)</x:f>
      </x:c>
      <x:c r="GY71" s="174" t="str">
        <x:f>IF($A71="","",IF($GM71&lt;&gt;"DA","SOURCING INCOMPLETE – REVIEW REQUIRED",IF(MIN($I71,$P71,$W71,$AB71)&lt;'Setari model'!$B$58,"SMALL SAMPLE + PRIOR / SHRINKAGE","VERIFIED / PRIOR / SHRINKAGE")))</x:f>
      </x:c>
      <x:c r="GZ71" s="175" t="str">
        <x:f t="shared" si="159">IF($A71="","",MAX(0,MIN(100,100*(1-AVERAGE(IF($GM71="DA",1,0),MIN(1,$AT71/5))))))</x:f>
      </x:c>
      <x:c r="HA71" s="175" t="str">
        <x:f>IF($A71="","",IF($GM71&lt;&gt;"DA","",MAX(0,MIN(100,100*(($FI71*$GK71)-'Setari model'!$B$97)/('Setari model'!$B$98-'Setari model'!$B$97)))))</x:f>
      </x:c>
      <x:c r="HB71" s="175" t="str">
        <x:f>IF($A71="","",MAX(0,MIN(100,100*(ABS($BR71-1)/MAX(1-'Setari model'!$B$53,'Setari model'!$B$54-1)+MIN(1,$BG71/2))/2)))</x:f>
      </x:c>
      <x:c r="HC71" s="175" t="str">
        <x:f t="shared" si="160">IF($A71="","",MAX(0,MIN(100,100*(1-AVERAGE($CC71,MAX(0,1-(MAX($BJ71:$BN71)-MIN($BJ71:$BN71))/(AVERAGE($BJ71:$BN71)*'Setari model'!$B$45)))))))</x:f>
      </x:c>
      <x:c r="HD71" s="175" t="str">
        <x:f t="shared" si="161">IF($A71="","",MAX(0,MIN(100,100*MAX(IF($GJ71="",0,$GJ71),MIN(1,$BG71/2)))))</x:f>
      </x:c>
      <x:c r="HE71" s="175" t="str">
        <x:f>IF($A71="","",IF(COUNT($GZ71:$HD71)&lt;5,"",$GZ71*Risk_Classification!$E$28+$HA71*Risk_Classification!$E$29+$HB71*Risk_Classification!$E$30+$HC71*Risk_Classification!$E$31+$HD71*Risk_Classification!$E$32))</x:f>
      </x:c>
      <x:c r="HF71" s="176" t="str">
        <x:f t="shared" si="162">IF($A71="","",IF($HE71="","",IF($HE71&lt;=20,1,IF($HE71&lt;=40,2,IF($HE71&lt;=60,3,IF($HE71&lt;=80,4,5))))))</x:f>
      </x:c>
      <x:c r="HG71" s="176" t="str">
        <x:f t="shared" si="163">IF($A71="","",IF($GM71="DA","PASS","FAIL – DATE CRITICE ZERO-MASS INCOMPLETE"))</x:f>
      </x:c>
      <x:c r="HH71" s="176" t="str">
        <x:f t="shared" si="164">IF($A71="","",IF($HG71&lt;&gt;"PASS",5,$HF71))</x:f>
      </x:c>
      <x:c r="HI71" s="174" t="str">
        <x:f t="shared" si="165">IF($A71="","",IF($HH71="","N/A",IF($HH71=1,"DEFENSIV",IF($HH71=2,"PRUDENT",IF($HH71=3,"MODERAT",IF($HH71=4,"RIDICAT","WATCH / NO BET"))))))</x:f>
      </x:c>
      <x:c r="HJ71" s="177" t="str">
        <x:f t="shared" si="166">IF($A71="","","Data="&amp;$GY71&amp;"; DQ="&amp;TEXT($GZ71,"0.0")&amp;"; ZM="&amp;IF($HA71="","n/a",TEXT($HA71,"0.0"))&amp;"; Context="&amp;TEXT($HB71,"0.0")&amp;"; Uncertainty="&amp;TEXT($HC71,"0.0")&amp;"; Compound="&amp;TEXT($HD71,"0.0")&amp;"; Risk Score="&amp;IF($HE71="","n/a",TEXT($HE71,"0.0"))&amp;"; Base="&amp;IF($HF71="","n/a",$HF71)&amp;"; G0="&amp;$HG71&amp;"; Final="&amp;$HH71&amp;". Cota, EV si lineup sunt informative si nu intra in recomandare.")</x:f>
      </x:c>
      <x:c r="HK71" s="174" t="str">
        <x:f t="shared" si="167">IF($A71="","",$HI71)</x:f>
      </x:c>
    </x:row>
    <x:row r="72" ht="24" customHeight="1">
      <x:c r="A72" s="58"/>
      <x:c r="B72" s="24"/>
      <x:c r="C72" s="59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18"/>
      <x:c r="O72" s="18"/>
      <x:c r="P72" s="24"/>
      <x:c r="Q72" s="24"/>
      <x:c r="R72" s="24"/>
      <x:c r="S72" s="24"/>
      <x:c r="T72" s="24"/>
      <x:c r="U72" s="18"/>
      <x:c r="V72" s="18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24"/>
      <x:c r="AH72" s="24"/>
      <x:c r="AI72" s="18"/>
      <x:c r="AJ72" s="24"/>
      <x:c r="AK72" s="24"/>
      <x:c r="AL72" s="24"/>
      <x:c r="AM72" s="18"/>
      <x:c r="AN72" s="24"/>
      <x:c r="AO72" s="60"/>
      <x:c r="AP72" s="60"/>
      <x:c r="AQ72" s="60"/>
      <x:c r="AR72" s="60"/>
      <x:c r="AS72" s="60"/>
      <x:c r="AT72" s="24"/>
      <x:c r="AU72" s="24"/>
      <x:c r="AV72" s="24"/>
      <x:c r="AW72" s="24"/>
      <x:c r="AX72" s="24"/>
      <x:c r="AY72" s="24"/>
      <x:c r="AZ72" s="24"/>
      <x:c r="BA72" s="24"/>
      <x:c r="BB72" s="24"/>
      <x:c r="BC72" s="24"/>
      <x:c r="BD72" s="24"/>
      <x:c r="BE72" s="24"/>
      <x:c r="BF72" s="24"/>
      <x:c r="BG72" s="24"/>
      <x:c r="BH72" s="61"/>
      <x:c r="BI72" s="61"/>
      <x:c r="BJ72" s="62" t="str">
        <x:f>IF($A72="","",SQRT((($I72*IF($J72="",$AJ72,$J72)+'Setari model'!$B$30*$AJ72)/($I72+'Setari model'!$B$30))*(($P72*IF($R72="",$AJ72,$R72)+'Setari model'!$B$30*$AJ72)/($P72+'Setari model'!$B$30)))+SQRT((($P72*IF($Q72="",$AK72,$Q72)+'Setari model'!$B$30*$AK72)/($P72+'Setari model'!$B$30))*(($I72*IF($K72="",$AK72,$K72)+'Setari model'!$B$30*$AK72)/($I72+'Setari model'!$B$30))))</x:f>
      </x:c>
      <x:c r="BK72" s="62" t="str">
        <x:f>IF($A72="","",SQRT((($I72*IF($L72="",IF($J72="",$AJ72,$J72),$L72)+'Setari model'!$B$30*$AJ72)/($I72+'Setari model'!$B$30))*(($P72*IF($T72="",IF($R72="",$AJ72,$R72),$T72)+'Setari model'!$B$30*$AJ72)/($P72+'Setari model'!$B$30)))+SQRT((($P72*IF($S72="",IF($Q72="",$AK72,$Q72),$S72)+'Setari model'!$B$30*$AK72)/($P72+'Setari model'!$B$30))*(($I72*IF($M72="",IF($K72="",$AK72,$K72),$M72)+'Setari model'!$B$30*$AK72)/($I72+'Setari model'!$B$30))))</x:f>
      </x:c>
      <x:c r="BL72" s="62" t="str">
        <x:f>IF($A72="","",SQRT((($W72*IF($X72="",$AL72/2,$X72)+'Setari model'!$B$31*$AL72/2)/($W72+'Setari model'!$B$31))*(($AB72*IF($AD72="",$AL72/2,$AD72)+'Setari model'!$B$31*$AL72/2)/($AB72+'Setari model'!$B$31)))+SQRT((($AB72*IF($AC72="",$AL72/2,$AC72)+'Setari model'!$B$31*$AL72/2)/($AB72+'Setari model'!$B$31))*(($W72*IF($Y72="",$AL72/2,$Y72)+'Setari model'!$B$31*$AL72/2)/($W72+'Setari model'!$B$31))))</x:f>
      </x:c>
      <x:c r="BM72" s="62" t="str">
        <x:f>IF($A72="","",SQRT((($W72*IF($Z72="",IF($X72="",$AL72/2,$X72),$Z72)+'Setari model'!$B$31*$AL72/2)/($W72+'Setari model'!$B$31))*(($AB72*IF($AF72="",IF($AD72="",$AL72/2,$AD72),$AF72)+'Setari model'!$B$31*$AL72/2)/($AB72+'Setari model'!$B$31)))+SQRT((($AB72*IF($AE72="",IF($AC72="",$AL72/2,$AC72),$AE72)+'Setari model'!$B$31*$AL72/2)/($AB72+'Setari model'!$B$31))*(($W72*IF($AA72="",IF($Y72="",$AL72/2,$Y72),$AA72)+'Setari model'!$B$31*$AL72/2)/($W72+'Setari model'!$B$31))))</x:f>
      </x:c>
      <x:c r="BN72" s="62" t="str">
        <x:f t="shared" si="112">IF($A72="","",IF($AG72&gt;0,($AG72*IF($AH72="",$AL72,$AH72)+5*$AL72)/($AG72+5),$AL72))</x:f>
      </x:c>
      <x:c r="BO72" s="63" t="str">
        <x:f>IF($A72="","",IF($AR72&gt;1,IF($AS72&gt;1,(1/$AR72)/((1/$AR72+1/$AS72)),MIN(0.995,(1/$AR72)/(1+'Setari model'!$B$32))),1-EXP(-$AL72)))</x:f>
      </x:c>
      <x:c r="BP72" s="62" t="str">
        <x:f t="shared" si="113">IF($A72="","",-LN(1-$BO72))</x:f>
      </x:c>
      <x:c r="BQ72" s="62" t="str">
        <x:f>IF($A72="","",$BJ72*INDEX('Setari model'!$B$5:$B$11,MATCH($E72,'Setari model'!$A$5:$A$11,0))+$BK72*INDEX('Setari model'!$C$5:$C$11,MATCH($E72,'Setari model'!$A$5:$A$11,0))+$BL72*INDEX('Setari model'!$D$5:$D$11,MATCH($E72,'Setari model'!$A$5:$A$11,0))+$BM72*INDEX('Setari model'!$E$5:$E$11,MATCH($E72,'Setari model'!$A$5:$A$11,0))+$BN72*INDEX('Setari model'!$F$5:$F$11,MATCH($E72,'Setari model'!$A$5:$A$11,0))+$BP72*INDEX('Setari model'!$G$5:$G$11,MATCH($E72,'Setari model'!$A$5:$A$11,0)))</x:f>
      </x:c>
      <x:c r="BR72" s="64" t="str">
        <x:f>IF($A72="","",MAX('Setari model'!$B$53,MIN('Setari model'!$B$54,1+($AV72*'Setari model'!$B$15+$AW72*'Setari model'!$B$16+$AX72*'Setari model'!$B$17+$AY72*'Setari model'!$B$18+$AZ72*'Setari model'!$B$19+$BA72*'Setari model'!$B$20+$BB72*'Setari model'!$B$21+$BC72*'Setari model'!$B$22+$BD72*'Setari model'!$B$23+$BE72*'Setari model'!$B$24+$BF72*'Setari model'!$B$25)*INDEX('Setari model'!$H$5:$H$11,MATCH($E72,'Setari model'!$A$5:$A$11,0)))))</x:f>
      </x:c>
      <x:c r="BS72" s="62" t="str">
        <x:f t="shared" si="114">IF($A72="","",$BQ72*$BR72)</x:f>
      </x:c>
      <x:c r="BT72" s="63" t="str">
        <x:f t="shared" si="115">IF($A72="","",EXP(-$BS72))</x:f>
      </x:c>
      <x:c r="BU72" s="65" t="str">
        <x:f>IF($A72="","",IF(OR($AM72="",$AN72=""),1,1+MIN('Setari model'!$B$33,$AN72/100*'Setari model'!$B$33)*($AM72/EXP(-$AL72)-1)))</x:f>
      </x:c>
      <x:c r="BV72" s="63" t="str">
        <x:f>IF($A72="","",MIN(0.45,MAX(0.005,(1-'Setari model'!$B$34*MIN(1,($I72+$P72)/20))*MIN(0.45,$BT72*$BU72)+'Setari model'!$B$34*MIN(1,($I72+$P72)/20)*IF(COUNT($N72,$U72)=2,SQRT(MAX(0,1-$N72)*MAX(0,1-$U72)),IF($AM72="",EXP(-$AL72),$AM72)))))</x:f>
      </x:c>
      <x:c r="BW72" s="63" t="str">
        <x:f t="shared" si="116">IF($A72="","",1-$BV72)</x:f>
      </x:c>
      <x:c r="BX72" s="62" t="str">
        <x:f t="shared" si="117">IF($A72="","",1/$BW72)</x:f>
      </x:c>
      <x:c r="BY72" s="63" t="str">
        <x:f t="shared" si="118">IF($A72="","",$BO72)</x:f>
      </x:c>
      <x:c r="BZ72" s="63" t="str">
        <x:f t="shared" si="119">IF($A72="","",$BW72-$BY72)</x:f>
      </x:c>
      <x:c r="CA72" s="63" t="str">
        <x:f t="shared" si="120">IF($A72="","",IF($AR72&gt;1,$BW72*$AR72-1,""))</x:f>
      </x:c>
      <x:c r="CB72" s="63" t="str">
        <x:f>IF($A72="","",MIN(1,COUNT($I72:$AN72,$AR72:$BG72)/'Setari model'!$B$46))</x:f>
      </x:c>
      <x:c r="CC72" s="63" t="str">
        <x:f t="shared" si="121">IF($A72="","",0.25*MIN(1,$I72/10)+0.25*MIN(1,$P72/10)+0.15*MIN(1,$W72/5)+0.15*MIN(1,$AB72/5)+0.1*MIN(1,$AG72/5)+0.1*MIN(1,$AN72/100))</x:f>
      </x:c>
      <x:c r="CD72" s="63" t="str">
        <x:f>IF($A72="","",MAX(0,1-(MAX($BJ72:$BN72,$BP72)-MIN($BJ72:$BN72,$BP72))/(AVERAGE($BJ72:$BN72,$BP72)*'Setari model'!$B$45)))</x:f>
      </x:c>
      <x:c r="CE72" s="66" t="str">
        <x:f>IF($A72="","",MAX(0,MIN(100,100*INDEX('Setari model'!$I$5:$I$11,MATCH($E72,'Setari model'!$A$5:$A$11,0))*('Setari model'!$B$47*$CB72+'Setari model'!$B$48*$CC72+'Setari model'!$B$49*$CD72+'Setari model'!$B$50*$AT72/5+'Setari model'!$B$51*$AU72)-100*'Setari model'!$B$52*$BG72)))</x:f>
      </x:c>
      <x:c r="CF72" s="65" t="str">
        <x:f t="shared" si="122">IF($A72="","",IF(OR($AT72&lt;3,$BG72&gt;=2,$CB72&lt;0.55,$CC72&lt;0.4),"RIDICAT",IF(OR($AU72=0,$CD72&lt;0.45,$BR72&lt;0.9),"MEDIU","SCĂZUT")))</x:f>
      </x:c>
      <x:c r="CG72" s="65" t="str">
        <x:f>IF($A72="","",IF($AR72&gt;1,IF(AND($BW72&gt;= 'Setari model'!$B$35,$CE72&gt;=100*'Setari model'!$B$36,$BZ72&gt;= 'Setari model'!$B$37,$CA72&gt;= 'Setari model'!$B$38,$CF72&lt;&gt;"RIDICAT"),"PARIU RECOMANDAT",IF(AND($BW72&gt;= 'Setari model'!$B$39,$CE72&gt;=100*'Setari model'!$B$40,$BZ72&gt;= 'Setari model'!$B$41,$CA72&gt;=0,$CF72&lt;&gt;"RIDICAT"),"RECOMANDAT CU PRUDENȚĂ",IF(AND($BW72&gt;= 'Setari model'!$B$42,$CE72&gt;=100*'Setari model'!$B$43),"ANALIZĂ NECONCLUDENTĂ","PARIU EVITAT"))),IF(AND($BW72&gt;= 'Setari model'!$B$35,$CE72&gt;=100*'Setari model'!$B$36,$CF72&lt;&gt;"RIDICAT"),"FAVORABIL STATISTIC – VERIFICĂ COTA",IF(AND($BW72&gt;= 'Setari model'!$B$42,$CE72&gt;=100*'Setari model'!$B$43),"ANALIZĂ NECONCLUDENTĂ","PARIU EVITAT"))))</x:f>
      </x:c>
      <x:c r="CH72" s="67" t="str">
        <x:f t="shared" si="123">IF($A72="","","P(O0,5)="&amp;TEXT($BW72,"0.0%")&amp;"; λ ajustat="&amp;TEXT($BS72,"0.00")&amp;"; Confidence="&amp;TEXT($CE72,"0")&amp;"/100; Edge="&amp;TEXT($BZ72,"0.0%")&amp;"; risc="&amp;$CF72&amp;". "&amp;$BH72)</x:f>
      </x:c>
      <x:c r="CI72" s="68" t="str">
        <x:f t="shared" si="124">IF($A72="","",$BI72)</x:f>
      </x:c>
      <x:c r="CJ72" s="112"/>
      <x:c r="CK72" s="112"/>
      <x:c r="CL72" s="112"/>
      <x:c r="CM72" s="112"/>
      <x:c r="CN72" s="112"/>
      <x:c r="CO72" s="112"/>
      <x:c r="CP72" s="112"/>
      <x:c r="CQ72" s="112"/>
      <x:c r="CR72" s="112"/>
      <x:c r="CS72" s="112"/>
      <x:c r="CT72" s="112"/>
      <x:c r="CU72" s="112"/>
      <x:c r="CV72" s="112"/>
      <x:c r="CW72" s="112"/>
      <x:c r="CX72" s="112"/>
      <x:c r="CY72" s="112"/>
      <x:c r="CZ72" s="112"/>
      <x:c r="DA72" s="112"/>
      <x:c r="DB72" s="112"/>
      <x:c r="DC72" s="114"/>
      <x:c r="DD72" s="114"/>
      <x:c r="DE72" s="112" t="s">
        <x:v>266</x:v>
      </x:c>
      <x:c r="DF72" s="112"/>
      <x:c r="DG72" s="112"/>
      <x:c r="DH72" s="112"/>
      <x:c r="DI72" s="112"/>
      <x:c r="DJ72" s="112"/>
      <x:c r="DK72" s="112"/>
      <x:c r="DL72" s="112"/>
      <x:c r="DM72" s="112"/>
      <x:c r="DN72" s="112"/>
      <x:c r="DO72" s="112"/>
      <x:c r="DP72" s="112"/>
      <x:c r="DQ72" s="114"/>
      <x:c r="DR72" s="112">
        <x:v>1</x:v>
      </x:c>
      <x:c r="DS72" s="116">
        <x:v>0</x:v>
      </x:c>
      <x:c r="DT72" s="120"/>
      <x:c r="DU72" s="116">
        <x:v>0.02</x:v>
      </x:c>
      <x:c r="DV72" s="116">
        <x:v>0.25</x:v>
      </x:c>
      <x:c r="DW72" s="118" t="str">
        <x:f>IF($A72="","",MAX('Setari model'!$B$71,MIN('Setari model'!$B$72,1+0.08*(IFERROR(AVERAGE($CM72:$CN72)/'Setari model'!$B$66,1)-1)+0.08*(IFERROR(AVERAGE($CO72:$CP72)/'Setari model'!$B$67,1)-1)+0.06*(IFERROR(AVERAGE($CQ72:$CR72)/'Setari model'!$B$68,1)-1)+0.04*(IFERROR(AVERAGE($CS72:$CT72)/'Setari model'!$B$69,1)-1)+0.04*(IFERROR(AVERAGE($CU72:$CV72)/'Setari model'!$B$70,1)-1)-'Setari model'!$B$73*IFERROR(AVERAGE($CW72:$CX72),0))))</x:f>
      </x:c>
      <x:c r="DX72" s="118" t="str">
        <x:f>IF($A72="","",1+'Setari model'!$B$62*MAX(IF(OR($CK72=1,$CL72=1),1,0),IF(AND($CJ72&lt;&gt;"",$CJ72&lt;=1),1,0))+'Setari model'!$B$63*IF(AND($CJ72&gt;1,$CJ72&lt;=3),1,0))</x:f>
      </x:c>
      <x:c r="DY72" s="118" t="str">
        <x:f>IF($A72="","",1+'Setari model'!$B$74*(IF($CY72="",0,IF($CY72=0,1,0))+IF($CZ72="",0,IF($CZ72=0,1,0)))+'Setari model'!$B$75*(IF($DA72="",0,IF($DA72=0,1,0))+IF($DB72="",0,IF($DB72=0,1,0))))</x:f>
      </x:c>
      <x:c r="DZ72" s="117" t="str">
        <x:f>IF($A72="","",MIN(0.6,MAX(0.002,(((1-'Setari model'!$B$34*MIN(1,($I72+$P72)/20))*$BT72+'Setari model'!$B$34*MIN(1,($I72+$P72)/20)*IF(COUNT($N72,$U72)=2,SQRT(MAX(0,1-$N72)*MAX(0,1-$U72)),$BT72))*(1-'Setari model'!$B$65*MIN(1,IF($AN72="",0,$AN72/'Setari model'!$B$64)))+'Setari model'!$B$65*MIN(1,IF($AN72="",0,$AN72/'Setari model'!$B$64))*IF($AM72="",$BT72,$AM72))*$DX72*$DY72/$DW72)))</x:f>
      </x:c>
      <x:c r="EA72" s="117" t="str">
        <x:f>IF($A72="","",MIN(1-$DZ72,IF(OR(MIN($I72,$P72)&lt;'Setari model'!$B$58,$CK72=1,$CL72=1,AND($CJ72&lt;&gt;"",$CJ72&lt;=1)),'Setari model'!$B$59,IF(AND($AU72=1,$AR72&gt;1,COUNT($CY72:$DB72)=4),'Setari model'!$B$61,'Setari model'!$B$60))))</x:f>
      </x:c>
      <x:c r="EB72" s="115" t="str">
        <x:f t="shared" si="125">IF($A72="","",1/$EA72)</x:f>
      </x:c>
      <x:c r="EC72" s="117" t="str">
        <x:f t="shared" si="126">IF($A72="","",IF($AR72&gt;1,IF($AS72&gt;1,(1/$AR72)/((1/$AR72)+(1/$AS72)),1/$AR72),""))</x:f>
      </x:c>
      <x:c r="ED72" s="117" t="str">
        <x:f t="shared" si="127">IF($A72="","",IF($EC72="","",$EA72-$EC72))</x:f>
      </x:c>
      <x:c r="EE72" s="117" t="str">
        <x:f t="shared" si="128">""</x:f>
      </x:c>
      <x:c r="EF72" s="119" t="str">
        <x:f>IF($A72="","",MAX(0,MIN(100,$CE72-200*MAX(0,$EG72-'Setari model'!$B$77)-IF($AU72&lt;&gt;1,10,0)-IF(COUNT($CY72:$DB72)&lt;4,4,0))))</x:f>
      </x:c>
      <x:c r="EG72" s="117" t="str">
        <x:f>IF($A72="","",'Setari model'!$B$77+IF(MIN($I72,$P72)&lt;'Setari model'!$B$58,0.03,0)+IF(OR($CK72=1,$CL72=1,AND($CJ72&lt;&gt;"",$CJ72&lt;=1)),0.03,0)+IF($AG72=0,0.02,0)+0.03*(1-MIN(1,COUNT($CM72:$CV72)/10))+0.03*(1-MIN(1,IF($AN72="",0,$AN72/'Setari model'!$B$64)))+IF($AR72&lt;=1,0.02,0))</x:f>
      </x:c>
      <x:c r="EH72" s="113" t="str">
        <x:f>IF($A72="","",IF(OR(MIN($I72,$P72)&lt;'Setari model'!$B$58,$CK72=1,$CL72=1,AND($CJ72&lt;&gt;"",$CJ72&lt;=1)),"92% – early/regim",IF(AND($AU72=1,$AR72&gt;1,COUNT($CY72:$DB72)=4),"94% – confirmat","93% – standard")))</x:f>
      </x:c>
      <x:c r="EI72" s="113" t="str">
        <x:f t="shared" si="129">IF($A72="","",IF(AND($EA72&gt;0.9,$AU72&lt;&gt;1),"WAIT XI – HIGH P",IF(AND($EA72&gt;0.9,COUNT($CY72:$DB72)&lt;4),"WAIT DATE CHEIE – HIGH P",IF($EP72&lt;&gt;"DA","NU – PORTOFOLIU","DA"))))</x:f>
      </x:c>
      <x:c r="EJ72" s="117" t="str">
        <x:f t="shared" si="130">IF($A72="","",IF($DE72&lt;&gt;"Live 20-30","",IF(SUM($DG72:$DH72)&gt;0,1,IF($EU72="","",1-MIN(0.95,MAX(0.001,EXP(-$EU72)*$DX72*$DY72/$DW72))))))</x:f>
      </x:c>
      <x:c r="EK72" s="117" t="str">
        <x:f t="shared" si="131">""</x:f>
      </x:c>
      <x:c r="EL72" s="113" t="str">
        <x:f>IF($A72="","",IF($DE72="Live 20-30",IF(SUM($DG72:$DH72)&gt;0,"EVENIMENT ÎNDEPLINIT",IF(OR($DF72="",COUNT($DI72:$DN72)&lt;4),"LIVE – WATCH",IF($EJ72&gt;=0.75,"LIVE – FEZABIL TEHNIC","LIVE – NO BET"))),IF($EI72&lt;&gt;"DA","WATCH / NO BET",IF(AND($EA72&gt;=INDEX('Setari model'!$B$35:$B$40,1),$EF72&gt;=100*'Setari model'!$B$76),"PARIU RECOMANDAT",IF(AND($EA72&gt;=INDEX('Setari model'!$B$35:$B$40,5),$EF72&gt;=100*'Setari model'!$B$40),"WATCH – APROAPE DE PRAG","PARIU EVITAT")))))</x:f>
      </x:c>
      <x:c r="EM72" s="113" t="str">
        <x:f t="shared" si="132">IF($A72="","",IF($DE72="Live 20-30",IF(SUM($DG72:$DH72)&gt;0,"Gol deja marcat.",IF($DF72="","Minut live lipsă.",IF(COUNT($DI72:$DN72)&lt;4,"Lipsesc xG/SOT/big chances live.",IF($EJ72&lt;0.75,"P live sub prag.","Semnal live tehnic complet; EV ignorat.")))),IF($EI72&lt;&gt;"DA",$EI72,IF($EF72&lt;75,"Confidence sub 75.",IF($EA72&lt;0.92,"P sub 92%.","G0/Zero-Mass + confidence trecute; EV ignorat.")))))</x:f>
      </x:c>
      <x:c r="EN72" s="117" t="str">
        <x:f>IF($A72="","",IF(OR($EL72="PARIU RECOMANDAT",$EL72="LIVE – FEZABIL"),MIN(IF($DU72&gt;0,$DU72,'Setari model'!$B$81)/MAX(1,$DR72),IF($DV72&gt;0,$DV72,'Setari model'!$B$80)*MAX(0,((IF($DE72="Live 20-30",$EJ72,$EA72)*IF($DE72="Live 20-30",$DQ72,$AR72)-1)/(IF($DE72="Live 20-30",$DQ72,$AR72)-1)))),0))</x:f>
      </x:c>
      <x:c r="EO72" s="121" t="str">
        <x:f t="shared" si="133">IF($A72="","",IF(AND($EN72&gt;0,$DT72&gt;0),$EN72*$DT72,""))</x:f>
      </x:c>
      <x:c r="EP72" s="113" t="str">
        <x:f>IF($A72="","",IF(OR($DR72&lt;1,$DR72&gt;'Setari model'!$B$78),"NU – 1–5 selecții",IF($DS72&gt;'Setari model'!$B$79,"NU – corelație", "DA")))</x:f>
      </x:c>
      <x:c r="EQ72" s="117" t="str">
        <x:f t="shared" si="134">IF($A72="","",IF(AND($DC72&gt;1,$DD72&gt;1),$DC72/$DD72-1,""))</x:f>
      </x:c>
      <x:c r="ER72" s="113" t="str">
        <x:f t="shared" si="135">IF($A72="","","P v2="&amp;TEXT($EA72,"0.0%")&amp;" ±"&amp;TEXT($EG72,"0.0%")&amp;"; P0 ZIP="&amp;TEXT($DZ72,"0.0%")&amp;"; Confidence="&amp;TEXT($EF72,"0")&amp;"/100; piață reală="&amp;IF($EC72="","NU","DA")&amp;"; EV="&amp;IF($EE72="","n/a",TEXT($EE72,"0.0%"))&amp;"; gate="&amp;$EI72&amp;"; verdict="&amp;$EL72&amp;". "&amp;$EM72)</x:f>
      </x:c>
      <x:c r="ES72" s="119" t="str">
        <x:f>IF($A72="","",'Setari model'!$B$82)</x:f>
      </x:c>
      <x:c r="ET72" s="118" t="str">
        <x:f>IF($A72="","",'Setari model'!$B$83)</x:f>
      </x:c>
      <x:c r="EU72" s="115" t="str">
        <x:f t="shared" si="136">IF(OR($A72="",$DE72&lt;&gt;"Live 20-30",$DF72="",$DF72&lt;$ES72,$DF72&gt;=90),"",MAX(0.05,MIN($BS72*$ET72,$BS72*(90-$DF72)/90+0.35*($DI72+$DJ72)+0.06*($DK72+$DL72)+0.15*($DM72+$DN72)+0.1*(MAX($DO72,$DP72)-MIN($DO72,$DP72)))))</x:f>
      </x:c>
      <x:c r="EV72" s="132"/>
      <x:c r="EW72" s="132"/>
      <x:c r="EX72" s="132"/>
      <x:c r="EY72" s="132"/>
      <x:c r="EZ72" s="132"/>
      <x:c r="FA72" s="132"/>
      <x:c r="FB72" s="247"/>
      <x:c r="FC72" s="134" t="str">
        <x:f t="shared" si="137">IF($A72="","",IF(OR($J72="",$L72="",$L72&lt;=0),"",MAX(0.5,MIN(1.5,$J72/$L72))))</x:f>
      </x:c>
      <x:c r="FD72" s="134" t="str">
        <x:f t="shared" si="138">IF($A72="","",IF(OR($Q72="",$S72="",$S72&lt;=0),"",MAX(0.5,MIN(1.5,$Q72/$S72))))</x:f>
      </x:c>
      <x:c r="FE72" s="134" t="str">
        <x:f>IF($A72="","",IF(COUNT($EV72:$EW72)&lt;2,"",SQRT($EV72*$EW72)/'Setari model'!$B$87))</x:f>
      </x:c>
      <x:c r="FF72" s="134" t="str">
        <x:f>IF($A72="","",IF(COUNT($O72,$V72,$EX72,$EY72)&lt;4,"",AVERAGE(SQRT($O72*$EY72),SQRT($V72*$EX72))/'Setari model'!$B$88))</x:f>
      </x:c>
      <x:c r="FG72" s="134" t="str">
        <x:f t="shared" si="139">IF($A72="","",IF(COUNT($FC72:$FD72)&lt;2,"",MAX(0,1-AVERAGE($FC72:$FD72))))</x:f>
      </x:c>
      <x:c r="FH72" s="134" t="str">
        <x:f>IF($A72="","",IF(COUNT($EZ72:$FA72)&lt;2,"",'Setari model'!$B$94*AVERAGE($EZ72:$FA72)/'Setari model'!$B$89))</x:f>
      </x:c>
      <x:c r="FI72" s="134" t="str">
        <x:f>IF($A72="","",IF(COUNT($FE72:$FH72)&lt;4,"",MAX('Setari model'!$B$97,MIN('Setari model'!$B$98,1+'Setari model'!$B$90*($FE72-1)+'Setari model'!$B$91*($FF72-1)+'Setari model'!$B$92*$FG72+'Setari model'!$B$93*($FH72-1)))))</x:f>
      </x:c>
      <x:c r="FJ72" s="133" t="str">
        <x:f>IF($A72="","",IF($FI72="","",MIN('Setari model'!$B$101,MAX(0.002,$DZ72*$FI72))))</x:f>
      </x:c>
      <x:c r="FK72" s="131" t="str">
        <x:f t="shared" si="140">IF($A72="","",IF(AND(COUNT($EV72:$FA72)=6,COUNT($O72,$V72,$FC72,$FD72)=4),"DA","NU"))</x:f>
      </x:c>
      <x:c r="FL72" s="131" t="str">
        <x:f>IF($A72="","",IF($FK72&lt;&gt;"DA","NEDETERMINAT",IF($FI72&lt;='Setari model'!$B$99,"SCĂZUT",IF($FI72&lt;='Setari model'!$B$100,"MEDIU","RIDICAT"))))</x:f>
      </x:c>
      <x:c r="FM72" s="131" t="str">
        <x:f>IF($A72="","",IF(AND($AR72&gt;1,$EC72&gt;='Setari model'!$B$106),"DA","NU"))</x:f>
      </x:c>
      <x:c r="FN72" s="131" t="str">
        <x:f t="shared" si="141">IF($A72="","",IF(AND($AU72=1,COUNT($CY72:$DB72)=4),"DA","NU"))</x:f>
      </x:c>
      <x:c r="FO72" s="133" t="str">
        <x:f>IF($A72="","",IF(OR($FK72&lt;&gt;"DA",$FL72="RIDICAT"),'Setari model'!$B$102,IF($FL72="MEDIU",'Setari model'!$B$103,IF(AND($FM72="DA",$FN72="DA"),'Setari model'!$B$105,'Setari model'!$B$104))))</x:f>
      </x:c>
      <x:c r="FP72" s="133" t="str">
        <x:f t="shared" si="142">IF($A72="","",IF($FJ72="","",MIN(1-$FJ72,$FO72)))</x:f>
      </x:c>
      <x:c r="FQ72" s="135" t="str">
        <x:f t="shared" si="143">IF($A72="","",IF($FP72="","",IF($FP72&gt;0,1/$FP72,"")))</x:f>
      </x:c>
      <x:c r="FR72" s="133" t="str">
        <x:f t="shared" si="144">IF($A72="","",IF($EC72="","",$FP72-$EC72))</x:f>
      </x:c>
      <x:c r="FS72" s="133" t="str">
        <x:f t="shared" si="145">IF($A72="","",IF($AR72&gt;1,$FP72*$AR72-1,""))</x:f>
      </x:c>
      <x:c r="FT72" s="136" t="str">
        <x:f>IF($A72="","",MAX(0,MIN(100,$EF72-IF($FK72&lt;&gt;"DA",'Setari model'!$B$107,0)-IF($FL72="MEDIU",'Setari model'!$B$108,0)-IF($FL72="RIDICAT",'Setari model'!$B$109,0))))</x:f>
      </x:c>
      <x:c r="FU72" s="131" t="str">
        <x:f t="shared" si="146">IF($A72="","",IF($AR72&lt;=1,"NU – LIPSEȘTE COTA REALĂ",IF($FK72&lt;&gt;"DA","NU – ZERO-RISK INCOMPLET",IF($FL72&lt;&gt;"SCĂZUT","NU – RISC 0-0 "&amp;$FL72,IF($FN72&lt;&gt;"DA","NU – LINEUP NECONFIRMAT",IF($FM72&lt;&gt;"DA","NU – PIAȚĂ NECONFIRMATĂ",IF($EP72&lt;&gt;"DA","NU – PORTOFOLIU","DA")))))))</x:f>
      </x:c>
      <x:c r="FV72" s="131" t="str">
        <x:f>IF($A72="","",IF($FU72&lt;&gt;"DA","WATCH / NO BET",IF(AND($FP72&gt;='Setari model'!$B$35,$FT72&gt;=100*'Setari model'!$B$76,$FS72&gt;0),"PARIU RECOMANDAT",IF(AND($FP72&gt;='Setari model'!$B$39,$FT72&gt;=100*'Setari model'!$B$40,$FS72&gt;0),"WATCH – APROAPE DE PRAG","PARIU EVITAT"))))</x:f>
      </x:c>
      <x:c r="FW72" s="131" t="str">
        <x:f t="shared" si="147">IF($A72="","",IF($FU72&lt;&gt;"DA",$FU72,IF($FT72&lt;75,"Confidence v3 sub 75.",IF($FP72&lt;0.92,"P v3 sub 92%.",IF($FS72&lt;=0,"EV v3 nepozitiv.","P0 v3, lineup și piață confirmate.")))))</x:f>
      </x:c>
      <x:c r="FX72" s="131" t="str">
        <x:f t="shared" si="148">IF($A72="","","P v3="&amp;TEXT($FP72,"0.0%")&amp;"; P0 v3="&amp;TEXT($FJ72,"0.0%")&amp;"; factor zero="&amp;IF($FI72="","n/a",TEXT($FI72,"0.00x"))&amp;" ("&amp;$FL72&amp;"); cap="&amp;TEXT($FO72,"0.0%")&amp;"; Confidence="&amp;TEXT($FT72,"0")&amp;"/100; lineup="&amp;$FN72&amp;"; piață="&amp;$FM72&amp;"; EV="&amp;IF($FS72="","n/a",TEXT($FS72,"0.0%"))&amp;"; gate="&amp;$FU72&amp;"; verdict="&amp;$FV72&amp;". "&amp;$FW72)</x:f>
      </x:c>
      <x:c r="FY72" s="159"/>
      <x:c r="FZ72" s="159"/>
      <x:c r="GA72" s="157"/>
      <x:c r="GB72" s="157"/>
      <x:c r="GC72" s="161" t="str">
        <x:f t="shared" si="149">IF($A72="","",IF(OR($X72="",$Z72="",$Z72&lt;=0),"",MAX(0.5,MIN(1.5,$X72/$Z72))))</x:f>
      </x:c>
      <x:c r="GD72" s="161" t="str">
        <x:f t="shared" si="150">IF($A72="","",IF(OR($AC72="",$AE72="",$AE72&lt;=0),"",MAX(0.5,MIN(1.5,$AC72/$AE72))))</x:f>
      </x:c>
      <x:c r="GE72" s="162" t="str">
        <x:f t="shared" si="151">IF($A72="","",IF(COUNT($Z72,$AE72)&lt;2,"",AVERAGE($Z72,$AE72)))</x:f>
      </x:c>
      <x:c r="GF72" s="158" t="str">
        <x:f>IF($A72="","",IF(COUNT($FY72:$FZ72)&lt;2,"NEDETERMINAT",IF(AND($FY72&gt;='Setari model'!$B$113,$FZ72&gt;='Setari model'!$B$113),"DA","NU")))</x:f>
      </x:c>
      <x:c r="GG72" s="158" t="str">
        <x:f>IF($A72="","",IF(COUNT($FY72:$FZ72,$EX72:$EY72)&lt;4,"NEDETERMINAT",IF(OR(AND($FY72&gt;='Setari model'!$B$113,$EY72&gt;='Setari model'!$B$114),AND($FZ72&gt;='Setari model'!$B$113,$EX72&gt;='Setari model'!$B$114)),"DA","NU")))</x:f>
      </x:c>
      <x:c r="GH72" s="158" t="str">
        <x:f>IF($A72="","",IF(COUNT($BJ72:$BN72,$GC72:$GE72)&lt;8,"NEDETERMINAT",IF(AND((($BJ72*INDEX('Setari model'!$B$5:$B$11,MATCH($E72,'Setari model'!$A$5:$A$11,0))+$BK72*INDEX('Setari model'!$C$5:$C$11,MATCH($E72,'Setari model'!$A$5:$A$11,0))+$BL72*INDEX('Setari model'!$D$5:$D$11,MATCH($E72,'Setari model'!$A$5:$A$11,0))+$BM72*INDEX('Setari model'!$E$5:$E$11,MATCH($E72,'Setari model'!$A$5:$A$11,0))+$BN72*INDEX('Setari model'!$F$5:$F$11,MATCH($E72,'Setari model'!$A$5:$A$11,0)))/(INDEX('Setari model'!$B$5:$B$11,MATCH($E72,'Setari model'!$A$5:$A$11,0))+INDEX('Setari model'!$C$5:$C$11,MATCH($E72,'Setari model'!$A$5:$A$11,0))+INDEX('Setari model'!$D$5:$D$11,MATCH($E72,'Setari model'!$A$5:$A$11,0))+INDEX('Setari model'!$E$5:$E$11,MATCH($E72,'Setari model'!$A$5:$A$11,0))+INDEX('Setari model'!$F$5:$F$11,MATCH($E72,'Setari model'!$A$5:$A$11,0))))*$BR72&gt;='Setari model'!$B$115,(($BJ72*INDEX('Setari model'!$B$5:$B$11,MATCH($E72,'Setari model'!$A$5:$A$11,0))+$BK72*INDEX('Setari model'!$C$5:$C$11,MATCH($E72,'Setari model'!$A$5:$A$11,0))+$BL72*INDEX('Setari model'!$D$5:$D$11,MATCH($E72,'Setari model'!$A$5:$A$11,0))+$BM72*INDEX('Setari model'!$E$5:$E$11,MATCH($E72,'Setari model'!$A$5:$A$11,0))+$BN72*INDEX('Setari model'!$F$5:$F$11,MATCH($E72,'Setari model'!$A$5:$A$11,0)))/(INDEX('Setari model'!$B$5:$B$11,MATCH($E72,'Setari model'!$A$5:$A$11,0))+INDEX('Setari model'!$C$5:$C$11,MATCH($E72,'Setari model'!$A$5:$A$11,0))+INDEX('Setari model'!$D$5:$D$11,MATCH($E72,'Setari model'!$A$5:$A$11,0))+INDEX('Setari model'!$E$5:$E$11,MATCH($E72,'Setari model'!$A$5:$A$11,0))+INDEX('Setari model'!$F$5:$F$11,MATCH($E72,'Setari model'!$A$5:$A$11,0))))*$BR72&lt;='Setari model'!$B$116,AVERAGE($GC72:$GD72)&lt;='Setari model'!$B$117,$GE72&gt;='Setari model'!$B$118),"DA","NU")))</x:f>
      </x:c>
      <x:c r="GI72" s="158" t="str">
        <x:f>IF($A72="","",IF(COUNT($W72,$AB72,$GA72:$GB72)&lt;4,"NEDETERMINAT",IF(AND($W72&gt;='Setari model'!$B$120,$AB72&gt;='Setari model'!$B$120,OR(IFERROR($GA72/$W72,0)&gt;='Setari model'!$B$119,IFERROR($GB72/$AB72,0)&gt;='Setari model'!$B$119)),"DA","NU")))</x:f>
      </x:c>
      <x:c r="GJ72" s="160" t="str">
        <x:f>IF($A72="","",IF(COUNT($FY72:$GB72)&lt;4,"",IF($GH72&lt;&gt;"DA",0,'Setari model'!$B$121*IF($GF72="DA",1,0)+'Setari model'!$B$122*IF($GG72="DA",1,0)+'Setari model'!$B$123+'Setari model'!$B$124*IF($GI72="DA",1,0))))</x:f>
      </x:c>
      <x:c r="GK72" s="161" t="str">
        <x:f>IF($A72="","",IF(COUNT($GJ72)=0,"",1+'Setari model'!$B$125*$GJ72))</x:f>
      </x:c>
      <x:c r="GL72" s="160" t="str">
        <x:f>IF($A72="","",IF($GM72&lt;&gt;"DA",$FJ72,MIN('Setari model'!$B$101,MAX(0.002,$FJ72*$GK72))))</x:f>
      </x:c>
      <x:c r="GM72" s="158" t="str">
        <x:f>IF($A72="","",IF(AND($FK72="DA",COUNT($FY72:$GB72)=4,COUNT($I72,$P72,$W72,$AB72,$Z72,$AE72,$EX72,$EY72,$GC72,$GD72)=10,COUNT($BJ72:$BN72)=5),"DA","NU"))</x:f>
      </x:c>
      <x:c r="GN72" s="158" t="str">
        <x:f>IF($A72="","",IF($GM72&lt;&gt;"DA","NEDETERMINAT",IF($FI72*$GK72&lt;='Setari model'!$B$99,"SCĂZUT",IF($FI72*$GK72&lt;='Setari model'!$B$100,"MEDIU","RIDICAT"))))</x:f>
      </x:c>
      <x:c r="GO72" s="160" t="str">
        <x:f>IF($A72="","",IF(OR($GM72&lt;&gt;"DA",$GN72="RIDICAT"),'Setari model'!$B$102,IF($GN72="MEDIU",'Setari model'!$B$103,IF(AND($FM72="DA",$FN72="DA"),'Setari model'!$B$105,'Setari model'!$B$104))))</x:f>
      </x:c>
      <x:c r="GP72" s="160" t="str">
        <x:f t="shared" si="152">IF($A72="","",IF($GL72="","",MIN(1-$GL72,$GO72)))</x:f>
      </x:c>
      <x:c r="GQ72" s="162" t="str">
        <x:f t="shared" si="153">IF($A72="","",IF($GP72="","",IF($GP72&gt;0,1/$GP72,"")))</x:f>
      </x:c>
      <x:c r="GR72" s="160" t="str">
        <x:f t="shared" si="154">IF($A72="","",IF($EC72="","",$GP72-$EC72))</x:f>
      </x:c>
      <x:c r="GS72" s="160" t="str">
        <x:f t="shared" si="155">IF($A72="","",IF($AR72&gt;1,$GP72*$AR72-1,""))</x:f>
      </x:c>
      <x:c r="GT72" s="163" t="str">
        <x:f>IF($A72="","",MAX(0,MIN(100,$FT72-IF(AND($GM72&lt;&gt;"DA",$FK72="DA"),'Setari model'!$B$107,0)-'Setari model'!$B$126*IF($GJ72="",0,$GJ72))))</x:f>
      </x:c>
      <x:c r="GU72" s="158" t="str">
        <x:f t="shared" si="156">IF($A72="","",IF($AR72&lt;=1,"NU – LIPSEȘTE COTA REALĂ",IF($GM72&lt;&gt;"DA","NU – DATE LOW-CONVERSION INCOMPLETE",IF($GN72&lt;&gt;"SCĂZUT","NU – RISC 0-0 "&amp;$GN72,IF($FN72&lt;&gt;"DA","NU – LINEUP NECONFIRMAT",IF($FM72&lt;&gt;"DA","NU – PIAȚĂ NECONFIRMATĂ",IF($EP72&lt;&gt;"DA","NU – PORTOFOLIU","DA")))))))</x:f>
      </x:c>
      <x:c r="GV72" s="158" t="str">
        <x:f>IF($A72="","",IF($GU72&lt;&gt;"DA","WATCH / NO BET",IF(AND($GP72&gt;='Setari model'!$B$35,$GT72&gt;=100*'Setari model'!$B$76,$GS72&gt;0),"PARIU RECOMANDAT",IF(AND($GP72&gt;='Setari model'!$B$39,$GT72&gt;=100*'Setari model'!$B$40,$GS72&gt;0),"WATCH – APROAPE DE PRAG","PARIU EVITAT"))))</x:f>
      </x:c>
      <x:c r="GW72" s="158" t="str">
        <x:f t="shared" si="157">IF($A72="","",IF($GU72&lt;&gt;"DA",$GU72,IF($GT72&lt;75,"Confidence v5 sub 75.",IF($GP72&lt;0.92,"P v5 sub 92%.",IF($GS72&lt;=0,"EV v5 nepozitiv.",IF($GJ72&gt;0,"Low-conversion absorbit în P0; toate porțile rămân trecute.","Toate porțile v5 sunt trecute."))))))</x:f>
      </x:c>
      <x:c r="GX72" s="158" t="str">
        <x:f t="shared" si="158">IF($A72="","","P v5="&amp;TEXT($GP72,"0.0%")&amp;"; P0 v5="&amp;TEXT($GL72,"0.0%")&amp;"; low-conv="&amp;IF(COUNT($GJ72)=0,"n/a",TEXT($GJ72,"0%"))&amp;"; mult.P0="&amp;IF(COUNT($GK72)=0,"n/a",TEXT($GK72,"0.00"))&amp;"; clasă="&amp;$GN72&amp;"; cap="&amp;TEXT($GO72,"0.0%")&amp;"; Confidence="&amp;TEXT($GT72,"0")&amp;"/100; lineup="&amp;$FN72&amp;"; piață="&amp;$FM72&amp;"; EV="&amp;IF($GS72="","n/a",TEXT($GS72,"0.0%"))&amp;"; gate="&amp;$GU72&amp;"; verdict="&amp;$GV72&amp;". "&amp;$GW72)</x:f>
      </x:c>
      <x:c r="GY72" s="174" t="str">
        <x:f>IF($A72="","",IF($GM72&lt;&gt;"DA","SOURCING INCOMPLETE – REVIEW REQUIRED",IF(MIN($I72,$P72,$W72,$AB72)&lt;'Setari model'!$B$58,"SMALL SAMPLE + PRIOR / SHRINKAGE","VERIFIED / PRIOR / SHRINKAGE")))</x:f>
      </x:c>
      <x:c r="GZ72" s="175" t="str">
        <x:f t="shared" si="159">IF($A72="","",MAX(0,MIN(100,100*(1-AVERAGE(IF($GM72="DA",1,0),MIN(1,$AT72/5))))))</x:f>
      </x:c>
      <x:c r="HA72" s="175" t="str">
        <x:f>IF($A72="","",IF($GM72&lt;&gt;"DA","",MAX(0,MIN(100,100*(($FI72*$GK72)-'Setari model'!$B$97)/('Setari model'!$B$98-'Setari model'!$B$97)))))</x:f>
      </x:c>
      <x:c r="HB72" s="175" t="str">
        <x:f>IF($A72="","",MAX(0,MIN(100,100*(ABS($BR72-1)/MAX(1-'Setari model'!$B$53,'Setari model'!$B$54-1)+MIN(1,$BG72/2))/2)))</x:f>
      </x:c>
      <x:c r="HC72" s="175" t="str">
        <x:f t="shared" si="160">IF($A72="","",MAX(0,MIN(100,100*(1-AVERAGE($CC72,MAX(0,1-(MAX($BJ72:$BN72)-MIN($BJ72:$BN72))/(AVERAGE($BJ72:$BN72)*'Setari model'!$B$45)))))))</x:f>
      </x:c>
      <x:c r="HD72" s="175" t="str">
        <x:f t="shared" si="161">IF($A72="","",MAX(0,MIN(100,100*MAX(IF($GJ72="",0,$GJ72),MIN(1,$BG72/2)))))</x:f>
      </x:c>
      <x:c r="HE72" s="175" t="str">
        <x:f>IF($A72="","",IF(COUNT($GZ72:$HD72)&lt;5,"",$GZ72*Risk_Classification!$E$28+$HA72*Risk_Classification!$E$29+$HB72*Risk_Classification!$E$30+$HC72*Risk_Classification!$E$31+$HD72*Risk_Classification!$E$32))</x:f>
      </x:c>
      <x:c r="HF72" s="176" t="str">
        <x:f t="shared" si="162">IF($A72="","",IF($HE72="","",IF($HE72&lt;=20,1,IF($HE72&lt;=40,2,IF($HE72&lt;=60,3,IF($HE72&lt;=80,4,5))))))</x:f>
      </x:c>
      <x:c r="HG72" s="176" t="str">
        <x:f t="shared" si="163">IF($A72="","",IF($GM72="DA","PASS","FAIL – DATE CRITICE ZERO-MASS INCOMPLETE"))</x:f>
      </x:c>
      <x:c r="HH72" s="176" t="str">
        <x:f t="shared" si="164">IF($A72="","",IF($HG72&lt;&gt;"PASS",5,$HF72))</x:f>
      </x:c>
      <x:c r="HI72" s="174" t="str">
        <x:f t="shared" si="165">IF($A72="","",IF($HH72="","N/A",IF($HH72=1,"DEFENSIV",IF($HH72=2,"PRUDENT",IF($HH72=3,"MODERAT",IF($HH72=4,"RIDICAT","WATCH / NO BET"))))))</x:f>
      </x:c>
      <x:c r="HJ72" s="177" t="str">
        <x:f t="shared" si="166">IF($A72="","","Data="&amp;$GY72&amp;"; DQ="&amp;TEXT($GZ72,"0.0")&amp;"; ZM="&amp;IF($HA72="","n/a",TEXT($HA72,"0.0"))&amp;"; Context="&amp;TEXT($HB72,"0.0")&amp;"; Uncertainty="&amp;TEXT($HC72,"0.0")&amp;"; Compound="&amp;TEXT($HD72,"0.0")&amp;"; Risk Score="&amp;IF($HE72="","n/a",TEXT($HE72,"0.0"))&amp;"; Base="&amp;IF($HF72="","n/a",$HF72)&amp;"; G0="&amp;$HG72&amp;"; Final="&amp;$HH72&amp;". Cota, EV si lineup sunt informative si nu intra in recomandare.")</x:f>
      </x:c>
      <x:c r="HK72" s="174" t="str">
        <x:f t="shared" si="167">IF($A72="","",$HI72)</x:f>
      </x:c>
    </x:row>
    <x:row r="73" ht="24" customHeight="1">
      <x:c r="A73" s="58"/>
      <x:c r="B73" s="24"/>
      <x:c r="C73" s="59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18"/>
      <x:c r="O73" s="18"/>
      <x:c r="P73" s="24"/>
      <x:c r="Q73" s="24"/>
      <x:c r="R73" s="24"/>
      <x:c r="S73" s="24"/>
      <x:c r="T73" s="24"/>
      <x:c r="U73" s="18"/>
      <x:c r="V73" s="18"/>
      <x:c r="W73" s="24"/>
      <x:c r="X73" s="24"/>
      <x:c r="Y73" s="24"/>
      <x:c r="Z73" s="24"/>
      <x:c r="AA73" s="24"/>
      <x:c r="AB73" s="24"/>
      <x:c r="AC73" s="24"/>
      <x:c r="AD73" s="24"/>
      <x:c r="AE73" s="24"/>
      <x:c r="AF73" s="24"/>
      <x:c r="AG73" s="24"/>
      <x:c r="AH73" s="24"/>
      <x:c r="AI73" s="18"/>
      <x:c r="AJ73" s="24"/>
      <x:c r="AK73" s="24"/>
      <x:c r="AL73" s="24"/>
      <x:c r="AM73" s="18"/>
      <x:c r="AN73" s="24"/>
      <x:c r="AO73" s="60"/>
      <x:c r="AP73" s="60"/>
      <x:c r="AQ73" s="60"/>
      <x:c r="AR73" s="60"/>
      <x:c r="AS73" s="60"/>
      <x:c r="AT73" s="24"/>
      <x:c r="AU73" s="24"/>
      <x:c r="AV73" s="24"/>
      <x:c r="AW73" s="24"/>
      <x:c r="AX73" s="24"/>
      <x:c r="AY73" s="24"/>
      <x:c r="AZ73" s="24"/>
      <x:c r="BA73" s="24"/>
      <x:c r="BB73" s="24"/>
      <x:c r="BC73" s="24"/>
      <x:c r="BD73" s="24"/>
      <x:c r="BE73" s="24"/>
      <x:c r="BF73" s="24"/>
      <x:c r="BG73" s="24"/>
      <x:c r="BH73" s="61"/>
      <x:c r="BI73" s="61"/>
      <x:c r="BJ73" s="62" t="str">
        <x:f>IF($A73="","",SQRT((($I73*IF($J73="",$AJ73,$J73)+'Setari model'!$B$30*$AJ73)/($I73+'Setari model'!$B$30))*(($P73*IF($R73="",$AJ73,$R73)+'Setari model'!$B$30*$AJ73)/($P73+'Setari model'!$B$30)))+SQRT((($P73*IF($Q73="",$AK73,$Q73)+'Setari model'!$B$30*$AK73)/($P73+'Setari model'!$B$30))*(($I73*IF($K73="",$AK73,$K73)+'Setari model'!$B$30*$AK73)/($I73+'Setari model'!$B$30))))</x:f>
      </x:c>
      <x:c r="BK73" s="62" t="str">
        <x:f>IF($A73="","",SQRT((($I73*IF($L73="",IF($J73="",$AJ73,$J73),$L73)+'Setari model'!$B$30*$AJ73)/($I73+'Setari model'!$B$30))*(($P73*IF($T73="",IF($R73="",$AJ73,$R73),$T73)+'Setari model'!$B$30*$AJ73)/($P73+'Setari model'!$B$30)))+SQRT((($P73*IF($S73="",IF($Q73="",$AK73,$Q73),$S73)+'Setari model'!$B$30*$AK73)/($P73+'Setari model'!$B$30))*(($I73*IF($M73="",IF($K73="",$AK73,$K73),$M73)+'Setari model'!$B$30*$AK73)/($I73+'Setari model'!$B$30))))</x:f>
      </x:c>
      <x:c r="BL73" s="62" t="str">
        <x:f>IF($A73="","",SQRT((($W73*IF($X73="",$AL73/2,$X73)+'Setari model'!$B$31*$AL73/2)/($W73+'Setari model'!$B$31))*(($AB73*IF($AD73="",$AL73/2,$AD73)+'Setari model'!$B$31*$AL73/2)/($AB73+'Setari model'!$B$31)))+SQRT((($AB73*IF($AC73="",$AL73/2,$AC73)+'Setari model'!$B$31*$AL73/2)/($AB73+'Setari model'!$B$31))*(($W73*IF($Y73="",$AL73/2,$Y73)+'Setari model'!$B$31*$AL73/2)/($W73+'Setari model'!$B$31))))</x:f>
      </x:c>
      <x:c r="BM73" s="62" t="str">
        <x:f>IF($A73="","",SQRT((($W73*IF($Z73="",IF($X73="",$AL73/2,$X73),$Z73)+'Setari model'!$B$31*$AL73/2)/($W73+'Setari model'!$B$31))*(($AB73*IF($AF73="",IF($AD73="",$AL73/2,$AD73),$AF73)+'Setari model'!$B$31*$AL73/2)/($AB73+'Setari model'!$B$31)))+SQRT((($AB73*IF($AE73="",IF($AC73="",$AL73/2,$AC73),$AE73)+'Setari model'!$B$31*$AL73/2)/($AB73+'Setari model'!$B$31))*(($W73*IF($AA73="",IF($Y73="",$AL73/2,$Y73),$AA73)+'Setari model'!$B$31*$AL73/2)/($W73+'Setari model'!$B$31))))</x:f>
      </x:c>
      <x:c r="BN73" s="62" t="str">
        <x:f t="shared" si="112">IF($A73="","",IF($AG73&gt;0,($AG73*IF($AH73="",$AL73,$AH73)+5*$AL73)/($AG73+5),$AL73))</x:f>
      </x:c>
      <x:c r="BO73" s="63" t="str">
        <x:f>IF($A73="","",IF($AR73&gt;1,IF($AS73&gt;1,(1/$AR73)/((1/$AR73+1/$AS73)),MIN(0.995,(1/$AR73)/(1+'Setari model'!$B$32))),1-EXP(-$AL73)))</x:f>
      </x:c>
      <x:c r="BP73" s="62" t="str">
        <x:f t="shared" si="113">IF($A73="","",-LN(1-$BO73))</x:f>
      </x:c>
      <x:c r="BQ73" s="62" t="str">
        <x:f>IF($A73="","",$BJ73*INDEX('Setari model'!$B$5:$B$11,MATCH($E73,'Setari model'!$A$5:$A$11,0))+$BK73*INDEX('Setari model'!$C$5:$C$11,MATCH($E73,'Setari model'!$A$5:$A$11,0))+$BL73*INDEX('Setari model'!$D$5:$D$11,MATCH($E73,'Setari model'!$A$5:$A$11,0))+$BM73*INDEX('Setari model'!$E$5:$E$11,MATCH($E73,'Setari model'!$A$5:$A$11,0))+$BN73*INDEX('Setari model'!$F$5:$F$11,MATCH($E73,'Setari model'!$A$5:$A$11,0))+$BP73*INDEX('Setari model'!$G$5:$G$11,MATCH($E73,'Setari model'!$A$5:$A$11,0)))</x:f>
      </x:c>
      <x:c r="BR73" s="64" t="str">
        <x:f>IF($A73="","",MAX('Setari model'!$B$53,MIN('Setari model'!$B$54,1+($AV73*'Setari model'!$B$15+$AW73*'Setari model'!$B$16+$AX73*'Setari model'!$B$17+$AY73*'Setari model'!$B$18+$AZ73*'Setari model'!$B$19+$BA73*'Setari model'!$B$20+$BB73*'Setari model'!$B$21+$BC73*'Setari model'!$B$22+$BD73*'Setari model'!$B$23+$BE73*'Setari model'!$B$24+$BF73*'Setari model'!$B$25)*INDEX('Setari model'!$H$5:$H$11,MATCH($E73,'Setari model'!$A$5:$A$11,0)))))</x:f>
      </x:c>
      <x:c r="BS73" s="62" t="str">
        <x:f t="shared" si="114">IF($A73="","",$BQ73*$BR73)</x:f>
      </x:c>
      <x:c r="BT73" s="63" t="str">
        <x:f t="shared" si="115">IF($A73="","",EXP(-$BS73))</x:f>
      </x:c>
      <x:c r="BU73" s="65" t="str">
        <x:f>IF($A73="","",IF(OR($AM73="",$AN73=""),1,1+MIN('Setari model'!$B$33,$AN73/100*'Setari model'!$B$33)*($AM73/EXP(-$AL73)-1)))</x:f>
      </x:c>
      <x:c r="BV73" s="63" t="str">
        <x:f>IF($A73="","",MIN(0.45,MAX(0.005,(1-'Setari model'!$B$34*MIN(1,($I73+$P73)/20))*MIN(0.45,$BT73*$BU73)+'Setari model'!$B$34*MIN(1,($I73+$P73)/20)*IF(COUNT($N73,$U73)=2,SQRT(MAX(0,1-$N73)*MAX(0,1-$U73)),IF($AM73="",EXP(-$AL73),$AM73)))))</x:f>
      </x:c>
      <x:c r="BW73" s="63" t="str">
        <x:f t="shared" si="116">IF($A73="","",1-$BV73)</x:f>
      </x:c>
      <x:c r="BX73" s="62" t="str">
        <x:f t="shared" si="117">IF($A73="","",1/$BW73)</x:f>
      </x:c>
      <x:c r="BY73" s="63" t="str">
        <x:f t="shared" si="118">IF($A73="","",$BO73)</x:f>
      </x:c>
      <x:c r="BZ73" s="63" t="str">
        <x:f t="shared" si="119">IF($A73="","",$BW73-$BY73)</x:f>
      </x:c>
      <x:c r="CA73" s="63" t="str">
        <x:f t="shared" si="120">IF($A73="","",IF($AR73&gt;1,$BW73*$AR73-1,""))</x:f>
      </x:c>
      <x:c r="CB73" s="63" t="str">
        <x:f>IF($A73="","",MIN(1,COUNT($I73:$AN73,$AR73:$BG73)/'Setari model'!$B$46))</x:f>
      </x:c>
      <x:c r="CC73" s="63" t="str">
        <x:f t="shared" si="121">IF($A73="","",0.25*MIN(1,$I73/10)+0.25*MIN(1,$P73/10)+0.15*MIN(1,$W73/5)+0.15*MIN(1,$AB73/5)+0.1*MIN(1,$AG73/5)+0.1*MIN(1,$AN73/100))</x:f>
      </x:c>
      <x:c r="CD73" s="63" t="str">
        <x:f>IF($A73="","",MAX(0,1-(MAX($BJ73:$BN73,$BP73)-MIN($BJ73:$BN73,$BP73))/(AVERAGE($BJ73:$BN73,$BP73)*'Setari model'!$B$45)))</x:f>
      </x:c>
      <x:c r="CE73" s="66" t="str">
        <x:f>IF($A73="","",MAX(0,MIN(100,100*INDEX('Setari model'!$I$5:$I$11,MATCH($E73,'Setari model'!$A$5:$A$11,0))*('Setari model'!$B$47*$CB73+'Setari model'!$B$48*$CC73+'Setari model'!$B$49*$CD73+'Setari model'!$B$50*$AT73/5+'Setari model'!$B$51*$AU73)-100*'Setari model'!$B$52*$BG73)))</x:f>
      </x:c>
      <x:c r="CF73" s="65" t="str">
        <x:f t="shared" si="122">IF($A73="","",IF(OR($AT73&lt;3,$BG73&gt;=2,$CB73&lt;0.55,$CC73&lt;0.4),"RIDICAT",IF(OR($AU73=0,$CD73&lt;0.45,$BR73&lt;0.9),"MEDIU","SCĂZUT")))</x:f>
      </x:c>
      <x:c r="CG73" s="65" t="str">
        <x:f>IF($A73="","",IF($AR73&gt;1,IF(AND($BW73&gt;= 'Setari model'!$B$35,$CE73&gt;=100*'Setari model'!$B$36,$BZ73&gt;= 'Setari model'!$B$37,$CA73&gt;= 'Setari model'!$B$38,$CF73&lt;&gt;"RIDICAT"),"PARIU RECOMANDAT",IF(AND($BW73&gt;= 'Setari model'!$B$39,$CE73&gt;=100*'Setari model'!$B$40,$BZ73&gt;= 'Setari model'!$B$41,$CA73&gt;=0,$CF73&lt;&gt;"RIDICAT"),"RECOMANDAT CU PRUDENȚĂ",IF(AND($BW73&gt;= 'Setari model'!$B$42,$CE73&gt;=100*'Setari model'!$B$43),"ANALIZĂ NECONCLUDENTĂ","PARIU EVITAT"))),IF(AND($BW73&gt;= 'Setari model'!$B$35,$CE73&gt;=100*'Setari model'!$B$36,$CF73&lt;&gt;"RIDICAT"),"FAVORABIL STATISTIC – VERIFICĂ COTA",IF(AND($BW73&gt;= 'Setari model'!$B$42,$CE73&gt;=100*'Setari model'!$B$43),"ANALIZĂ NECONCLUDENTĂ","PARIU EVITAT"))))</x:f>
      </x:c>
      <x:c r="CH73" s="67" t="str">
        <x:f t="shared" si="123">IF($A73="","","P(O0,5)="&amp;TEXT($BW73,"0.0%")&amp;"; λ ajustat="&amp;TEXT($BS73,"0.00")&amp;"; Confidence="&amp;TEXT($CE73,"0")&amp;"/100; Edge="&amp;TEXT($BZ73,"0.0%")&amp;"; risc="&amp;$CF73&amp;". "&amp;$BH73)</x:f>
      </x:c>
      <x:c r="CI73" s="68" t="str">
        <x:f t="shared" si="124">IF($A73="","",$BI73)</x:f>
      </x:c>
      <x:c r="CJ73" s="112"/>
      <x:c r="CK73" s="112"/>
      <x:c r="CL73" s="112"/>
      <x:c r="CM73" s="112"/>
      <x:c r="CN73" s="112"/>
      <x:c r="CO73" s="112"/>
      <x:c r="CP73" s="112"/>
      <x:c r="CQ73" s="112"/>
      <x:c r="CR73" s="112"/>
      <x:c r="CS73" s="112"/>
      <x:c r="CT73" s="112"/>
      <x:c r="CU73" s="112"/>
      <x:c r="CV73" s="112"/>
      <x:c r="CW73" s="112"/>
      <x:c r="CX73" s="112"/>
      <x:c r="CY73" s="112"/>
      <x:c r="CZ73" s="112"/>
      <x:c r="DA73" s="112"/>
      <x:c r="DB73" s="112"/>
      <x:c r="DC73" s="114"/>
      <x:c r="DD73" s="114"/>
      <x:c r="DE73" s="112" t="s">
        <x:v>266</x:v>
      </x:c>
      <x:c r="DF73" s="112"/>
      <x:c r="DG73" s="112"/>
      <x:c r="DH73" s="112"/>
      <x:c r="DI73" s="112"/>
      <x:c r="DJ73" s="112"/>
      <x:c r="DK73" s="112"/>
      <x:c r="DL73" s="112"/>
      <x:c r="DM73" s="112"/>
      <x:c r="DN73" s="112"/>
      <x:c r="DO73" s="112"/>
      <x:c r="DP73" s="112"/>
      <x:c r="DQ73" s="114"/>
      <x:c r="DR73" s="112">
        <x:v>1</x:v>
      </x:c>
      <x:c r="DS73" s="116">
        <x:v>0</x:v>
      </x:c>
      <x:c r="DT73" s="120"/>
      <x:c r="DU73" s="116">
        <x:v>0.02</x:v>
      </x:c>
      <x:c r="DV73" s="116">
        <x:v>0.25</x:v>
      </x:c>
      <x:c r="DW73" s="118" t="str">
        <x:f>IF($A73="","",MAX('Setari model'!$B$71,MIN('Setari model'!$B$72,1+0.08*(IFERROR(AVERAGE($CM73:$CN73)/'Setari model'!$B$66,1)-1)+0.08*(IFERROR(AVERAGE($CO73:$CP73)/'Setari model'!$B$67,1)-1)+0.06*(IFERROR(AVERAGE($CQ73:$CR73)/'Setari model'!$B$68,1)-1)+0.04*(IFERROR(AVERAGE($CS73:$CT73)/'Setari model'!$B$69,1)-1)+0.04*(IFERROR(AVERAGE($CU73:$CV73)/'Setari model'!$B$70,1)-1)-'Setari model'!$B$73*IFERROR(AVERAGE($CW73:$CX73),0))))</x:f>
      </x:c>
      <x:c r="DX73" s="118" t="str">
        <x:f>IF($A73="","",1+'Setari model'!$B$62*MAX(IF(OR($CK73=1,$CL73=1),1,0),IF(AND($CJ73&lt;&gt;"",$CJ73&lt;=1),1,0))+'Setari model'!$B$63*IF(AND($CJ73&gt;1,$CJ73&lt;=3),1,0))</x:f>
      </x:c>
      <x:c r="DY73" s="118" t="str">
        <x:f>IF($A73="","",1+'Setari model'!$B$74*(IF($CY73="",0,IF($CY73=0,1,0))+IF($CZ73="",0,IF($CZ73=0,1,0)))+'Setari model'!$B$75*(IF($DA73="",0,IF($DA73=0,1,0))+IF($DB73="",0,IF($DB73=0,1,0))))</x:f>
      </x:c>
      <x:c r="DZ73" s="117" t="str">
        <x:f>IF($A73="","",MIN(0.6,MAX(0.002,(((1-'Setari model'!$B$34*MIN(1,($I73+$P73)/20))*$BT73+'Setari model'!$B$34*MIN(1,($I73+$P73)/20)*IF(COUNT($N73,$U73)=2,SQRT(MAX(0,1-$N73)*MAX(0,1-$U73)),$BT73))*(1-'Setari model'!$B$65*MIN(1,IF($AN73="",0,$AN73/'Setari model'!$B$64)))+'Setari model'!$B$65*MIN(1,IF($AN73="",0,$AN73/'Setari model'!$B$64))*IF($AM73="",$BT73,$AM73))*$DX73*$DY73/$DW73)))</x:f>
      </x:c>
      <x:c r="EA73" s="117" t="str">
        <x:f>IF($A73="","",MIN(1-$DZ73,IF(OR(MIN($I73,$P73)&lt;'Setari model'!$B$58,$CK73=1,$CL73=1,AND($CJ73&lt;&gt;"",$CJ73&lt;=1)),'Setari model'!$B$59,IF(AND($AU73=1,$AR73&gt;1,COUNT($CY73:$DB73)=4),'Setari model'!$B$61,'Setari model'!$B$60))))</x:f>
      </x:c>
      <x:c r="EB73" s="115" t="str">
        <x:f t="shared" si="125">IF($A73="","",1/$EA73)</x:f>
      </x:c>
      <x:c r="EC73" s="117" t="str">
        <x:f t="shared" si="126">IF($A73="","",IF($AR73&gt;1,IF($AS73&gt;1,(1/$AR73)/((1/$AR73)+(1/$AS73)),1/$AR73),""))</x:f>
      </x:c>
      <x:c r="ED73" s="117" t="str">
        <x:f t="shared" si="127">IF($A73="","",IF($EC73="","",$EA73-$EC73))</x:f>
      </x:c>
      <x:c r="EE73" s="117" t="str">
        <x:f t="shared" si="128">""</x:f>
      </x:c>
      <x:c r="EF73" s="119" t="str">
        <x:f>IF($A73="","",MAX(0,MIN(100,$CE73-200*MAX(0,$EG73-'Setari model'!$B$77)-IF($AU73&lt;&gt;1,10,0)-IF(COUNT($CY73:$DB73)&lt;4,4,0))))</x:f>
      </x:c>
      <x:c r="EG73" s="117" t="str">
        <x:f>IF($A73="","",'Setari model'!$B$77+IF(MIN($I73,$P73)&lt;'Setari model'!$B$58,0.03,0)+IF(OR($CK73=1,$CL73=1,AND($CJ73&lt;&gt;"",$CJ73&lt;=1)),0.03,0)+IF($AG73=0,0.02,0)+0.03*(1-MIN(1,COUNT($CM73:$CV73)/10))+0.03*(1-MIN(1,IF($AN73="",0,$AN73/'Setari model'!$B$64)))+IF($AR73&lt;=1,0.02,0))</x:f>
      </x:c>
      <x:c r="EH73" s="113" t="str">
        <x:f>IF($A73="","",IF(OR(MIN($I73,$P73)&lt;'Setari model'!$B$58,$CK73=1,$CL73=1,AND($CJ73&lt;&gt;"",$CJ73&lt;=1)),"92% – early/regim",IF(AND($AU73=1,$AR73&gt;1,COUNT($CY73:$DB73)=4),"94% – confirmat","93% – standard")))</x:f>
      </x:c>
      <x:c r="EI73" s="113" t="str">
        <x:f t="shared" si="129">IF($A73="","",IF(AND($EA73&gt;0.9,$AU73&lt;&gt;1),"WAIT XI – HIGH P",IF(AND($EA73&gt;0.9,COUNT($CY73:$DB73)&lt;4),"WAIT DATE CHEIE – HIGH P",IF($EP73&lt;&gt;"DA","NU – PORTOFOLIU","DA"))))</x:f>
      </x:c>
      <x:c r="EJ73" s="117" t="str">
        <x:f t="shared" si="130">IF($A73="","",IF($DE73&lt;&gt;"Live 20-30","",IF(SUM($DG73:$DH73)&gt;0,1,IF($EU73="","",1-MIN(0.95,MAX(0.001,EXP(-$EU73)*$DX73*$DY73/$DW73))))))</x:f>
      </x:c>
      <x:c r="EK73" s="117" t="str">
        <x:f t="shared" si="131">""</x:f>
      </x:c>
      <x:c r="EL73" s="113" t="str">
        <x:f>IF($A73="","",IF($DE73="Live 20-30",IF(SUM($DG73:$DH73)&gt;0,"EVENIMENT ÎNDEPLINIT",IF(OR($DF73="",COUNT($DI73:$DN73)&lt;4),"LIVE – WATCH",IF($EJ73&gt;=0.75,"LIVE – FEZABIL TEHNIC","LIVE – NO BET"))),IF($EI73&lt;&gt;"DA","WATCH / NO BET",IF(AND($EA73&gt;=INDEX('Setari model'!$B$35:$B$40,1),$EF73&gt;=100*'Setari model'!$B$76),"PARIU RECOMANDAT",IF(AND($EA73&gt;=INDEX('Setari model'!$B$35:$B$40,5),$EF73&gt;=100*'Setari model'!$B$40),"WATCH – APROAPE DE PRAG","PARIU EVITAT")))))</x:f>
      </x:c>
      <x:c r="EM73" s="113" t="str">
        <x:f t="shared" si="132">IF($A73="","",IF($DE73="Live 20-30",IF(SUM($DG73:$DH73)&gt;0,"Gol deja marcat.",IF($DF73="","Minut live lipsă.",IF(COUNT($DI73:$DN73)&lt;4,"Lipsesc xG/SOT/big chances live.",IF($EJ73&lt;0.75,"P live sub prag.","Semnal live tehnic complet; EV ignorat.")))),IF($EI73&lt;&gt;"DA",$EI73,IF($EF73&lt;75,"Confidence sub 75.",IF($EA73&lt;0.92,"P sub 92%.","G0/Zero-Mass + confidence trecute; EV ignorat.")))))</x:f>
      </x:c>
      <x:c r="EN73" s="117" t="str">
        <x:f>IF($A73="","",IF(OR($EL73="PARIU RECOMANDAT",$EL73="LIVE – FEZABIL"),MIN(IF($DU73&gt;0,$DU73,'Setari model'!$B$81)/MAX(1,$DR73),IF($DV73&gt;0,$DV73,'Setari model'!$B$80)*MAX(0,((IF($DE73="Live 20-30",$EJ73,$EA73)*IF($DE73="Live 20-30",$DQ73,$AR73)-1)/(IF($DE73="Live 20-30",$DQ73,$AR73)-1)))),0))</x:f>
      </x:c>
      <x:c r="EO73" s="121" t="str">
        <x:f t="shared" si="133">IF($A73="","",IF(AND($EN73&gt;0,$DT73&gt;0),$EN73*$DT73,""))</x:f>
      </x:c>
      <x:c r="EP73" s="113" t="str">
        <x:f>IF($A73="","",IF(OR($DR73&lt;1,$DR73&gt;'Setari model'!$B$78),"NU – 1–5 selecții",IF($DS73&gt;'Setari model'!$B$79,"NU – corelație", "DA")))</x:f>
      </x:c>
      <x:c r="EQ73" s="117" t="str">
        <x:f t="shared" si="134">IF($A73="","",IF(AND($DC73&gt;1,$DD73&gt;1),$DC73/$DD73-1,""))</x:f>
      </x:c>
      <x:c r="ER73" s="113" t="str">
        <x:f t="shared" si="135">IF($A73="","","P v2="&amp;TEXT($EA73,"0.0%")&amp;" ±"&amp;TEXT($EG73,"0.0%")&amp;"; P0 ZIP="&amp;TEXT($DZ73,"0.0%")&amp;"; Confidence="&amp;TEXT($EF73,"0")&amp;"/100; piață reală="&amp;IF($EC73="","NU","DA")&amp;"; EV="&amp;IF($EE73="","n/a",TEXT($EE73,"0.0%"))&amp;"; gate="&amp;$EI73&amp;"; verdict="&amp;$EL73&amp;". "&amp;$EM73)</x:f>
      </x:c>
      <x:c r="ES73" s="119" t="str">
        <x:f>IF($A73="","",'Setari model'!$B$82)</x:f>
      </x:c>
      <x:c r="ET73" s="118" t="str">
        <x:f>IF($A73="","",'Setari model'!$B$83)</x:f>
      </x:c>
      <x:c r="EU73" s="115" t="str">
        <x:f t="shared" si="136">IF(OR($A73="",$DE73&lt;&gt;"Live 20-30",$DF73="",$DF73&lt;$ES73,$DF73&gt;=90),"",MAX(0.05,MIN($BS73*$ET73,$BS73*(90-$DF73)/90+0.35*($DI73+$DJ73)+0.06*($DK73+$DL73)+0.15*($DM73+$DN73)+0.1*(MAX($DO73,$DP73)-MIN($DO73,$DP73)))))</x:f>
      </x:c>
      <x:c r="EV73" s="132"/>
      <x:c r="EW73" s="132"/>
      <x:c r="EX73" s="132"/>
      <x:c r="EY73" s="132"/>
      <x:c r="EZ73" s="132"/>
      <x:c r="FA73" s="132"/>
      <x:c r="FB73" s="247"/>
      <x:c r="FC73" s="134" t="str">
        <x:f t="shared" si="137">IF($A73="","",IF(OR($J73="",$L73="",$L73&lt;=0),"",MAX(0.5,MIN(1.5,$J73/$L73))))</x:f>
      </x:c>
      <x:c r="FD73" s="134" t="str">
        <x:f t="shared" si="138">IF($A73="","",IF(OR($Q73="",$S73="",$S73&lt;=0),"",MAX(0.5,MIN(1.5,$Q73/$S73))))</x:f>
      </x:c>
      <x:c r="FE73" s="134" t="str">
        <x:f>IF($A73="","",IF(COUNT($EV73:$EW73)&lt;2,"",SQRT($EV73*$EW73)/'Setari model'!$B$87))</x:f>
      </x:c>
      <x:c r="FF73" s="134" t="str">
        <x:f>IF($A73="","",IF(COUNT($O73,$V73,$EX73,$EY73)&lt;4,"",AVERAGE(SQRT($O73*$EY73),SQRT($V73*$EX73))/'Setari model'!$B$88))</x:f>
      </x:c>
      <x:c r="FG73" s="134" t="str">
        <x:f t="shared" si="139">IF($A73="","",IF(COUNT($FC73:$FD73)&lt;2,"",MAX(0,1-AVERAGE($FC73:$FD73))))</x:f>
      </x:c>
      <x:c r="FH73" s="134" t="str">
        <x:f>IF($A73="","",IF(COUNT($EZ73:$FA73)&lt;2,"",'Setari model'!$B$94*AVERAGE($EZ73:$FA73)/'Setari model'!$B$89))</x:f>
      </x:c>
      <x:c r="FI73" s="134" t="str">
        <x:f>IF($A73="","",IF(COUNT($FE73:$FH73)&lt;4,"",MAX('Setari model'!$B$97,MIN('Setari model'!$B$98,1+'Setari model'!$B$90*($FE73-1)+'Setari model'!$B$91*($FF73-1)+'Setari model'!$B$92*$FG73+'Setari model'!$B$93*($FH73-1)))))</x:f>
      </x:c>
      <x:c r="FJ73" s="133" t="str">
        <x:f>IF($A73="","",IF($FI73="","",MIN('Setari model'!$B$101,MAX(0.002,$DZ73*$FI73))))</x:f>
      </x:c>
      <x:c r="FK73" s="131" t="str">
        <x:f t="shared" si="140">IF($A73="","",IF(AND(COUNT($EV73:$FA73)=6,COUNT($O73,$V73,$FC73,$FD73)=4),"DA","NU"))</x:f>
      </x:c>
      <x:c r="FL73" s="131" t="str">
        <x:f>IF($A73="","",IF($FK73&lt;&gt;"DA","NEDETERMINAT",IF($FI73&lt;='Setari model'!$B$99,"SCĂZUT",IF($FI73&lt;='Setari model'!$B$100,"MEDIU","RIDICAT"))))</x:f>
      </x:c>
      <x:c r="FM73" s="131" t="str">
        <x:f>IF($A73="","",IF(AND($AR73&gt;1,$EC73&gt;='Setari model'!$B$106),"DA","NU"))</x:f>
      </x:c>
      <x:c r="FN73" s="131" t="str">
        <x:f t="shared" si="141">IF($A73="","",IF(AND($AU73=1,COUNT($CY73:$DB73)=4),"DA","NU"))</x:f>
      </x:c>
      <x:c r="FO73" s="133" t="str">
        <x:f>IF($A73="","",IF(OR($FK73&lt;&gt;"DA",$FL73="RIDICAT"),'Setari model'!$B$102,IF($FL73="MEDIU",'Setari model'!$B$103,IF(AND($FM73="DA",$FN73="DA"),'Setari model'!$B$105,'Setari model'!$B$104))))</x:f>
      </x:c>
      <x:c r="FP73" s="133" t="str">
        <x:f t="shared" si="142">IF($A73="","",IF($FJ73="","",MIN(1-$FJ73,$FO73)))</x:f>
      </x:c>
      <x:c r="FQ73" s="135" t="str">
        <x:f t="shared" si="143">IF($A73="","",IF($FP73="","",IF($FP73&gt;0,1/$FP73,"")))</x:f>
      </x:c>
      <x:c r="FR73" s="133" t="str">
        <x:f t="shared" si="144">IF($A73="","",IF($EC73="","",$FP73-$EC73))</x:f>
      </x:c>
      <x:c r="FS73" s="133" t="str">
        <x:f t="shared" si="145">IF($A73="","",IF($AR73&gt;1,$FP73*$AR73-1,""))</x:f>
      </x:c>
      <x:c r="FT73" s="136" t="str">
        <x:f>IF($A73="","",MAX(0,MIN(100,$EF73-IF($FK73&lt;&gt;"DA",'Setari model'!$B$107,0)-IF($FL73="MEDIU",'Setari model'!$B$108,0)-IF($FL73="RIDICAT",'Setari model'!$B$109,0))))</x:f>
      </x:c>
      <x:c r="FU73" s="131" t="str">
        <x:f t="shared" si="146">IF($A73="","",IF($AR73&lt;=1,"NU – LIPSEȘTE COTA REALĂ",IF($FK73&lt;&gt;"DA","NU – ZERO-RISK INCOMPLET",IF($FL73&lt;&gt;"SCĂZUT","NU – RISC 0-0 "&amp;$FL73,IF($FN73&lt;&gt;"DA","NU – LINEUP NECONFIRMAT",IF($FM73&lt;&gt;"DA","NU – PIAȚĂ NECONFIRMATĂ",IF($EP73&lt;&gt;"DA","NU – PORTOFOLIU","DA")))))))</x:f>
      </x:c>
      <x:c r="FV73" s="131" t="str">
        <x:f>IF($A73="","",IF($FU73&lt;&gt;"DA","WATCH / NO BET",IF(AND($FP73&gt;='Setari model'!$B$35,$FT73&gt;=100*'Setari model'!$B$76,$FS73&gt;0),"PARIU RECOMANDAT",IF(AND($FP73&gt;='Setari model'!$B$39,$FT73&gt;=100*'Setari model'!$B$40,$FS73&gt;0),"WATCH – APROAPE DE PRAG","PARIU EVITAT"))))</x:f>
      </x:c>
      <x:c r="FW73" s="131" t="str">
        <x:f t="shared" si="147">IF($A73="","",IF($FU73&lt;&gt;"DA",$FU73,IF($FT73&lt;75,"Confidence v3 sub 75.",IF($FP73&lt;0.92,"P v3 sub 92%.",IF($FS73&lt;=0,"EV v3 nepozitiv.","P0 v3, lineup și piață confirmate.")))))</x:f>
      </x:c>
      <x:c r="FX73" s="131" t="str">
        <x:f t="shared" si="148">IF($A73="","","P v3="&amp;TEXT($FP73,"0.0%")&amp;"; P0 v3="&amp;TEXT($FJ73,"0.0%")&amp;"; factor zero="&amp;IF($FI73="","n/a",TEXT($FI73,"0.00x"))&amp;" ("&amp;$FL73&amp;"); cap="&amp;TEXT($FO73,"0.0%")&amp;"; Confidence="&amp;TEXT($FT73,"0")&amp;"/100; lineup="&amp;$FN73&amp;"; piață="&amp;$FM73&amp;"; EV="&amp;IF($FS73="","n/a",TEXT($FS73,"0.0%"))&amp;"; gate="&amp;$FU73&amp;"; verdict="&amp;$FV73&amp;". "&amp;$FW73)</x:f>
      </x:c>
      <x:c r="FY73" s="159"/>
      <x:c r="FZ73" s="159"/>
      <x:c r="GA73" s="157"/>
      <x:c r="GB73" s="157"/>
      <x:c r="GC73" s="161" t="str">
        <x:f t="shared" si="149">IF($A73="","",IF(OR($X73="",$Z73="",$Z73&lt;=0),"",MAX(0.5,MIN(1.5,$X73/$Z73))))</x:f>
      </x:c>
      <x:c r="GD73" s="161" t="str">
        <x:f t="shared" si="150">IF($A73="","",IF(OR($AC73="",$AE73="",$AE73&lt;=0),"",MAX(0.5,MIN(1.5,$AC73/$AE73))))</x:f>
      </x:c>
      <x:c r="GE73" s="162" t="str">
        <x:f t="shared" si="151">IF($A73="","",IF(COUNT($Z73,$AE73)&lt;2,"",AVERAGE($Z73,$AE73)))</x:f>
      </x:c>
      <x:c r="GF73" s="158" t="str">
        <x:f>IF($A73="","",IF(COUNT($FY73:$FZ73)&lt;2,"NEDETERMINAT",IF(AND($FY73&gt;='Setari model'!$B$113,$FZ73&gt;='Setari model'!$B$113),"DA","NU")))</x:f>
      </x:c>
      <x:c r="GG73" s="158" t="str">
        <x:f>IF($A73="","",IF(COUNT($FY73:$FZ73,$EX73:$EY73)&lt;4,"NEDETERMINAT",IF(OR(AND($FY73&gt;='Setari model'!$B$113,$EY73&gt;='Setari model'!$B$114),AND($FZ73&gt;='Setari model'!$B$113,$EX73&gt;='Setari model'!$B$114)),"DA","NU")))</x:f>
      </x:c>
      <x:c r="GH73" s="158" t="str">
        <x:f>IF($A73="","",IF(COUNT($BJ73:$BN73,$GC73:$GE73)&lt;8,"NEDETERMINAT",IF(AND((($BJ73*INDEX('Setari model'!$B$5:$B$11,MATCH($E73,'Setari model'!$A$5:$A$11,0))+$BK73*INDEX('Setari model'!$C$5:$C$11,MATCH($E73,'Setari model'!$A$5:$A$11,0))+$BL73*INDEX('Setari model'!$D$5:$D$11,MATCH($E73,'Setari model'!$A$5:$A$11,0))+$BM73*INDEX('Setari model'!$E$5:$E$11,MATCH($E73,'Setari model'!$A$5:$A$11,0))+$BN73*INDEX('Setari model'!$F$5:$F$11,MATCH($E73,'Setari model'!$A$5:$A$11,0)))/(INDEX('Setari model'!$B$5:$B$11,MATCH($E73,'Setari model'!$A$5:$A$11,0))+INDEX('Setari model'!$C$5:$C$11,MATCH($E73,'Setari model'!$A$5:$A$11,0))+INDEX('Setari model'!$D$5:$D$11,MATCH($E73,'Setari model'!$A$5:$A$11,0))+INDEX('Setari model'!$E$5:$E$11,MATCH($E73,'Setari model'!$A$5:$A$11,0))+INDEX('Setari model'!$F$5:$F$11,MATCH($E73,'Setari model'!$A$5:$A$11,0))))*$BR73&gt;='Setari model'!$B$115,(($BJ73*INDEX('Setari model'!$B$5:$B$11,MATCH($E73,'Setari model'!$A$5:$A$11,0))+$BK73*INDEX('Setari model'!$C$5:$C$11,MATCH($E73,'Setari model'!$A$5:$A$11,0))+$BL73*INDEX('Setari model'!$D$5:$D$11,MATCH($E73,'Setari model'!$A$5:$A$11,0))+$BM73*INDEX('Setari model'!$E$5:$E$11,MATCH($E73,'Setari model'!$A$5:$A$11,0))+$BN73*INDEX('Setari model'!$F$5:$F$11,MATCH($E73,'Setari model'!$A$5:$A$11,0)))/(INDEX('Setari model'!$B$5:$B$11,MATCH($E73,'Setari model'!$A$5:$A$11,0))+INDEX('Setari model'!$C$5:$C$11,MATCH($E73,'Setari model'!$A$5:$A$11,0))+INDEX('Setari model'!$D$5:$D$11,MATCH($E73,'Setari model'!$A$5:$A$11,0))+INDEX('Setari model'!$E$5:$E$11,MATCH($E73,'Setari model'!$A$5:$A$11,0))+INDEX('Setari model'!$F$5:$F$11,MATCH($E73,'Setari model'!$A$5:$A$11,0))))*$BR73&lt;='Setari model'!$B$116,AVERAGE($GC73:$GD73)&lt;='Setari model'!$B$117,$GE73&gt;='Setari model'!$B$118),"DA","NU")))</x:f>
      </x:c>
      <x:c r="GI73" s="158" t="str">
        <x:f>IF($A73="","",IF(COUNT($W73,$AB73,$GA73:$GB73)&lt;4,"NEDETERMINAT",IF(AND($W73&gt;='Setari model'!$B$120,$AB73&gt;='Setari model'!$B$120,OR(IFERROR($GA73/$W73,0)&gt;='Setari model'!$B$119,IFERROR($GB73/$AB73,0)&gt;='Setari model'!$B$119)),"DA","NU")))</x:f>
      </x:c>
      <x:c r="GJ73" s="160" t="str">
        <x:f>IF($A73="","",IF(COUNT($FY73:$GB73)&lt;4,"",IF($GH73&lt;&gt;"DA",0,'Setari model'!$B$121*IF($GF73="DA",1,0)+'Setari model'!$B$122*IF($GG73="DA",1,0)+'Setari model'!$B$123+'Setari model'!$B$124*IF($GI73="DA",1,0))))</x:f>
      </x:c>
      <x:c r="GK73" s="161" t="str">
        <x:f>IF($A73="","",IF(COUNT($GJ73)=0,"",1+'Setari model'!$B$125*$GJ73))</x:f>
      </x:c>
      <x:c r="GL73" s="160" t="str">
        <x:f>IF($A73="","",IF($GM73&lt;&gt;"DA",$FJ73,MIN('Setari model'!$B$101,MAX(0.002,$FJ73*$GK73))))</x:f>
      </x:c>
      <x:c r="GM73" s="158" t="str">
        <x:f>IF($A73="","",IF(AND($FK73="DA",COUNT($FY73:$GB73)=4,COUNT($I73,$P73,$W73,$AB73,$Z73,$AE73,$EX73,$EY73,$GC73,$GD73)=10,COUNT($BJ73:$BN73)=5),"DA","NU"))</x:f>
      </x:c>
      <x:c r="GN73" s="158" t="str">
        <x:f>IF($A73="","",IF($GM73&lt;&gt;"DA","NEDETERMINAT",IF($FI73*$GK73&lt;='Setari model'!$B$99,"SCĂZUT",IF($FI73*$GK73&lt;='Setari model'!$B$100,"MEDIU","RIDICAT"))))</x:f>
      </x:c>
      <x:c r="GO73" s="160" t="str">
        <x:f>IF($A73="","",IF(OR($GM73&lt;&gt;"DA",$GN73="RIDICAT"),'Setari model'!$B$102,IF($GN73="MEDIU",'Setari model'!$B$103,IF(AND($FM73="DA",$FN73="DA"),'Setari model'!$B$105,'Setari model'!$B$104))))</x:f>
      </x:c>
      <x:c r="GP73" s="160" t="str">
        <x:f t="shared" si="152">IF($A73="","",IF($GL73="","",MIN(1-$GL73,$GO73)))</x:f>
      </x:c>
      <x:c r="GQ73" s="162" t="str">
        <x:f t="shared" si="153">IF($A73="","",IF($GP73="","",IF($GP73&gt;0,1/$GP73,"")))</x:f>
      </x:c>
      <x:c r="GR73" s="160" t="str">
        <x:f t="shared" si="154">IF($A73="","",IF($EC73="","",$GP73-$EC73))</x:f>
      </x:c>
      <x:c r="GS73" s="160" t="str">
        <x:f t="shared" si="155">IF($A73="","",IF($AR73&gt;1,$GP73*$AR73-1,""))</x:f>
      </x:c>
      <x:c r="GT73" s="163" t="str">
        <x:f>IF($A73="","",MAX(0,MIN(100,$FT73-IF(AND($GM73&lt;&gt;"DA",$FK73="DA"),'Setari model'!$B$107,0)-'Setari model'!$B$126*IF($GJ73="",0,$GJ73))))</x:f>
      </x:c>
      <x:c r="GU73" s="158" t="str">
        <x:f t="shared" si="156">IF($A73="","",IF($AR73&lt;=1,"NU – LIPSEȘTE COTA REALĂ",IF($GM73&lt;&gt;"DA","NU – DATE LOW-CONVERSION INCOMPLETE",IF($GN73&lt;&gt;"SCĂZUT","NU – RISC 0-0 "&amp;$GN73,IF($FN73&lt;&gt;"DA","NU – LINEUP NECONFIRMAT",IF($FM73&lt;&gt;"DA","NU – PIAȚĂ NECONFIRMATĂ",IF($EP73&lt;&gt;"DA","NU – PORTOFOLIU","DA")))))))</x:f>
      </x:c>
      <x:c r="GV73" s="158" t="str">
        <x:f>IF($A73="","",IF($GU73&lt;&gt;"DA","WATCH / NO BET",IF(AND($GP73&gt;='Setari model'!$B$35,$GT73&gt;=100*'Setari model'!$B$76,$GS73&gt;0),"PARIU RECOMANDAT",IF(AND($GP73&gt;='Setari model'!$B$39,$GT73&gt;=100*'Setari model'!$B$40,$GS73&gt;0),"WATCH – APROAPE DE PRAG","PARIU EVITAT"))))</x:f>
      </x:c>
      <x:c r="GW73" s="158" t="str">
        <x:f t="shared" si="157">IF($A73="","",IF($GU73&lt;&gt;"DA",$GU73,IF($GT73&lt;75,"Confidence v5 sub 75.",IF($GP73&lt;0.92,"P v5 sub 92%.",IF($GS73&lt;=0,"EV v5 nepozitiv.",IF($GJ73&gt;0,"Low-conversion absorbit în P0; toate porțile rămân trecute.","Toate porțile v5 sunt trecute."))))))</x:f>
      </x:c>
      <x:c r="GX73" s="158" t="str">
        <x:f t="shared" si="158">IF($A73="","","P v5="&amp;TEXT($GP73,"0.0%")&amp;"; P0 v5="&amp;TEXT($GL73,"0.0%")&amp;"; low-conv="&amp;IF(COUNT($GJ73)=0,"n/a",TEXT($GJ73,"0%"))&amp;"; mult.P0="&amp;IF(COUNT($GK73)=0,"n/a",TEXT($GK73,"0.00"))&amp;"; clasă="&amp;$GN73&amp;"; cap="&amp;TEXT($GO73,"0.0%")&amp;"; Confidence="&amp;TEXT($GT73,"0")&amp;"/100; lineup="&amp;$FN73&amp;"; piață="&amp;$FM73&amp;"; EV="&amp;IF($GS73="","n/a",TEXT($GS73,"0.0%"))&amp;"; gate="&amp;$GU73&amp;"; verdict="&amp;$GV73&amp;". "&amp;$GW73)</x:f>
      </x:c>
      <x:c r="GY73" s="174" t="str">
        <x:f>IF($A73="","",IF($GM73&lt;&gt;"DA","SOURCING INCOMPLETE – REVIEW REQUIRED",IF(MIN($I73,$P73,$W73,$AB73)&lt;'Setari model'!$B$58,"SMALL SAMPLE + PRIOR / SHRINKAGE","VERIFIED / PRIOR / SHRINKAGE")))</x:f>
      </x:c>
      <x:c r="GZ73" s="175" t="str">
        <x:f t="shared" si="159">IF($A73="","",MAX(0,MIN(100,100*(1-AVERAGE(IF($GM73="DA",1,0),MIN(1,$AT73/5))))))</x:f>
      </x:c>
      <x:c r="HA73" s="175" t="str">
        <x:f>IF($A73="","",IF($GM73&lt;&gt;"DA","",MAX(0,MIN(100,100*(($FI73*$GK73)-'Setari model'!$B$97)/('Setari model'!$B$98-'Setari model'!$B$97)))))</x:f>
      </x:c>
      <x:c r="HB73" s="175" t="str">
        <x:f>IF($A73="","",MAX(0,MIN(100,100*(ABS($BR73-1)/MAX(1-'Setari model'!$B$53,'Setari model'!$B$54-1)+MIN(1,$BG73/2))/2)))</x:f>
      </x:c>
      <x:c r="HC73" s="175" t="str">
        <x:f t="shared" si="160">IF($A73="","",MAX(0,MIN(100,100*(1-AVERAGE($CC73,MAX(0,1-(MAX($BJ73:$BN73)-MIN($BJ73:$BN73))/(AVERAGE($BJ73:$BN73)*'Setari model'!$B$45)))))))</x:f>
      </x:c>
      <x:c r="HD73" s="175" t="str">
        <x:f t="shared" si="161">IF($A73="","",MAX(0,MIN(100,100*MAX(IF($GJ73="",0,$GJ73),MIN(1,$BG73/2)))))</x:f>
      </x:c>
      <x:c r="HE73" s="175" t="str">
        <x:f>IF($A73="","",IF(COUNT($GZ73:$HD73)&lt;5,"",$GZ73*Risk_Classification!$E$28+$HA73*Risk_Classification!$E$29+$HB73*Risk_Classification!$E$30+$HC73*Risk_Classification!$E$31+$HD73*Risk_Classification!$E$32))</x:f>
      </x:c>
      <x:c r="HF73" s="176" t="str">
        <x:f t="shared" si="162">IF($A73="","",IF($HE73="","",IF($HE73&lt;=20,1,IF($HE73&lt;=40,2,IF($HE73&lt;=60,3,IF($HE73&lt;=80,4,5))))))</x:f>
      </x:c>
      <x:c r="HG73" s="176" t="str">
        <x:f t="shared" si="163">IF($A73="","",IF($GM73="DA","PASS","FAIL – DATE CRITICE ZERO-MASS INCOMPLETE"))</x:f>
      </x:c>
      <x:c r="HH73" s="176" t="str">
        <x:f t="shared" si="164">IF($A73="","",IF($HG73&lt;&gt;"PASS",5,$HF73))</x:f>
      </x:c>
      <x:c r="HI73" s="174" t="str">
        <x:f t="shared" si="165">IF($A73="","",IF($HH73="","N/A",IF($HH73=1,"DEFENSIV",IF($HH73=2,"PRUDENT",IF($HH73=3,"MODERAT",IF($HH73=4,"RIDICAT","WATCH / NO BET"))))))</x:f>
      </x:c>
      <x:c r="HJ73" s="177" t="str">
        <x:f t="shared" si="166">IF($A73="","","Data="&amp;$GY73&amp;"; DQ="&amp;TEXT($GZ73,"0.0")&amp;"; ZM="&amp;IF($HA73="","n/a",TEXT($HA73,"0.0"))&amp;"; Context="&amp;TEXT($HB73,"0.0")&amp;"; Uncertainty="&amp;TEXT($HC73,"0.0")&amp;"; Compound="&amp;TEXT($HD73,"0.0")&amp;"; Risk Score="&amp;IF($HE73="","n/a",TEXT($HE73,"0.0"))&amp;"; Base="&amp;IF($HF73="","n/a",$HF73)&amp;"; G0="&amp;$HG73&amp;"; Final="&amp;$HH73&amp;". Cota, EV si lineup sunt informative si nu intra in recomandare.")</x:f>
      </x:c>
      <x:c r="HK73" s="174" t="str">
        <x:f t="shared" si="167">IF($A73="","",$HI73)</x:f>
      </x:c>
    </x:row>
    <x:row r="74" ht="24" customHeight="1">
      <x:c r="A74" s="58"/>
      <x:c r="B74" s="24"/>
      <x:c r="C74" s="59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18"/>
      <x:c r="O74" s="18"/>
      <x:c r="P74" s="24"/>
      <x:c r="Q74" s="24"/>
      <x:c r="R74" s="24"/>
      <x:c r="S74" s="24"/>
      <x:c r="T74" s="24"/>
      <x:c r="U74" s="18"/>
      <x:c r="V74" s="18"/>
      <x:c r="W74" s="24"/>
      <x:c r="X74" s="24"/>
      <x:c r="Y74" s="24"/>
      <x:c r="Z74" s="24"/>
      <x:c r="AA74" s="24"/>
      <x:c r="AB74" s="24"/>
      <x:c r="AC74" s="24"/>
      <x:c r="AD74" s="24"/>
      <x:c r="AE74" s="24"/>
      <x:c r="AF74" s="24"/>
      <x:c r="AG74" s="24"/>
      <x:c r="AH74" s="24"/>
      <x:c r="AI74" s="18"/>
      <x:c r="AJ74" s="24"/>
      <x:c r="AK74" s="24"/>
      <x:c r="AL74" s="24"/>
      <x:c r="AM74" s="18"/>
      <x:c r="AN74" s="24"/>
      <x:c r="AO74" s="60"/>
      <x:c r="AP74" s="60"/>
      <x:c r="AQ74" s="60"/>
      <x:c r="AR74" s="60"/>
      <x:c r="AS74" s="60"/>
      <x:c r="AT74" s="24"/>
      <x:c r="AU74" s="24"/>
      <x:c r="AV74" s="24"/>
      <x:c r="AW74" s="24"/>
      <x:c r="AX74" s="24"/>
      <x:c r="AY74" s="24"/>
      <x:c r="AZ74" s="24"/>
      <x:c r="BA74" s="24"/>
      <x:c r="BB74" s="24"/>
      <x:c r="BC74" s="24"/>
      <x:c r="BD74" s="24"/>
      <x:c r="BE74" s="24"/>
      <x:c r="BF74" s="24"/>
      <x:c r="BG74" s="24"/>
      <x:c r="BH74" s="61"/>
      <x:c r="BI74" s="61"/>
      <x:c r="BJ74" s="62" t="str">
        <x:f>IF($A74="","",SQRT((($I74*IF($J74="",$AJ74,$J74)+'Setari model'!$B$30*$AJ74)/($I74+'Setari model'!$B$30))*(($P74*IF($R74="",$AJ74,$R74)+'Setari model'!$B$30*$AJ74)/($P74+'Setari model'!$B$30)))+SQRT((($P74*IF($Q74="",$AK74,$Q74)+'Setari model'!$B$30*$AK74)/($P74+'Setari model'!$B$30))*(($I74*IF($K74="",$AK74,$K74)+'Setari model'!$B$30*$AK74)/($I74+'Setari model'!$B$30))))</x:f>
      </x:c>
      <x:c r="BK74" s="62" t="str">
        <x:f>IF($A74="","",SQRT((($I74*IF($L74="",IF($J74="",$AJ74,$J74),$L74)+'Setari model'!$B$30*$AJ74)/($I74+'Setari model'!$B$30))*(($P74*IF($T74="",IF($R74="",$AJ74,$R74),$T74)+'Setari model'!$B$30*$AJ74)/($P74+'Setari model'!$B$30)))+SQRT((($P74*IF($S74="",IF($Q74="",$AK74,$Q74),$S74)+'Setari model'!$B$30*$AK74)/($P74+'Setari model'!$B$30))*(($I74*IF($M74="",IF($K74="",$AK74,$K74),$M74)+'Setari model'!$B$30*$AK74)/($I74+'Setari model'!$B$30))))</x:f>
      </x:c>
      <x:c r="BL74" s="62" t="str">
        <x:f>IF($A74="","",SQRT((($W74*IF($X74="",$AL74/2,$X74)+'Setari model'!$B$31*$AL74/2)/($W74+'Setari model'!$B$31))*(($AB74*IF($AD74="",$AL74/2,$AD74)+'Setari model'!$B$31*$AL74/2)/($AB74+'Setari model'!$B$31)))+SQRT((($AB74*IF($AC74="",$AL74/2,$AC74)+'Setari model'!$B$31*$AL74/2)/($AB74+'Setari model'!$B$31))*(($W74*IF($Y74="",$AL74/2,$Y74)+'Setari model'!$B$31*$AL74/2)/($W74+'Setari model'!$B$31))))</x:f>
      </x:c>
      <x:c r="BM74" s="62" t="str">
        <x:f>IF($A74="","",SQRT((($W74*IF($Z74="",IF($X74="",$AL74/2,$X74),$Z74)+'Setari model'!$B$31*$AL74/2)/($W74+'Setari model'!$B$31))*(($AB74*IF($AF74="",IF($AD74="",$AL74/2,$AD74),$AF74)+'Setari model'!$B$31*$AL74/2)/($AB74+'Setari model'!$B$31)))+SQRT((($AB74*IF($AE74="",IF($AC74="",$AL74/2,$AC74),$AE74)+'Setari model'!$B$31*$AL74/2)/($AB74+'Setari model'!$B$31))*(($W74*IF($AA74="",IF($Y74="",$AL74/2,$Y74),$AA74)+'Setari model'!$B$31*$AL74/2)/($W74+'Setari model'!$B$31))))</x:f>
      </x:c>
      <x:c r="BN74" s="62" t="str">
        <x:f t="shared" si="112">IF($A74="","",IF($AG74&gt;0,($AG74*IF($AH74="",$AL74,$AH74)+5*$AL74)/($AG74+5),$AL74))</x:f>
      </x:c>
      <x:c r="BO74" s="63" t="str">
        <x:f>IF($A74="","",IF($AR74&gt;1,IF($AS74&gt;1,(1/$AR74)/((1/$AR74+1/$AS74)),MIN(0.995,(1/$AR74)/(1+'Setari model'!$B$32))),1-EXP(-$AL74)))</x:f>
      </x:c>
      <x:c r="BP74" s="62" t="str">
        <x:f t="shared" si="113">IF($A74="","",-LN(1-$BO74))</x:f>
      </x:c>
      <x:c r="BQ74" s="62" t="str">
        <x:f>IF($A74="","",$BJ74*INDEX('Setari model'!$B$5:$B$11,MATCH($E74,'Setari model'!$A$5:$A$11,0))+$BK74*INDEX('Setari model'!$C$5:$C$11,MATCH($E74,'Setari model'!$A$5:$A$11,0))+$BL74*INDEX('Setari model'!$D$5:$D$11,MATCH($E74,'Setari model'!$A$5:$A$11,0))+$BM74*INDEX('Setari model'!$E$5:$E$11,MATCH($E74,'Setari model'!$A$5:$A$11,0))+$BN74*INDEX('Setari model'!$F$5:$F$11,MATCH($E74,'Setari model'!$A$5:$A$11,0))+$BP74*INDEX('Setari model'!$G$5:$G$11,MATCH($E74,'Setari model'!$A$5:$A$11,0)))</x:f>
      </x:c>
      <x:c r="BR74" s="64" t="str">
        <x:f>IF($A74="","",MAX('Setari model'!$B$53,MIN('Setari model'!$B$54,1+($AV74*'Setari model'!$B$15+$AW74*'Setari model'!$B$16+$AX74*'Setari model'!$B$17+$AY74*'Setari model'!$B$18+$AZ74*'Setari model'!$B$19+$BA74*'Setari model'!$B$20+$BB74*'Setari model'!$B$21+$BC74*'Setari model'!$B$22+$BD74*'Setari model'!$B$23+$BE74*'Setari model'!$B$24+$BF74*'Setari model'!$B$25)*INDEX('Setari model'!$H$5:$H$11,MATCH($E74,'Setari model'!$A$5:$A$11,0)))))</x:f>
      </x:c>
      <x:c r="BS74" s="62" t="str">
        <x:f t="shared" si="114">IF($A74="","",$BQ74*$BR74)</x:f>
      </x:c>
      <x:c r="BT74" s="63" t="str">
        <x:f t="shared" si="115">IF($A74="","",EXP(-$BS74))</x:f>
      </x:c>
      <x:c r="BU74" s="65" t="str">
        <x:f>IF($A74="","",IF(OR($AM74="",$AN74=""),1,1+MIN('Setari model'!$B$33,$AN74/100*'Setari model'!$B$33)*($AM74/EXP(-$AL74)-1)))</x:f>
      </x:c>
      <x:c r="BV74" s="63" t="str">
        <x:f>IF($A74="","",MIN(0.45,MAX(0.005,(1-'Setari model'!$B$34*MIN(1,($I74+$P74)/20))*MIN(0.45,$BT74*$BU74)+'Setari model'!$B$34*MIN(1,($I74+$P74)/20)*IF(COUNT($N74,$U74)=2,SQRT(MAX(0,1-$N74)*MAX(0,1-$U74)),IF($AM74="",EXP(-$AL74),$AM74)))))</x:f>
      </x:c>
      <x:c r="BW74" s="63" t="str">
        <x:f t="shared" si="116">IF($A74="","",1-$BV74)</x:f>
      </x:c>
      <x:c r="BX74" s="62" t="str">
        <x:f t="shared" si="117">IF($A74="","",1/$BW74)</x:f>
      </x:c>
      <x:c r="BY74" s="63" t="str">
        <x:f t="shared" si="118">IF($A74="","",$BO74)</x:f>
      </x:c>
      <x:c r="BZ74" s="63" t="str">
        <x:f t="shared" si="119">IF($A74="","",$BW74-$BY74)</x:f>
      </x:c>
      <x:c r="CA74" s="63" t="str">
        <x:f t="shared" si="120">IF($A74="","",IF($AR74&gt;1,$BW74*$AR74-1,""))</x:f>
      </x:c>
      <x:c r="CB74" s="63" t="str">
        <x:f>IF($A74="","",MIN(1,COUNT($I74:$AN74,$AR74:$BG74)/'Setari model'!$B$46))</x:f>
      </x:c>
      <x:c r="CC74" s="63" t="str">
        <x:f t="shared" si="121">IF($A74="","",0.25*MIN(1,$I74/10)+0.25*MIN(1,$P74/10)+0.15*MIN(1,$W74/5)+0.15*MIN(1,$AB74/5)+0.1*MIN(1,$AG74/5)+0.1*MIN(1,$AN74/100))</x:f>
      </x:c>
      <x:c r="CD74" s="63" t="str">
        <x:f>IF($A74="","",MAX(0,1-(MAX($BJ74:$BN74,$BP74)-MIN($BJ74:$BN74,$BP74))/(AVERAGE($BJ74:$BN74,$BP74)*'Setari model'!$B$45)))</x:f>
      </x:c>
      <x:c r="CE74" s="66" t="str">
        <x:f>IF($A74="","",MAX(0,MIN(100,100*INDEX('Setari model'!$I$5:$I$11,MATCH($E74,'Setari model'!$A$5:$A$11,0))*('Setari model'!$B$47*$CB74+'Setari model'!$B$48*$CC74+'Setari model'!$B$49*$CD74+'Setari model'!$B$50*$AT74/5+'Setari model'!$B$51*$AU74)-100*'Setari model'!$B$52*$BG74)))</x:f>
      </x:c>
      <x:c r="CF74" s="65" t="str">
        <x:f t="shared" si="122">IF($A74="","",IF(OR($AT74&lt;3,$BG74&gt;=2,$CB74&lt;0.55,$CC74&lt;0.4),"RIDICAT",IF(OR($AU74=0,$CD74&lt;0.45,$BR74&lt;0.9),"MEDIU","SCĂZUT")))</x:f>
      </x:c>
      <x:c r="CG74" s="65" t="str">
        <x:f>IF($A74="","",IF($AR74&gt;1,IF(AND($BW74&gt;= 'Setari model'!$B$35,$CE74&gt;=100*'Setari model'!$B$36,$BZ74&gt;= 'Setari model'!$B$37,$CA74&gt;= 'Setari model'!$B$38,$CF74&lt;&gt;"RIDICAT"),"PARIU RECOMANDAT",IF(AND($BW74&gt;= 'Setari model'!$B$39,$CE74&gt;=100*'Setari model'!$B$40,$BZ74&gt;= 'Setari model'!$B$41,$CA74&gt;=0,$CF74&lt;&gt;"RIDICAT"),"RECOMANDAT CU PRUDENȚĂ",IF(AND($BW74&gt;= 'Setari model'!$B$42,$CE74&gt;=100*'Setari model'!$B$43),"ANALIZĂ NECONCLUDENTĂ","PARIU EVITAT"))),IF(AND($BW74&gt;= 'Setari model'!$B$35,$CE74&gt;=100*'Setari model'!$B$36,$CF74&lt;&gt;"RIDICAT"),"FAVORABIL STATISTIC – VERIFICĂ COTA",IF(AND($BW74&gt;= 'Setari model'!$B$42,$CE74&gt;=100*'Setari model'!$B$43),"ANALIZĂ NECONCLUDENTĂ","PARIU EVITAT"))))</x:f>
      </x:c>
      <x:c r="CH74" s="67" t="str">
        <x:f t="shared" si="123">IF($A74="","","P(O0,5)="&amp;TEXT($BW74,"0.0%")&amp;"; λ ajustat="&amp;TEXT($BS74,"0.00")&amp;"; Confidence="&amp;TEXT($CE74,"0")&amp;"/100; Edge="&amp;TEXT($BZ74,"0.0%")&amp;"; risc="&amp;$CF74&amp;". "&amp;$BH74)</x:f>
      </x:c>
      <x:c r="CI74" s="68" t="str">
        <x:f t="shared" si="124">IF($A74="","",$BI74)</x:f>
      </x:c>
      <x:c r="CJ74" s="112"/>
      <x:c r="CK74" s="112"/>
      <x:c r="CL74" s="112"/>
      <x:c r="CM74" s="112"/>
      <x:c r="CN74" s="112"/>
      <x:c r="CO74" s="112"/>
      <x:c r="CP74" s="112"/>
      <x:c r="CQ74" s="112"/>
      <x:c r="CR74" s="112"/>
      <x:c r="CS74" s="112"/>
      <x:c r="CT74" s="112"/>
      <x:c r="CU74" s="112"/>
      <x:c r="CV74" s="112"/>
      <x:c r="CW74" s="112"/>
      <x:c r="CX74" s="112"/>
      <x:c r="CY74" s="112"/>
      <x:c r="CZ74" s="112"/>
      <x:c r="DA74" s="112"/>
      <x:c r="DB74" s="112"/>
      <x:c r="DC74" s="114"/>
      <x:c r="DD74" s="114"/>
      <x:c r="DE74" s="112" t="s">
        <x:v>266</x:v>
      </x:c>
      <x:c r="DF74" s="112"/>
      <x:c r="DG74" s="112"/>
      <x:c r="DH74" s="112"/>
      <x:c r="DI74" s="112"/>
      <x:c r="DJ74" s="112"/>
      <x:c r="DK74" s="112"/>
      <x:c r="DL74" s="112"/>
      <x:c r="DM74" s="112"/>
      <x:c r="DN74" s="112"/>
      <x:c r="DO74" s="112"/>
      <x:c r="DP74" s="112"/>
      <x:c r="DQ74" s="114"/>
      <x:c r="DR74" s="112">
        <x:v>1</x:v>
      </x:c>
      <x:c r="DS74" s="116">
        <x:v>0</x:v>
      </x:c>
      <x:c r="DT74" s="120"/>
      <x:c r="DU74" s="116">
        <x:v>0.02</x:v>
      </x:c>
      <x:c r="DV74" s="116">
        <x:v>0.25</x:v>
      </x:c>
      <x:c r="DW74" s="118" t="str">
        <x:f>IF($A74="","",MAX('Setari model'!$B$71,MIN('Setari model'!$B$72,1+0.08*(IFERROR(AVERAGE($CM74:$CN74)/'Setari model'!$B$66,1)-1)+0.08*(IFERROR(AVERAGE($CO74:$CP74)/'Setari model'!$B$67,1)-1)+0.06*(IFERROR(AVERAGE($CQ74:$CR74)/'Setari model'!$B$68,1)-1)+0.04*(IFERROR(AVERAGE($CS74:$CT74)/'Setari model'!$B$69,1)-1)+0.04*(IFERROR(AVERAGE($CU74:$CV74)/'Setari model'!$B$70,1)-1)-'Setari model'!$B$73*IFERROR(AVERAGE($CW74:$CX74),0))))</x:f>
      </x:c>
      <x:c r="DX74" s="118" t="str">
        <x:f>IF($A74="","",1+'Setari model'!$B$62*MAX(IF(OR($CK74=1,$CL74=1),1,0),IF(AND($CJ74&lt;&gt;"",$CJ74&lt;=1),1,0))+'Setari model'!$B$63*IF(AND($CJ74&gt;1,$CJ74&lt;=3),1,0))</x:f>
      </x:c>
      <x:c r="DY74" s="118" t="str">
        <x:f>IF($A74="","",1+'Setari model'!$B$74*(IF($CY74="",0,IF($CY74=0,1,0))+IF($CZ74="",0,IF($CZ74=0,1,0)))+'Setari model'!$B$75*(IF($DA74="",0,IF($DA74=0,1,0))+IF($DB74="",0,IF($DB74=0,1,0))))</x:f>
      </x:c>
      <x:c r="DZ74" s="117" t="str">
        <x:f>IF($A74="","",MIN(0.6,MAX(0.002,(((1-'Setari model'!$B$34*MIN(1,($I74+$P74)/20))*$BT74+'Setari model'!$B$34*MIN(1,($I74+$P74)/20)*IF(COUNT($N74,$U74)=2,SQRT(MAX(0,1-$N74)*MAX(0,1-$U74)),$BT74))*(1-'Setari model'!$B$65*MIN(1,IF($AN74="",0,$AN74/'Setari model'!$B$64)))+'Setari model'!$B$65*MIN(1,IF($AN74="",0,$AN74/'Setari model'!$B$64))*IF($AM74="",$BT74,$AM74))*$DX74*$DY74/$DW74)))</x:f>
      </x:c>
      <x:c r="EA74" s="117" t="str">
        <x:f>IF($A74="","",MIN(1-$DZ74,IF(OR(MIN($I74,$P74)&lt;'Setari model'!$B$58,$CK74=1,$CL74=1,AND($CJ74&lt;&gt;"",$CJ74&lt;=1)),'Setari model'!$B$59,IF(AND($AU74=1,$AR74&gt;1,COUNT($CY74:$DB74)=4),'Setari model'!$B$61,'Setari model'!$B$60))))</x:f>
      </x:c>
      <x:c r="EB74" s="115" t="str">
        <x:f t="shared" si="125">IF($A74="","",1/$EA74)</x:f>
      </x:c>
      <x:c r="EC74" s="117" t="str">
        <x:f t="shared" si="126">IF($A74="","",IF($AR74&gt;1,IF($AS74&gt;1,(1/$AR74)/((1/$AR74)+(1/$AS74)),1/$AR74),""))</x:f>
      </x:c>
      <x:c r="ED74" s="117" t="str">
        <x:f t="shared" si="127">IF($A74="","",IF($EC74="","",$EA74-$EC74))</x:f>
      </x:c>
      <x:c r="EE74" s="117" t="str">
        <x:f t="shared" si="128">""</x:f>
      </x:c>
      <x:c r="EF74" s="119" t="str">
        <x:f>IF($A74="","",MAX(0,MIN(100,$CE74-200*MAX(0,$EG74-'Setari model'!$B$77)-IF($AU74&lt;&gt;1,10,0)-IF(COUNT($CY74:$DB74)&lt;4,4,0))))</x:f>
      </x:c>
      <x:c r="EG74" s="117" t="str">
        <x:f>IF($A74="","",'Setari model'!$B$77+IF(MIN($I74,$P74)&lt;'Setari model'!$B$58,0.03,0)+IF(OR($CK74=1,$CL74=1,AND($CJ74&lt;&gt;"",$CJ74&lt;=1)),0.03,0)+IF($AG74=0,0.02,0)+0.03*(1-MIN(1,COUNT($CM74:$CV74)/10))+0.03*(1-MIN(1,IF($AN74="",0,$AN74/'Setari model'!$B$64)))+IF($AR74&lt;=1,0.02,0))</x:f>
      </x:c>
      <x:c r="EH74" s="113" t="str">
        <x:f>IF($A74="","",IF(OR(MIN($I74,$P74)&lt;'Setari model'!$B$58,$CK74=1,$CL74=1,AND($CJ74&lt;&gt;"",$CJ74&lt;=1)),"92% – early/regim",IF(AND($AU74=1,$AR74&gt;1,COUNT($CY74:$DB74)=4),"94% – confirmat","93% – standard")))</x:f>
      </x:c>
      <x:c r="EI74" s="113" t="str">
        <x:f t="shared" si="129">IF($A74="","",IF(AND($EA74&gt;0.9,$AU74&lt;&gt;1),"WAIT XI – HIGH P",IF(AND($EA74&gt;0.9,COUNT($CY74:$DB74)&lt;4),"WAIT DATE CHEIE – HIGH P",IF($EP74&lt;&gt;"DA","NU – PORTOFOLIU","DA"))))</x:f>
      </x:c>
      <x:c r="EJ74" s="117" t="str">
        <x:f t="shared" si="130">IF($A74="","",IF($DE74&lt;&gt;"Live 20-30","",IF(SUM($DG74:$DH74)&gt;0,1,IF($EU74="","",1-MIN(0.95,MAX(0.001,EXP(-$EU74)*$DX74*$DY74/$DW74))))))</x:f>
      </x:c>
      <x:c r="EK74" s="117" t="str">
        <x:f t="shared" si="131">""</x:f>
      </x:c>
      <x:c r="EL74" s="113" t="str">
        <x:f>IF($A74="","",IF($DE74="Live 20-30",IF(SUM($DG74:$DH74)&gt;0,"EVENIMENT ÎNDEPLINIT",IF(OR($DF74="",COUNT($DI74:$DN74)&lt;4),"LIVE – WATCH",IF($EJ74&gt;=0.75,"LIVE – FEZABIL TEHNIC","LIVE – NO BET"))),IF($EI74&lt;&gt;"DA","WATCH / NO BET",IF(AND($EA74&gt;=INDEX('Setari model'!$B$35:$B$40,1),$EF74&gt;=100*'Setari model'!$B$76),"PARIU RECOMANDAT",IF(AND($EA74&gt;=INDEX('Setari model'!$B$35:$B$40,5),$EF74&gt;=100*'Setari model'!$B$40),"WATCH – APROAPE DE PRAG","PARIU EVITAT")))))</x:f>
      </x:c>
      <x:c r="EM74" s="113" t="str">
        <x:f t="shared" si="132">IF($A74="","",IF($DE74="Live 20-30",IF(SUM($DG74:$DH74)&gt;0,"Gol deja marcat.",IF($DF74="","Minut live lipsă.",IF(COUNT($DI74:$DN74)&lt;4,"Lipsesc xG/SOT/big chances live.",IF($EJ74&lt;0.75,"P live sub prag.","Semnal live tehnic complet; EV ignorat.")))),IF($EI74&lt;&gt;"DA",$EI74,IF($EF74&lt;75,"Confidence sub 75.",IF($EA74&lt;0.92,"P sub 92%.","G0/Zero-Mass + confidence trecute; EV ignorat.")))))</x:f>
      </x:c>
      <x:c r="EN74" s="117" t="str">
        <x:f>IF($A74="","",IF(OR($EL74="PARIU RECOMANDAT",$EL74="LIVE – FEZABIL"),MIN(IF($DU74&gt;0,$DU74,'Setari model'!$B$81)/MAX(1,$DR74),IF($DV74&gt;0,$DV74,'Setari model'!$B$80)*MAX(0,((IF($DE74="Live 20-30",$EJ74,$EA74)*IF($DE74="Live 20-30",$DQ74,$AR74)-1)/(IF($DE74="Live 20-30",$DQ74,$AR74)-1)))),0))</x:f>
      </x:c>
      <x:c r="EO74" s="121" t="str">
        <x:f t="shared" si="133">IF($A74="","",IF(AND($EN74&gt;0,$DT74&gt;0),$EN74*$DT74,""))</x:f>
      </x:c>
      <x:c r="EP74" s="113" t="str">
        <x:f>IF($A74="","",IF(OR($DR74&lt;1,$DR74&gt;'Setari model'!$B$78),"NU – 1–5 selecții",IF($DS74&gt;'Setari model'!$B$79,"NU – corelație", "DA")))</x:f>
      </x:c>
      <x:c r="EQ74" s="117" t="str">
        <x:f t="shared" si="134">IF($A74="","",IF(AND($DC74&gt;1,$DD74&gt;1),$DC74/$DD74-1,""))</x:f>
      </x:c>
      <x:c r="ER74" s="113" t="str">
        <x:f t="shared" si="135">IF($A74="","","P v2="&amp;TEXT($EA74,"0.0%")&amp;" ±"&amp;TEXT($EG74,"0.0%")&amp;"; P0 ZIP="&amp;TEXT($DZ74,"0.0%")&amp;"; Confidence="&amp;TEXT($EF74,"0")&amp;"/100; piață reală="&amp;IF($EC74="","NU","DA")&amp;"; EV="&amp;IF($EE74="","n/a",TEXT($EE74,"0.0%"))&amp;"; gate="&amp;$EI74&amp;"; verdict="&amp;$EL74&amp;". "&amp;$EM74)</x:f>
      </x:c>
      <x:c r="ES74" s="119" t="str">
        <x:f>IF($A74="","",'Setari model'!$B$82)</x:f>
      </x:c>
      <x:c r="ET74" s="118" t="str">
        <x:f>IF($A74="","",'Setari model'!$B$83)</x:f>
      </x:c>
      <x:c r="EU74" s="115" t="str">
        <x:f t="shared" si="136">IF(OR($A74="",$DE74&lt;&gt;"Live 20-30",$DF74="",$DF74&lt;$ES74,$DF74&gt;=90),"",MAX(0.05,MIN($BS74*$ET74,$BS74*(90-$DF74)/90+0.35*($DI74+$DJ74)+0.06*($DK74+$DL74)+0.15*($DM74+$DN74)+0.1*(MAX($DO74,$DP74)-MIN($DO74,$DP74)))))</x:f>
      </x:c>
      <x:c r="EV74" s="132"/>
      <x:c r="EW74" s="132"/>
      <x:c r="EX74" s="132"/>
      <x:c r="EY74" s="132"/>
      <x:c r="EZ74" s="132"/>
      <x:c r="FA74" s="132"/>
      <x:c r="FB74" s="247"/>
      <x:c r="FC74" s="134" t="str">
        <x:f t="shared" si="137">IF($A74="","",IF(OR($J74="",$L74="",$L74&lt;=0),"",MAX(0.5,MIN(1.5,$J74/$L74))))</x:f>
      </x:c>
      <x:c r="FD74" s="134" t="str">
        <x:f t="shared" si="138">IF($A74="","",IF(OR($Q74="",$S74="",$S74&lt;=0),"",MAX(0.5,MIN(1.5,$Q74/$S74))))</x:f>
      </x:c>
      <x:c r="FE74" s="134" t="str">
        <x:f>IF($A74="","",IF(COUNT($EV74:$EW74)&lt;2,"",SQRT($EV74*$EW74)/'Setari model'!$B$87))</x:f>
      </x:c>
      <x:c r="FF74" s="134" t="str">
        <x:f>IF($A74="","",IF(COUNT($O74,$V74,$EX74,$EY74)&lt;4,"",AVERAGE(SQRT($O74*$EY74),SQRT($V74*$EX74))/'Setari model'!$B$88))</x:f>
      </x:c>
      <x:c r="FG74" s="134" t="str">
        <x:f t="shared" si="139">IF($A74="","",IF(COUNT($FC74:$FD74)&lt;2,"",MAX(0,1-AVERAGE($FC74:$FD74))))</x:f>
      </x:c>
      <x:c r="FH74" s="134" t="str">
        <x:f>IF($A74="","",IF(COUNT($EZ74:$FA74)&lt;2,"",'Setari model'!$B$94*AVERAGE($EZ74:$FA74)/'Setari model'!$B$89))</x:f>
      </x:c>
      <x:c r="FI74" s="134" t="str">
        <x:f>IF($A74="","",IF(COUNT($FE74:$FH74)&lt;4,"",MAX('Setari model'!$B$97,MIN('Setari model'!$B$98,1+'Setari model'!$B$90*($FE74-1)+'Setari model'!$B$91*($FF74-1)+'Setari model'!$B$92*$FG74+'Setari model'!$B$93*($FH74-1)))))</x:f>
      </x:c>
      <x:c r="FJ74" s="133" t="str">
        <x:f>IF($A74="","",IF($FI74="","",MIN('Setari model'!$B$101,MAX(0.002,$DZ74*$FI74))))</x:f>
      </x:c>
      <x:c r="FK74" s="131" t="str">
        <x:f t="shared" si="140">IF($A74="","",IF(AND(COUNT($EV74:$FA74)=6,COUNT($O74,$V74,$FC74,$FD74)=4),"DA","NU"))</x:f>
      </x:c>
      <x:c r="FL74" s="131" t="str">
        <x:f>IF($A74="","",IF($FK74&lt;&gt;"DA","NEDETERMINAT",IF($FI74&lt;='Setari model'!$B$99,"SCĂZUT",IF($FI74&lt;='Setari model'!$B$100,"MEDIU","RIDICAT"))))</x:f>
      </x:c>
      <x:c r="FM74" s="131" t="str">
        <x:f>IF($A74="","",IF(AND($AR74&gt;1,$EC74&gt;='Setari model'!$B$106),"DA","NU"))</x:f>
      </x:c>
      <x:c r="FN74" s="131" t="str">
        <x:f t="shared" si="141">IF($A74="","",IF(AND($AU74=1,COUNT($CY74:$DB74)=4),"DA","NU"))</x:f>
      </x:c>
      <x:c r="FO74" s="133" t="str">
        <x:f>IF($A74="","",IF(OR($FK74&lt;&gt;"DA",$FL74="RIDICAT"),'Setari model'!$B$102,IF($FL74="MEDIU",'Setari model'!$B$103,IF(AND($FM74="DA",$FN74="DA"),'Setari model'!$B$105,'Setari model'!$B$104))))</x:f>
      </x:c>
      <x:c r="FP74" s="133" t="str">
        <x:f t="shared" si="142">IF($A74="","",IF($FJ74="","",MIN(1-$FJ74,$FO74)))</x:f>
      </x:c>
      <x:c r="FQ74" s="135" t="str">
        <x:f t="shared" si="143">IF($A74="","",IF($FP74="","",IF($FP74&gt;0,1/$FP74,"")))</x:f>
      </x:c>
      <x:c r="FR74" s="133" t="str">
        <x:f t="shared" si="144">IF($A74="","",IF($EC74="","",$FP74-$EC74))</x:f>
      </x:c>
      <x:c r="FS74" s="133" t="str">
        <x:f t="shared" si="145">IF($A74="","",IF($AR74&gt;1,$FP74*$AR74-1,""))</x:f>
      </x:c>
      <x:c r="FT74" s="136" t="str">
        <x:f>IF($A74="","",MAX(0,MIN(100,$EF74-IF($FK74&lt;&gt;"DA",'Setari model'!$B$107,0)-IF($FL74="MEDIU",'Setari model'!$B$108,0)-IF($FL74="RIDICAT",'Setari model'!$B$109,0))))</x:f>
      </x:c>
      <x:c r="FU74" s="131" t="str">
        <x:f t="shared" si="146">IF($A74="","",IF($AR74&lt;=1,"NU – LIPSEȘTE COTA REALĂ",IF($FK74&lt;&gt;"DA","NU – ZERO-RISK INCOMPLET",IF($FL74&lt;&gt;"SCĂZUT","NU – RISC 0-0 "&amp;$FL74,IF($FN74&lt;&gt;"DA","NU – LINEUP NECONFIRMAT",IF($FM74&lt;&gt;"DA","NU – PIAȚĂ NECONFIRMATĂ",IF($EP74&lt;&gt;"DA","NU – PORTOFOLIU","DA")))))))</x:f>
      </x:c>
      <x:c r="FV74" s="131" t="str">
        <x:f>IF($A74="","",IF($FU74&lt;&gt;"DA","WATCH / NO BET",IF(AND($FP74&gt;='Setari model'!$B$35,$FT74&gt;=100*'Setari model'!$B$76,$FS74&gt;0),"PARIU RECOMANDAT",IF(AND($FP74&gt;='Setari model'!$B$39,$FT74&gt;=100*'Setari model'!$B$40,$FS74&gt;0),"WATCH – APROAPE DE PRAG","PARIU EVITAT"))))</x:f>
      </x:c>
      <x:c r="FW74" s="131" t="str">
        <x:f t="shared" si="147">IF($A74="","",IF($FU74&lt;&gt;"DA",$FU74,IF($FT74&lt;75,"Confidence v3 sub 75.",IF($FP74&lt;0.92,"P v3 sub 92%.",IF($FS74&lt;=0,"EV v3 nepozitiv.","P0 v3, lineup și piață confirmate.")))))</x:f>
      </x:c>
      <x:c r="FX74" s="131" t="str">
        <x:f t="shared" si="148">IF($A74="","","P v3="&amp;TEXT($FP74,"0.0%")&amp;"; P0 v3="&amp;TEXT($FJ74,"0.0%")&amp;"; factor zero="&amp;IF($FI74="","n/a",TEXT($FI74,"0.00x"))&amp;" ("&amp;$FL74&amp;"); cap="&amp;TEXT($FO74,"0.0%")&amp;"; Confidence="&amp;TEXT($FT74,"0")&amp;"/100; lineup="&amp;$FN74&amp;"; piață="&amp;$FM74&amp;"; EV="&amp;IF($FS74="","n/a",TEXT($FS74,"0.0%"))&amp;"; gate="&amp;$FU74&amp;"; verdict="&amp;$FV74&amp;". "&amp;$FW74)</x:f>
      </x:c>
      <x:c r="FY74" s="159"/>
      <x:c r="FZ74" s="159"/>
      <x:c r="GA74" s="157"/>
      <x:c r="GB74" s="157"/>
      <x:c r="GC74" s="161" t="str">
        <x:f t="shared" si="149">IF($A74="","",IF(OR($X74="",$Z74="",$Z74&lt;=0),"",MAX(0.5,MIN(1.5,$X74/$Z74))))</x:f>
      </x:c>
      <x:c r="GD74" s="161" t="str">
        <x:f t="shared" si="150">IF($A74="","",IF(OR($AC74="",$AE74="",$AE74&lt;=0),"",MAX(0.5,MIN(1.5,$AC74/$AE74))))</x:f>
      </x:c>
      <x:c r="GE74" s="162" t="str">
        <x:f t="shared" si="151">IF($A74="","",IF(COUNT($Z74,$AE74)&lt;2,"",AVERAGE($Z74,$AE74)))</x:f>
      </x:c>
      <x:c r="GF74" s="158" t="str">
        <x:f>IF($A74="","",IF(COUNT($FY74:$FZ74)&lt;2,"NEDETERMINAT",IF(AND($FY74&gt;='Setari model'!$B$113,$FZ74&gt;='Setari model'!$B$113),"DA","NU")))</x:f>
      </x:c>
      <x:c r="GG74" s="158" t="str">
        <x:f>IF($A74="","",IF(COUNT($FY74:$FZ74,$EX74:$EY74)&lt;4,"NEDETERMINAT",IF(OR(AND($FY74&gt;='Setari model'!$B$113,$EY74&gt;='Setari model'!$B$114),AND($FZ74&gt;='Setari model'!$B$113,$EX74&gt;='Setari model'!$B$114)),"DA","NU")))</x:f>
      </x:c>
      <x:c r="GH74" s="158" t="str">
        <x:f>IF($A74="","",IF(COUNT($BJ74:$BN74,$GC74:$GE74)&lt;8,"NEDETERMINAT",IF(AND((($BJ74*INDEX('Setari model'!$B$5:$B$11,MATCH($E74,'Setari model'!$A$5:$A$11,0))+$BK74*INDEX('Setari model'!$C$5:$C$11,MATCH($E74,'Setari model'!$A$5:$A$11,0))+$BL74*INDEX('Setari model'!$D$5:$D$11,MATCH($E74,'Setari model'!$A$5:$A$11,0))+$BM74*INDEX('Setari model'!$E$5:$E$11,MATCH($E74,'Setari model'!$A$5:$A$11,0))+$BN74*INDEX('Setari model'!$F$5:$F$11,MATCH($E74,'Setari model'!$A$5:$A$11,0)))/(INDEX('Setari model'!$B$5:$B$11,MATCH($E74,'Setari model'!$A$5:$A$11,0))+INDEX('Setari model'!$C$5:$C$11,MATCH($E74,'Setari model'!$A$5:$A$11,0))+INDEX('Setari model'!$D$5:$D$11,MATCH($E74,'Setari model'!$A$5:$A$11,0))+INDEX('Setari model'!$E$5:$E$11,MATCH($E74,'Setari model'!$A$5:$A$11,0))+INDEX('Setari model'!$F$5:$F$11,MATCH($E74,'Setari model'!$A$5:$A$11,0))))*$BR74&gt;='Setari model'!$B$115,(($BJ74*INDEX('Setari model'!$B$5:$B$11,MATCH($E74,'Setari model'!$A$5:$A$11,0))+$BK74*INDEX('Setari model'!$C$5:$C$11,MATCH($E74,'Setari model'!$A$5:$A$11,0))+$BL74*INDEX('Setari model'!$D$5:$D$11,MATCH($E74,'Setari model'!$A$5:$A$11,0))+$BM74*INDEX('Setari model'!$E$5:$E$11,MATCH($E74,'Setari model'!$A$5:$A$11,0))+$BN74*INDEX('Setari model'!$F$5:$F$11,MATCH($E74,'Setari model'!$A$5:$A$11,0)))/(INDEX('Setari model'!$B$5:$B$11,MATCH($E74,'Setari model'!$A$5:$A$11,0))+INDEX('Setari model'!$C$5:$C$11,MATCH($E74,'Setari model'!$A$5:$A$11,0))+INDEX('Setari model'!$D$5:$D$11,MATCH($E74,'Setari model'!$A$5:$A$11,0))+INDEX('Setari model'!$E$5:$E$11,MATCH($E74,'Setari model'!$A$5:$A$11,0))+INDEX('Setari model'!$F$5:$F$11,MATCH($E74,'Setari model'!$A$5:$A$11,0))))*$BR74&lt;='Setari model'!$B$116,AVERAGE($GC74:$GD74)&lt;='Setari model'!$B$117,$GE74&gt;='Setari model'!$B$118),"DA","NU")))</x:f>
      </x:c>
      <x:c r="GI74" s="158" t="str">
        <x:f>IF($A74="","",IF(COUNT($W74,$AB74,$GA74:$GB74)&lt;4,"NEDETERMINAT",IF(AND($W74&gt;='Setari model'!$B$120,$AB74&gt;='Setari model'!$B$120,OR(IFERROR($GA74/$W74,0)&gt;='Setari model'!$B$119,IFERROR($GB74/$AB74,0)&gt;='Setari model'!$B$119)),"DA","NU")))</x:f>
      </x:c>
      <x:c r="GJ74" s="160" t="str">
        <x:f>IF($A74="","",IF(COUNT($FY74:$GB74)&lt;4,"",IF($GH74&lt;&gt;"DA",0,'Setari model'!$B$121*IF($GF74="DA",1,0)+'Setari model'!$B$122*IF($GG74="DA",1,0)+'Setari model'!$B$123+'Setari model'!$B$124*IF($GI74="DA",1,0))))</x:f>
      </x:c>
      <x:c r="GK74" s="161" t="str">
        <x:f>IF($A74="","",IF(COUNT($GJ74)=0,"",1+'Setari model'!$B$125*$GJ74))</x:f>
      </x:c>
      <x:c r="GL74" s="160" t="str">
        <x:f>IF($A74="","",IF($GM74&lt;&gt;"DA",$FJ74,MIN('Setari model'!$B$101,MAX(0.002,$FJ74*$GK74))))</x:f>
      </x:c>
      <x:c r="GM74" s="158" t="str">
        <x:f>IF($A74="","",IF(AND($FK74="DA",COUNT($FY74:$GB74)=4,COUNT($I74,$P74,$W74,$AB74,$Z74,$AE74,$EX74,$EY74,$GC74,$GD74)=10,COUNT($BJ74:$BN74)=5),"DA","NU"))</x:f>
      </x:c>
      <x:c r="GN74" s="158" t="str">
        <x:f>IF($A74="","",IF($GM74&lt;&gt;"DA","NEDETERMINAT",IF($FI74*$GK74&lt;='Setari model'!$B$99,"SCĂZUT",IF($FI74*$GK74&lt;='Setari model'!$B$100,"MEDIU","RIDICAT"))))</x:f>
      </x:c>
      <x:c r="GO74" s="160" t="str">
        <x:f>IF($A74="","",IF(OR($GM74&lt;&gt;"DA",$GN74="RIDICAT"),'Setari model'!$B$102,IF($GN74="MEDIU",'Setari model'!$B$103,IF(AND($FM74="DA",$FN74="DA"),'Setari model'!$B$105,'Setari model'!$B$104))))</x:f>
      </x:c>
      <x:c r="GP74" s="160" t="str">
        <x:f t="shared" si="152">IF($A74="","",IF($GL74="","",MIN(1-$GL74,$GO74)))</x:f>
      </x:c>
      <x:c r="GQ74" s="162" t="str">
        <x:f t="shared" si="153">IF($A74="","",IF($GP74="","",IF($GP74&gt;0,1/$GP74,"")))</x:f>
      </x:c>
      <x:c r="GR74" s="160" t="str">
        <x:f t="shared" si="154">IF($A74="","",IF($EC74="","",$GP74-$EC74))</x:f>
      </x:c>
      <x:c r="GS74" s="160" t="str">
        <x:f t="shared" si="155">IF($A74="","",IF($AR74&gt;1,$GP74*$AR74-1,""))</x:f>
      </x:c>
      <x:c r="GT74" s="163" t="str">
        <x:f>IF($A74="","",MAX(0,MIN(100,$FT74-IF(AND($GM74&lt;&gt;"DA",$FK74="DA"),'Setari model'!$B$107,0)-'Setari model'!$B$126*IF($GJ74="",0,$GJ74))))</x:f>
      </x:c>
      <x:c r="GU74" s="158" t="str">
        <x:f t="shared" si="156">IF($A74="","",IF($AR74&lt;=1,"NU – LIPSEȘTE COTA REALĂ",IF($GM74&lt;&gt;"DA","NU – DATE LOW-CONVERSION INCOMPLETE",IF($GN74&lt;&gt;"SCĂZUT","NU – RISC 0-0 "&amp;$GN74,IF($FN74&lt;&gt;"DA","NU – LINEUP NECONFIRMAT",IF($FM74&lt;&gt;"DA","NU – PIAȚĂ NECONFIRMATĂ",IF($EP74&lt;&gt;"DA","NU – PORTOFOLIU","DA")))))))</x:f>
      </x:c>
      <x:c r="GV74" s="158" t="str">
        <x:f>IF($A74="","",IF($GU74&lt;&gt;"DA","WATCH / NO BET",IF(AND($GP74&gt;='Setari model'!$B$35,$GT74&gt;=100*'Setari model'!$B$76,$GS74&gt;0),"PARIU RECOMANDAT",IF(AND($GP74&gt;='Setari model'!$B$39,$GT74&gt;=100*'Setari model'!$B$40,$GS74&gt;0),"WATCH – APROAPE DE PRAG","PARIU EVITAT"))))</x:f>
      </x:c>
      <x:c r="GW74" s="158" t="str">
        <x:f t="shared" si="157">IF($A74="","",IF($GU74&lt;&gt;"DA",$GU74,IF($GT74&lt;75,"Confidence v5 sub 75.",IF($GP74&lt;0.92,"P v5 sub 92%.",IF($GS74&lt;=0,"EV v5 nepozitiv.",IF($GJ74&gt;0,"Low-conversion absorbit în P0; toate porțile rămân trecute.","Toate porțile v5 sunt trecute."))))))</x:f>
      </x:c>
      <x:c r="GX74" s="158" t="str">
        <x:f t="shared" si="158">IF($A74="","","P v5="&amp;TEXT($GP74,"0.0%")&amp;"; P0 v5="&amp;TEXT($GL74,"0.0%")&amp;"; low-conv="&amp;IF(COUNT($GJ74)=0,"n/a",TEXT($GJ74,"0%"))&amp;"; mult.P0="&amp;IF(COUNT($GK74)=0,"n/a",TEXT($GK74,"0.00"))&amp;"; clasă="&amp;$GN74&amp;"; cap="&amp;TEXT($GO74,"0.0%")&amp;"; Confidence="&amp;TEXT($GT74,"0")&amp;"/100; lineup="&amp;$FN74&amp;"; piață="&amp;$FM74&amp;"; EV="&amp;IF($GS74="","n/a",TEXT($GS74,"0.0%"))&amp;"; gate="&amp;$GU74&amp;"; verdict="&amp;$GV74&amp;". "&amp;$GW74)</x:f>
      </x:c>
      <x:c r="GY74" s="174" t="str">
        <x:f>IF($A74="","",IF($GM74&lt;&gt;"DA","SOURCING INCOMPLETE – REVIEW REQUIRED",IF(MIN($I74,$P74,$W74,$AB74)&lt;'Setari model'!$B$58,"SMALL SAMPLE + PRIOR / SHRINKAGE","VERIFIED / PRIOR / SHRINKAGE")))</x:f>
      </x:c>
      <x:c r="GZ74" s="175" t="str">
        <x:f t="shared" si="159">IF($A74="","",MAX(0,MIN(100,100*(1-AVERAGE(IF($GM74="DA",1,0),MIN(1,$AT74/5))))))</x:f>
      </x:c>
      <x:c r="HA74" s="175" t="str">
        <x:f>IF($A74="","",IF($GM74&lt;&gt;"DA","",MAX(0,MIN(100,100*(($FI74*$GK74)-'Setari model'!$B$97)/('Setari model'!$B$98-'Setari model'!$B$97)))))</x:f>
      </x:c>
      <x:c r="HB74" s="175" t="str">
        <x:f>IF($A74="","",MAX(0,MIN(100,100*(ABS($BR74-1)/MAX(1-'Setari model'!$B$53,'Setari model'!$B$54-1)+MIN(1,$BG74/2))/2)))</x:f>
      </x:c>
      <x:c r="HC74" s="175" t="str">
        <x:f t="shared" si="160">IF($A74="","",MAX(0,MIN(100,100*(1-AVERAGE($CC74,MAX(0,1-(MAX($BJ74:$BN74)-MIN($BJ74:$BN74))/(AVERAGE($BJ74:$BN74)*'Setari model'!$B$45)))))))</x:f>
      </x:c>
      <x:c r="HD74" s="175" t="str">
        <x:f t="shared" si="161">IF($A74="","",MAX(0,MIN(100,100*MAX(IF($GJ74="",0,$GJ74),MIN(1,$BG74/2)))))</x:f>
      </x:c>
      <x:c r="HE74" s="175" t="str">
        <x:f>IF($A74="","",IF(COUNT($GZ74:$HD74)&lt;5,"",$GZ74*Risk_Classification!$E$28+$HA74*Risk_Classification!$E$29+$HB74*Risk_Classification!$E$30+$HC74*Risk_Classification!$E$31+$HD74*Risk_Classification!$E$32))</x:f>
      </x:c>
      <x:c r="HF74" s="176" t="str">
        <x:f t="shared" si="162">IF($A74="","",IF($HE74="","",IF($HE74&lt;=20,1,IF($HE74&lt;=40,2,IF($HE74&lt;=60,3,IF($HE74&lt;=80,4,5))))))</x:f>
      </x:c>
      <x:c r="HG74" s="176" t="str">
        <x:f t="shared" si="163">IF($A74="","",IF($GM74="DA","PASS","FAIL – DATE CRITICE ZERO-MASS INCOMPLETE"))</x:f>
      </x:c>
      <x:c r="HH74" s="176" t="str">
        <x:f t="shared" si="164">IF($A74="","",IF($HG74&lt;&gt;"PASS",5,$HF74))</x:f>
      </x:c>
      <x:c r="HI74" s="174" t="str">
        <x:f t="shared" si="165">IF($A74="","",IF($HH74="","N/A",IF($HH74=1,"DEFENSIV",IF($HH74=2,"PRUDENT",IF($HH74=3,"MODERAT",IF($HH74=4,"RIDICAT","WATCH / NO BET"))))))</x:f>
      </x:c>
      <x:c r="HJ74" s="177" t="str">
        <x:f t="shared" si="166">IF($A74="","","Data="&amp;$GY74&amp;"; DQ="&amp;TEXT($GZ74,"0.0")&amp;"; ZM="&amp;IF($HA74="","n/a",TEXT($HA74,"0.0"))&amp;"; Context="&amp;TEXT($HB74,"0.0")&amp;"; Uncertainty="&amp;TEXT($HC74,"0.0")&amp;"; Compound="&amp;TEXT($HD74,"0.0")&amp;"; Risk Score="&amp;IF($HE74="","n/a",TEXT($HE74,"0.0"))&amp;"; Base="&amp;IF($HF74="","n/a",$HF74)&amp;"; G0="&amp;$HG74&amp;"; Final="&amp;$HH74&amp;". Cota, EV si lineup sunt informative si nu intra in recomandare.")</x:f>
      </x:c>
      <x:c r="HK74" s="174" t="str">
        <x:f t="shared" si="167">IF($A74="","",$HI74)</x:f>
      </x:c>
    </x:row>
    <x:row r="75" ht="24" customHeight="1">
      <x:c r="A75" s="58"/>
      <x:c r="B75" s="24"/>
      <x:c r="C75" s="59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18"/>
      <x:c r="O75" s="18"/>
      <x:c r="P75" s="24"/>
      <x:c r="Q75" s="24"/>
      <x:c r="R75" s="24"/>
      <x:c r="S75" s="24"/>
      <x:c r="T75" s="24"/>
      <x:c r="U75" s="18"/>
      <x:c r="V75" s="18"/>
      <x:c r="W75" s="24"/>
      <x:c r="X75" s="24"/>
      <x:c r="Y75" s="24"/>
      <x:c r="Z75" s="24"/>
      <x:c r="AA75" s="24"/>
      <x:c r="AB75" s="24"/>
      <x:c r="AC75" s="24"/>
      <x:c r="AD75" s="24"/>
      <x:c r="AE75" s="24"/>
      <x:c r="AF75" s="24"/>
      <x:c r="AG75" s="24"/>
      <x:c r="AH75" s="24"/>
      <x:c r="AI75" s="18"/>
      <x:c r="AJ75" s="24"/>
      <x:c r="AK75" s="24"/>
      <x:c r="AL75" s="24"/>
      <x:c r="AM75" s="18"/>
      <x:c r="AN75" s="24"/>
      <x:c r="AO75" s="60"/>
      <x:c r="AP75" s="60"/>
      <x:c r="AQ75" s="60"/>
      <x:c r="AR75" s="60"/>
      <x:c r="AS75" s="60"/>
      <x:c r="AT75" s="24"/>
      <x:c r="AU75" s="24"/>
      <x:c r="AV75" s="24"/>
      <x:c r="AW75" s="24"/>
      <x:c r="AX75" s="24"/>
      <x:c r="AY75" s="24"/>
      <x:c r="AZ75" s="24"/>
      <x:c r="BA75" s="24"/>
      <x:c r="BB75" s="24"/>
      <x:c r="BC75" s="24"/>
      <x:c r="BD75" s="24"/>
      <x:c r="BE75" s="24"/>
      <x:c r="BF75" s="24"/>
      <x:c r="BG75" s="24"/>
      <x:c r="BH75" s="61"/>
      <x:c r="BI75" s="61"/>
      <x:c r="BJ75" s="62" t="str">
        <x:f>IF($A75="","",SQRT((($I75*IF($J75="",$AJ75,$J75)+'Setari model'!$B$30*$AJ75)/($I75+'Setari model'!$B$30))*(($P75*IF($R75="",$AJ75,$R75)+'Setari model'!$B$30*$AJ75)/($P75+'Setari model'!$B$30)))+SQRT((($P75*IF($Q75="",$AK75,$Q75)+'Setari model'!$B$30*$AK75)/($P75+'Setari model'!$B$30))*(($I75*IF($K75="",$AK75,$K75)+'Setari model'!$B$30*$AK75)/($I75+'Setari model'!$B$30))))</x:f>
      </x:c>
      <x:c r="BK75" s="62" t="str">
        <x:f>IF($A75="","",SQRT((($I75*IF($L75="",IF($J75="",$AJ75,$J75),$L75)+'Setari model'!$B$30*$AJ75)/($I75+'Setari model'!$B$30))*(($P75*IF($T75="",IF($R75="",$AJ75,$R75),$T75)+'Setari model'!$B$30*$AJ75)/($P75+'Setari model'!$B$30)))+SQRT((($P75*IF($S75="",IF($Q75="",$AK75,$Q75),$S75)+'Setari model'!$B$30*$AK75)/($P75+'Setari model'!$B$30))*(($I75*IF($M75="",IF($K75="",$AK75,$K75),$M75)+'Setari model'!$B$30*$AK75)/($I75+'Setari model'!$B$30))))</x:f>
      </x:c>
      <x:c r="BL75" s="62" t="str">
        <x:f>IF($A75="","",SQRT((($W75*IF($X75="",$AL75/2,$X75)+'Setari model'!$B$31*$AL75/2)/($W75+'Setari model'!$B$31))*(($AB75*IF($AD75="",$AL75/2,$AD75)+'Setari model'!$B$31*$AL75/2)/($AB75+'Setari model'!$B$31)))+SQRT((($AB75*IF($AC75="",$AL75/2,$AC75)+'Setari model'!$B$31*$AL75/2)/($AB75+'Setari model'!$B$31))*(($W75*IF($Y75="",$AL75/2,$Y75)+'Setari model'!$B$31*$AL75/2)/($W75+'Setari model'!$B$31))))</x:f>
      </x:c>
      <x:c r="BM75" s="62" t="str">
        <x:f>IF($A75="","",SQRT((($W75*IF($Z75="",IF($X75="",$AL75/2,$X75),$Z75)+'Setari model'!$B$31*$AL75/2)/($W75+'Setari model'!$B$31))*(($AB75*IF($AF75="",IF($AD75="",$AL75/2,$AD75),$AF75)+'Setari model'!$B$31*$AL75/2)/($AB75+'Setari model'!$B$31)))+SQRT((($AB75*IF($AE75="",IF($AC75="",$AL75/2,$AC75),$AE75)+'Setari model'!$B$31*$AL75/2)/($AB75+'Setari model'!$B$31))*(($W75*IF($AA75="",IF($Y75="",$AL75/2,$Y75),$AA75)+'Setari model'!$B$31*$AL75/2)/($W75+'Setari model'!$B$31))))</x:f>
      </x:c>
      <x:c r="BN75" s="62" t="str">
        <x:f t="shared" si="112">IF($A75="","",IF($AG75&gt;0,($AG75*IF($AH75="",$AL75,$AH75)+5*$AL75)/($AG75+5),$AL75))</x:f>
      </x:c>
      <x:c r="BO75" s="63" t="str">
        <x:f>IF($A75="","",IF($AR75&gt;1,IF($AS75&gt;1,(1/$AR75)/((1/$AR75+1/$AS75)),MIN(0.995,(1/$AR75)/(1+'Setari model'!$B$32))),1-EXP(-$AL75)))</x:f>
      </x:c>
      <x:c r="BP75" s="62" t="str">
        <x:f t="shared" si="113">IF($A75="","",-LN(1-$BO75))</x:f>
      </x:c>
      <x:c r="BQ75" s="62" t="str">
        <x:f>IF($A75="","",$BJ75*INDEX('Setari model'!$B$5:$B$11,MATCH($E75,'Setari model'!$A$5:$A$11,0))+$BK75*INDEX('Setari model'!$C$5:$C$11,MATCH($E75,'Setari model'!$A$5:$A$11,0))+$BL75*INDEX('Setari model'!$D$5:$D$11,MATCH($E75,'Setari model'!$A$5:$A$11,0))+$BM75*INDEX('Setari model'!$E$5:$E$11,MATCH($E75,'Setari model'!$A$5:$A$11,0))+$BN75*INDEX('Setari model'!$F$5:$F$11,MATCH($E75,'Setari model'!$A$5:$A$11,0))+$BP75*INDEX('Setari model'!$G$5:$G$11,MATCH($E75,'Setari model'!$A$5:$A$11,0)))</x:f>
      </x:c>
      <x:c r="BR75" s="64" t="str">
        <x:f>IF($A75="","",MAX('Setari model'!$B$53,MIN('Setari model'!$B$54,1+($AV75*'Setari model'!$B$15+$AW75*'Setari model'!$B$16+$AX75*'Setari model'!$B$17+$AY75*'Setari model'!$B$18+$AZ75*'Setari model'!$B$19+$BA75*'Setari model'!$B$20+$BB75*'Setari model'!$B$21+$BC75*'Setari model'!$B$22+$BD75*'Setari model'!$B$23+$BE75*'Setari model'!$B$24+$BF75*'Setari model'!$B$25)*INDEX('Setari model'!$H$5:$H$11,MATCH($E75,'Setari model'!$A$5:$A$11,0)))))</x:f>
      </x:c>
      <x:c r="BS75" s="62" t="str">
        <x:f t="shared" si="114">IF($A75="","",$BQ75*$BR75)</x:f>
      </x:c>
      <x:c r="BT75" s="63" t="str">
        <x:f t="shared" si="115">IF($A75="","",EXP(-$BS75))</x:f>
      </x:c>
      <x:c r="BU75" s="65" t="str">
        <x:f>IF($A75="","",IF(OR($AM75="",$AN75=""),1,1+MIN('Setari model'!$B$33,$AN75/100*'Setari model'!$B$33)*($AM75/EXP(-$AL75)-1)))</x:f>
      </x:c>
      <x:c r="BV75" s="63" t="str">
        <x:f>IF($A75="","",MIN(0.45,MAX(0.005,(1-'Setari model'!$B$34*MIN(1,($I75+$P75)/20))*MIN(0.45,$BT75*$BU75)+'Setari model'!$B$34*MIN(1,($I75+$P75)/20)*IF(COUNT($N75,$U75)=2,SQRT(MAX(0,1-$N75)*MAX(0,1-$U75)),IF($AM75="",EXP(-$AL75),$AM75)))))</x:f>
      </x:c>
      <x:c r="BW75" s="63" t="str">
        <x:f t="shared" si="116">IF($A75="","",1-$BV75)</x:f>
      </x:c>
      <x:c r="BX75" s="62" t="str">
        <x:f t="shared" si="117">IF($A75="","",1/$BW75)</x:f>
      </x:c>
      <x:c r="BY75" s="63" t="str">
        <x:f t="shared" si="118">IF($A75="","",$BO75)</x:f>
      </x:c>
      <x:c r="BZ75" s="63" t="str">
        <x:f t="shared" si="119">IF($A75="","",$BW75-$BY75)</x:f>
      </x:c>
      <x:c r="CA75" s="63" t="str">
        <x:f t="shared" si="120">IF($A75="","",IF($AR75&gt;1,$BW75*$AR75-1,""))</x:f>
      </x:c>
      <x:c r="CB75" s="63" t="str">
        <x:f>IF($A75="","",MIN(1,COUNT($I75:$AN75,$AR75:$BG75)/'Setari model'!$B$46))</x:f>
      </x:c>
      <x:c r="CC75" s="63" t="str">
        <x:f t="shared" si="121">IF($A75="","",0.25*MIN(1,$I75/10)+0.25*MIN(1,$P75/10)+0.15*MIN(1,$W75/5)+0.15*MIN(1,$AB75/5)+0.1*MIN(1,$AG75/5)+0.1*MIN(1,$AN75/100))</x:f>
      </x:c>
      <x:c r="CD75" s="63" t="str">
        <x:f>IF($A75="","",MAX(0,1-(MAX($BJ75:$BN75,$BP75)-MIN($BJ75:$BN75,$BP75))/(AVERAGE($BJ75:$BN75,$BP75)*'Setari model'!$B$45)))</x:f>
      </x:c>
      <x:c r="CE75" s="66" t="str">
        <x:f>IF($A75="","",MAX(0,MIN(100,100*INDEX('Setari model'!$I$5:$I$11,MATCH($E75,'Setari model'!$A$5:$A$11,0))*('Setari model'!$B$47*$CB75+'Setari model'!$B$48*$CC75+'Setari model'!$B$49*$CD75+'Setari model'!$B$50*$AT75/5+'Setari model'!$B$51*$AU75)-100*'Setari model'!$B$52*$BG75)))</x:f>
      </x:c>
      <x:c r="CF75" s="65" t="str">
        <x:f t="shared" si="122">IF($A75="","",IF(OR($AT75&lt;3,$BG75&gt;=2,$CB75&lt;0.55,$CC75&lt;0.4),"RIDICAT",IF(OR($AU75=0,$CD75&lt;0.45,$BR75&lt;0.9),"MEDIU","SCĂZUT")))</x:f>
      </x:c>
      <x:c r="CG75" s="65" t="str">
        <x:f>IF($A75="","",IF($AR75&gt;1,IF(AND($BW75&gt;= 'Setari model'!$B$35,$CE75&gt;=100*'Setari model'!$B$36,$BZ75&gt;= 'Setari model'!$B$37,$CA75&gt;= 'Setari model'!$B$38,$CF75&lt;&gt;"RIDICAT"),"PARIU RECOMANDAT",IF(AND($BW75&gt;= 'Setari model'!$B$39,$CE75&gt;=100*'Setari model'!$B$40,$BZ75&gt;= 'Setari model'!$B$41,$CA75&gt;=0,$CF75&lt;&gt;"RIDICAT"),"RECOMANDAT CU PRUDENȚĂ",IF(AND($BW75&gt;= 'Setari model'!$B$42,$CE75&gt;=100*'Setari model'!$B$43),"ANALIZĂ NECONCLUDENTĂ","PARIU EVITAT"))),IF(AND($BW75&gt;= 'Setari model'!$B$35,$CE75&gt;=100*'Setari model'!$B$36,$CF75&lt;&gt;"RIDICAT"),"FAVORABIL STATISTIC – VERIFICĂ COTA",IF(AND($BW75&gt;= 'Setari model'!$B$42,$CE75&gt;=100*'Setari model'!$B$43),"ANALIZĂ NECONCLUDENTĂ","PARIU EVITAT"))))</x:f>
      </x:c>
      <x:c r="CH75" s="67" t="str">
        <x:f t="shared" si="123">IF($A75="","","P(O0,5)="&amp;TEXT($BW75,"0.0%")&amp;"; λ ajustat="&amp;TEXT($BS75,"0.00")&amp;"; Confidence="&amp;TEXT($CE75,"0")&amp;"/100; Edge="&amp;TEXT($BZ75,"0.0%")&amp;"; risc="&amp;$CF75&amp;". "&amp;$BH75)</x:f>
      </x:c>
      <x:c r="CI75" s="68" t="str">
        <x:f t="shared" si="124">IF($A75="","",$BI75)</x:f>
      </x:c>
      <x:c r="CJ75" s="112"/>
      <x:c r="CK75" s="112"/>
      <x:c r="CL75" s="112"/>
      <x:c r="CM75" s="112"/>
      <x:c r="CN75" s="112"/>
      <x:c r="CO75" s="112"/>
      <x:c r="CP75" s="112"/>
      <x:c r="CQ75" s="112"/>
      <x:c r="CR75" s="112"/>
      <x:c r="CS75" s="112"/>
      <x:c r="CT75" s="112"/>
      <x:c r="CU75" s="112"/>
      <x:c r="CV75" s="112"/>
      <x:c r="CW75" s="112"/>
      <x:c r="CX75" s="112"/>
      <x:c r="CY75" s="112"/>
      <x:c r="CZ75" s="112"/>
      <x:c r="DA75" s="112"/>
      <x:c r="DB75" s="112"/>
      <x:c r="DC75" s="114"/>
      <x:c r="DD75" s="114"/>
      <x:c r="DE75" s="112" t="s">
        <x:v>266</x:v>
      </x:c>
      <x:c r="DF75" s="112"/>
      <x:c r="DG75" s="112"/>
      <x:c r="DH75" s="112"/>
      <x:c r="DI75" s="112"/>
      <x:c r="DJ75" s="112"/>
      <x:c r="DK75" s="112"/>
      <x:c r="DL75" s="112"/>
      <x:c r="DM75" s="112"/>
      <x:c r="DN75" s="112"/>
      <x:c r="DO75" s="112"/>
      <x:c r="DP75" s="112"/>
      <x:c r="DQ75" s="114"/>
      <x:c r="DR75" s="112">
        <x:v>1</x:v>
      </x:c>
      <x:c r="DS75" s="116">
        <x:v>0</x:v>
      </x:c>
      <x:c r="DT75" s="120"/>
      <x:c r="DU75" s="116">
        <x:v>0.02</x:v>
      </x:c>
      <x:c r="DV75" s="116">
        <x:v>0.25</x:v>
      </x:c>
      <x:c r="DW75" s="118" t="str">
        <x:f>IF($A75="","",MAX('Setari model'!$B$71,MIN('Setari model'!$B$72,1+0.08*(IFERROR(AVERAGE($CM75:$CN75)/'Setari model'!$B$66,1)-1)+0.08*(IFERROR(AVERAGE($CO75:$CP75)/'Setari model'!$B$67,1)-1)+0.06*(IFERROR(AVERAGE($CQ75:$CR75)/'Setari model'!$B$68,1)-1)+0.04*(IFERROR(AVERAGE($CS75:$CT75)/'Setari model'!$B$69,1)-1)+0.04*(IFERROR(AVERAGE($CU75:$CV75)/'Setari model'!$B$70,1)-1)-'Setari model'!$B$73*IFERROR(AVERAGE($CW75:$CX75),0))))</x:f>
      </x:c>
      <x:c r="DX75" s="118" t="str">
        <x:f>IF($A75="","",1+'Setari model'!$B$62*MAX(IF(OR($CK75=1,$CL75=1),1,0),IF(AND($CJ75&lt;&gt;"",$CJ75&lt;=1),1,0))+'Setari model'!$B$63*IF(AND($CJ75&gt;1,$CJ75&lt;=3),1,0))</x:f>
      </x:c>
      <x:c r="DY75" s="118" t="str">
        <x:f>IF($A75="","",1+'Setari model'!$B$74*(IF($CY75="",0,IF($CY75=0,1,0))+IF($CZ75="",0,IF($CZ75=0,1,0)))+'Setari model'!$B$75*(IF($DA75="",0,IF($DA75=0,1,0))+IF($DB75="",0,IF($DB75=0,1,0))))</x:f>
      </x:c>
      <x:c r="DZ75" s="117" t="str">
        <x:f>IF($A75="","",MIN(0.6,MAX(0.002,(((1-'Setari model'!$B$34*MIN(1,($I75+$P75)/20))*$BT75+'Setari model'!$B$34*MIN(1,($I75+$P75)/20)*IF(COUNT($N75,$U75)=2,SQRT(MAX(0,1-$N75)*MAX(0,1-$U75)),$BT75))*(1-'Setari model'!$B$65*MIN(1,IF($AN75="",0,$AN75/'Setari model'!$B$64)))+'Setari model'!$B$65*MIN(1,IF($AN75="",0,$AN75/'Setari model'!$B$64))*IF($AM75="",$BT75,$AM75))*$DX75*$DY75/$DW75)))</x:f>
      </x:c>
      <x:c r="EA75" s="117" t="str">
        <x:f>IF($A75="","",MIN(1-$DZ75,IF(OR(MIN($I75,$P75)&lt;'Setari model'!$B$58,$CK75=1,$CL75=1,AND($CJ75&lt;&gt;"",$CJ75&lt;=1)),'Setari model'!$B$59,IF(AND($AU75=1,$AR75&gt;1,COUNT($CY75:$DB75)=4),'Setari model'!$B$61,'Setari model'!$B$60))))</x:f>
      </x:c>
      <x:c r="EB75" s="115" t="str">
        <x:f t="shared" si="125">IF($A75="","",1/$EA75)</x:f>
      </x:c>
      <x:c r="EC75" s="117" t="str">
        <x:f t="shared" si="126">IF($A75="","",IF($AR75&gt;1,IF($AS75&gt;1,(1/$AR75)/((1/$AR75)+(1/$AS75)),1/$AR75),""))</x:f>
      </x:c>
      <x:c r="ED75" s="117" t="str">
        <x:f t="shared" si="127">IF($A75="","",IF($EC75="","",$EA75-$EC75))</x:f>
      </x:c>
      <x:c r="EE75" s="117" t="str">
        <x:f t="shared" si="128">""</x:f>
      </x:c>
      <x:c r="EF75" s="119" t="str">
        <x:f>IF($A75="","",MAX(0,MIN(100,$CE75-200*MAX(0,$EG75-'Setari model'!$B$77)-IF($AU75&lt;&gt;1,10,0)-IF(COUNT($CY75:$DB75)&lt;4,4,0))))</x:f>
      </x:c>
      <x:c r="EG75" s="117" t="str">
        <x:f>IF($A75="","",'Setari model'!$B$77+IF(MIN($I75,$P75)&lt;'Setari model'!$B$58,0.03,0)+IF(OR($CK75=1,$CL75=1,AND($CJ75&lt;&gt;"",$CJ75&lt;=1)),0.03,0)+IF($AG75=0,0.02,0)+0.03*(1-MIN(1,COUNT($CM75:$CV75)/10))+0.03*(1-MIN(1,IF($AN75="",0,$AN75/'Setari model'!$B$64)))+IF($AR75&lt;=1,0.02,0))</x:f>
      </x:c>
      <x:c r="EH75" s="113" t="str">
        <x:f>IF($A75="","",IF(OR(MIN($I75,$P75)&lt;'Setari model'!$B$58,$CK75=1,$CL75=1,AND($CJ75&lt;&gt;"",$CJ75&lt;=1)),"92% – early/regim",IF(AND($AU75=1,$AR75&gt;1,COUNT($CY75:$DB75)=4),"94% – confirmat","93% – standard")))</x:f>
      </x:c>
      <x:c r="EI75" s="113" t="str">
        <x:f t="shared" si="129">IF($A75="","",IF(AND($EA75&gt;0.9,$AU75&lt;&gt;1),"WAIT XI – HIGH P",IF(AND($EA75&gt;0.9,COUNT($CY75:$DB75)&lt;4),"WAIT DATE CHEIE – HIGH P",IF($EP75&lt;&gt;"DA","NU – PORTOFOLIU","DA"))))</x:f>
      </x:c>
      <x:c r="EJ75" s="117" t="str">
        <x:f t="shared" si="130">IF($A75="","",IF($DE75&lt;&gt;"Live 20-30","",IF(SUM($DG75:$DH75)&gt;0,1,IF($EU75="","",1-MIN(0.95,MAX(0.001,EXP(-$EU75)*$DX75*$DY75/$DW75))))))</x:f>
      </x:c>
      <x:c r="EK75" s="117" t="str">
        <x:f t="shared" si="131">""</x:f>
      </x:c>
      <x:c r="EL75" s="113" t="str">
        <x:f>IF($A75="","",IF($DE75="Live 20-30",IF(SUM($DG75:$DH75)&gt;0,"EVENIMENT ÎNDEPLINIT",IF(OR($DF75="",COUNT($DI75:$DN75)&lt;4),"LIVE – WATCH",IF($EJ75&gt;=0.75,"LIVE – FEZABIL TEHNIC","LIVE – NO BET"))),IF($EI75&lt;&gt;"DA","WATCH / NO BET",IF(AND($EA75&gt;=INDEX('Setari model'!$B$35:$B$40,1),$EF75&gt;=100*'Setari model'!$B$76),"PARIU RECOMANDAT",IF(AND($EA75&gt;=INDEX('Setari model'!$B$35:$B$40,5),$EF75&gt;=100*'Setari model'!$B$40),"WATCH – APROAPE DE PRAG","PARIU EVITAT")))))</x:f>
      </x:c>
      <x:c r="EM75" s="113" t="str">
        <x:f t="shared" si="132">IF($A75="","",IF($DE75="Live 20-30",IF(SUM($DG75:$DH75)&gt;0,"Gol deja marcat.",IF($DF75="","Minut live lipsă.",IF(COUNT($DI75:$DN75)&lt;4,"Lipsesc xG/SOT/big chances live.",IF($EJ75&lt;0.75,"P live sub prag.","Semnal live tehnic complet; EV ignorat.")))),IF($EI75&lt;&gt;"DA",$EI75,IF($EF75&lt;75,"Confidence sub 75.",IF($EA75&lt;0.92,"P sub 92%.","G0/Zero-Mass + confidence trecute; EV ignorat.")))))</x:f>
      </x:c>
      <x:c r="EN75" s="117" t="str">
        <x:f>IF($A75="","",IF(OR($EL75="PARIU RECOMANDAT",$EL75="LIVE – FEZABIL"),MIN(IF($DU75&gt;0,$DU75,'Setari model'!$B$81)/MAX(1,$DR75),IF($DV75&gt;0,$DV75,'Setari model'!$B$80)*MAX(0,((IF($DE75="Live 20-30",$EJ75,$EA75)*IF($DE75="Live 20-30",$DQ75,$AR75)-1)/(IF($DE75="Live 20-30",$DQ75,$AR75)-1)))),0))</x:f>
      </x:c>
      <x:c r="EO75" s="121" t="str">
        <x:f t="shared" si="133">IF($A75="","",IF(AND($EN75&gt;0,$DT75&gt;0),$EN75*$DT75,""))</x:f>
      </x:c>
      <x:c r="EP75" s="113" t="str">
        <x:f>IF($A75="","",IF(OR($DR75&lt;1,$DR75&gt;'Setari model'!$B$78),"NU – 1–5 selecții",IF($DS75&gt;'Setari model'!$B$79,"NU – corelație", "DA")))</x:f>
      </x:c>
      <x:c r="EQ75" s="117" t="str">
        <x:f t="shared" si="134">IF($A75="","",IF(AND($DC75&gt;1,$DD75&gt;1),$DC75/$DD75-1,""))</x:f>
      </x:c>
      <x:c r="ER75" s="113" t="str">
        <x:f t="shared" si="135">IF($A75="","","P v2="&amp;TEXT($EA75,"0.0%")&amp;" ±"&amp;TEXT($EG75,"0.0%")&amp;"; P0 ZIP="&amp;TEXT($DZ75,"0.0%")&amp;"; Confidence="&amp;TEXT($EF75,"0")&amp;"/100; piață reală="&amp;IF($EC75="","NU","DA")&amp;"; EV="&amp;IF($EE75="","n/a",TEXT($EE75,"0.0%"))&amp;"; gate="&amp;$EI75&amp;"; verdict="&amp;$EL75&amp;". "&amp;$EM75)</x:f>
      </x:c>
      <x:c r="ES75" s="119" t="str">
        <x:f>IF($A75="","",'Setari model'!$B$82)</x:f>
      </x:c>
      <x:c r="ET75" s="118" t="str">
        <x:f>IF($A75="","",'Setari model'!$B$83)</x:f>
      </x:c>
      <x:c r="EU75" s="115" t="str">
        <x:f t="shared" si="136">IF(OR($A75="",$DE75&lt;&gt;"Live 20-30",$DF75="",$DF75&lt;$ES75,$DF75&gt;=90),"",MAX(0.05,MIN($BS75*$ET75,$BS75*(90-$DF75)/90+0.35*($DI75+$DJ75)+0.06*($DK75+$DL75)+0.15*($DM75+$DN75)+0.1*(MAX($DO75,$DP75)-MIN($DO75,$DP75)))))</x:f>
      </x:c>
      <x:c r="EV75" s="132"/>
      <x:c r="EW75" s="132"/>
      <x:c r="EX75" s="132"/>
      <x:c r="EY75" s="132"/>
      <x:c r="EZ75" s="132"/>
      <x:c r="FA75" s="132"/>
      <x:c r="FB75" s="247"/>
      <x:c r="FC75" s="134" t="str">
        <x:f t="shared" si="137">IF($A75="","",IF(OR($J75="",$L75="",$L75&lt;=0),"",MAX(0.5,MIN(1.5,$J75/$L75))))</x:f>
      </x:c>
      <x:c r="FD75" s="134" t="str">
        <x:f t="shared" si="138">IF($A75="","",IF(OR($Q75="",$S75="",$S75&lt;=0),"",MAX(0.5,MIN(1.5,$Q75/$S75))))</x:f>
      </x:c>
      <x:c r="FE75" s="134" t="str">
        <x:f>IF($A75="","",IF(COUNT($EV75:$EW75)&lt;2,"",SQRT($EV75*$EW75)/'Setari model'!$B$87))</x:f>
      </x:c>
      <x:c r="FF75" s="134" t="str">
        <x:f>IF($A75="","",IF(COUNT($O75,$V75,$EX75,$EY75)&lt;4,"",AVERAGE(SQRT($O75*$EY75),SQRT($V75*$EX75))/'Setari model'!$B$88))</x:f>
      </x:c>
      <x:c r="FG75" s="134" t="str">
        <x:f t="shared" si="139">IF($A75="","",IF(COUNT($FC75:$FD75)&lt;2,"",MAX(0,1-AVERAGE($FC75:$FD75))))</x:f>
      </x:c>
      <x:c r="FH75" s="134" t="str">
        <x:f>IF($A75="","",IF(COUNT($EZ75:$FA75)&lt;2,"",'Setari model'!$B$94*AVERAGE($EZ75:$FA75)/'Setari model'!$B$89))</x:f>
      </x:c>
      <x:c r="FI75" s="134" t="str">
        <x:f>IF($A75="","",IF(COUNT($FE75:$FH75)&lt;4,"",MAX('Setari model'!$B$97,MIN('Setari model'!$B$98,1+'Setari model'!$B$90*($FE75-1)+'Setari model'!$B$91*($FF75-1)+'Setari model'!$B$92*$FG75+'Setari model'!$B$93*($FH75-1)))))</x:f>
      </x:c>
      <x:c r="FJ75" s="133" t="str">
        <x:f>IF($A75="","",IF($FI75="","",MIN('Setari model'!$B$101,MAX(0.002,$DZ75*$FI75))))</x:f>
      </x:c>
      <x:c r="FK75" s="131" t="str">
        <x:f t="shared" si="140">IF($A75="","",IF(AND(COUNT($EV75:$FA75)=6,COUNT($O75,$V75,$FC75,$FD75)=4),"DA","NU"))</x:f>
      </x:c>
      <x:c r="FL75" s="131" t="str">
        <x:f>IF($A75="","",IF($FK75&lt;&gt;"DA","NEDETERMINAT",IF($FI75&lt;='Setari model'!$B$99,"SCĂZUT",IF($FI75&lt;='Setari model'!$B$100,"MEDIU","RIDICAT"))))</x:f>
      </x:c>
      <x:c r="FM75" s="131" t="str">
        <x:f>IF($A75="","",IF(AND($AR75&gt;1,$EC75&gt;='Setari model'!$B$106),"DA","NU"))</x:f>
      </x:c>
      <x:c r="FN75" s="131" t="str">
        <x:f t="shared" si="141">IF($A75="","",IF(AND($AU75=1,COUNT($CY75:$DB75)=4),"DA","NU"))</x:f>
      </x:c>
      <x:c r="FO75" s="133" t="str">
        <x:f>IF($A75="","",IF(OR($FK75&lt;&gt;"DA",$FL75="RIDICAT"),'Setari model'!$B$102,IF($FL75="MEDIU",'Setari model'!$B$103,IF(AND($FM75="DA",$FN75="DA"),'Setari model'!$B$105,'Setari model'!$B$104))))</x:f>
      </x:c>
      <x:c r="FP75" s="133" t="str">
        <x:f t="shared" si="142">IF($A75="","",IF($FJ75="","",MIN(1-$FJ75,$FO75)))</x:f>
      </x:c>
      <x:c r="FQ75" s="135" t="str">
        <x:f t="shared" si="143">IF($A75="","",IF($FP75="","",IF($FP75&gt;0,1/$FP75,"")))</x:f>
      </x:c>
      <x:c r="FR75" s="133" t="str">
        <x:f t="shared" si="144">IF($A75="","",IF($EC75="","",$FP75-$EC75))</x:f>
      </x:c>
      <x:c r="FS75" s="133" t="str">
        <x:f t="shared" si="145">IF($A75="","",IF($AR75&gt;1,$FP75*$AR75-1,""))</x:f>
      </x:c>
      <x:c r="FT75" s="136" t="str">
        <x:f>IF($A75="","",MAX(0,MIN(100,$EF75-IF($FK75&lt;&gt;"DA",'Setari model'!$B$107,0)-IF($FL75="MEDIU",'Setari model'!$B$108,0)-IF($FL75="RIDICAT",'Setari model'!$B$109,0))))</x:f>
      </x:c>
      <x:c r="FU75" s="131" t="str">
        <x:f t="shared" si="146">IF($A75="","",IF($AR75&lt;=1,"NU – LIPSEȘTE COTA REALĂ",IF($FK75&lt;&gt;"DA","NU – ZERO-RISK INCOMPLET",IF($FL75&lt;&gt;"SCĂZUT","NU – RISC 0-0 "&amp;$FL75,IF($FN75&lt;&gt;"DA","NU – LINEUP NECONFIRMAT",IF($FM75&lt;&gt;"DA","NU – PIAȚĂ NECONFIRMATĂ",IF($EP75&lt;&gt;"DA","NU – PORTOFOLIU","DA")))))))</x:f>
      </x:c>
      <x:c r="FV75" s="131" t="str">
        <x:f>IF($A75="","",IF($FU75&lt;&gt;"DA","WATCH / NO BET",IF(AND($FP75&gt;='Setari model'!$B$35,$FT75&gt;=100*'Setari model'!$B$76,$FS75&gt;0),"PARIU RECOMANDAT",IF(AND($FP75&gt;='Setari model'!$B$39,$FT75&gt;=100*'Setari model'!$B$40,$FS75&gt;0),"WATCH – APROAPE DE PRAG","PARIU EVITAT"))))</x:f>
      </x:c>
      <x:c r="FW75" s="131" t="str">
        <x:f t="shared" si="147">IF($A75="","",IF($FU75&lt;&gt;"DA",$FU75,IF($FT75&lt;75,"Confidence v3 sub 75.",IF($FP75&lt;0.92,"P v3 sub 92%.",IF($FS75&lt;=0,"EV v3 nepozitiv.","P0 v3, lineup și piață confirmate.")))))</x:f>
      </x:c>
      <x:c r="FX75" s="131" t="str">
        <x:f t="shared" si="148">IF($A75="","","P v3="&amp;TEXT($FP75,"0.0%")&amp;"; P0 v3="&amp;TEXT($FJ75,"0.0%")&amp;"; factor zero="&amp;IF($FI75="","n/a",TEXT($FI75,"0.00x"))&amp;" ("&amp;$FL75&amp;"); cap="&amp;TEXT($FO75,"0.0%")&amp;"; Confidence="&amp;TEXT($FT75,"0")&amp;"/100; lineup="&amp;$FN75&amp;"; piață="&amp;$FM75&amp;"; EV="&amp;IF($FS75="","n/a",TEXT($FS75,"0.0%"))&amp;"; gate="&amp;$FU75&amp;"; verdict="&amp;$FV75&amp;". "&amp;$FW75)</x:f>
      </x:c>
      <x:c r="FY75" s="159"/>
      <x:c r="FZ75" s="159"/>
      <x:c r="GA75" s="157"/>
      <x:c r="GB75" s="157"/>
      <x:c r="GC75" s="161" t="str">
        <x:f t="shared" si="149">IF($A75="","",IF(OR($X75="",$Z75="",$Z75&lt;=0),"",MAX(0.5,MIN(1.5,$X75/$Z75))))</x:f>
      </x:c>
      <x:c r="GD75" s="161" t="str">
        <x:f t="shared" si="150">IF($A75="","",IF(OR($AC75="",$AE75="",$AE75&lt;=0),"",MAX(0.5,MIN(1.5,$AC75/$AE75))))</x:f>
      </x:c>
      <x:c r="GE75" s="162" t="str">
        <x:f t="shared" si="151">IF($A75="","",IF(COUNT($Z75,$AE75)&lt;2,"",AVERAGE($Z75,$AE75)))</x:f>
      </x:c>
      <x:c r="GF75" s="158" t="str">
        <x:f>IF($A75="","",IF(COUNT($FY75:$FZ75)&lt;2,"NEDETERMINAT",IF(AND($FY75&gt;='Setari model'!$B$113,$FZ75&gt;='Setari model'!$B$113),"DA","NU")))</x:f>
      </x:c>
      <x:c r="GG75" s="158" t="str">
        <x:f>IF($A75="","",IF(COUNT($FY75:$FZ75,$EX75:$EY75)&lt;4,"NEDETERMINAT",IF(OR(AND($FY75&gt;='Setari model'!$B$113,$EY75&gt;='Setari model'!$B$114),AND($FZ75&gt;='Setari model'!$B$113,$EX75&gt;='Setari model'!$B$114)),"DA","NU")))</x:f>
      </x:c>
      <x:c r="GH75" s="158" t="str">
        <x:f>IF($A75="","",IF(COUNT($BJ75:$BN75,$GC75:$GE75)&lt;8,"NEDETERMINAT",IF(AND((($BJ75*INDEX('Setari model'!$B$5:$B$11,MATCH($E75,'Setari model'!$A$5:$A$11,0))+$BK75*INDEX('Setari model'!$C$5:$C$11,MATCH($E75,'Setari model'!$A$5:$A$11,0))+$BL75*INDEX('Setari model'!$D$5:$D$11,MATCH($E75,'Setari model'!$A$5:$A$11,0))+$BM75*INDEX('Setari model'!$E$5:$E$11,MATCH($E75,'Setari model'!$A$5:$A$11,0))+$BN75*INDEX('Setari model'!$F$5:$F$11,MATCH($E75,'Setari model'!$A$5:$A$11,0)))/(INDEX('Setari model'!$B$5:$B$11,MATCH($E75,'Setari model'!$A$5:$A$11,0))+INDEX('Setari model'!$C$5:$C$11,MATCH($E75,'Setari model'!$A$5:$A$11,0))+INDEX('Setari model'!$D$5:$D$11,MATCH($E75,'Setari model'!$A$5:$A$11,0))+INDEX('Setari model'!$E$5:$E$11,MATCH($E75,'Setari model'!$A$5:$A$11,0))+INDEX('Setari model'!$F$5:$F$11,MATCH($E75,'Setari model'!$A$5:$A$11,0))))*$BR75&gt;='Setari model'!$B$115,(($BJ75*INDEX('Setari model'!$B$5:$B$11,MATCH($E75,'Setari model'!$A$5:$A$11,0))+$BK75*INDEX('Setari model'!$C$5:$C$11,MATCH($E75,'Setari model'!$A$5:$A$11,0))+$BL75*INDEX('Setari model'!$D$5:$D$11,MATCH($E75,'Setari model'!$A$5:$A$11,0))+$BM75*INDEX('Setari model'!$E$5:$E$11,MATCH($E75,'Setari model'!$A$5:$A$11,0))+$BN75*INDEX('Setari model'!$F$5:$F$11,MATCH($E75,'Setari model'!$A$5:$A$11,0)))/(INDEX('Setari model'!$B$5:$B$11,MATCH($E75,'Setari model'!$A$5:$A$11,0))+INDEX('Setari model'!$C$5:$C$11,MATCH($E75,'Setari model'!$A$5:$A$11,0))+INDEX('Setari model'!$D$5:$D$11,MATCH($E75,'Setari model'!$A$5:$A$11,0))+INDEX('Setari model'!$E$5:$E$11,MATCH($E75,'Setari model'!$A$5:$A$11,0))+INDEX('Setari model'!$F$5:$F$11,MATCH($E75,'Setari model'!$A$5:$A$11,0))))*$BR75&lt;='Setari model'!$B$116,AVERAGE($GC75:$GD75)&lt;='Setari model'!$B$117,$GE75&gt;='Setari model'!$B$118),"DA","NU")))</x:f>
      </x:c>
      <x:c r="GI75" s="158" t="str">
        <x:f>IF($A75="","",IF(COUNT($W75,$AB75,$GA75:$GB75)&lt;4,"NEDETERMINAT",IF(AND($W75&gt;='Setari model'!$B$120,$AB75&gt;='Setari model'!$B$120,OR(IFERROR($GA75/$W75,0)&gt;='Setari model'!$B$119,IFERROR($GB75/$AB75,0)&gt;='Setari model'!$B$119)),"DA","NU")))</x:f>
      </x:c>
      <x:c r="GJ75" s="160" t="str">
        <x:f>IF($A75="","",IF(COUNT($FY75:$GB75)&lt;4,"",IF($GH75&lt;&gt;"DA",0,'Setari model'!$B$121*IF($GF75="DA",1,0)+'Setari model'!$B$122*IF($GG75="DA",1,0)+'Setari model'!$B$123+'Setari model'!$B$124*IF($GI75="DA",1,0))))</x:f>
      </x:c>
      <x:c r="GK75" s="161" t="str">
        <x:f>IF($A75="","",IF(COUNT($GJ75)=0,"",1+'Setari model'!$B$125*$GJ75))</x:f>
      </x:c>
      <x:c r="GL75" s="160" t="str">
        <x:f>IF($A75="","",IF($GM75&lt;&gt;"DA",$FJ75,MIN('Setari model'!$B$101,MAX(0.002,$FJ75*$GK75))))</x:f>
      </x:c>
      <x:c r="GM75" s="158" t="str">
        <x:f>IF($A75="","",IF(AND($FK75="DA",COUNT($FY75:$GB75)=4,COUNT($I75,$P75,$W75,$AB75,$Z75,$AE75,$EX75,$EY75,$GC75,$GD75)=10,COUNT($BJ75:$BN75)=5),"DA","NU"))</x:f>
      </x:c>
      <x:c r="GN75" s="158" t="str">
        <x:f>IF($A75="","",IF($GM75&lt;&gt;"DA","NEDETERMINAT",IF($FI75*$GK75&lt;='Setari model'!$B$99,"SCĂZUT",IF($FI75*$GK75&lt;='Setari model'!$B$100,"MEDIU","RIDICAT"))))</x:f>
      </x:c>
      <x:c r="GO75" s="160" t="str">
        <x:f>IF($A75="","",IF(OR($GM75&lt;&gt;"DA",$GN75="RIDICAT"),'Setari model'!$B$102,IF($GN75="MEDIU",'Setari model'!$B$103,IF(AND($FM75="DA",$FN75="DA"),'Setari model'!$B$105,'Setari model'!$B$104))))</x:f>
      </x:c>
      <x:c r="GP75" s="160" t="str">
        <x:f t="shared" si="152">IF($A75="","",IF($GL75="","",MIN(1-$GL75,$GO75)))</x:f>
      </x:c>
      <x:c r="GQ75" s="162" t="str">
        <x:f t="shared" si="153">IF($A75="","",IF($GP75="","",IF($GP75&gt;0,1/$GP75,"")))</x:f>
      </x:c>
      <x:c r="GR75" s="160" t="str">
        <x:f t="shared" si="154">IF($A75="","",IF($EC75="","",$GP75-$EC75))</x:f>
      </x:c>
      <x:c r="GS75" s="160" t="str">
        <x:f t="shared" si="155">IF($A75="","",IF($AR75&gt;1,$GP75*$AR75-1,""))</x:f>
      </x:c>
      <x:c r="GT75" s="163" t="str">
        <x:f>IF($A75="","",MAX(0,MIN(100,$FT75-IF(AND($GM75&lt;&gt;"DA",$FK75="DA"),'Setari model'!$B$107,0)-'Setari model'!$B$126*IF($GJ75="",0,$GJ75))))</x:f>
      </x:c>
      <x:c r="GU75" s="158" t="str">
        <x:f t="shared" si="156">IF($A75="","",IF($AR75&lt;=1,"NU – LIPSEȘTE COTA REALĂ",IF($GM75&lt;&gt;"DA","NU – DATE LOW-CONVERSION INCOMPLETE",IF($GN75&lt;&gt;"SCĂZUT","NU – RISC 0-0 "&amp;$GN75,IF($FN75&lt;&gt;"DA","NU – LINEUP NECONFIRMAT",IF($FM75&lt;&gt;"DA","NU – PIAȚĂ NECONFIRMATĂ",IF($EP75&lt;&gt;"DA","NU – PORTOFOLIU","DA")))))))</x:f>
      </x:c>
      <x:c r="GV75" s="158" t="str">
        <x:f>IF($A75="","",IF($GU75&lt;&gt;"DA","WATCH / NO BET",IF(AND($GP75&gt;='Setari model'!$B$35,$GT75&gt;=100*'Setari model'!$B$76,$GS75&gt;0),"PARIU RECOMANDAT",IF(AND($GP75&gt;='Setari model'!$B$39,$GT75&gt;=100*'Setari model'!$B$40,$GS75&gt;0),"WATCH – APROAPE DE PRAG","PARIU EVITAT"))))</x:f>
      </x:c>
      <x:c r="GW75" s="158" t="str">
        <x:f t="shared" si="157">IF($A75="","",IF($GU75&lt;&gt;"DA",$GU75,IF($GT75&lt;75,"Confidence v5 sub 75.",IF($GP75&lt;0.92,"P v5 sub 92%.",IF($GS75&lt;=0,"EV v5 nepozitiv.",IF($GJ75&gt;0,"Low-conversion absorbit în P0; toate porțile rămân trecute.","Toate porțile v5 sunt trecute."))))))</x:f>
      </x:c>
      <x:c r="GX75" s="158" t="str">
        <x:f t="shared" si="158">IF($A75="","","P v5="&amp;TEXT($GP75,"0.0%")&amp;"; P0 v5="&amp;TEXT($GL75,"0.0%")&amp;"; low-conv="&amp;IF(COUNT($GJ75)=0,"n/a",TEXT($GJ75,"0%"))&amp;"; mult.P0="&amp;IF(COUNT($GK75)=0,"n/a",TEXT($GK75,"0.00"))&amp;"; clasă="&amp;$GN75&amp;"; cap="&amp;TEXT($GO75,"0.0%")&amp;"; Confidence="&amp;TEXT($GT75,"0")&amp;"/100; lineup="&amp;$FN75&amp;"; piață="&amp;$FM75&amp;"; EV="&amp;IF($GS75="","n/a",TEXT($GS75,"0.0%"))&amp;"; gate="&amp;$GU75&amp;"; verdict="&amp;$GV75&amp;". "&amp;$GW75)</x:f>
      </x:c>
      <x:c r="GY75" s="174" t="str">
        <x:f>IF($A75="","",IF($GM75&lt;&gt;"DA","SOURCING INCOMPLETE – REVIEW REQUIRED",IF(MIN($I75,$P75,$W75,$AB75)&lt;'Setari model'!$B$58,"SMALL SAMPLE + PRIOR / SHRINKAGE","VERIFIED / PRIOR / SHRINKAGE")))</x:f>
      </x:c>
      <x:c r="GZ75" s="175" t="str">
        <x:f t="shared" si="159">IF($A75="","",MAX(0,MIN(100,100*(1-AVERAGE(IF($GM75="DA",1,0),MIN(1,$AT75/5))))))</x:f>
      </x:c>
      <x:c r="HA75" s="175" t="str">
        <x:f>IF($A75="","",IF($GM75&lt;&gt;"DA","",MAX(0,MIN(100,100*(($FI75*$GK75)-'Setari model'!$B$97)/('Setari model'!$B$98-'Setari model'!$B$97)))))</x:f>
      </x:c>
      <x:c r="HB75" s="175" t="str">
        <x:f>IF($A75="","",MAX(0,MIN(100,100*(ABS($BR75-1)/MAX(1-'Setari model'!$B$53,'Setari model'!$B$54-1)+MIN(1,$BG75/2))/2)))</x:f>
      </x:c>
      <x:c r="HC75" s="175" t="str">
        <x:f t="shared" si="160">IF($A75="","",MAX(0,MIN(100,100*(1-AVERAGE($CC75,MAX(0,1-(MAX($BJ75:$BN75)-MIN($BJ75:$BN75))/(AVERAGE($BJ75:$BN75)*'Setari model'!$B$45)))))))</x:f>
      </x:c>
      <x:c r="HD75" s="175" t="str">
        <x:f t="shared" si="161">IF($A75="","",MAX(0,MIN(100,100*MAX(IF($GJ75="",0,$GJ75),MIN(1,$BG75/2)))))</x:f>
      </x:c>
      <x:c r="HE75" s="175" t="str">
        <x:f>IF($A75="","",IF(COUNT($GZ75:$HD75)&lt;5,"",$GZ75*Risk_Classification!$E$28+$HA75*Risk_Classification!$E$29+$HB75*Risk_Classification!$E$30+$HC75*Risk_Classification!$E$31+$HD75*Risk_Classification!$E$32))</x:f>
      </x:c>
      <x:c r="HF75" s="176" t="str">
        <x:f t="shared" si="162">IF($A75="","",IF($HE75="","",IF($HE75&lt;=20,1,IF($HE75&lt;=40,2,IF($HE75&lt;=60,3,IF($HE75&lt;=80,4,5))))))</x:f>
      </x:c>
      <x:c r="HG75" s="176" t="str">
        <x:f t="shared" si="163">IF($A75="","",IF($GM75="DA","PASS","FAIL – DATE CRITICE ZERO-MASS INCOMPLETE"))</x:f>
      </x:c>
      <x:c r="HH75" s="176" t="str">
        <x:f t="shared" si="164">IF($A75="","",IF($HG75&lt;&gt;"PASS",5,$HF75))</x:f>
      </x:c>
      <x:c r="HI75" s="174" t="str">
        <x:f t="shared" si="165">IF($A75="","",IF($HH75="","N/A",IF($HH75=1,"DEFENSIV",IF($HH75=2,"PRUDENT",IF($HH75=3,"MODERAT",IF($HH75=4,"RIDICAT","WATCH / NO BET"))))))</x:f>
      </x:c>
      <x:c r="HJ75" s="177" t="str">
        <x:f t="shared" si="166">IF($A75="","","Data="&amp;$GY75&amp;"; DQ="&amp;TEXT($GZ75,"0.0")&amp;"; ZM="&amp;IF($HA75="","n/a",TEXT($HA75,"0.0"))&amp;"; Context="&amp;TEXT($HB75,"0.0")&amp;"; Uncertainty="&amp;TEXT($HC75,"0.0")&amp;"; Compound="&amp;TEXT($HD75,"0.0")&amp;"; Risk Score="&amp;IF($HE75="","n/a",TEXT($HE75,"0.0"))&amp;"; Base="&amp;IF($HF75="","n/a",$HF75)&amp;"; G0="&amp;$HG75&amp;"; Final="&amp;$HH75&amp;". Cota, EV si lineup sunt informative si nu intra in recomandare.")</x:f>
      </x:c>
      <x:c r="HK75" s="174" t="str">
        <x:f t="shared" si="167">IF($A75="","",$HI75)</x:f>
      </x:c>
    </x:row>
    <x:row r="76" ht="24" customHeight="1">
      <x:c r="A76" s="58"/>
      <x:c r="B76" s="24"/>
      <x:c r="C76" s="59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18"/>
      <x:c r="O76" s="18"/>
      <x:c r="P76" s="24"/>
      <x:c r="Q76" s="24"/>
      <x:c r="R76" s="24"/>
      <x:c r="S76" s="24"/>
      <x:c r="T76" s="24"/>
      <x:c r="U76" s="18"/>
      <x:c r="V76" s="18"/>
      <x:c r="W76" s="24"/>
      <x:c r="X76" s="24"/>
      <x:c r="Y76" s="24"/>
      <x:c r="Z76" s="24"/>
      <x:c r="AA76" s="24"/>
      <x:c r="AB76" s="24"/>
      <x:c r="AC76" s="24"/>
      <x:c r="AD76" s="24"/>
      <x:c r="AE76" s="24"/>
      <x:c r="AF76" s="24"/>
      <x:c r="AG76" s="24"/>
      <x:c r="AH76" s="24"/>
      <x:c r="AI76" s="18"/>
      <x:c r="AJ76" s="24"/>
      <x:c r="AK76" s="24"/>
      <x:c r="AL76" s="24"/>
      <x:c r="AM76" s="18"/>
      <x:c r="AN76" s="24"/>
      <x:c r="AO76" s="60"/>
      <x:c r="AP76" s="60"/>
      <x:c r="AQ76" s="60"/>
      <x:c r="AR76" s="60"/>
      <x:c r="AS76" s="60"/>
      <x:c r="AT76" s="24"/>
      <x:c r="AU76" s="24"/>
      <x:c r="AV76" s="24"/>
      <x:c r="AW76" s="24"/>
      <x:c r="AX76" s="24"/>
      <x:c r="AY76" s="24"/>
      <x:c r="AZ76" s="24"/>
      <x:c r="BA76" s="24"/>
      <x:c r="BB76" s="24"/>
      <x:c r="BC76" s="24"/>
      <x:c r="BD76" s="24"/>
      <x:c r="BE76" s="24"/>
      <x:c r="BF76" s="24"/>
      <x:c r="BG76" s="24"/>
      <x:c r="BH76" s="61"/>
      <x:c r="BI76" s="61"/>
      <x:c r="BJ76" s="62" t="str">
        <x:f>IF($A76="","",SQRT((($I76*IF($J76="",$AJ76,$J76)+'Setari model'!$B$30*$AJ76)/($I76+'Setari model'!$B$30))*(($P76*IF($R76="",$AJ76,$R76)+'Setari model'!$B$30*$AJ76)/($P76+'Setari model'!$B$30)))+SQRT((($P76*IF($Q76="",$AK76,$Q76)+'Setari model'!$B$30*$AK76)/($P76+'Setari model'!$B$30))*(($I76*IF($K76="",$AK76,$K76)+'Setari model'!$B$30*$AK76)/($I76+'Setari model'!$B$30))))</x:f>
      </x:c>
      <x:c r="BK76" s="62" t="str">
        <x:f>IF($A76="","",SQRT((($I76*IF($L76="",IF($J76="",$AJ76,$J76),$L76)+'Setari model'!$B$30*$AJ76)/($I76+'Setari model'!$B$30))*(($P76*IF($T76="",IF($R76="",$AJ76,$R76),$T76)+'Setari model'!$B$30*$AJ76)/($P76+'Setari model'!$B$30)))+SQRT((($P76*IF($S76="",IF($Q76="",$AK76,$Q76),$S76)+'Setari model'!$B$30*$AK76)/($P76+'Setari model'!$B$30))*(($I76*IF($M76="",IF($K76="",$AK76,$K76),$M76)+'Setari model'!$B$30*$AK76)/($I76+'Setari model'!$B$30))))</x:f>
      </x:c>
      <x:c r="BL76" s="62" t="str">
        <x:f>IF($A76="","",SQRT((($W76*IF($X76="",$AL76/2,$X76)+'Setari model'!$B$31*$AL76/2)/($W76+'Setari model'!$B$31))*(($AB76*IF($AD76="",$AL76/2,$AD76)+'Setari model'!$B$31*$AL76/2)/($AB76+'Setari model'!$B$31)))+SQRT((($AB76*IF($AC76="",$AL76/2,$AC76)+'Setari model'!$B$31*$AL76/2)/($AB76+'Setari model'!$B$31))*(($W76*IF($Y76="",$AL76/2,$Y76)+'Setari model'!$B$31*$AL76/2)/($W76+'Setari model'!$B$31))))</x:f>
      </x:c>
      <x:c r="BM76" s="62" t="str">
        <x:f>IF($A76="","",SQRT((($W76*IF($Z76="",IF($X76="",$AL76/2,$X76),$Z76)+'Setari model'!$B$31*$AL76/2)/($W76+'Setari model'!$B$31))*(($AB76*IF($AF76="",IF($AD76="",$AL76/2,$AD76),$AF76)+'Setari model'!$B$31*$AL76/2)/($AB76+'Setari model'!$B$31)))+SQRT((($AB76*IF($AE76="",IF($AC76="",$AL76/2,$AC76),$AE76)+'Setari model'!$B$31*$AL76/2)/($AB76+'Setari model'!$B$31))*(($W76*IF($AA76="",IF($Y76="",$AL76/2,$Y76),$AA76)+'Setari model'!$B$31*$AL76/2)/($W76+'Setari model'!$B$31))))</x:f>
      </x:c>
      <x:c r="BN76" s="62" t="str">
        <x:f t="shared" si="112">IF($A76="","",IF($AG76&gt;0,($AG76*IF($AH76="",$AL76,$AH76)+5*$AL76)/($AG76+5),$AL76))</x:f>
      </x:c>
      <x:c r="BO76" s="63" t="str">
        <x:f>IF($A76="","",IF($AR76&gt;1,IF($AS76&gt;1,(1/$AR76)/((1/$AR76+1/$AS76)),MIN(0.995,(1/$AR76)/(1+'Setari model'!$B$32))),1-EXP(-$AL76)))</x:f>
      </x:c>
      <x:c r="BP76" s="62" t="str">
        <x:f t="shared" si="113">IF($A76="","",-LN(1-$BO76))</x:f>
      </x:c>
      <x:c r="BQ76" s="62" t="str">
        <x:f>IF($A76="","",$BJ76*INDEX('Setari model'!$B$5:$B$11,MATCH($E76,'Setari model'!$A$5:$A$11,0))+$BK76*INDEX('Setari model'!$C$5:$C$11,MATCH($E76,'Setari model'!$A$5:$A$11,0))+$BL76*INDEX('Setari model'!$D$5:$D$11,MATCH($E76,'Setari model'!$A$5:$A$11,0))+$BM76*INDEX('Setari model'!$E$5:$E$11,MATCH($E76,'Setari model'!$A$5:$A$11,0))+$BN76*INDEX('Setari model'!$F$5:$F$11,MATCH($E76,'Setari model'!$A$5:$A$11,0))+$BP76*INDEX('Setari model'!$G$5:$G$11,MATCH($E76,'Setari model'!$A$5:$A$11,0)))</x:f>
      </x:c>
      <x:c r="BR76" s="64" t="str">
        <x:f>IF($A76="","",MAX('Setari model'!$B$53,MIN('Setari model'!$B$54,1+($AV76*'Setari model'!$B$15+$AW76*'Setari model'!$B$16+$AX76*'Setari model'!$B$17+$AY76*'Setari model'!$B$18+$AZ76*'Setari model'!$B$19+$BA76*'Setari model'!$B$20+$BB76*'Setari model'!$B$21+$BC76*'Setari model'!$B$22+$BD76*'Setari model'!$B$23+$BE76*'Setari model'!$B$24+$BF76*'Setari model'!$B$25)*INDEX('Setari model'!$H$5:$H$11,MATCH($E76,'Setari model'!$A$5:$A$11,0)))))</x:f>
      </x:c>
      <x:c r="BS76" s="62" t="str">
        <x:f t="shared" si="114">IF($A76="","",$BQ76*$BR76)</x:f>
      </x:c>
      <x:c r="BT76" s="63" t="str">
        <x:f t="shared" si="115">IF($A76="","",EXP(-$BS76))</x:f>
      </x:c>
      <x:c r="BU76" s="65" t="str">
        <x:f>IF($A76="","",IF(OR($AM76="",$AN76=""),1,1+MIN('Setari model'!$B$33,$AN76/100*'Setari model'!$B$33)*($AM76/EXP(-$AL76)-1)))</x:f>
      </x:c>
      <x:c r="BV76" s="63" t="str">
        <x:f>IF($A76="","",MIN(0.45,MAX(0.005,(1-'Setari model'!$B$34*MIN(1,($I76+$P76)/20))*MIN(0.45,$BT76*$BU76)+'Setari model'!$B$34*MIN(1,($I76+$P76)/20)*IF(COUNT($N76,$U76)=2,SQRT(MAX(0,1-$N76)*MAX(0,1-$U76)),IF($AM76="",EXP(-$AL76),$AM76)))))</x:f>
      </x:c>
      <x:c r="BW76" s="63" t="str">
        <x:f t="shared" si="116">IF($A76="","",1-$BV76)</x:f>
      </x:c>
      <x:c r="BX76" s="62" t="str">
        <x:f t="shared" si="117">IF($A76="","",1/$BW76)</x:f>
      </x:c>
      <x:c r="BY76" s="63" t="str">
        <x:f t="shared" si="118">IF($A76="","",$BO76)</x:f>
      </x:c>
      <x:c r="BZ76" s="63" t="str">
        <x:f t="shared" si="119">IF($A76="","",$BW76-$BY76)</x:f>
      </x:c>
      <x:c r="CA76" s="63" t="str">
        <x:f t="shared" si="120">IF($A76="","",IF($AR76&gt;1,$BW76*$AR76-1,""))</x:f>
      </x:c>
      <x:c r="CB76" s="63" t="str">
        <x:f>IF($A76="","",MIN(1,COUNT($I76:$AN76,$AR76:$BG76)/'Setari model'!$B$46))</x:f>
      </x:c>
      <x:c r="CC76" s="63" t="str">
        <x:f t="shared" si="121">IF($A76="","",0.25*MIN(1,$I76/10)+0.25*MIN(1,$P76/10)+0.15*MIN(1,$W76/5)+0.15*MIN(1,$AB76/5)+0.1*MIN(1,$AG76/5)+0.1*MIN(1,$AN76/100))</x:f>
      </x:c>
      <x:c r="CD76" s="63" t="str">
        <x:f>IF($A76="","",MAX(0,1-(MAX($BJ76:$BN76,$BP76)-MIN($BJ76:$BN76,$BP76))/(AVERAGE($BJ76:$BN76,$BP76)*'Setari model'!$B$45)))</x:f>
      </x:c>
      <x:c r="CE76" s="66" t="str">
        <x:f>IF($A76="","",MAX(0,MIN(100,100*INDEX('Setari model'!$I$5:$I$11,MATCH($E76,'Setari model'!$A$5:$A$11,0))*('Setari model'!$B$47*$CB76+'Setari model'!$B$48*$CC76+'Setari model'!$B$49*$CD76+'Setari model'!$B$50*$AT76/5+'Setari model'!$B$51*$AU76)-100*'Setari model'!$B$52*$BG76)))</x:f>
      </x:c>
      <x:c r="CF76" s="65" t="str">
        <x:f t="shared" si="122">IF($A76="","",IF(OR($AT76&lt;3,$BG76&gt;=2,$CB76&lt;0.55,$CC76&lt;0.4),"RIDICAT",IF(OR($AU76=0,$CD76&lt;0.45,$BR76&lt;0.9),"MEDIU","SCĂZUT")))</x:f>
      </x:c>
      <x:c r="CG76" s="65" t="str">
        <x:f>IF($A76="","",IF($AR76&gt;1,IF(AND($BW76&gt;= 'Setari model'!$B$35,$CE76&gt;=100*'Setari model'!$B$36,$BZ76&gt;= 'Setari model'!$B$37,$CA76&gt;= 'Setari model'!$B$38,$CF76&lt;&gt;"RIDICAT"),"PARIU RECOMANDAT",IF(AND($BW76&gt;= 'Setari model'!$B$39,$CE76&gt;=100*'Setari model'!$B$40,$BZ76&gt;= 'Setari model'!$B$41,$CA76&gt;=0,$CF76&lt;&gt;"RIDICAT"),"RECOMANDAT CU PRUDENȚĂ",IF(AND($BW76&gt;= 'Setari model'!$B$42,$CE76&gt;=100*'Setari model'!$B$43),"ANALIZĂ NECONCLUDENTĂ","PARIU EVITAT"))),IF(AND($BW76&gt;= 'Setari model'!$B$35,$CE76&gt;=100*'Setari model'!$B$36,$CF76&lt;&gt;"RIDICAT"),"FAVORABIL STATISTIC – VERIFICĂ COTA",IF(AND($BW76&gt;= 'Setari model'!$B$42,$CE76&gt;=100*'Setari model'!$B$43),"ANALIZĂ NECONCLUDENTĂ","PARIU EVITAT"))))</x:f>
      </x:c>
      <x:c r="CH76" s="67" t="str">
        <x:f t="shared" si="123">IF($A76="","","P(O0,5)="&amp;TEXT($BW76,"0.0%")&amp;"; λ ajustat="&amp;TEXT($BS76,"0.00")&amp;"; Confidence="&amp;TEXT($CE76,"0")&amp;"/100; Edge="&amp;TEXT($BZ76,"0.0%")&amp;"; risc="&amp;$CF76&amp;". "&amp;$BH76)</x:f>
      </x:c>
      <x:c r="CI76" s="68" t="str">
        <x:f t="shared" si="124">IF($A76="","",$BI76)</x:f>
      </x:c>
      <x:c r="CJ76" s="112"/>
      <x:c r="CK76" s="112"/>
      <x:c r="CL76" s="112"/>
      <x:c r="CM76" s="112"/>
      <x:c r="CN76" s="112"/>
      <x:c r="CO76" s="112"/>
      <x:c r="CP76" s="112"/>
      <x:c r="CQ76" s="112"/>
      <x:c r="CR76" s="112"/>
      <x:c r="CS76" s="112"/>
      <x:c r="CT76" s="112"/>
      <x:c r="CU76" s="112"/>
      <x:c r="CV76" s="112"/>
      <x:c r="CW76" s="112"/>
      <x:c r="CX76" s="112"/>
      <x:c r="CY76" s="112"/>
      <x:c r="CZ76" s="112"/>
      <x:c r="DA76" s="112"/>
      <x:c r="DB76" s="112"/>
      <x:c r="DC76" s="114"/>
      <x:c r="DD76" s="114"/>
      <x:c r="DE76" s="112" t="s">
        <x:v>266</x:v>
      </x:c>
      <x:c r="DF76" s="112"/>
      <x:c r="DG76" s="112"/>
      <x:c r="DH76" s="112"/>
      <x:c r="DI76" s="112"/>
      <x:c r="DJ76" s="112"/>
      <x:c r="DK76" s="112"/>
      <x:c r="DL76" s="112"/>
      <x:c r="DM76" s="112"/>
      <x:c r="DN76" s="112"/>
      <x:c r="DO76" s="112"/>
      <x:c r="DP76" s="112"/>
      <x:c r="DQ76" s="114"/>
      <x:c r="DR76" s="112">
        <x:v>1</x:v>
      </x:c>
      <x:c r="DS76" s="116">
        <x:v>0</x:v>
      </x:c>
      <x:c r="DT76" s="120"/>
      <x:c r="DU76" s="116">
        <x:v>0.02</x:v>
      </x:c>
      <x:c r="DV76" s="116">
        <x:v>0.25</x:v>
      </x:c>
      <x:c r="DW76" s="118" t="str">
        <x:f>IF($A76="","",MAX('Setari model'!$B$71,MIN('Setari model'!$B$72,1+0.08*(IFERROR(AVERAGE($CM76:$CN76)/'Setari model'!$B$66,1)-1)+0.08*(IFERROR(AVERAGE($CO76:$CP76)/'Setari model'!$B$67,1)-1)+0.06*(IFERROR(AVERAGE($CQ76:$CR76)/'Setari model'!$B$68,1)-1)+0.04*(IFERROR(AVERAGE($CS76:$CT76)/'Setari model'!$B$69,1)-1)+0.04*(IFERROR(AVERAGE($CU76:$CV76)/'Setari model'!$B$70,1)-1)-'Setari model'!$B$73*IFERROR(AVERAGE($CW76:$CX76),0))))</x:f>
      </x:c>
      <x:c r="DX76" s="118" t="str">
        <x:f>IF($A76="","",1+'Setari model'!$B$62*MAX(IF(OR($CK76=1,$CL76=1),1,0),IF(AND($CJ76&lt;&gt;"",$CJ76&lt;=1),1,0))+'Setari model'!$B$63*IF(AND($CJ76&gt;1,$CJ76&lt;=3),1,0))</x:f>
      </x:c>
      <x:c r="DY76" s="118" t="str">
        <x:f>IF($A76="","",1+'Setari model'!$B$74*(IF($CY76="",0,IF($CY76=0,1,0))+IF($CZ76="",0,IF($CZ76=0,1,0)))+'Setari model'!$B$75*(IF($DA76="",0,IF($DA76=0,1,0))+IF($DB76="",0,IF($DB76=0,1,0))))</x:f>
      </x:c>
      <x:c r="DZ76" s="117" t="str">
        <x:f>IF($A76="","",MIN(0.6,MAX(0.002,(((1-'Setari model'!$B$34*MIN(1,($I76+$P76)/20))*$BT76+'Setari model'!$B$34*MIN(1,($I76+$P76)/20)*IF(COUNT($N76,$U76)=2,SQRT(MAX(0,1-$N76)*MAX(0,1-$U76)),$BT76))*(1-'Setari model'!$B$65*MIN(1,IF($AN76="",0,$AN76/'Setari model'!$B$64)))+'Setari model'!$B$65*MIN(1,IF($AN76="",0,$AN76/'Setari model'!$B$64))*IF($AM76="",$BT76,$AM76))*$DX76*$DY76/$DW76)))</x:f>
      </x:c>
      <x:c r="EA76" s="117" t="str">
        <x:f>IF($A76="","",MIN(1-$DZ76,IF(OR(MIN($I76,$P76)&lt;'Setari model'!$B$58,$CK76=1,$CL76=1,AND($CJ76&lt;&gt;"",$CJ76&lt;=1)),'Setari model'!$B$59,IF(AND($AU76=1,$AR76&gt;1,COUNT($CY76:$DB76)=4),'Setari model'!$B$61,'Setari model'!$B$60))))</x:f>
      </x:c>
      <x:c r="EB76" s="115" t="str">
        <x:f t="shared" si="125">IF($A76="","",1/$EA76)</x:f>
      </x:c>
      <x:c r="EC76" s="117" t="str">
        <x:f t="shared" si="126">IF($A76="","",IF($AR76&gt;1,IF($AS76&gt;1,(1/$AR76)/((1/$AR76)+(1/$AS76)),1/$AR76),""))</x:f>
      </x:c>
      <x:c r="ED76" s="117" t="str">
        <x:f t="shared" si="127">IF($A76="","",IF($EC76="","",$EA76-$EC76))</x:f>
      </x:c>
      <x:c r="EE76" s="117" t="str">
        <x:f t="shared" si="128">""</x:f>
      </x:c>
      <x:c r="EF76" s="119" t="str">
        <x:f>IF($A76="","",MAX(0,MIN(100,$CE76-200*MAX(0,$EG76-'Setari model'!$B$77)-IF($AU76&lt;&gt;1,10,0)-IF(COUNT($CY76:$DB76)&lt;4,4,0))))</x:f>
      </x:c>
      <x:c r="EG76" s="117" t="str">
        <x:f>IF($A76="","",'Setari model'!$B$77+IF(MIN($I76,$P76)&lt;'Setari model'!$B$58,0.03,0)+IF(OR($CK76=1,$CL76=1,AND($CJ76&lt;&gt;"",$CJ76&lt;=1)),0.03,0)+IF($AG76=0,0.02,0)+0.03*(1-MIN(1,COUNT($CM76:$CV76)/10))+0.03*(1-MIN(1,IF($AN76="",0,$AN76/'Setari model'!$B$64)))+IF($AR76&lt;=1,0.02,0))</x:f>
      </x:c>
      <x:c r="EH76" s="113" t="str">
        <x:f>IF($A76="","",IF(OR(MIN($I76,$P76)&lt;'Setari model'!$B$58,$CK76=1,$CL76=1,AND($CJ76&lt;&gt;"",$CJ76&lt;=1)),"92% – early/regim",IF(AND($AU76=1,$AR76&gt;1,COUNT($CY76:$DB76)=4),"94% – confirmat","93% – standard")))</x:f>
      </x:c>
      <x:c r="EI76" s="113" t="str">
        <x:f t="shared" si="129">IF($A76="","",IF(AND($EA76&gt;0.9,$AU76&lt;&gt;1),"WAIT XI – HIGH P",IF(AND($EA76&gt;0.9,COUNT($CY76:$DB76)&lt;4),"WAIT DATE CHEIE – HIGH P",IF($EP76&lt;&gt;"DA","NU – PORTOFOLIU","DA"))))</x:f>
      </x:c>
      <x:c r="EJ76" s="117" t="str">
        <x:f t="shared" si="130">IF($A76="","",IF($DE76&lt;&gt;"Live 20-30","",IF(SUM($DG76:$DH76)&gt;0,1,IF($EU76="","",1-MIN(0.95,MAX(0.001,EXP(-$EU76)*$DX76*$DY76/$DW76))))))</x:f>
      </x:c>
      <x:c r="EK76" s="117" t="str">
        <x:f t="shared" si="131">""</x:f>
      </x:c>
      <x:c r="EL76" s="113" t="str">
        <x:f>IF($A76="","",IF($DE76="Live 20-30",IF(SUM($DG76:$DH76)&gt;0,"EVENIMENT ÎNDEPLINIT",IF(OR($DF76="",COUNT($DI76:$DN76)&lt;4),"LIVE – WATCH",IF($EJ76&gt;=0.75,"LIVE – FEZABIL TEHNIC","LIVE – NO BET"))),IF($EI76&lt;&gt;"DA","WATCH / NO BET",IF(AND($EA76&gt;=INDEX('Setari model'!$B$35:$B$40,1),$EF76&gt;=100*'Setari model'!$B$76),"PARIU RECOMANDAT",IF(AND($EA76&gt;=INDEX('Setari model'!$B$35:$B$40,5),$EF76&gt;=100*'Setari model'!$B$40),"WATCH – APROAPE DE PRAG","PARIU EVITAT")))))</x:f>
      </x:c>
      <x:c r="EM76" s="113" t="str">
        <x:f t="shared" si="132">IF($A76="","",IF($DE76="Live 20-30",IF(SUM($DG76:$DH76)&gt;0,"Gol deja marcat.",IF($DF76="","Minut live lipsă.",IF(COUNT($DI76:$DN76)&lt;4,"Lipsesc xG/SOT/big chances live.",IF($EJ76&lt;0.75,"P live sub prag.","Semnal live tehnic complet; EV ignorat.")))),IF($EI76&lt;&gt;"DA",$EI76,IF($EF76&lt;75,"Confidence sub 75.",IF($EA76&lt;0.92,"P sub 92%.","G0/Zero-Mass + confidence trecute; EV ignorat.")))))</x:f>
      </x:c>
      <x:c r="EN76" s="117" t="str">
        <x:f>IF($A76="","",IF(OR($EL76="PARIU RECOMANDAT",$EL76="LIVE – FEZABIL"),MIN(IF($DU76&gt;0,$DU76,'Setari model'!$B$81)/MAX(1,$DR76),IF($DV76&gt;0,$DV76,'Setari model'!$B$80)*MAX(0,((IF($DE76="Live 20-30",$EJ76,$EA76)*IF($DE76="Live 20-30",$DQ76,$AR76)-1)/(IF($DE76="Live 20-30",$DQ76,$AR76)-1)))),0))</x:f>
      </x:c>
      <x:c r="EO76" s="121" t="str">
        <x:f t="shared" si="133">IF($A76="","",IF(AND($EN76&gt;0,$DT76&gt;0),$EN76*$DT76,""))</x:f>
      </x:c>
      <x:c r="EP76" s="113" t="str">
        <x:f>IF($A76="","",IF(OR($DR76&lt;1,$DR76&gt;'Setari model'!$B$78),"NU – 1–5 selecții",IF($DS76&gt;'Setari model'!$B$79,"NU – corelație", "DA")))</x:f>
      </x:c>
      <x:c r="EQ76" s="117" t="str">
        <x:f t="shared" si="134">IF($A76="","",IF(AND($DC76&gt;1,$DD76&gt;1),$DC76/$DD76-1,""))</x:f>
      </x:c>
      <x:c r="ER76" s="113" t="str">
        <x:f t="shared" si="135">IF($A76="","","P v2="&amp;TEXT($EA76,"0.0%")&amp;" ±"&amp;TEXT($EG76,"0.0%")&amp;"; P0 ZIP="&amp;TEXT($DZ76,"0.0%")&amp;"; Confidence="&amp;TEXT($EF76,"0")&amp;"/100; piață reală="&amp;IF($EC76="","NU","DA")&amp;"; EV="&amp;IF($EE76="","n/a",TEXT($EE76,"0.0%"))&amp;"; gate="&amp;$EI76&amp;"; verdict="&amp;$EL76&amp;". "&amp;$EM76)</x:f>
      </x:c>
      <x:c r="ES76" s="119" t="str">
        <x:f>IF($A76="","",'Setari model'!$B$82)</x:f>
      </x:c>
      <x:c r="ET76" s="118" t="str">
        <x:f>IF($A76="","",'Setari model'!$B$83)</x:f>
      </x:c>
      <x:c r="EU76" s="115" t="str">
        <x:f t="shared" si="136">IF(OR($A76="",$DE76&lt;&gt;"Live 20-30",$DF76="",$DF76&lt;$ES76,$DF76&gt;=90),"",MAX(0.05,MIN($BS76*$ET76,$BS76*(90-$DF76)/90+0.35*($DI76+$DJ76)+0.06*($DK76+$DL76)+0.15*($DM76+$DN76)+0.1*(MAX($DO76,$DP76)-MIN($DO76,$DP76)))))</x:f>
      </x:c>
      <x:c r="EV76" s="132"/>
      <x:c r="EW76" s="132"/>
      <x:c r="EX76" s="132"/>
      <x:c r="EY76" s="132"/>
      <x:c r="EZ76" s="132"/>
      <x:c r="FA76" s="132"/>
      <x:c r="FB76" s="247"/>
      <x:c r="FC76" s="134" t="str">
        <x:f t="shared" si="137">IF($A76="","",IF(OR($J76="",$L76="",$L76&lt;=0),"",MAX(0.5,MIN(1.5,$J76/$L76))))</x:f>
      </x:c>
      <x:c r="FD76" s="134" t="str">
        <x:f t="shared" si="138">IF($A76="","",IF(OR($Q76="",$S76="",$S76&lt;=0),"",MAX(0.5,MIN(1.5,$Q76/$S76))))</x:f>
      </x:c>
      <x:c r="FE76" s="134" t="str">
        <x:f>IF($A76="","",IF(COUNT($EV76:$EW76)&lt;2,"",SQRT($EV76*$EW76)/'Setari model'!$B$87))</x:f>
      </x:c>
      <x:c r="FF76" s="134" t="str">
        <x:f>IF($A76="","",IF(COUNT($O76,$V76,$EX76,$EY76)&lt;4,"",AVERAGE(SQRT($O76*$EY76),SQRT($V76*$EX76))/'Setari model'!$B$88))</x:f>
      </x:c>
      <x:c r="FG76" s="134" t="str">
        <x:f t="shared" si="139">IF($A76="","",IF(COUNT($FC76:$FD76)&lt;2,"",MAX(0,1-AVERAGE($FC76:$FD76))))</x:f>
      </x:c>
      <x:c r="FH76" s="134" t="str">
        <x:f>IF($A76="","",IF(COUNT($EZ76:$FA76)&lt;2,"",'Setari model'!$B$94*AVERAGE($EZ76:$FA76)/'Setari model'!$B$89))</x:f>
      </x:c>
      <x:c r="FI76" s="134" t="str">
        <x:f>IF($A76="","",IF(COUNT($FE76:$FH76)&lt;4,"",MAX('Setari model'!$B$97,MIN('Setari model'!$B$98,1+'Setari model'!$B$90*($FE76-1)+'Setari model'!$B$91*($FF76-1)+'Setari model'!$B$92*$FG76+'Setari model'!$B$93*($FH76-1)))))</x:f>
      </x:c>
      <x:c r="FJ76" s="133" t="str">
        <x:f>IF($A76="","",IF($FI76="","",MIN('Setari model'!$B$101,MAX(0.002,$DZ76*$FI76))))</x:f>
      </x:c>
      <x:c r="FK76" s="131" t="str">
        <x:f t="shared" si="140">IF($A76="","",IF(AND(COUNT($EV76:$FA76)=6,COUNT($O76,$V76,$FC76,$FD76)=4),"DA","NU"))</x:f>
      </x:c>
      <x:c r="FL76" s="131" t="str">
        <x:f>IF($A76="","",IF($FK76&lt;&gt;"DA","NEDETERMINAT",IF($FI76&lt;='Setari model'!$B$99,"SCĂZUT",IF($FI76&lt;='Setari model'!$B$100,"MEDIU","RIDICAT"))))</x:f>
      </x:c>
      <x:c r="FM76" s="131" t="str">
        <x:f>IF($A76="","",IF(AND($AR76&gt;1,$EC76&gt;='Setari model'!$B$106),"DA","NU"))</x:f>
      </x:c>
      <x:c r="FN76" s="131" t="str">
        <x:f t="shared" si="141">IF($A76="","",IF(AND($AU76=1,COUNT($CY76:$DB76)=4),"DA","NU"))</x:f>
      </x:c>
      <x:c r="FO76" s="133" t="str">
        <x:f>IF($A76="","",IF(OR($FK76&lt;&gt;"DA",$FL76="RIDICAT"),'Setari model'!$B$102,IF($FL76="MEDIU",'Setari model'!$B$103,IF(AND($FM76="DA",$FN76="DA"),'Setari model'!$B$105,'Setari model'!$B$104))))</x:f>
      </x:c>
      <x:c r="FP76" s="133" t="str">
        <x:f t="shared" si="142">IF($A76="","",IF($FJ76="","",MIN(1-$FJ76,$FO76)))</x:f>
      </x:c>
      <x:c r="FQ76" s="135" t="str">
        <x:f t="shared" si="143">IF($A76="","",IF($FP76="","",IF($FP76&gt;0,1/$FP76,"")))</x:f>
      </x:c>
      <x:c r="FR76" s="133" t="str">
        <x:f t="shared" si="144">IF($A76="","",IF($EC76="","",$FP76-$EC76))</x:f>
      </x:c>
      <x:c r="FS76" s="133" t="str">
        <x:f t="shared" si="145">IF($A76="","",IF($AR76&gt;1,$FP76*$AR76-1,""))</x:f>
      </x:c>
      <x:c r="FT76" s="136" t="str">
        <x:f>IF($A76="","",MAX(0,MIN(100,$EF76-IF($FK76&lt;&gt;"DA",'Setari model'!$B$107,0)-IF($FL76="MEDIU",'Setari model'!$B$108,0)-IF($FL76="RIDICAT",'Setari model'!$B$109,0))))</x:f>
      </x:c>
      <x:c r="FU76" s="131" t="str">
        <x:f t="shared" si="146">IF($A76="","",IF($AR76&lt;=1,"NU – LIPSEȘTE COTA REALĂ",IF($FK76&lt;&gt;"DA","NU – ZERO-RISK INCOMPLET",IF($FL76&lt;&gt;"SCĂZUT","NU – RISC 0-0 "&amp;$FL76,IF($FN76&lt;&gt;"DA","NU – LINEUP NECONFIRMAT",IF($FM76&lt;&gt;"DA","NU – PIAȚĂ NECONFIRMATĂ",IF($EP76&lt;&gt;"DA","NU – PORTOFOLIU","DA")))))))</x:f>
      </x:c>
      <x:c r="FV76" s="131" t="str">
        <x:f>IF($A76="","",IF($FU76&lt;&gt;"DA","WATCH / NO BET",IF(AND($FP76&gt;='Setari model'!$B$35,$FT76&gt;=100*'Setari model'!$B$76,$FS76&gt;0),"PARIU RECOMANDAT",IF(AND($FP76&gt;='Setari model'!$B$39,$FT76&gt;=100*'Setari model'!$B$40,$FS76&gt;0),"WATCH – APROAPE DE PRAG","PARIU EVITAT"))))</x:f>
      </x:c>
      <x:c r="FW76" s="131" t="str">
        <x:f t="shared" si="147">IF($A76="","",IF($FU76&lt;&gt;"DA",$FU76,IF($FT76&lt;75,"Confidence v3 sub 75.",IF($FP76&lt;0.92,"P v3 sub 92%.",IF($FS76&lt;=0,"EV v3 nepozitiv.","P0 v3, lineup și piață confirmate.")))))</x:f>
      </x:c>
      <x:c r="FX76" s="131" t="str">
        <x:f t="shared" si="148">IF($A76="","","P v3="&amp;TEXT($FP76,"0.0%")&amp;"; P0 v3="&amp;TEXT($FJ76,"0.0%")&amp;"; factor zero="&amp;IF($FI76="","n/a",TEXT($FI76,"0.00x"))&amp;" ("&amp;$FL76&amp;"); cap="&amp;TEXT($FO76,"0.0%")&amp;"; Confidence="&amp;TEXT($FT76,"0")&amp;"/100; lineup="&amp;$FN76&amp;"; piață="&amp;$FM76&amp;"; EV="&amp;IF($FS76="","n/a",TEXT($FS76,"0.0%"))&amp;"; gate="&amp;$FU76&amp;"; verdict="&amp;$FV76&amp;". "&amp;$FW76)</x:f>
      </x:c>
      <x:c r="FY76" s="159"/>
      <x:c r="FZ76" s="159"/>
      <x:c r="GA76" s="157"/>
      <x:c r="GB76" s="157"/>
      <x:c r="GC76" s="161" t="str">
        <x:f t="shared" si="149">IF($A76="","",IF(OR($X76="",$Z76="",$Z76&lt;=0),"",MAX(0.5,MIN(1.5,$X76/$Z76))))</x:f>
      </x:c>
      <x:c r="GD76" s="161" t="str">
        <x:f t="shared" si="150">IF($A76="","",IF(OR($AC76="",$AE76="",$AE76&lt;=0),"",MAX(0.5,MIN(1.5,$AC76/$AE76))))</x:f>
      </x:c>
      <x:c r="GE76" s="162" t="str">
        <x:f t="shared" si="151">IF($A76="","",IF(COUNT($Z76,$AE76)&lt;2,"",AVERAGE($Z76,$AE76)))</x:f>
      </x:c>
      <x:c r="GF76" s="158" t="str">
        <x:f>IF($A76="","",IF(COUNT($FY76:$FZ76)&lt;2,"NEDETERMINAT",IF(AND($FY76&gt;='Setari model'!$B$113,$FZ76&gt;='Setari model'!$B$113),"DA","NU")))</x:f>
      </x:c>
      <x:c r="GG76" s="158" t="str">
        <x:f>IF($A76="","",IF(COUNT($FY76:$FZ76,$EX76:$EY76)&lt;4,"NEDETERMINAT",IF(OR(AND($FY76&gt;='Setari model'!$B$113,$EY76&gt;='Setari model'!$B$114),AND($FZ76&gt;='Setari model'!$B$113,$EX76&gt;='Setari model'!$B$114)),"DA","NU")))</x:f>
      </x:c>
      <x:c r="GH76" s="158" t="str">
        <x:f>IF($A76="","",IF(COUNT($BJ76:$BN76,$GC76:$GE76)&lt;8,"NEDETERMINAT",IF(AND((($BJ76*INDEX('Setari model'!$B$5:$B$11,MATCH($E76,'Setari model'!$A$5:$A$11,0))+$BK76*INDEX('Setari model'!$C$5:$C$11,MATCH($E76,'Setari model'!$A$5:$A$11,0))+$BL76*INDEX('Setari model'!$D$5:$D$11,MATCH($E76,'Setari model'!$A$5:$A$11,0))+$BM76*INDEX('Setari model'!$E$5:$E$11,MATCH($E76,'Setari model'!$A$5:$A$11,0))+$BN76*INDEX('Setari model'!$F$5:$F$11,MATCH($E76,'Setari model'!$A$5:$A$11,0)))/(INDEX('Setari model'!$B$5:$B$11,MATCH($E76,'Setari model'!$A$5:$A$11,0))+INDEX('Setari model'!$C$5:$C$11,MATCH($E76,'Setari model'!$A$5:$A$11,0))+INDEX('Setari model'!$D$5:$D$11,MATCH($E76,'Setari model'!$A$5:$A$11,0))+INDEX('Setari model'!$E$5:$E$11,MATCH($E76,'Setari model'!$A$5:$A$11,0))+INDEX('Setari model'!$F$5:$F$11,MATCH($E76,'Setari model'!$A$5:$A$11,0))))*$BR76&gt;='Setari model'!$B$115,(($BJ76*INDEX('Setari model'!$B$5:$B$11,MATCH($E76,'Setari model'!$A$5:$A$11,0))+$BK76*INDEX('Setari model'!$C$5:$C$11,MATCH($E76,'Setari model'!$A$5:$A$11,0))+$BL76*INDEX('Setari model'!$D$5:$D$11,MATCH($E76,'Setari model'!$A$5:$A$11,0))+$BM76*INDEX('Setari model'!$E$5:$E$11,MATCH($E76,'Setari model'!$A$5:$A$11,0))+$BN76*INDEX('Setari model'!$F$5:$F$11,MATCH($E76,'Setari model'!$A$5:$A$11,0)))/(INDEX('Setari model'!$B$5:$B$11,MATCH($E76,'Setari model'!$A$5:$A$11,0))+INDEX('Setari model'!$C$5:$C$11,MATCH($E76,'Setari model'!$A$5:$A$11,0))+INDEX('Setari model'!$D$5:$D$11,MATCH($E76,'Setari model'!$A$5:$A$11,0))+INDEX('Setari model'!$E$5:$E$11,MATCH($E76,'Setari model'!$A$5:$A$11,0))+INDEX('Setari model'!$F$5:$F$11,MATCH($E76,'Setari model'!$A$5:$A$11,0))))*$BR76&lt;='Setari model'!$B$116,AVERAGE($GC76:$GD76)&lt;='Setari model'!$B$117,$GE76&gt;='Setari model'!$B$118),"DA","NU")))</x:f>
      </x:c>
      <x:c r="GI76" s="158" t="str">
        <x:f>IF($A76="","",IF(COUNT($W76,$AB76,$GA76:$GB76)&lt;4,"NEDETERMINAT",IF(AND($W76&gt;='Setari model'!$B$120,$AB76&gt;='Setari model'!$B$120,OR(IFERROR($GA76/$W76,0)&gt;='Setari model'!$B$119,IFERROR($GB76/$AB76,0)&gt;='Setari model'!$B$119)),"DA","NU")))</x:f>
      </x:c>
      <x:c r="GJ76" s="160" t="str">
        <x:f>IF($A76="","",IF(COUNT($FY76:$GB76)&lt;4,"",IF($GH76&lt;&gt;"DA",0,'Setari model'!$B$121*IF($GF76="DA",1,0)+'Setari model'!$B$122*IF($GG76="DA",1,0)+'Setari model'!$B$123+'Setari model'!$B$124*IF($GI76="DA",1,0))))</x:f>
      </x:c>
      <x:c r="GK76" s="161" t="str">
        <x:f>IF($A76="","",IF(COUNT($GJ76)=0,"",1+'Setari model'!$B$125*$GJ76))</x:f>
      </x:c>
      <x:c r="GL76" s="160" t="str">
        <x:f>IF($A76="","",IF($GM76&lt;&gt;"DA",$FJ76,MIN('Setari model'!$B$101,MAX(0.002,$FJ76*$GK76))))</x:f>
      </x:c>
      <x:c r="GM76" s="158" t="str">
        <x:f>IF($A76="","",IF(AND($FK76="DA",COUNT($FY76:$GB76)=4,COUNT($I76,$P76,$W76,$AB76,$Z76,$AE76,$EX76,$EY76,$GC76,$GD76)=10,COUNT($BJ76:$BN76)=5),"DA","NU"))</x:f>
      </x:c>
      <x:c r="GN76" s="158" t="str">
        <x:f>IF($A76="","",IF($GM76&lt;&gt;"DA","NEDETERMINAT",IF($FI76*$GK76&lt;='Setari model'!$B$99,"SCĂZUT",IF($FI76*$GK76&lt;='Setari model'!$B$100,"MEDIU","RIDICAT"))))</x:f>
      </x:c>
      <x:c r="GO76" s="160" t="str">
        <x:f>IF($A76="","",IF(OR($GM76&lt;&gt;"DA",$GN76="RIDICAT"),'Setari model'!$B$102,IF($GN76="MEDIU",'Setari model'!$B$103,IF(AND($FM76="DA",$FN76="DA"),'Setari model'!$B$105,'Setari model'!$B$104))))</x:f>
      </x:c>
      <x:c r="GP76" s="160" t="str">
        <x:f t="shared" si="152">IF($A76="","",IF($GL76="","",MIN(1-$GL76,$GO76)))</x:f>
      </x:c>
      <x:c r="GQ76" s="162" t="str">
        <x:f t="shared" si="153">IF($A76="","",IF($GP76="","",IF($GP76&gt;0,1/$GP76,"")))</x:f>
      </x:c>
      <x:c r="GR76" s="160" t="str">
        <x:f t="shared" si="154">IF($A76="","",IF($EC76="","",$GP76-$EC76))</x:f>
      </x:c>
      <x:c r="GS76" s="160" t="str">
        <x:f t="shared" si="155">IF($A76="","",IF($AR76&gt;1,$GP76*$AR76-1,""))</x:f>
      </x:c>
      <x:c r="GT76" s="163" t="str">
        <x:f>IF($A76="","",MAX(0,MIN(100,$FT76-IF(AND($GM76&lt;&gt;"DA",$FK76="DA"),'Setari model'!$B$107,0)-'Setari model'!$B$126*IF($GJ76="",0,$GJ76))))</x:f>
      </x:c>
      <x:c r="GU76" s="158" t="str">
        <x:f t="shared" si="156">IF($A76="","",IF($AR76&lt;=1,"NU – LIPSEȘTE COTA REALĂ",IF($GM76&lt;&gt;"DA","NU – DATE LOW-CONVERSION INCOMPLETE",IF($GN76&lt;&gt;"SCĂZUT","NU – RISC 0-0 "&amp;$GN76,IF($FN76&lt;&gt;"DA","NU – LINEUP NECONFIRMAT",IF($FM76&lt;&gt;"DA","NU – PIAȚĂ NECONFIRMATĂ",IF($EP76&lt;&gt;"DA","NU – PORTOFOLIU","DA")))))))</x:f>
      </x:c>
      <x:c r="GV76" s="158" t="str">
        <x:f>IF($A76="","",IF($GU76&lt;&gt;"DA","WATCH / NO BET",IF(AND($GP76&gt;='Setari model'!$B$35,$GT76&gt;=100*'Setari model'!$B$76,$GS76&gt;0),"PARIU RECOMANDAT",IF(AND($GP76&gt;='Setari model'!$B$39,$GT76&gt;=100*'Setari model'!$B$40,$GS76&gt;0),"WATCH – APROAPE DE PRAG","PARIU EVITAT"))))</x:f>
      </x:c>
      <x:c r="GW76" s="158" t="str">
        <x:f t="shared" si="157">IF($A76="","",IF($GU76&lt;&gt;"DA",$GU76,IF($GT76&lt;75,"Confidence v5 sub 75.",IF($GP76&lt;0.92,"P v5 sub 92%.",IF($GS76&lt;=0,"EV v5 nepozitiv.",IF($GJ76&gt;0,"Low-conversion absorbit în P0; toate porțile rămân trecute.","Toate porțile v5 sunt trecute."))))))</x:f>
      </x:c>
      <x:c r="GX76" s="158" t="str">
        <x:f t="shared" si="158">IF($A76="","","P v5="&amp;TEXT($GP76,"0.0%")&amp;"; P0 v5="&amp;TEXT($GL76,"0.0%")&amp;"; low-conv="&amp;IF(COUNT($GJ76)=0,"n/a",TEXT($GJ76,"0%"))&amp;"; mult.P0="&amp;IF(COUNT($GK76)=0,"n/a",TEXT($GK76,"0.00"))&amp;"; clasă="&amp;$GN76&amp;"; cap="&amp;TEXT($GO76,"0.0%")&amp;"; Confidence="&amp;TEXT($GT76,"0")&amp;"/100; lineup="&amp;$FN76&amp;"; piață="&amp;$FM76&amp;"; EV="&amp;IF($GS76="","n/a",TEXT($GS76,"0.0%"))&amp;"; gate="&amp;$GU76&amp;"; verdict="&amp;$GV76&amp;". "&amp;$GW76)</x:f>
      </x:c>
      <x:c r="GY76" s="174" t="str">
        <x:f>IF($A76="","",IF($GM76&lt;&gt;"DA","SOURCING INCOMPLETE – REVIEW REQUIRED",IF(MIN($I76,$P76,$W76,$AB76)&lt;'Setari model'!$B$58,"SMALL SAMPLE + PRIOR / SHRINKAGE","VERIFIED / PRIOR / SHRINKAGE")))</x:f>
      </x:c>
      <x:c r="GZ76" s="175" t="str">
        <x:f t="shared" si="159">IF($A76="","",MAX(0,MIN(100,100*(1-AVERAGE(IF($GM76="DA",1,0),MIN(1,$AT76/5))))))</x:f>
      </x:c>
      <x:c r="HA76" s="175" t="str">
        <x:f>IF($A76="","",IF($GM76&lt;&gt;"DA","",MAX(0,MIN(100,100*(($FI76*$GK76)-'Setari model'!$B$97)/('Setari model'!$B$98-'Setari model'!$B$97)))))</x:f>
      </x:c>
      <x:c r="HB76" s="175" t="str">
        <x:f>IF($A76="","",MAX(0,MIN(100,100*(ABS($BR76-1)/MAX(1-'Setari model'!$B$53,'Setari model'!$B$54-1)+MIN(1,$BG76/2))/2)))</x:f>
      </x:c>
      <x:c r="HC76" s="175" t="str">
        <x:f t="shared" si="160">IF($A76="","",MAX(0,MIN(100,100*(1-AVERAGE($CC76,MAX(0,1-(MAX($BJ76:$BN76)-MIN($BJ76:$BN76))/(AVERAGE($BJ76:$BN76)*'Setari model'!$B$45)))))))</x:f>
      </x:c>
      <x:c r="HD76" s="175" t="str">
        <x:f t="shared" si="161">IF($A76="","",MAX(0,MIN(100,100*MAX(IF($GJ76="",0,$GJ76),MIN(1,$BG76/2)))))</x:f>
      </x:c>
      <x:c r="HE76" s="175" t="str">
        <x:f>IF($A76="","",IF(COUNT($GZ76:$HD76)&lt;5,"",$GZ76*Risk_Classification!$E$28+$HA76*Risk_Classification!$E$29+$HB76*Risk_Classification!$E$30+$HC76*Risk_Classification!$E$31+$HD76*Risk_Classification!$E$32))</x:f>
      </x:c>
      <x:c r="HF76" s="176" t="str">
        <x:f t="shared" si="162">IF($A76="","",IF($HE76="","",IF($HE76&lt;=20,1,IF($HE76&lt;=40,2,IF($HE76&lt;=60,3,IF($HE76&lt;=80,4,5))))))</x:f>
      </x:c>
      <x:c r="HG76" s="176" t="str">
        <x:f t="shared" si="163">IF($A76="","",IF($GM76="DA","PASS","FAIL – DATE CRITICE ZERO-MASS INCOMPLETE"))</x:f>
      </x:c>
      <x:c r="HH76" s="176" t="str">
        <x:f t="shared" si="164">IF($A76="","",IF($HG76&lt;&gt;"PASS",5,$HF76))</x:f>
      </x:c>
      <x:c r="HI76" s="174" t="str">
        <x:f t="shared" si="165">IF($A76="","",IF($HH76="","N/A",IF($HH76=1,"DEFENSIV",IF($HH76=2,"PRUDENT",IF($HH76=3,"MODERAT",IF($HH76=4,"RIDICAT","WATCH / NO BET"))))))</x:f>
      </x:c>
      <x:c r="HJ76" s="177" t="str">
        <x:f t="shared" si="166">IF($A76="","","Data="&amp;$GY76&amp;"; DQ="&amp;TEXT($GZ76,"0.0")&amp;"; ZM="&amp;IF($HA76="","n/a",TEXT($HA76,"0.0"))&amp;"; Context="&amp;TEXT($HB76,"0.0")&amp;"; Uncertainty="&amp;TEXT($HC76,"0.0")&amp;"; Compound="&amp;TEXT($HD76,"0.0")&amp;"; Risk Score="&amp;IF($HE76="","n/a",TEXT($HE76,"0.0"))&amp;"; Base="&amp;IF($HF76="","n/a",$HF76)&amp;"; G0="&amp;$HG76&amp;"; Final="&amp;$HH76&amp;". Cota, EV si lineup sunt informative si nu intra in recomandare.")</x:f>
      </x:c>
      <x:c r="HK76" s="174" t="str">
        <x:f t="shared" si="167">IF($A76="","",$HI76)</x:f>
      </x:c>
    </x:row>
    <x:row r="77" ht="24" customHeight="1">
      <x:c r="A77" s="58"/>
      <x:c r="B77" s="24"/>
      <x:c r="C77" s="59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18"/>
      <x:c r="O77" s="18"/>
      <x:c r="P77" s="24"/>
      <x:c r="Q77" s="24"/>
      <x:c r="R77" s="24"/>
      <x:c r="S77" s="24"/>
      <x:c r="T77" s="24"/>
      <x:c r="U77" s="18"/>
      <x:c r="V77" s="18"/>
      <x:c r="W77" s="24"/>
      <x:c r="X77" s="24"/>
      <x:c r="Y77" s="24"/>
      <x:c r="Z77" s="24"/>
      <x:c r="AA77" s="24"/>
      <x:c r="AB77" s="24"/>
      <x:c r="AC77" s="24"/>
      <x:c r="AD77" s="24"/>
      <x:c r="AE77" s="24"/>
      <x:c r="AF77" s="24"/>
      <x:c r="AG77" s="24"/>
      <x:c r="AH77" s="24"/>
      <x:c r="AI77" s="18"/>
      <x:c r="AJ77" s="24"/>
      <x:c r="AK77" s="24"/>
      <x:c r="AL77" s="24"/>
      <x:c r="AM77" s="18"/>
      <x:c r="AN77" s="24"/>
      <x:c r="AO77" s="60"/>
      <x:c r="AP77" s="60"/>
      <x:c r="AQ77" s="60"/>
      <x:c r="AR77" s="60"/>
      <x:c r="AS77" s="60"/>
      <x:c r="AT77" s="24"/>
      <x:c r="AU77" s="24"/>
      <x:c r="AV77" s="24"/>
      <x:c r="AW77" s="24"/>
      <x:c r="AX77" s="24"/>
      <x:c r="AY77" s="24"/>
      <x:c r="AZ77" s="24"/>
      <x:c r="BA77" s="24"/>
      <x:c r="BB77" s="24"/>
      <x:c r="BC77" s="24"/>
      <x:c r="BD77" s="24"/>
      <x:c r="BE77" s="24"/>
      <x:c r="BF77" s="24"/>
      <x:c r="BG77" s="24"/>
      <x:c r="BH77" s="61"/>
      <x:c r="BI77" s="61"/>
      <x:c r="BJ77" s="62" t="str">
        <x:f>IF($A77="","",SQRT((($I77*IF($J77="",$AJ77,$J77)+'Setari model'!$B$30*$AJ77)/($I77+'Setari model'!$B$30))*(($P77*IF($R77="",$AJ77,$R77)+'Setari model'!$B$30*$AJ77)/($P77+'Setari model'!$B$30)))+SQRT((($P77*IF($Q77="",$AK77,$Q77)+'Setari model'!$B$30*$AK77)/($P77+'Setari model'!$B$30))*(($I77*IF($K77="",$AK77,$K77)+'Setari model'!$B$30*$AK77)/($I77+'Setari model'!$B$30))))</x:f>
      </x:c>
      <x:c r="BK77" s="62" t="str">
        <x:f>IF($A77="","",SQRT((($I77*IF($L77="",IF($J77="",$AJ77,$J77),$L77)+'Setari model'!$B$30*$AJ77)/($I77+'Setari model'!$B$30))*(($P77*IF($T77="",IF($R77="",$AJ77,$R77),$T77)+'Setari model'!$B$30*$AJ77)/($P77+'Setari model'!$B$30)))+SQRT((($P77*IF($S77="",IF($Q77="",$AK77,$Q77),$S77)+'Setari model'!$B$30*$AK77)/($P77+'Setari model'!$B$30))*(($I77*IF($M77="",IF($K77="",$AK77,$K77),$M77)+'Setari model'!$B$30*$AK77)/($I77+'Setari model'!$B$30))))</x:f>
      </x:c>
      <x:c r="BL77" s="62" t="str">
        <x:f>IF($A77="","",SQRT((($W77*IF($X77="",$AL77/2,$X77)+'Setari model'!$B$31*$AL77/2)/($W77+'Setari model'!$B$31))*(($AB77*IF($AD77="",$AL77/2,$AD77)+'Setari model'!$B$31*$AL77/2)/($AB77+'Setari model'!$B$31)))+SQRT((($AB77*IF($AC77="",$AL77/2,$AC77)+'Setari model'!$B$31*$AL77/2)/($AB77+'Setari model'!$B$31))*(($W77*IF($Y77="",$AL77/2,$Y77)+'Setari model'!$B$31*$AL77/2)/($W77+'Setari model'!$B$31))))</x:f>
      </x:c>
      <x:c r="BM77" s="62" t="str">
        <x:f>IF($A77="","",SQRT((($W77*IF($Z77="",IF($X77="",$AL77/2,$X77),$Z77)+'Setari model'!$B$31*$AL77/2)/($W77+'Setari model'!$B$31))*(($AB77*IF($AF77="",IF($AD77="",$AL77/2,$AD77),$AF77)+'Setari model'!$B$31*$AL77/2)/($AB77+'Setari model'!$B$31)))+SQRT((($AB77*IF($AE77="",IF($AC77="",$AL77/2,$AC77),$AE77)+'Setari model'!$B$31*$AL77/2)/($AB77+'Setari model'!$B$31))*(($W77*IF($AA77="",IF($Y77="",$AL77/2,$Y77),$AA77)+'Setari model'!$B$31*$AL77/2)/($W77+'Setari model'!$B$31))))</x:f>
      </x:c>
      <x:c r="BN77" s="62" t="str">
        <x:f t="shared" si="112">IF($A77="","",IF($AG77&gt;0,($AG77*IF($AH77="",$AL77,$AH77)+5*$AL77)/($AG77+5),$AL77))</x:f>
      </x:c>
      <x:c r="BO77" s="63" t="str">
        <x:f>IF($A77="","",IF($AR77&gt;1,IF($AS77&gt;1,(1/$AR77)/((1/$AR77+1/$AS77)),MIN(0.995,(1/$AR77)/(1+'Setari model'!$B$32))),1-EXP(-$AL77)))</x:f>
      </x:c>
      <x:c r="BP77" s="62" t="str">
        <x:f t="shared" si="113">IF($A77="","",-LN(1-$BO77))</x:f>
      </x:c>
      <x:c r="BQ77" s="62" t="str">
        <x:f>IF($A77="","",$BJ77*INDEX('Setari model'!$B$5:$B$11,MATCH($E77,'Setari model'!$A$5:$A$11,0))+$BK77*INDEX('Setari model'!$C$5:$C$11,MATCH($E77,'Setari model'!$A$5:$A$11,0))+$BL77*INDEX('Setari model'!$D$5:$D$11,MATCH($E77,'Setari model'!$A$5:$A$11,0))+$BM77*INDEX('Setari model'!$E$5:$E$11,MATCH($E77,'Setari model'!$A$5:$A$11,0))+$BN77*INDEX('Setari model'!$F$5:$F$11,MATCH($E77,'Setari model'!$A$5:$A$11,0))+$BP77*INDEX('Setari model'!$G$5:$G$11,MATCH($E77,'Setari model'!$A$5:$A$11,0)))</x:f>
      </x:c>
      <x:c r="BR77" s="64" t="str">
        <x:f>IF($A77="","",MAX('Setari model'!$B$53,MIN('Setari model'!$B$54,1+($AV77*'Setari model'!$B$15+$AW77*'Setari model'!$B$16+$AX77*'Setari model'!$B$17+$AY77*'Setari model'!$B$18+$AZ77*'Setari model'!$B$19+$BA77*'Setari model'!$B$20+$BB77*'Setari model'!$B$21+$BC77*'Setari model'!$B$22+$BD77*'Setari model'!$B$23+$BE77*'Setari model'!$B$24+$BF77*'Setari model'!$B$25)*INDEX('Setari model'!$H$5:$H$11,MATCH($E77,'Setari model'!$A$5:$A$11,0)))))</x:f>
      </x:c>
      <x:c r="BS77" s="62" t="str">
        <x:f t="shared" si="114">IF($A77="","",$BQ77*$BR77)</x:f>
      </x:c>
      <x:c r="BT77" s="63" t="str">
        <x:f t="shared" si="115">IF($A77="","",EXP(-$BS77))</x:f>
      </x:c>
      <x:c r="BU77" s="65" t="str">
        <x:f>IF($A77="","",IF(OR($AM77="",$AN77=""),1,1+MIN('Setari model'!$B$33,$AN77/100*'Setari model'!$B$33)*($AM77/EXP(-$AL77)-1)))</x:f>
      </x:c>
      <x:c r="BV77" s="63" t="str">
        <x:f>IF($A77="","",MIN(0.45,MAX(0.005,(1-'Setari model'!$B$34*MIN(1,($I77+$P77)/20))*MIN(0.45,$BT77*$BU77)+'Setari model'!$B$34*MIN(1,($I77+$P77)/20)*IF(COUNT($N77,$U77)=2,SQRT(MAX(0,1-$N77)*MAX(0,1-$U77)),IF($AM77="",EXP(-$AL77),$AM77)))))</x:f>
      </x:c>
      <x:c r="BW77" s="63" t="str">
        <x:f t="shared" si="116">IF($A77="","",1-$BV77)</x:f>
      </x:c>
      <x:c r="BX77" s="62" t="str">
        <x:f t="shared" si="117">IF($A77="","",1/$BW77)</x:f>
      </x:c>
      <x:c r="BY77" s="63" t="str">
        <x:f t="shared" si="118">IF($A77="","",$BO77)</x:f>
      </x:c>
      <x:c r="BZ77" s="63" t="str">
        <x:f t="shared" si="119">IF($A77="","",$BW77-$BY77)</x:f>
      </x:c>
      <x:c r="CA77" s="63" t="str">
        <x:f t="shared" si="120">IF($A77="","",IF($AR77&gt;1,$BW77*$AR77-1,""))</x:f>
      </x:c>
      <x:c r="CB77" s="63" t="str">
        <x:f>IF($A77="","",MIN(1,COUNT($I77:$AN77,$AR77:$BG77)/'Setari model'!$B$46))</x:f>
      </x:c>
      <x:c r="CC77" s="63" t="str">
        <x:f t="shared" si="121">IF($A77="","",0.25*MIN(1,$I77/10)+0.25*MIN(1,$P77/10)+0.15*MIN(1,$W77/5)+0.15*MIN(1,$AB77/5)+0.1*MIN(1,$AG77/5)+0.1*MIN(1,$AN77/100))</x:f>
      </x:c>
      <x:c r="CD77" s="63" t="str">
        <x:f>IF($A77="","",MAX(0,1-(MAX($BJ77:$BN77,$BP77)-MIN($BJ77:$BN77,$BP77))/(AVERAGE($BJ77:$BN77,$BP77)*'Setari model'!$B$45)))</x:f>
      </x:c>
      <x:c r="CE77" s="66" t="str">
        <x:f>IF($A77="","",MAX(0,MIN(100,100*INDEX('Setari model'!$I$5:$I$11,MATCH($E77,'Setari model'!$A$5:$A$11,0))*('Setari model'!$B$47*$CB77+'Setari model'!$B$48*$CC77+'Setari model'!$B$49*$CD77+'Setari model'!$B$50*$AT77/5+'Setari model'!$B$51*$AU77)-100*'Setari model'!$B$52*$BG77)))</x:f>
      </x:c>
      <x:c r="CF77" s="65" t="str">
        <x:f t="shared" si="122">IF($A77="","",IF(OR($AT77&lt;3,$BG77&gt;=2,$CB77&lt;0.55,$CC77&lt;0.4),"RIDICAT",IF(OR($AU77=0,$CD77&lt;0.45,$BR77&lt;0.9),"MEDIU","SCĂZUT")))</x:f>
      </x:c>
      <x:c r="CG77" s="65" t="str">
        <x:f>IF($A77="","",IF($AR77&gt;1,IF(AND($BW77&gt;= 'Setari model'!$B$35,$CE77&gt;=100*'Setari model'!$B$36,$BZ77&gt;= 'Setari model'!$B$37,$CA77&gt;= 'Setari model'!$B$38,$CF77&lt;&gt;"RIDICAT"),"PARIU RECOMANDAT",IF(AND($BW77&gt;= 'Setari model'!$B$39,$CE77&gt;=100*'Setari model'!$B$40,$BZ77&gt;= 'Setari model'!$B$41,$CA77&gt;=0,$CF77&lt;&gt;"RIDICAT"),"RECOMANDAT CU PRUDENȚĂ",IF(AND($BW77&gt;= 'Setari model'!$B$42,$CE77&gt;=100*'Setari model'!$B$43),"ANALIZĂ NECONCLUDENTĂ","PARIU EVITAT"))),IF(AND($BW77&gt;= 'Setari model'!$B$35,$CE77&gt;=100*'Setari model'!$B$36,$CF77&lt;&gt;"RIDICAT"),"FAVORABIL STATISTIC – VERIFICĂ COTA",IF(AND($BW77&gt;= 'Setari model'!$B$42,$CE77&gt;=100*'Setari model'!$B$43),"ANALIZĂ NECONCLUDENTĂ","PARIU EVITAT"))))</x:f>
      </x:c>
      <x:c r="CH77" s="67" t="str">
        <x:f t="shared" si="123">IF($A77="","","P(O0,5)="&amp;TEXT($BW77,"0.0%")&amp;"; λ ajustat="&amp;TEXT($BS77,"0.00")&amp;"; Confidence="&amp;TEXT($CE77,"0")&amp;"/100; Edge="&amp;TEXT($BZ77,"0.0%")&amp;"; risc="&amp;$CF77&amp;". "&amp;$BH77)</x:f>
      </x:c>
      <x:c r="CI77" s="68" t="str">
        <x:f t="shared" si="124">IF($A77="","",$BI77)</x:f>
      </x:c>
      <x:c r="CJ77" s="112"/>
      <x:c r="CK77" s="112"/>
      <x:c r="CL77" s="112"/>
      <x:c r="CM77" s="112"/>
      <x:c r="CN77" s="112"/>
      <x:c r="CO77" s="112"/>
      <x:c r="CP77" s="112"/>
      <x:c r="CQ77" s="112"/>
      <x:c r="CR77" s="112"/>
      <x:c r="CS77" s="112"/>
      <x:c r="CT77" s="112"/>
      <x:c r="CU77" s="112"/>
      <x:c r="CV77" s="112"/>
      <x:c r="CW77" s="112"/>
      <x:c r="CX77" s="112"/>
      <x:c r="CY77" s="112"/>
      <x:c r="CZ77" s="112"/>
      <x:c r="DA77" s="112"/>
      <x:c r="DB77" s="112"/>
      <x:c r="DC77" s="114"/>
      <x:c r="DD77" s="114"/>
      <x:c r="DE77" s="112" t="s">
        <x:v>266</x:v>
      </x:c>
      <x:c r="DF77" s="112"/>
      <x:c r="DG77" s="112"/>
      <x:c r="DH77" s="112"/>
      <x:c r="DI77" s="112"/>
      <x:c r="DJ77" s="112"/>
      <x:c r="DK77" s="112"/>
      <x:c r="DL77" s="112"/>
      <x:c r="DM77" s="112"/>
      <x:c r="DN77" s="112"/>
      <x:c r="DO77" s="112"/>
      <x:c r="DP77" s="112"/>
      <x:c r="DQ77" s="114"/>
      <x:c r="DR77" s="112">
        <x:v>1</x:v>
      </x:c>
      <x:c r="DS77" s="116">
        <x:v>0</x:v>
      </x:c>
      <x:c r="DT77" s="120"/>
      <x:c r="DU77" s="116">
        <x:v>0.02</x:v>
      </x:c>
      <x:c r="DV77" s="116">
        <x:v>0.25</x:v>
      </x:c>
      <x:c r="DW77" s="118" t="str">
        <x:f>IF($A77="","",MAX('Setari model'!$B$71,MIN('Setari model'!$B$72,1+0.08*(IFERROR(AVERAGE($CM77:$CN77)/'Setari model'!$B$66,1)-1)+0.08*(IFERROR(AVERAGE($CO77:$CP77)/'Setari model'!$B$67,1)-1)+0.06*(IFERROR(AVERAGE($CQ77:$CR77)/'Setari model'!$B$68,1)-1)+0.04*(IFERROR(AVERAGE($CS77:$CT77)/'Setari model'!$B$69,1)-1)+0.04*(IFERROR(AVERAGE($CU77:$CV77)/'Setari model'!$B$70,1)-1)-'Setari model'!$B$73*IFERROR(AVERAGE($CW77:$CX77),0))))</x:f>
      </x:c>
      <x:c r="DX77" s="118" t="str">
        <x:f>IF($A77="","",1+'Setari model'!$B$62*MAX(IF(OR($CK77=1,$CL77=1),1,0),IF(AND($CJ77&lt;&gt;"",$CJ77&lt;=1),1,0))+'Setari model'!$B$63*IF(AND($CJ77&gt;1,$CJ77&lt;=3),1,0))</x:f>
      </x:c>
      <x:c r="DY77" s="118" t="str">
        <x:f>IF($A77="","",1+'Setari model'!$B$74*(IF($CY77="",0,IF($CY77=0,1,0))+IF($CZ77="",0,IF($CZ77=0,1,0)))+'Setari model'!$B$75*(IF($DA77="",0,IF($DA77=0,1,0))+IF($DB77="",0,IF($DB77=0,1,0))))</x:f>
      </x:c>
      <x:c r="DZ77" s="117" t="str">
        <x:f>IF($A77="","",MIN(0.6,MAX(0.002,(((1-'Setari model'!$B$34*MIN(1,($I77+$P77)/20))*$BT77+'Setari model'!$B$34*MIN(1,($I77+$P77)/20)*IF(COUNT($N77,$U77)=2,SQRT(MAX(0,1-$N77)*MAX(0,1-$U77)),$BT77))*(1-'Setari model'!$B$65*MIN(1,IF($AN77="",0,$AN77/'Setari model'!$B$64)))+'Setari model'!$B$65*MIN(1,IF($AN77="",0,$AN77/'Setari model'!$B$64))*IF($AM77="",$BT77,$AM77))*$DX77*$DY77/$DW77)))</x:f>
      </x:c>
      <x:c r="EA77" s="117" t="str">
        <x:f>IF($A77="","",MIN(1-$DZ77,IF(OR(MIN($I77,$P77)&lt;'Setari model'!$B$58,$CK77=1,$CL77=1,AND($CJ77&lt;&gt;"",$CJ77&lt;=1)),'Setari model'!$B$59,IF(AND($AU77=1,$AR77&gt;1,COUNT($CY77:$DB77)=4),'Setari model'!$B$61,'Setari model'!$B$60))))</x:f>
      </x:c>
      <x:c r="EB77" s="115" t="str">
        <x:f t="shared" si="125">IF($A77="","",1/$EA77)</x:f>
      </x:c>
      <x:c r="EC77" s="117" t="str">
        <x:f t="shared" si="126">IF($A77="","",IF($AR77&gt;1,IF($AS77&gt;1,(1/$AR77)/((1/$AR77)+(1/$AS77)),1/$AR77),""))</x:f>
      </x:c>
      <x:c r="ED77" s="117" t="str">
        <x:f t="shared" si="127">IF($A77="","",IF($EC77="","",$EA77-$EC77))</x:f>
      </x:c>
      <x:c r="EE77" s="117" t="str">
        <x:f t="shared" si="128">""</x:f>
      </x:c>
      <x:c r="EF77" s="119" t="str">
        <x:f>IF($A77="","",MAX(0,MIN(100,$CE77-200*MAX(0,$EG77-'Setari model'!$B$77)-IF($AU77&lt;&gt;1,10,0)-IF(COUNT($CY77:$DB77)&lt;4,4,0))))</x:f>
      </x:c>
      <x:c r="EG77" s="117" t="str">
        <x:f>IF($A77="","",'Setari model'!$B$77+IF(MIN($I77,$P77)&lt;'Setari model'!$B$58,0.03,0)+IF(OR($CK77=1,$CL77=1,AND($CJ77&lt;&gt;"",$CJ77&lt;=1)),0.03,0)+IF($AG77=0,0.02,0)+0.03*(1-MIN(1,COUNT($CM77:$CV77)/10))+0.03*(1-MIN(1,IF($AN77="",0,$AN77/'Setari model'!$B$64)))+IF($AR77&lt;=1,0.02,0))</x:f>
      </x:c>
      <x:c r="EH77" s="113" t="str">
        <x:f>IF($A77="","",IF(OR(MIN($I77,$P77)&lt;'Setari model'!$B$58,$CK77=1,$CL77=1,AND($CJ77&lt;&gt;"",$CJ77&lt;=1)),"92% – early/regim",IF(AND($AU77=1,$AR77&gt;1,COUNT($CY77:$DB77)=4),"94% – confirmat","93% – standard")))</x:f>
      </x:c>
      <x:c r="EI77" s="113" t="str">
        <x:f t="shared" si="129">IF($A77="","",IF(AND($EA77&gt;0.9,$AU77&lt;&gt;1),"WAIT XI – HIGH P",IF(AND($EA77&gt;0.9,COUNT($CY77:$DB77)&lt;4),"WAIT DATE CHEIE – HIGH P",IF($EP77&lt;&gt;"DA","NU – PORTOFOLIU","DA"))))</x:f>
      </x:c>
      <x:c r="EJ77" s="117" t="str">
        <x:f t="shared" si="130">IF($A77="","",IF($DE77&lt;&gt;"Live 20-30","",IF(SUM($DG77:$DH77)&gt;0,1,IF($EU77="","",1-MIN(0.95,MAX(0.001,EXP(-$EU77)*$DX77*$DY77/$DW77))))))</x:f>
      </x:c>
      <x:c r="EK77" s="117" t="str">
        <x:f t="shared" si="131">""</x:f>
      </x:c>
      <x:c r="EL77" s="113" t="str">
        <x:f>IF($A77="","",IF($DE77="Live 20-30",IF(SUM($DG77:$DH77)&gt;0,"EVENIMENT ÎNDEPLINIT",IF(OR($DF77="",COUNT($DI77:$DN77)&lt;4),"LIVE – WATCH",IF($EJ77&gt;=0.75,"LIVE – FEZABIL TEHNIC","LIVE – NO BET"))),IF($EI77&lt;&gt;"DA","WATCH / NO BET",IF(AND($EA77&gt;=INDEX('Setari model'!$B$35:$B$40,1),$EF77&gt;=100*'Setari model'!$B$76),"PARIU RECOMANDAT",IF(AND($EA77&gt;=INDEX('Setari model'!$B$35:$B$40,5),$EF77&gt;=100*'Setari model'!$B$40),"WATCH – APROAPE DE PRAG","PARIU EVITAT")))))</x:f>
      </x:c>
      <x:c r="EM77" s="113" t="str">
        <x:f t="shared" si="132">IF($A77="","",IF($DE77="Live 20-30",IF(SUM($DG77:$DH77)&gt;0,"Gol deja marcat.",IF($DF77="","Minut live lipsă.",IF(COUNT($DI77:$DN77)&lt;4,"Lipsesc xG/SOT/big chances live.",IF($EJ77&lt;0.75,"P live sub prag.","Semnal live tehnic complet; EV ignorat.")))),IF($EI77&lt;&gt;"DA",$EI77,IF($EF77&lt;75,"Confidence sub 75.",IF($EA77&lt;0.92,"P sub 92%.","G0/Zero-Mass + confidence trecute; EV ignorat.")))))</x:f>
      </x:c>
      <x:c r="EN77" s="117" t="str">
        <x:f>IF($A77="","",IF(OR($EL77="PARIU RECOMANDAT",$EL77="LIVE – FEZABIL"),MIN(IF($DU77&gt;0,$DU77,'Setari model'!$B$81)/MAX(1,$DR77),IF($DV77&gt;0,$DV77,'Setari model'!$B$80)*MAX(0,((IF($DE77="Live 20-30",$EJ77,$EA77)*IF($DE77="Live 20-30",$DQ77,$AR77)-1)/(IF($DE77="Live 20-30",$DQ77,$AR77)-1)))),0))</x:f>
      </x:c>
      <x:c r="EO77" s="121" t="str">
        <x:f t="shared" si="133">IF($A77="","",IF(AND($EN77&gt;0,$DT77&gt;0),$EN77*$DT77,""))</x:f>
      </x:c>
      <x:c r="EP77" s="113" t="str">
        <x:f>IF($A77="","",IF(OR($DR77&lt;1,$DR77&gt;'Setari model'!$B$78),"NU – 1–5 selecții",IF($DS77&gt;'Setari model'!$B$79,"NU – corelație", "DA")))</x:f>
      </x:c>
      <x:c r="EQ77" s="117" t="str">
        <x:f t="shared" si="134">IF($A77="","",IF(AND($DC77&gt;1,$DD77&gt;1),$DC77/$DD77-1,""))</x:f>
      </x:c>
      <x:c r="ER77" s="113" t="str">
        <x:f t="shared" si="135">IF($A77="","","P v2="&amp;TEXT($EA77,"0.0%")&amp;" ±"&amp;TEXT($EG77,"0.0%")&amp;"; P0 ZIP="&amp;TEXT($DZ77,"0.0%")&amp;"; Confidence="&amp;TEXT($EF77,"0")&amp;"/100; piață reală="&amp;IF($EC77="","NU","DA")&amp;"; EV="&amp;IF($EE77="","n/a",TEXT($EE77,"0.0%"))&amp;"; gate="&amp;$EI77&amp;"; verdict="&amp;$EL77&amp;". "&amp;$EM77)</x:f>
      </x:c>
      <x:c r="ES77" s="119" t="str">
        <x:f>IF($A77="","",'Setari model'!$B$82)</x:f>
      </x:c>
      <x:c r="ET77" s="118" t="str">
        <x:f>IF($A77="","",'Setari model'!$B$83)</x:f>
      </x:c>
      <x:c r="EU77" s="115" t="str">
        <x:f t="shared" si="136">IF(OR($A77="",$DE77&lt;&gt;"Live 20-30",$DF77="",$DF77&lt;$ES77,$DF77&gt;=90),"",MAX(0.05,MIN($BS77*$ET77,$BS77*(90-$DF77)/90+0.35*($DI77+$DJ77)+0.06*($DK77+$DL77)+0.15*($DM77+$DN77)+0.1*(MAX($DO77,$DP77)-MIN($DO77,$DP77)))))</x:f>
      </x:c>
      <x:c r="EV77" s="132"/>
      <x:c r="EW77" s="132"/>
      <x:c r="EX77" s="132"/>
      <x:c r="EY77" s="132"/>
      <x:c r="EZ77" s="132"/>
      <x:c r="FA77" s="132"/>
      <x:c r="FB77" s="247"/>
      <x:c r="FC77" s="134" t="str">
        <x:f t="shared" si="137">IF($A77="","",IF(OR($J77="",$L77="",$L77&lt;=0),"",MAX(0.5,MIN(1.5,$J77/$L77))))</x:f>
      </x:c>
      <x:c r="FD77" s="134" t="str">
        <x:f t="shared" si="138">IF($A77="","",IF(OR($Q77="",$S77="",$S77&lt;=0),"",MAX(0.5,MIN(1.5,$Q77/$S77))))</x:f>
      </x:c>
      <x:c r="FE77" s="134" t="str">
        <x:f>IF($A77="","",IF(COUNT($EV77:$EW77)&lt;2,"",SQRT($EV77*$EW77)/'Setari model'!$B$87))</x:f>
      </x:c>
      <x:c r="FF77" s="134" t="str">
        <x:f>IF($A77="","",IF(COUNT($O77,$V77,$EX77,$EY77)&lt;4,"",AVERAGE(SQRT($O77*$EY77),SQRT($V77*$EX77))/'Setari model'!$B$88))</x:f>
      </x:c>
      <x:c r="FG77" s="134" t="str">
        <x:f t="shared" si="139">IF($A77="","",IF(COUNT($FC77:$FD77)&lt;2,"",MAX(0,1-AVERAGE($FC77:$FD77))))</x:f>
      </x:c>
      <x:c r="FH77" s="134" t="str">
        <x:f>IF($A77="","",IF(COUNT($EZ77:$FA77)&lt;2,"",'Setari model'!$B$94*AVERAGE($EZ77:$FA77)/'Setari model'!$B$89))</x:f>
      </x:c>
      <x:c r="FI77" s="134" t="str">
        <x:f>IF($A77="","",IF(COUNT($FE77:$FH77)&lt;4,"",MAX('Setari model'!$B$97,MIN('Setari model'!$B$98,1+'Setari model'!$B$90*($FE77-1)+'Setari model'!$B$91*($FF77-1)+'Setari model'!$B$92*$FG77+'Setari model'!$B$93*($FH77-1)))))</x:f>
      </x:c>
      <x:c r="FJ77" s="133" t="str">
        <x:f>IF($A77="","",IF($FI77="","",MIN('Setari model'!$B$101,MAX(0.002,$DZ77*$FI77))))</x:f>
      </x:c>
      <x:c r="FK77" s="131" t="str">
        <x:f t="shared" si="140">IF($A77="","",IF(AND(COUNT($EV77:$FA77)=6,COUNT($O77,$V77,$FC77,$FD77)=4),"DA","NU"))</x:f>
      </x:c>
      <x:c r="FL77" s="131" t="str">
        <x:f>IF($A77="","",IF($FK77&lt;&gt;"DA","NEDETERMINAT",IF($FI77&lt;='Setari model'!$B$99,"SCĂZUT",IF($FI77&lt;='Setari model'!$B$100,"MEDIU","RIDICAT"))))</x:f>
      </x:c>
      <x:c r="FM77" s="131" t="str">
        <x:f>IF($A77="","",IF(AND($AR77&gt;1,$EC77&gt;='Setari model'!$B$106),"DA","NU"))</x:f>
      </x:c>
      <x:c r="FN77" s="131" t="str">
        <x:f t="shared" si="141">IF($A77="","",IF(AND($AU77=1,COUNT($CY77:$DB77)=4),"DA","NU"))</x:f>
      </x:c>
      <x:c r="FO77" s="133" t="str">
        <x:f>IF($A77="","",IF(OR($FK77&lt;&gt;"DA",$FL77="RIDICAT"),'Setari model'!$B$102,IF($FL77="MEDIU",'Setari model'!$B$103,IF(AND($FM77="DA",$FN77="DA"),'Setari model'!$B$105,'Setari model'!$B$104))))</x:f>
      </x:c>
      <x:c r="FP77" s="133" t="str">
        <x:f t="shared" si="142">IF($A77="","",IF($FJ77="","",MIN(1-$FJ77,$FO77)))</x:f>
      </x:c>
      <x:c r="FQ77" s="135" t="str">
        <x:f t="shared" si="143">IF($A77="","",IF($FP77="","",IF($FP77&gt;0,1/$FP77,"")))</x:f>
      </x:c>
      <x:c r="FR77" s="133" t="str">
        <x:f t="shared" si="144">IF($A77="","",IF($EC77="","",$FP77-$EC77))</x:f>
      </x:c>
      <x:c r="FS77" s="133" t="str">
        <x:f t="shared" si="145">IF($A77="","",IF($AR77&gt;1,$FP77*$AR77-1,""))</x:f>
      </x:c>
      <x:c r="FT77" s="136" t="str">
        <x:f>IF($A77="","",MAX(0,MIN(100,$EF77-IF($FK77&lt;&gt;"DA",'Setari model'!$B$107,0)-IF($FL77="MEDIU",'Setari model'!$B$108,0)-IF($FL77="RIDICAT",'Setari model'!$B$109,0))))</x:f>
      </x:c>
      <x:c r="FU77" s="131" t="str">
        <x:f t="shared" si="146">IF($A77="","",IF($AR77&lt;=1,"NU – LIPSEȘTE COTA REALĂ",IF($FK77&lt;&gt;"DA","NU – ZERO-RISK INCOMPLET",IF($FL77&lt;&gt;"SCĂZUT","NU – RISC 0-0 "&amp;$FL77,IF($FN77&lt;&gt;"DA","NU – LINEUP NECONFIRMAT",IF($FM77&lt;&gt;"DA","NU – PIAȚĂ NECONFIRMATĂ",IF($EP77&lt;&gt;"DA","NU – PORTOFOLIU","DA")))))))</x:f>
      </x:c>
      <x:c r="FV77" s="131" t="str">
        <x:f>IF($A77="","",IF($FU77&lt;&gt;"DA","WATCH / NO BET",IF(AND($FP77&gt;='Setari model'!$B$35,$FT77&gt;=100*'Setari model'!$B$76,$FS77&gt;0),"PARIU RECOMANDAT",IF(AND($FP77&gt;='Setari model'!$B$39,$FT77&gt;=100*'Setari model'!$B$40,$FS77&gt;0),"WATCH – APROAPE DE PRAG","PARIU EVITAT"))))</x:f>
      </x:c>
      <x:c r="FW77" s="131" t="str">
        <x:f t="shared" si="147">IF($A77="","",IF($FU77&lt;&gt;"DA",$FU77,IF($FT77&lt;75,"Confidence v3 sub 75.",IF($FP77&lt;0.92,"P v3 sub 92%.",IF($FS77&lt;=0,"EV v3 nepozitiv.","P0 v3, lineup și piață confirmate.")))))</x:f>
      </x:c>
      <x:c r="FX77" s="131" t="str">
        <x:f t="shared" si="148">IF($A77="","","P v3="&amp;TEXT($FP77,"0.0%")&amp;"; P0 v3="&amp;TEXT($FJ77,"0.0%")&amp;"; factor zero="&amp;IF($FI77="","n/a",TEXT($FI77,"0.00x"))&amp;" ("&amp;$FL77&amp;"); cap="&amp;TEXT($FO77,"0.0%")&amp;"; Confidence="&amp;TEXT($FT77,"0")&amp;"/100; lineup="&amp;$FN77&amp;"; piață="&amp;$FM77&amp;"; EV="&amp;IF($FS77="","n/a",TEXT($FS77,"0.0%"))&amp;"; gate="&amp;$FU77&amp;"; verdict="&amp;$FV77&amp;". "&amp;$FW77)</x:f>
      </x:c>
      <x:c r="FY77" s="159"/>
      <x:c r="FZ77" s="159"/>
      <x:c r="GA77" s="157"/>
      <x:c r="GB77" s="157"/>
      <x:c r="GC77" s="161" t="str">
        <x:f t="shared" si="149">IF($A77="","",IF(OR($X77="",$Z77="",$Z77&lt;=0),"",MAX(0.5,MIN(1.5,$X77/$Z77))))</x:f>
      </x:c>
      <x:c r="GD77" s="161" t="str">
        <x:f t="shared" si="150">IF($A77="","",IF(OR($AC77="",$AE77="",$AE77&lt;=0),"",MAX(0.5,MIN(1.5,$AC77/$AE77))))</x:f>
      </x:c>
      <x:c r="GE77" s="162" t="str">
        <x:f t="shared" si="151">IF($A77="","",IF(COUNT($Z77,$AE77)&lt;2,"",AVERAGE($Z77,$AE77)))</x:f>
      </x:c>
      <x:c r="GF77" s="158" t="str">
        <x:f>IF($A77="","",IF(COUNT($FY77:$FZ77)&lt;2,"NEDETERMINAT",IF(AND($FY77&gt;='Setari model'!$B$113,$FZ77&gt;='Setari model'!$B$113),"DA","NU")))</x:f>
      </x:c>
      <x:c r="GG77" s="158" t="str">
        <x:f>IF($A77="","",IF(COUNT($FY77:$FZ77,$EX77:$EY77)&lt;4,"NEDETERMINAT",IF(OR(AND($FY77&gt;='Setari model'!$B$113,$EY77&gt;='Setari model'!$B$114),AND($FZ77&gt;='Setari model'!$B$113,$EX77&gt;='Setari model'!$B$114)),"DA","NU")))</x:f>
      </x:c>
      <x:c r="GH77" s="158" t="str">
        <x:f>IF($A77="","",IF(COUNT($BJ77:$BN77,$GC77:$GE77)&lt;8,"NEDETERMINAT",IF(AND((($BJ77*INDEX('Setari model'!$B$5:$B$11,MATCH($E77,'Setari model'!$A$5:$A$11,0))+$BK77*INDEX('Setari model'!$C$5:$C$11,MATCH($E77,'Setari model'!$A$5:$A$11,0))+$BL77*INDEX('Setari model'!$D$5:$D$11,MATCH($E77,'Setari model'!$A$5:$A$11,0))+$BM77*INDEX('Setari model'!$E$5:$E$11,MATCH($E77,'Setari model'!$A$5:$A$11,0))+$BN77*INDEX('Setari model'!$F$5:$F$11,MATCH($E77,'Setari model'!$A$5:$A$11,0)))/(INDEX('Setari model'!$B$5:$B$11,MATCH($E77,'Setari model'!$A$5:$A$11,0))+INDEX('Setari model'!$C$5:$C$11,MATCH($E77,'Setari model'!$A$5:$A$11,0))+INDEX('Setari model'!$D$5:$D$11,MATCH($E77,'Setari model'!$A$5:$A$11,0))+INDEX('Setari model'!$E$5:$E$11,MATCH($E77,'Setari model'!$A$5:$A$11,0))+INDEX('Setari model'!$F$5:$F$11,MATCH($E77,'Setari model'!$A$5:$A$11,0))))*$BR77&gt;='Setari model'!$B$115,(($BJ77*INDEX('Setari model'!$B$5:$B$11,MATCH($E77,'Setari model'!$A$5:$A$11,0))+$BK77*INDEX('Setari model'!$C$5:$C$11,MATCH($E77,'Setari model'!$A$5:$A$11,0))+$BL77*INDEX('Setari model'!$D$5:$D$11,MATCH($E77,'Setari model'!$A$5:$A$11,0))+$BM77*INDEX('Setari model'!$E$5:$E$11,MATCH($E77,'Setari model'!$A$5:$A$11,0))+$BN77*INDEX('Setari model'!$F$5:$F$11,MATCH($E77,'Setari model'!$A$5:$A$11,0)))/(INDEX('Setari model'!$B$5:$B$11,MATCH($E77,'Setari model'!$A$5:$A$11,0))+INDEX('Setari model'!$C$5:$C$11,MATCH($E77,'Setari model'!$A$5:$A$11,0))+INDEX('Setari model'!$D$5:$D$11,MATCH($E77,'Setari model'!$A$5:$A$11,0))+INDEX('Setari model'!$E$5:$E$11,MATCH($E77,'Setari model'!$A$5:$A$11,0))+INDEX('Setari model'!$F$5:$F$11,MATCH($E77,'Setari model'!$A$5:$A$11,0))))*$BR77&lt;='Setari model'!$B$116,AVERAGE($GC77:$GD77)&lt;='Setari model'!$B$117,$GE77&gt;='Setari model'!$B$118),"DA","NU")))</x:f>
      </x:c>
      <x:c r="GI77" s="158" t="str">
        <x:f>IF($A77="","",IF(COUNT($W77,$AB77,$GA77:$GB77)&lt;4,"NEDETERMINAT",IF(AND($W77&gt;='Setari model'!$B$120,$AB77&gt;='Setari model'!$B$120,OR(IFERROR($GA77/$W77,0)&gt;='Setari model'!$B$119,IFERROR($GB77/$AB77,0)&gt;='Setari model'!$B$119)),"DA","NU")))</x:f>
      </x:c>
      <x:c r="GJ77" s="160" t="str">
        <x:f>IF($A77="","",IF(COUNT($FY77:$GB77)&lt;4,"",IF($GH77&lt;&gt;"DA",0,'Setari model'!$B$121*IF($GF77="DA",1,0)+'Setari model'!$B$122*IF($GG77="DA",1,0)+'Setari model'!$B$123+'Setari model'!$B$124*IF($GI77="DA",1,0))))</x:f>
      </x:c>
      <x:c r="GK77" s="161" t="str">
        <x:f>IF($A77="","",IF(COUNT($GJ77)=0,"",1+'Setari model'!$B$125*$GJ77))</x:f>
      </x:c>
      <x:c r="GL77" s="160" t="str">
        <x:f>IF($A77="","",IF($GM77&lt;&gt;"DA",$FJ77,MIN('Setari model'!$B$101,MAX(0.002,$FJ77*$GK77))))</x:f>
      </x:c>
      <x:c r="GM77" s="158" t="str">
        <x:f>IF($A77="","",IF(AND($FK77="DA",COUNT($FY77:$GB77)=4,COUNT($I77,$P77,$W77,$AB77,$Z77,$AE77,$EX77,$EY77,$GC77,$GD77)=10,COUNT($BJ77:$BN77)=5),"DA","NU"))</x:f>
      </x:c>
      <x:c r="GN77" s="158" t="str">
        <x:f>IF($A77="","",IF($GM77&lt;&gt;"DA","NEDETERMINAT",IF($FI77*$GK77&lt;='Setari model'!$B$99,"SCĂZUT",IF($FI77*$GK77&lt;='Setari model'!$B$100,"MEDIU","RIDICAT"))))</x:f>
      </x:c>
      <x:c r="GO77" s="160" t="str">
        <x:f>IF($A77="","",IF(OR($GM77&lt;&gt;"DA",$GN77="RIDICAT"),'Setari model'!$B$102,IF($GN77="MEDIU",'Setari model'!$B$103,IF(AND($FM77="DA",$FN77="DA"),'Setari model'!$B$105,'Setari model'!$B$104))))</x:f>
      </x:c>
      <x:c r="GP77" s="160" t="str">
        <x:f t="shared" si="152">IF($A77="","",IF($GL77="","",MIN(1-$GL77,$GO77)))</x:f>
      </x:c>
      <x:c r="GQ77" s="162" t="str">
        <x:f t="shared" si="153">IF($A77="","",IF($GP77="","",IF($GP77&gt;0,1/$GP77,"")))</x:f>
      </x:c>
      <x:c r="GR77" s="160" t="str">
        <x:f t="shared" si="154">IF($A77="","",IF($EC77="","",$GP77-$EC77))</x:f>
      </x:c>
      <x:c r="GS77" s="160" t="str">
        <x:f t="shared" si="155">IF($A77="","",IF($AR77&gt;1,$GP77*$AR77-1,""))</x:f>
      </x:c>
      <x:c r="GT77" s="163" t="str">
        <x:f>IF($A77="","",MAX(0,MIN(100,$FT77-IF(AND($GM77&lt;&gt;"DA",$FK77="DA"),'Setari model'!$B$107,0)-'Setari model'!$B$126*IF($GJ77="",0,$GJ77))))</x:f>
      </x:c>
      <x:c r="GU77" s="158" t="str">
        <x:f t="shared" si="156">IF($A77="","",IF($AR77&lt;=1,"NU – LIPSEȘTE COTA REALĂ",IF($GM77&lt;&gt;"DA","NU – DATE LOW-CONVERSION INCOMPLETE",IF($GN77&lt;&gt;"SCĂZUT","NU – RISC 0-0 "&amp;$GN77,IF($FN77&lt;&gt;"DA","NU – LINEUP NECONFIRMAT",IF($FM77&lt;&gt;"DA","NU – PIAȚĂ NECONFIRMATĂ",IF($EP77&lt;&gt;"DA","NU – PORTOFOLIU","DA")))))))</x:f>
      </x:c>
      <x:c r="GV77" s="158" t="str">
        <x:f>IF($A77="","",IF($GU77&lt;&gt;"DA","WATCH / NO BET",IF(AND($GP77&gt;='Setari model'!$B$35,$GT77&gt;=100*'Setari model'!$B$76,$GS77&gt;0),"PARIU RECOMANDAT",IF(AND($GP77&gt;='Setari model'!$B$39,$GT77&gt;=100*'Setari model'!$B$40,$GS77&gt;0),"WATCH – APROAPE DE PRAG","PARIU EVITAT"))))</x:f>
      </x:c>
      <x:c r="GW77" s="158" t="str">
        <x:f t="shared" si="157">IF($A77="","",IF($GU77&lt;&gt;"DA",$GU77,IF($GT77&lt;75,"Confidence v5 sub 75.",IF($GP77&lt;0.92,"P v5 sub 92%.",IF($GS77&lt;=0,"EV v5 nepozitiv.",IF($GJ77&gt;0,"Low-conversion absorbit în P0; toate porțile rămân trecute.","Toate porțile v5 sunt trecute."))))))</x:f>
      </x:c>
      <x:c r="GX77" s="158" t="str">
        <x:f t="shared" si="158">IF($A77="","","P v5="&amp;TEXT($GP77,"0.0%")&amp;"; P0 v5="&amp;TEXT($GL77,"0.0%")&amp;"; low-conv="&amp;IF(COUNT($GJ77)=0,"n/a",TEXT($GJ77,"0%"))&amp;"; mult.P0="&amp;IF(COUNT($GK77)=0,"n/a",TEXT($GK77,"0.00"))&amp;"; clasă="&amp;$GN77&amp;"; cap="&amp;TEXT($GO77,"0.0%")&amp;"; Confidence="&amp;TEXT($GT77,"0")&amp;"/100; lineup="&amp;$FN77&amp;"; piață="&amp;$FM77&amp;"; EV="&amp;IF($GS77="","n/a",TEXT($GS77,"0.0%"))&amp;"; gate="&amp;$GU77&amp;"; verdict="&amp;$GV77&amp;". "&amp;$GW77)</x:f>
      </x:c>
      <x:c r="GY77" s="174" t="str">
        <x:f>IF($A77="","",IF($GM77&lt;&gt;"DA","SOURCING INCOMPLETE – REVIEW REQUIRED",IF(MIN($I77,$P77,$W77,$AB77)&lt;'Setari model'!$B$58,"SMALL SAMPLE + PRIOR / SHRINKAGE","VERIFIED / PRIOR / SHRINKAGE")))</x:f>
      </x:c>
      <x:c r="GZ77" s="175" t="str">
        <x:f t="shared" si="159">IF($A77="","",MAX(0,MIN(100,100*(1-AVERAGE(IF($GM77="DA",1,0),MIN(1,$AT77/5))))))</x:f>
      </x:c>
      <x:c r="HA77" s="175" t="str">
        <x:f>IF($A77="","",IF($GM77&lt;&gt;"DA","",MAX(0,MIN(100,100*(($FI77*$GK77)-'Setari model'!$B$97)/('Setari model'!$B$98-'Setari model'!$B$97)))))</x:f>
      </x:c>
      <x:c r="HB77" s="175" t="str">
        <x:f>IF($A77="","",MAX(0,MIN(100,100*(ABS($BR77-1)/MAX(1-'Setari model'!$B$53,'Setari model'!$B$54-1)+MIN(1,$BG77/2))/2)))</x:f>
      </x:c>
      <x:c r="HC77" s="175" t="str">
        <x:f t="shared" si="160">IF($A77="","",MAX(0,MIN(100,100*(1-AVERAGE($CC77,MAX(0,1-(MAX($BJ77:$BN77)-MIN($BJ77:$BN77))/(AVERAGE($BJ77:$BN77)*'Setari model'!$B$45)))))))</x:f>
      </x:c>
      <x:c r="HD77" s="175" t="str">
        <x:f t="shared" si="161">IF($A77="","",MAX(0,MIN(100,100*MAX(IF($GJ77="",0,$GJ77),MIN(1,$BG77/2)))))</x:f>
      </x:c>
      <x:c r="HE77" s="175" t="str">
        <x:f>IF($A77="","",IF(COUNT($GZ77:$HD77)&lt;5,"",$GZ77*Risk_Classification!$E$28+$HA77*Risk_Classification!$E$29+$HB77*Risk_Classification!$E$30+$HC77*Risk_Classification!$E$31+$HD77*Risk_Classification!$E$32))</x:f>
      </x:c>
      <x:c r="HF77" s="176" t="str">
        <x:f t="shared" si="162">IF($A77="","",IF($HE77="","",IF($HE77&lt;=20,1,IF($HE77&lt;=40,2,IF($HE77&lt;=60,3,IF($HE77&lt;=80,4,5))))))</x:f>
      </x:c>
      <x:c r="HG77" s="176" t="str">
        <x:f t="shared" si="163">IF($A77="","",IF($GM77="DA","PASS","FAIL – DATE CRITICE ZERO-MASS INCOMPLETE"))</x:f>
      </x:c>
      <x:c r="HH77" s="176" t="str">
        <x:f t="shared" si="164">IF($A77="","",IF($HG77&lt;&gt;"PASS",5,$HF77))</x:f>
      </x:c>
      <x:c r="HI77" s="174" t="str">
        <x:f t="shared" si="165">IF($A77="","",IF($HH77="","N/A",IF($HH77=1,"DEFENSIV",IF($HH77=2,"PRUDENT",IF($HH77=3,"MODERAT",IF($HH77=4,"RIDICAT","WATCH / NO BET"))))))</x:f>
      </x:c>
      <x:c r="HJ77" s="177" t="str">
        <x:f t="shared" si="166">IF($A77="","","Data="&amp;$GY77&amp;"; DQ="&amp;TEXT($GZ77,"0.0")&amp;"; ZM="&amp;IF($HA77="","n/a",TEXT($HA77,"0.0"))&amp;"; Context="&amp;TEXT($HB77,"0.0")&amp;"; Uncertainty="&amp;TEXT($HC77,"0.0")&amp;"; Compound="&amp;TEXT($HD77,"0.0")&amp;"; Risk Score="&amp;IF($HE77="","n/a",TEXT($HE77,"0.0"))&amp;"; Base="&amp;IF($HF77="","n/a",$HF77)&amp;"; G0="&amp;$HG77&amp;"; Final="&amp;$HH77&amp;". Cota, EV si lineup sunt informative si nu intra in recomandare.")</x:f>
      </x:c>
      <x:c r="HK77" s="174" t="str">
        <x:f t="shared" si="167">IF($A77="","",$HI77)</x:f>
      </x:c>
    </x:row>
    <x:row r="78" ht="24" customHeight="1">
      <x:c r="A78" s="58"/>
      <x:c r="B78" s="24"/>
      <x:c r="C78" s="59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18"/>
      <x:c r="O78" s="18"/>
      <x:c r="P78" s="24"/>
      <x:c r="Q78" s="24"/>
      <x:c r="R78" s="24"/>
      <x:c r="S78" s="24"/>
      <x:c r="T78" s="24"/>
      <x:c r="U78" s="18"/>
      <x:c r="V78" s="18"/>
      <x:c r="W78" s="24"/>
      <x:c r="X78" s="24"/>
      <x:c r="Y78" s="24"/>
      <x:c r="Z78" s="24"/>
      <x:c r="AA78" s="24"/>
      <x:c r="AB78" s="24"/>
      <x:c r="AC78" s="24"/>
      <x:c r="AD78" s="24"/>
      <x:c r="AE78" s="24"/>
      <x:c r="AF78" s="24"/>
      <x:c r="AG78" s="24"/>
      <x:c r="AH78" s="24"/>
      <x:c r="AI78" s="18"/>
      <x:c r="AJ78" s="24"/>
      <x:c r="AK78" s="24"/>
      <x:c r="AL78" s="24"/>
      <x:c r="AM78" s="18"/>
      <x:c r="AN78" s="24"/>
      <x:c r="AO78" s="60"/>
      <x:c r="AP78" s="60"/>
      <x:c r="AQ78" s="60"/>
      <x:c r="AR78" s="60"/>
      <x:c r="AS78" s="60"/>
      <x:c r="AT78" s="24"/>
      <x:c r="AU78" s="24"/>
      <x:c r="AV78" s="24"/>
      <x:c r="AW78" s="24"/>
      <x:c r="AX78" s="24"/>
      <x:c r="AY78" s="24"/>
      <x:c r="AZ78" s="24"/>
      <x:c r="BA78" s="24"/>
      <x:c r="BB78" s="24"/>
      <x:c r="BC78" s="24"/>
      <x:c r="BD78" s="24"/>
      <x:c r="BE78" s="24"/>
      <x:c r="BF78" s="24"/>
      <x:c r="BG78" s="24"/>
      <x:c r="BH78" s="61"/>
      <x:c r="BI78" s="61"/>
      <x:c r="BJ78" s="62" t="str">
        <x:f>IF($A78="","",SQRT((($I78*IF($J78="",$AJ78,$J78)+'Setari model'!$B$30*$AJ78)/($I78+'Setari model'!$B$30))*(($P78*IF($R78="",$AJ78,$R78)+'Setari model'!$B$30*$AJ78)/($P78+'Setari model'!$B$30)))+SQRT((($P78*IF($Q78="",$AK78,$Q78)+'Setari model'!$B$30*$AK78)/($P78+'Setari model'!$B$30))*(($I78*IF($K78="",$AK78,$K78)+'Setari model'!$B$30*$AK78)/($I78+'Setari model'!$B$30))))</x:f>
      </x:c>
      <x:c r="BK78" s="62" t="str">
        <x:f>IF($A78="","",SQRT((($I78*IF($L78="",IF($J78="",$AJ78,$J78),$L78)+'Setari model'!$B$30*$AJ78)/($I78+'Setari model'!$B$30))*(($P78*IF($T78="",IF($R78="",$AJ78,$R78),$T78)+'Setari model'!$B$30*$AJ78)/($P78+'Setari model'!$B$30)))+SQRT((($P78*IF($S78="",IF($Q78="",$AK78,$Q78),$S78)+'Setari model'!$B$30*$AK78)/($P78+'Setari model'!$B$30))*(($I78*IF($M78="",IF($K78="",$AK78,$K78),$M78)+'Setari model'!$B$30*$AK78)/($I78+'Setari model'!$B$30))))</x:f>
      </x:c>
      <x:c r="BL78" s="62" t="str">
        <x:f>IF($A78="","",SQRT((($W78*IF($X78="",$AL78/2,$X78)+'Setari model'!$B$31*$AL78/2)/($W78+'Setari model'!$B$31))*(($AB78*IF($AD78="",$AL78/2,$AD78)+'Setari model'!$B$31*$AL78/2)/($AB78+'Setari model'!$B$31)))+SQRT((($AB78*IF($AC78="",$AL78/2,$AC78)+'Setari model'!$B$31*$AL78/2)/($AB78+'Setari model'!$B$31))*(($W78*IF($Y78="",$AL78/2,$Y78)+'Setari model'!$B$31*$AL78/2)/($W78+'Setari model'!$B$31))))</x:f>
      </x:c>
      <x:c r="BM78" s="62" t="str">
        <x:f>IF($A78="","",SQRT((($W78*IF($Z78="",IF($X78="",$AL78/2,$X78),$Z78)+'Setari model'!$B$31*$AL78/2)/($W78+'Setari model'!$B$31))*(($AB78*IF($AF78="",IF($AD78="",$AL78/2,$AD78),$AF78)+'Setari model'!$B$31*$AL78/2)/($AB78+'Setari model'!$B$31)))+SQRT((($AB78*IF($AE78="",IF($AC78="",$AL78/2,$AC78),$AE78)+'Setari model'!$B$31*$AL78/2)/($AB78+'Setari model'!$B$31))*(($W78*IF($AA78="",IF($Y78="",$AL78/2,$Y78),$AA78)+'Setari model'!$B$31*$AL78/2)/($W78+'Setari model'!$B$31))))</x:f>
      </x:c>
      <x:c r="BN78" s="62" t="str">
        <x:f t="shared" si="112">IF($A78="","",IF($AG78&gt;0,($AG78*IF($AH78="",$AL78,$AH78)+5*$AL78)/($AG78+5),$AL78))</x:f>
      </x:c>
      <x:c r="BO78" s="63" t="str">
        <x:f>IF($A78="","",IF($AR78&gt;1,IF($AS78&gt;1,(1/$AR78)/((1/$AR78+1/$AS78)),MIN(0.995,(1/$AR78)/(1+'Setari model'!$B$32))),1-EXP(-$AL78)))</x:f>
      </x:c>
      <x:c r="BP78" s="62" t="str">
        <x:f t="shared" si="113">IF($A78="","",-LN(1-$BO78))</x:f>
      </x:c>
      <x:c r="BQ78" s="62" t="str">
        <x:f>IF($A78="","",$BJ78*INDEX('Setari model'!$B$5:$B$11,MATCH($E78,'Setari model'!$A$5:$A$11,0))+$BK78*INDEX('Setari model'!$C$5:$C$11,MATCH($E78,'Setari model'!$A$5:$A$11,0))+$BL78*INDEX('Setari model'!$D$5:$D$11,MATCH($E78,'Setari model'!$A$5:$A$11,0))+$BM78*INDEX('Setari model'!$E$5:$E$11,MATCH($E78,'Setari model'!$A$5:$A$11,0))+$BN78*INDEX('Setari model'!$F$5:$F$11,MATCH($E78,'Setari model'!$A$5:$A$11,0))+$BP78*INDEX('Setari model'!$G$5:$G$11,MATCH($E78,'Setari model'!$A$5:$A$11,0)))</x:f>
      </x:c>
      <x:c r="BR78" s="64" t="str">
        <x:f>IF($A78="","",MAX('Setari model'!$B$53,MIN('Setari model'!$B$54,1+($AV78*'Setari model'!$B$15+$AW78*'Setari model'!$B$16+$AX78*'Setari model'!$B$17+$AY78*'Setari model'!$B$18+$AZ78*'Setari model'!$B$19+$BA78*'Setari model'!$B$20+$BB78*'Setari model'!$B$21+$BC78*'Setari model'!$B$22+$BD78*'Setari model'!$B$23+$BE78*'Setari model'!$B$24+$BF78*'Setari model'!$B$25)*INDEX('Setari model'!$H$5:$H$11,MATCH($E78,'Setari model'!$A$5:$A$11,0)))))</x:f>
      </x:c>
      <x:c r="BS78" s="62" t="str">
        <x:f t="shared" si="114">IF($A78="","",$BQ78*$BR78)</x:f>
      </x:c>
      <x:c r="BT78" s="63" t="str">
        <x:f t="shared" si="115">IF($A78="","",EXP(-$BS78))</x:f>
      </x:c>
      <x:c r="BU78" s="65" t="str">
        <x:f>IF($A78="","",IF(OR($AM78="",$AN78=""),1,1+MIN('Setari model'!$B$33,$AN78/100*'Setari model'!$B$33)*($AM78/EXP(-$AL78)-1)))</x:f>
      </x:c>
      <x:c r="BV78" s="63" t="str">
        <x:f>IF($A78="","",MIN(0.45,MAX(0.005,(1-'Setari model'!$B$34*MIN(1,($I78+$P78)/20))*MIN(0.45,$BT78*$BU78)+'Setari model'!$B$34*MIN(1,($I78+$P78)/20)*IF(COUNT($N78,$U78)=2,SQRT(MAX(0,1-$N78)*MAX(0,1-$U78)),IF($AM78="",EXP(-$AL78),$AM78)))))</x:f>
      </x:c>
      <x:c r="BW78" s="63" t="str">
        <x:f t="shared" si="116">IF($A78="","",1-$BV78)</x:f>
      </x:c>
      <x:c r="BX78" s="62" t="str">
        <x:f t="shared" si="117">IF($A78="","",1/$BW78)</x:f>
      </x:c>
      <x:c r="BY78" s="63" t="str">
        <x:f t="shared" si="118">IF($A78="","",$BO78)</x:f>
      </x:c>
      <x:c r="BZ78" s="63" t="str">
        <x:f t="shared" si="119">IF($A78="","",$BW78-$BY78)</x:f>
      </x:c>
      <x:c r="CA78" s="63" t="str">
        <x:f t="shared" si="120">IF($A78="","",IF($AR78&gt;1,$BW78*$AR78-1,""))</x:f>
      </x:c>
      <x:c r="CB78" s="63" t="str">
        <x:f>IF($A78="","",MIN(1,COUNT($I78:$AN78,$AR78:$BG78)/'Setari model'!$B$46))</x:f>
      </x:c>
      <x:c r="CC78" s="63" t="str">
        <x:f t="shared" si="121">IF($A78="","",0.25*MIN(1,$I78/10)+0.25*MIN(1,$P78/10)+0.15*MIN(1,$W78/5)+0.15*MIN(1,$AB78/5)+0.1*MIN(1,$AG78/5)+0.1*MIN(1,$AN78/100))</x:f>
      </x:c>
      <x:c r="CD78" s="63" t="str">
        <x:f>IF($A78="","",MAX(0,1-(MAX($BJ78:$BN78,$BP78)-MIN($BJ78:$BN78,$BP78))/(AVERAGE($BJ78:$BN78,$BP78)*'Setari model'!$B$45)))</x:f>
      </x:c>
      <x:c r="CE78" s="66" t="str">
        <x:f>IF($A78="","",MAX(0,MIN(100,100*INDEX('Setari model'!$I$5:$I$11,MATCH($E78,'Setari model'!$A$5:$A$11,0))*('Setari model'!$B$47*$CB78+'Setari model'!$B$48*$CC78+'Setari model'!$B$49*$CD78+'Setari model'!$B$50*$AT78/5+'Setari model'!$B$51*$AU78)-100*'Setari model'!$B$52*$BG78)))</x:f>
      </x:c>
      <x:c r="CF78" s="65" t="str">
        <x:f t="shared" si="122">IF($A78="","",IF(OR($AT78&lt;3,$BG78&gt;=2,$CB78&lt;0.55,$CC78&lt;0.4),"RIDICAT",IF(OR($AU78=0,$CD78&lt;0.45,$BR78&lt;0.9),"MEDIU","SCĂZUT")))</x:f>
      </x:c>
      <x:c r="CG78" s="65" t="str">
        <x:f>IF($A78="","",IF($AR78&gt;1,IF(AND($BW78&gt;= 'Setari model'!$B$35,$CE78&gt;=100*'Setari model'!$B$36,$BZ78&gt;= 'Setari model'!$B$37,$CA78&gt;= 'Setari model'!$B$38,$CF78&lt;&gt;"RIDICAT"),"PARIU RECOMANDAT",IF(AND($BW78&gt;= 'Setari model'!$B$39,$CE78&gt;=100*'Setari model'!$B$40,$BZ78&gt;= 'Setari model'!$B$41,$CA78&gt;=0,$CF78&lt;&gt;"RIDICAT"),"RECOMANDAT CU PRUDENȚĂ",IF(AND($BW78&gt;= 'Setari model'!$B$42,$CE78&gt;=100*'Setari model'!$B$43),"ANALIZĂ NECONCLUDENTĂ","PARIU EVITAT"))),IF(AND($BW78&gt;= 'Setari model'!$B$35,$CE78&gt;=100*'Setari model'!$B$36,$CF78&lt;&gt;"RIDICAT"),"FAVORABIL STATISTIC – VERIFICĂ COTA",IF(AND($BW78&gt;= 'Setari model'!$B$42,$CE78&gt;=100*'Setari model'!$B$43),"ANALIZĂ NECONCLUDENTĂ","PARIU EVITAT"))))</x:f>
      </x:c>
      <x:c r="CH78" s="67" t="str">
        <x:f t="shared" si="123">IF($A78="","","P(O0,5)="&amp;TEXT($BW78,"0.0%")&amp;"; λ ajustat="&amp;TEXT($BS78,"0.00")&amp;"; Confidence="&amp;TEXT($CE78,"0")&amp;"/100; Edge="&amp;TEXT($BZ78,"0.0%")&amp;"; risc="&amp;$CF78&amp;". "&amp;$BH78)</x:f>
      </x:c>
      <x:c r="CI78" s="68" t="str">
        <x:f t="shared" si="124">IF($A78="","",$BI78)</x:f>
      </x:c>
      <x:c r="CJ78" s="112"/>
      <x:c r="CK78" s="112"/>
      <x:c r="CL78" s="112"/>
      <x:c r="CM78" s="112"/>
      <x:c r="CN78" s="112"/>
      <x:c r="CO78" s="112"/>
      <x:c r="CP78" s="112"/>
      <x:c r="CQ78" s="112"/>
      <x:c r="CR78" s="112"/>
      <x:c r="CS78" s="112"/>
      <x:c r="CT78" s="112"/>
      <x:c r="CU78" s="112"/>
      <x:c r="CV78" s="112"/>
      <x:c r="CW78" s="112"/>
      <x:c r="CX78" s="112"/>
      <x:c r="CY78" s="112"/>
      <x:c r="CZ78" s="112"/>
      <x:c r="DA78" s="112"/>
      <x:c r="DB78" s="112"/>
      <x:c r="DC78" s="114"/>
      <x:c r="DD78" s="114"/>
      <x:c r="DE78" s="112" t="s">
        <x:v>266</x:v>
      </x:c>
      <x:c r="DF78" s="112"/>
      <x:c r="DG78" s="112"/>
      <x:c r="DH78" s="112"/>
      <x:c r="DI78" s="112"/>
      <x:c r="DJ78" s="112"/>
      <x:c r="DK78" s="112"/>
      <x:c r="DL78" s="112"/>
      <x:c r="DM78" s="112"/>
      <x:c r="DN78" s="112"/>
      <x:c r="DO78" s="112"/>
      <x:c r="DP78" s="112"/>
      <x:c r="DQ78" s="114"/>
      <x:c r="DR78" s="112">
        <x:v>1</x:v>
      </x:c>
      <x:c r="DS78" s="116">
        <x:v>0</x:v>
      </x:c>
      <x:c r="DT78" s="120"/>
      <x:c r="DU78" s="116">
        <x:v>0.02</x:v>
      </x:c>
      <x:c r="DV78" s="116">
        <x:v>0.25</x:v>
      </x:c>
      <x:c r="DW78" s="118" t="str">
        <x:f>IF($A78="","",MAX('Setari model'!$B$71,MIN('Setari model'!$B$72,1+0.08*(IFERROR(AVERAGE($CM78:$CN78)/'Setari model'!$B$66,1)-1)+0.08*(IFERROR(AVERAGE($CO78:$CP78)/'Setari model'!$B$67,1)-1)+0.06*(IFERROR(AVERAGE($CQ78:$CR78)/'Setari model'!$B$68,1)-1)+0.04*(IFERROR(AVERAGE($CS78:$CT78)/'Setari model'!$B$69,1)-1)+0.04*(IFERROR(AVERAGE($CU78:$CV78)/'Setari model'!$B$70,1)-1)-'Setari model'!$B$73*IFERROR(AVERAGE($CW78:$CX78),0))))</x:f>
      </x:c>
      <x:c r="DX78" s="118" t="str">
        <x:f>IF($A78="","",1+'Setari model'!$B$62*MAX(IF(OR($CK78=1,$CL78=1),1,0),IF(AND($CJ78&lt;&gt;"",$CJ78&lt;=1),1,0))+'Setari model'!$B$63*IF(AND($CJ78&gt;1,$CJ78&lt;=3),1,0))</x:f>
      </x:c>
      <x:c r="DY78" s="118" t="str">
        <x:f>IF($A78="","",1+'Setari model'!$B$74*(IF($CY78="",0,IF($CY78=0,1,0))+IF($CZ78="",0,IF($CZ78=0,1,0)))+'Setari model'!$B$75*(IF($DA78="",0,IF($DA78=0,1,0))+IF($DB78="",0,IF($DB78=0,1,0))))</x:f>
      </x:c>
      <x:c r="DZ78" s="117" t="str">
        <x:f>IF($A78="","",MIN(0.6,MAX(0.002,(((1-'Setari model'!$B$34*MIN(1,($I78+$P78)/20))*$BT78+'Setari model'!$B$34*MIN(1,($I78+$P78)/20)*IF(COUNT($N78,$U78)=2,SQRT(MAX(0,1-$N78)*MAX(0,1-$U78)),$BT78))*(1-'Setari model'!$B$65*MIN(1,IF($AN78="",0,$AN78/'Setari model'!$B$64)))+'Setari model'!$B$65*MIN(1,IF($AN78="",0,$AN78/'Setari model'!$B$64))*IF($AM78="",$BT78,$AM78))*$DX78*$DY78/$DW78)))</x:f>
      </x:c>
      <x:c r="EA78" s="117" t="str">
        <x:f>IF($A78="","",MIN(1-$DZ78,IF(OR(MIN($I78,$P78)&lt;'Setari model'!$B$58,$CK78=1,$CL78=1,AND($CJ78&lt;&gt;"",$CJ78&lt;=1)),'Setari model'!$B$59,IF(AND($AU78=1,$AR78&gt;1,COUNT($CY78:$DB78)=4),'Setari model'!$B$61,'Setari model'!$B$60))))</x:f>
      </x:c>
      <x:c r="EB78" s="115" t="str">
        <x:f t="shared" si="125">IF($A78="","",1/$EA78)</x:f>
      </x:c>
      <x:c r="EC78" s="117" t="str">
        <x:f t="shared" si="126">IF($A78="","",IF($AR78&gt;1,IF($AS78&gt;1,(1/$AR78)/((1/$AR78)+(1/$AS78)),1/$AR78),""))</x:f>
      </x:c>
      <x:c r="ED78" s="117" t="str">
        <x:f t="shared" si="127">IF($A78="","",IF($EC78="","",$EA78-$EC78))</x:f>
      </x:c>
      <x:c r="EE78" s="117" t="str">
        <x:f t="shared" si="128">""</x:f>
      </x:c>
      <x:c r="EF78" s="119" t="str">
        <x:f>IF($A78="","",MAX(0,MIN(100,$CE78-200*MAX(0,$EG78-'Setari model'!$B$77)-IF($AU78&lt;&gt;1,10,0)-IF(COUNT($CY78:$DB78)&lt;4,4,0))))</x:f>
      </x:c>
      <x:c r="EG78" s="117" t="str">
        <x:f>IF($A78="","",'Setari model'!$B$77+IF(MIN($I78,$P78)&lt;'Setari model'!$B$58,0.03,0)+IF(OR($CK78=1,$CL78=1,AND($CJ78&lt;&gt;"",$CJ78&lt;=1)),0.03,0)+IF($AG78=0,0.02,0)+0.03*(1-MIN(1,COUNT($CM78:$CV78)/10))+0.03*(1-MIN(1,IF($AN78="",0,$AN78/'Setari model'!$B$64)))+IF($AR78&lt;=1,0.02,0))</x:f>
      </x:c>
      <x:c r="EH78" s="113" t="str">
        <x:f>IF($A78="","",IF(OR(MIN($I78,$P78)&lt;'Setari model'!$B$58,$CK78=1,$CL78=1,AND($CJ78&lt;&gt;"",$CJ78&lt;=1)),"92% – early/regim",IF(AND($AU78=1,$AR78&gt;1,COUNT($CY78:$DB78)=4),"94% – confirmat","93% – standard")))</x:f>
      </x:c>
      <x:c r="EI78" s="113" t="str">
        <x:f t="shared" si="129">IF($A78="","",IF(AND($EA78&gt;0.9,$AU78&lt;&gt;1),"WAIT XI – HIGH P",IF(AND($EA78&gt;0.9,COUNT($CY78:$DB78)&lt;4),"WAIT DATE CHEIE – HIGH P",IF($EP78&lt;&gt;"DA","NU – PORTOFOLIU","DA"))))</x:f>
      </x:c>
      <x:c r="EJ78" s="117" t="str">
        <x:f t="shared" si="130">IF($A78="","",IF($DE78&lt;&gt;"Live 20-30","",IF(SUM($DG78:$DH78)&gt;0,1,IF($EU78="","",1-MIN(0.95,MAX(0.001,EXP(-$EU78)*$DX78*$DY78/$DW78))))))</x:f>
      </x:c>
      <x:c r="EK78" s="117" t="str">
        <x:f t="shared" si="131">""</x:f>
      </x:c>
      <x:c r="EL78" s="113" t="str">
        <x:f>IF($A78="","",IF($DE78="Live 20-30",IF(SUM($DG78:$DH78)&gt;0,"EVENIMENT ÎNDEPLINIT",IF(OR($DF78="",COUNT($DI78:$DN78)&lt;4),"LIVE – WATCH",IF($EJ78&gt;=0.75,"LIVE – FEZABIL TEHNIC","LIVE – NO BET"))),IF($EI78&lt;&gt;"DA","WATCH / NO BET",IF(AND($EA78&gt;=INDEX('Setari model'!$B$35:$B$40,1),$EF78&gt;=100*'Setari model'!$B$76),"PARIU RECOMANDAT",IF(AND($EA78&gt;=INDEX('Setari model'!$B$35:$B$40,5),$EF78&gt;=100*'Setari model'!$B$40),"WATCH – APROAPE DE PRAG","PARIU EVITAT")))))</x:f>
      </x:c>
      <x:c r="EM78" s="113" t="str">
        <x:f t="shared" si="132">IF($A78="","",IF($DE78="Live 20-30",IF(SUM($DG78:$DH78)&gt;0,"Gol deja marcat.",IF($DF78="","Minut live lipsă.",IF(COUNT($DI78:$DN78)&lt;4,"Lipsesc xG/SOT/big chances live.",IF($EJ78&lt;0.75,"P live sub prag.","Semnal live tehnic complet; EV ignorat.")))),IF($EI78&lt;&gt;"DA",$EI78,IF($EF78&lt;75,"Confidence sub 75.",IF($EA78&lt;0.92,"P sub 92%.","G0/Zero-Mass + confidence trecute; EV ignorat.")))))</x:f>
      </x:c>
      <x:c r="EN78" s="117" t="str">
        <x:f>IF($A78="","",IF(OR($EL78="PARIU RECOMANDAT",$EL78="LIVE – FEZABIL"),MIN(IF($DU78&gt;0,$DU78,'Setari model'!$B$81)/MAX(1,$DR78),IF($DV78&gt;0,$DV78,'Setari model'!$B$80)*MAX(0,((IF($DE78="Live 20-30",$EJ78,$EA78)*IF($DE78="Live 20-30",$DQ78,$AR78)-1)/(IF($DE78="Live 20-30",$DQ78,$AR78)-1)))),0))</x:f>
      </x:c>
      <x:c r="EO78" s="121" t="str">
        <x:f t="shared" si="133">IF($A78="","",IF(AND($EN78&gt;0,$DT78&gt;0),$EN78*$DT78,""))</x:f>
      </x:c>
      <x:c r="EP78" s="113" t="str">
        <x:f>IF($A78="","",IF(OR($DR78&lt;1,$DR78&gt;'Setari model'!$B$78),"NU – 1–5 selecții",IF($DS78&gt;'Setari model'!$B$79,"NU – corelație", "DA")))</x:f>
      </x:c>
      <x:c r="EQ78" s="117" t="str">
        <x:f t="shared" si="134">IF($A78="","",IF(AND($DC78&gt;1,$DD78&gt;1),$DC78/$DD78-1,""))</x:f>
      </x:c>
      <x:c r="ER78" s="113" t="str">
        <x:f t="shared" si="135">IF($A78="","","P v2="&amp;TEXT($EA78,"0.0%")&amp;" ±"&amp;TEXT($EG78,"0.0%")&amp;"; P0 ZIP="&amp;TEXT($DZ78,"0.0%")&amp;"; Confidence="&amp;TEXT($EF78,"0")&amp;"/100; piață reală="&amp;IF($EC78="","NU","DA")&amp;"; EV="&amp;IF($EE78="","n/a",TEXT($EE78,"0.0%"))&amp;"; gate="&amp;$EI78&amp;"; verdict="&amp;$EL78&amp;". "&amp;$EM78)</x:f>
      </x:c>
      <x:c r="ES78" s="119" t="str">
        <x:f>IF($A78="","",'Setari model'!$B$82)</x:f>
      </x:c>
      <x:c r="ET78" s="118" t="str">
        <x:f>IF($A78="","",'Setari model'!$B$83)</x:f>
      </x:c>
      <x:c r="EU78" s="115" t="str">
        <x:f t="shared" si="136">IF(OR($A78="",$DE78&lt;&gt;"Live 20-30",$DF78="",$DF78&lt;$ES78,$DF78&gt;=90),"",MAX(0.05,MIN($BS78*$ET78,$BS78*(90-$DF78)/90+0.35*($DI78+$DJ78)+0.06*($DK78+$DL78)+0.15*($DM78+$DN78)+0.1*(MAX($DO78,$DP78)-MIN($DO78,$DP78)))))</x:f>
      </x:c>
      <x:c r="EV78" s="132"/>
      <x:c r="EW78" s="132"/>
      <x:c r="EX78" s="132"/>
      <x:c r="EY78" s="132"/>
      <x:c r="EZ78" s="132"/>
      <x:c r="FA78" s="132"/>
      <x:c r="FB78" s="247"/>
      <x:c r="FC78" s="134" t="str">
        <x:f t="shared" si="137">IF($A78="","",IF(OR($J78="",$L78="",$L78&lt;=0),"",MAX(0.5,MIN(1.5,$J78/$L78))))</x:f>
      </x:c>
      <x:c r="FD78" s="134" t="str">
        <x:f t="shared" si="138">IF($A78="","",IF(OR($Q78="",$S78="",$S78&lt;=0),"",MAX(0.5,MIN(1.5,$Q78/$S78))))</x:f>
      </x:c>
      <x:c r="FE78" s="134" t="str">
        <x:f>IF($A78="","",IF(COUNT($EV78:$EW78)&lt;2,"",SQRT($EV78*$EW78)/'Setari model'!$B$87))</x:f>
      </x:c>
      <x:c r="FF78" s="134" t="str">
        <x:f>IF($A78="","",IF(COUNT($O78,$V78,$EX78,$EY78)&lt;4,"",AVERAGE(SQRT($O78*$EY78),SQRT($V78*$EX78))/'Setari model'!$B$88))</x:f>
      </x:c>
      <x:c r="FG78" s="134" t="str">
        <x:f t="shared" si="139">IF($A78="","",IF(COUNT($FC78:$FD78)&lt;2,"",MAX(0,1-AVERAGE($FC78:$FD78))))</x:f>
      </x:c>
      <x:c r="FH78" s="134" t="str">
        <x:f>IF($A78="","",IF(COUNT($EZ78:$FA78)&lt;2,"",'Setari model'!$B$94*AVERAGE($EZ78:$FA78)/'Setari model'!$B$89))</x:f>
      </x:c>
      <x:c r="FI78" s="134" t="str">
        <x:f>IF($A78="","",IF(COUNT($FE78:$FH78)&lt;4,"",MAX('Setari model'!$B$97,MIN('Setari model'!$B$98,1+'Setari model'!$B$90*($FE78-1)+'Setari model'!$B$91*($FF78-1)+'Setari model'!$B$92*$FG78+'Setari model'!$B$93*($FH78-1)))))</x:f>
      </x:c>
      <x:c r="FJ78" s="133" t="str">
        <x:f>IF($A78="","",IF($FI78="","",MIN('Setari model'!$B$101,MAX(0.002,$DZ78*$FI78))))</x:f>
      </x:c>
      <x:c r="FK78" s="131" t="str">
        <x:f t="shared" si="140">IF($A78="","",IF(AND(COUNT($EV78:$FA78)=6,COUNT($O78,$V78,$FC78,$FD78)=4),"DA","NU"))</x:f>
      </x:c>
      <x:c r="FL78" s="131" t="str">
        <x:f>IF($A78="","",IF($FK78&lt;&gt;"DA","NEDETERMINAT",IF($FI78&lt;='Setari model'!$B$99,"SCĂZUT",IF($FI78&lt;='Setari model'!$B$100,"MEDIU","RIDICAT"))))</x:f>
      </x:c>
      <x:c r="FM78" s="131" t="str">
        <x:f>IF($A78="","",IF(AND($AR78&gt;1,$EC78&gt;='Setari model'!$B$106),"DA","NU"))</x:f>
      </x:c>
      <x:c r="FN78" s="131" t="str">
        <x:f t="shared" si="141">IF($A78="","",IF(AND($AU78=1,COUNT($CY78:$DB78)=4),"DA","NU"))</x:f>
      </x:c>
      <x:c r="FO78" s="133" t="str">
        <x:f>IF($A78="","",IF(OR($FK78&lt;&gt;"DA",$FL78="RIDICAT"),'Setari model'!$B$102,IF($FL78="MEDIU",'Setari model'!$B$103,IF(AND($FM78="DA",$FN78="DA"),'Setari model'!$B$105,'Setari model'!$B$104))))</x:f>
      </x:c>
      <x:c r="FP78" s="133" t="str">
        <x:f t="shared" si="142">IF($A78="","",IF($FJ78="","",MIN(1-$FJ78,$FO78)))</x:f>
      </x:c>
      <x:c r="FQ78" s="135" t="str">
        <x:f t="shared" si="143">IF($A78="","",IF($FP78="","",IF($FP78&gt;0,1/$FP78,"")))</x:f>
      </x:c>
      <x:c r="FR78" s="133" t="str">
        <x:f t="shared" si="144">IF($A78="","",IF($EC78="","",$FP78-$EC78))</x:f>
      </x:c>
      <x:c r="FS78" s="133" t="str">
        <x:f t="shared" si="145">IF($A78="","",IF($AR78&gt;1,$FP78*$AR78-1,""))</x:f>
      </x:c>
      <x:c r="FT78" s="136" t="str">
        <x:f>IF($A78="","",MAX(0,MIN(100,$EF78-IF($FK78&lt;&gt;"DA",'Setari model'!$B$107,0)-IF($FL78="MEDIU",'Setari model'!$B$108,0)-IF($FL78="RIDICAT",'Setari model'!$B$109,0))))</x:f>
      </x:c>
      <x:c r="FU78" s="131" t="str">
        <x:f t="shared" si="146">IF($A78="","",IF($AR78&lt;=1,"NU – LIPSEȘTE COTA REALĂ",IF($FK78&lt;&gt;"DA","NU – ZERO-RISK INCOMPLET",IF($FL78&lt;&gt;"SCĂZUT","NU – RISC 0-0 "&amp;$FL78,IF($FN78&lt;&gt;"DA","NU – LINEUP NECONFIRMAT",IF($FM78&lt;&gt;"DA","NU – PIAȚĂ NECONFIRMATĂ",IF($EP78&lt;&gt;"DA","NU – PORTOFOLIU","DA")))))))</x:f>
      </x:c>
      <x:c r="FV78" s="131" t="str">
        <x:f>IF($A78="","",IF($FU78&lt;&gt;"DA","WATCH / NO BET",IF(AND($FP78&gt;='Setari model'!$B$35,$FT78&gt;=100*'Setari model'!$B$76,$FS78&gt;0),"PARIU RECOMANDAT",IF(AND($FP78&gt;='Setari model'!$B$39,$FT78&gt;=100*'Setari model'!$B$40,$FS78&gt;0),"WATCH – APROAPE DE PRAG","PARIU EVITAT"))))</x:f>
      </x:c>
      <x:c r="FW78" s="131" t="str">
        <x:f t="shared" si="147">IF($A78="","",IF($FU78&lt;&gt;"DA",$FU78,IF($FT78&lt;75,"Confidence v3 sub 75.",IF($FP78&lt;0.92,"P v3 sub 92%.",IF($FS78&lt;=0,"EV v3 nepozitiv.","P0 v3, lineup și piață confirmate.")))))</x:f>
      </x:c>
      <x:c r="FX78" s="131" t="str">
        <x:f t="shared" si="148">IF($A78="","","P v3="&amp;TEXT($FP78,"0.0%")&amp;"; P0 v3="&amp;TEXT($FJ78,"0.0%")&amp;"; factor zero="&amp;IF($FI78="","n/a",TEXT($FI78,"0.00x"))&amp;" ("&amp;$FL78&amp;"); cap="&amp;TEXT($FO78,"0.0%")&amp;"; Confidence="&amp;TEXT($FT78,"0")&amp;"/100; lineup="&amp;$FN78&amp;"; piață="&amp;$FM78&amp;"; EV="&amp;IF($FS78="","n/a",TEXT($FS78,"0.0%"))&amp;"; gate="&amp;$FU78&amp;"; verdict="&amp;$FV78&amp;". "&amp;$FW78)</x:f>
      </x:c>
      <x:c r="FY78" s="159"/>
      <x:c r="FZ78" s="159"/>
      <x:c r="GA78" s="157"/>
      <x:c r="GB78" s="157"/>
      <x:c r="GC78" s="161" t="str">
        <x:f t="shared" si="149">IF($A78="","",IF(OR($X78="",$Z78="",$Z78&lt;=0),"",MAX(0.5,MIN(1.5,$X78/$Z78))))</x:f>
      </x:c>
      <x:c r="GD78" s="161" t="str">
        <x:f t="shared" si="150">IF($A78="","",IF(OR($AC78="",$AE78="",$AE78&lt;=0),"",MAX(0.5,MIN(1.5,$AC78/$AE78))))</x:f>
      </x:c>
      <x:c r="GE78" s="162" t="str">
        <x:f t="shared" si="151">IF($A78="","",IF(COUNT($Z78,$AE78)&lt;2,"",AVERAGE($Z78,$AE78)))</x:f>
      </x:c>
      <x:c r="GF78" s="158" t="str">
        <x:f>IF($A78="","",IF(COUNT($FY78:$FZ78)&lt;2,"NEDETERMINAT",IF(AND($FY78&gt;='Setari model'!$B$113,$FZ78&gt;='Setari model'!$B$113),"DA","NU")))</x:f>
      </x:c>
      <x:c r="GG78" s="158" t="str">
        <x:f>IF($A78="","",IF(COUNT($FY78:$FZ78,$EX78:$EY78)&lt;4,"NEDETERMINAT",IF(OR(AND($FY78&gt;='Setari model'!$B$113,$EY78&gt;='Setari model'!$B$114),AND($FZ78&gt;='Setari model'!$B$113,$EX78&gt;='Setari model'!$B$114)),"DA","NU")))</x:f>
      </x:c>
      <x:c r="GH78" s="158" t="str">
        <x:f>IF($A78="","",IF(COUNT($BJ78:$BN78,$GC78:$GE78)&lt;8,"NEDETERMINAT",IF(AND((($BJ78*INDEX('Setari model'!$B$5:$B$11,MATCH($E78,'Setari model'!$A$5:$A$11,0))+$BK78*INDEX('Setari model'!$C$5:$C$11,MATCH($E78,'Setari model'!$A$5:$A$11,0))+$BL78*INDEX('Setari model'!$D$5:$D$11,MATCH($E78,'Setari model'!$A$5:$A$11,0))+$BM78*INDEX('Setari model'!$E$5:$E$11,MATCH($E78,'Setari model'!$A$5:$A$11,0))+$BN78*INDEX('Setari model'!$F$5:$F$11,MATCH($E78,'Setari model'!$A$5:$A$11,0)))/(INDEX('Setari model'!$B$5:$B$11,MATCH($E78,'Setari model'!$A$5:$A$11,0))+INDEX('Setari model'!$C$5:$C$11,MATCH($E78,'Setari model'!$A$5:$A$11,0))+INDEX('Setari model'!$D$5:$D$11,MATCH($E78,'Setari model'!$A$5:$A$11,0))+INDEX('Setari model'!$E$5:$E$11,MATCH($E78,'Setari model'!$A$5:$A$11,0))+INDEX('Setari model'!$F$5:$F$11,MATCH($E78,'Setari model'!$A$5:$A$11,0))))*$BR78&gt;='Setari model'!$B$115,(($BJ78*INDEX('Setari model'!$B$5:$B$11,MATCH($E78,'Setari model'!$A$5:$A$11,0))+$BK78*INDEX('Setari model'!$C$5:$C$11,MATCH($E78,'Setari model'!$A$5:$A$11,0))+$BL78*INDEX('Setari model'!$D$5:$D$11,MATCH($E78,'Setari model'!$A$5:$A$11,0))+$BM78*INDEX('Setari model'!$E$5:$E$11,MATCH($E78,'Setari model'!$A$5:$A$11,0))+$BN78*INDEX('Setari model'!$F$5:$F$11,MATCH($E78,'Setari model'!$A$5:$A$11,0)))/(INDEX('Setari model'!$B$5:$B$11,MATCH($E78,'Setari model'!$A$5:$A$11,0))+INDEX('Setari model'!$C$5:$C$11,MATCH($E78,'Setari model'!$A$5:$A$11,0))+INDEX('Setari model'!$D$5:$D$11,MATCH($E78,'Setari model'!$A$5:$A$11,0))+INDEX('Setari model'!$E$5:$E$11,MATCH($E78,'Setari model'!$A$5:$A$11,0))+INDEX('Setari model'!$F$5:$F$11,MATCH($E78,'Setari model'!$A$5:$A$11,0))))*$BR78&lt;='Setari model'!$B$116,AVERAGE($GC78:$GD78)&lt;='Setari model'!$B$117,$GE78&gt;='Setari model'!$B$118),"DA","NU")))</x:f>
      </x:c>
      <x:c r="GI78" s="158" t="str">
        <x:f>IF($A78="","",IF(COUNT($W78,$AB78,$GA78:$GB78)&lt;4,"NEDETERMINAT",IF(AND($W78&gt;='Setari model'!$B$120,$AB78&gt;='Setari model'!$B$120,OR(IFERROR($GA78/$W78,0)&gt;='Setari model'!$B$119,IFERROR($GB78/$AB78,0)&gt;='Setari model'!$B$119)),"DA","NU")))</x:f>
      </x:c>
      <x:c r="GJ78" s="160" t="str">
        <x:f>IF($A78="","",IF(COUNT($FY78:$GB78)&lt;4,"",IF($GH78&lt;&gt;"DA",0,'Setari model'!$B$121*IF($GF78="DA",1,0)+'Setari model'!$B$122*IF($GG78="DA",1,0)+'Setari model'!$B$123+'Setari model'!$B$124*IF($GI78="DA",1,0))))</x:f>
      </x:c>
      <x:c r="GK78" s="161" t="str">
        <x:f>IF($A78="","",IF(COUNT($GJ78)=0,"",1+'Setari model'!$B$125*$GJ78))</x:f>
      </x:c>
      <x:c r="GL78" s="160" t="str">
        <x:f>IF($A78="","",IF($GM78&lt;&gt;"DA",$FJ78,MIN('Setari model'!$B$101,MAX(0.002,$FJ78*$GK78))))</x:f>
      </x:c>
      <x:c r="GM78" s="158" t="str">
        <x:f>IF($A78="","",IF(AND($FK78="DA",COUNT($FY78:$GB78)=4,COUNT($I78,$P78,$W78,$AB78,$Z78,$AE78,$EX78,$EY78,$GC78,$GD78)=10,COUNT($BJ78:$BN78)=5),"DA","NU"))</x:f>
      </x:c>
      <x:c r="GN78" s="158" t="str">
        <x:f>IF($A78="","",IF($GM78&lt;&gt;"DA","NEDETERMINAT",IF($FI78*$GK78&lt;='Setari model'!$B$99,"SCĂZUT",IF($FI78*$GK78&lt;='Setari model'!$B$100,"MEDIU","RIDICAT"))))</x:f>
      </x:c>
      <x:c r="GO78" s="160" t="str">
        <x:f>IF($A78="","",IF(OR($GM78&lt;&gt;"DA",$GN78="RIDICAT"),'Setari model'!$B$102,IF($GN78="MEDIU",'Setari model'!$B$103,IF(AND($FM78="DA",$FN78="DA"),'Setari model'!$B$105,'Setari model'!$B$104))))</x:f>
      </x:c>
      <x:c r="GP78" s="160" t="str">
        <x:f t="shared" si="152">IF($A78="","",IF($GL78="","",MIN(1-$GL78,$GO78)))</x:f>
      </x:c>
      <x:c r="GQ78" s="162" t="str">
        <x:f t="shared" si="153">IF($A78="","",IF($GP78="","",IF($GP78&gt;0,1/$GP78,"")))</x:f>
      </x:c>
      <x:c r="GR78" s="160" t="str">
        <x:f t="shared" si="154">IF($A78="","",IF($EC78="","",$GP78-$EC78))</x:f>
      </x:c>
      <x:c r="GS78" s="160" t="str">
        <x:f t="shared" si="155">IF($A78="","",IF($AR78&gt;1,$GP78*$AR78-1,""))</x:f>
      </x:c>
      <x:c r="GT78" s="163" t="str">
        <x:f>IF($A78="","",MAX(0,MIN(100,$FT78-IF(AND($GM78&lt;&gt;"DA",$FK78="DA"),'Setari model'!$B$107,0)-'Setari model'!$B$126*IF($GJ78="",0,$GJ78))))</x:f>
      </x:c>
      <x:c r="GU78" s="158" t="str">
        <x:f t="shared" si="156">IF($A78="","",IF($AR78&lt;=1,"NU – LIPSEȘTE COTA REALĂ",IF($GM78&lt;&gt;"DA","NU – DATE LOW-CONVERSION INCOMPLETE",IF($GN78&lt;&gt;"SCĂZUT","NU – RISC 0-0 "&amp;$GN78,IF($FN78&lt;&gt;"DA","NU – LINEUP NECONFIRMAT",IF($FM78&lt;&gt;"DA","NU – PIAȚĂ NECONFIRMATĂ",IF($EP78&lt;&gt;"DA","NU – PORTOFOLIU","DA")))))))</x:f>
      </x:c>
      <x:c r="GV78" s="158" t="str">
        <x:f>IF($A78="","",IF($GU78&lt;&gt;"DA","WATCH / NO BET",IF(AND($GP78&gt;='Setari model'!$B$35,$GT78&gt;=100*'Setari model'!$B$76,$GS78&gt;0),"PARIU RECOMANDAT",IF(AND($GP78&gt;='Setari model'!$B$39,$GT78&gt;=100*'Setari model'!$B$40,$GS78&gt;0),"WATCH – APROAPE DE PRAG","PARIU EVITAT"))))</x:f>
      </x:c>
      <x:c r="GW78" s="158" t="str">
        <x:f t="shared" si="157">IF($A78="","",IF($GU78&lt;&gt;"DA",$GU78,IF($GT78&lt;75,"Confidence v5 sub 75.",IF($GP78&lt;0.92,"P v5 sub 92%.",IF($GS78&lt;=0,"EV v5 nepozitiv.",IF($GJ78&gt;0,"Low-conversion absorbit în P0; toate porțile rămân trecute.","Toate porțile v5 sunt trecute."))))))</x:f>
      </x:c>
      <x:c r="GX78" s="158" t="str">
        <x:f t="shared" si="158">IF($A78="","","P v5="&amp;TEXT($GP78,"0.0%")&amp;"; P0 v5="&amp;TEXT($GL78,"0.0%")&amp;"; low-conv="&amp;IF(COUNT($GJ78)=0,"n/a",TEXT($GJ78,"0%"))&amp;"; mult.P0="&amp;IF(COUNT($GK78)=0,"n/a",TEXT($GK78,"0.00"))&amp;"; clasă="&amp;$GN78&amp;"; cap="&amp;TEXT($GO78,"0.0%")&amp;"; Confidence="&amp;TEXT($GT78,"0")&amp;"/100; lineup="&amp;$FN78&amp;"; piață="&amp;$FM78&amp;"; EV="&amp;IF($GS78="","n/a",TEXT($GS78,"0.0%"))&amp;"; gate="&amp;$GU78&amp;"; verdict="&amp;$GV78&amp;". "&amp;$GW78)</x:f>
      </x:c>
      <x:c r="GY78" s="174" t="str">
        <x:f>IF($A78="","",IF($GM78&lt;&gt;"DA","SOURCING INCOMPLETE – REVIEW REQUIRED",IF(MIN($I78,$P78,$W78,$AB78)&lt;'Setari model'!$B$58,"SMALL SAMPLE + PRIOR / SHRINKAGE","VERIFIED / PRIOR / SHRINKAGE")))</x:f>
      </x:c>
      <x:c r="GZ78" s="175" t="str">
        <x:f t="shared" si="159">IF($A78="","",MAX(0,MIN(100,100*(1-AVERAGE(IF($GM78="DA",1,0),MIN(1,$AT78/5))))))</x:f>
      </x:c>
      <x:c r="HA78" s="175" t="str">
        <x:f>IF($A78="","",IF($GM78&lt;&gt;"DA","",MAX(0,MIN(100,100*(($FI78*$GK78)-'Setari model'!$B$97)/('Setari model'!$B$98-'Setari model'!$B$97)))))</x:f>
      </x:c>
      <x:c r="HB78" s="175" t="str">
        <x:f>IF($A78="","",MAX(0,MIN(100,100*(ABS($BR78-1)/MAX(1-'Setari model'!$B$53,'Setari model'!$B$54-1)+MIN(1,$BG78/2))/2)))</x:f>
      </x:c>
      <x:c r="HC78" s="175" t="str">
        <x:f t="shared" si="160">IF($A78="","",MAX(0,MIN(100,100*(1-AVERAGE($CC78,MAX(0,1-(MAX($BJ78:$BN78)-MIN($BJ78:$BN78))/(AVERAGE($BJ78:$BN78)*'Setari model'!$B$45)))))))</x:f>
      </x:c>
      <x:c r="HD78" s="175" t="str">
        <x:f t="shared" si="161">IF($A78="","",MAX(0,MIN(100,100*MAX(IF($GJ78="",0,$GJ78),MIN(1,$BG78/2)))))</x:f>
      </x:c>
      <x:c r="HE78" s="175" t="str">
        <x:f>IF($A78="","",IF(COUNT($GZ78:$HD78)&lt;5,"",$GZ78*Risk_Classification!$E$28+$HA78*Risk_Classification!$E$29+$HB78*Risk_Classification!$E$30+$HC78*Risk_Classification!$E$31+$HD78*Risk_Classification!$E$32))</x:f>
      </x:c>
      <x:c r="HF78" s="176" t="str">
        <x:f t="shared" si="162">IF($A78="","",IF($HE78="","",IF($HE78&lt;=20,1,IF($HE78&lt;=40,2,IF($HE78&lt;=60,3,IF($HE78&lt;=80,4,5))))))</x:f>
      </x:c>
      <x:c r="HG78" s="176" t="str">
        <x:f t="shared" si="163">IF($A78="","",IF($GM78="DA","PASS","FAIL – DATE CRITICE ZERO-MASS INCOMPLETE"))</x:f>
      </x:c>
      <x:c r="HH78" s="176" t="str">
        <x:f t="shared" si="164">IF($A78="","",IF($HG78&lt;&gt;"PASS",5,$HF78))</x:f>
      </x:c>
      <x:c r="HI78" s="174" t="str">
        <x:f t="shared" si="165">IF($A78="","",IF($HH78="","N/A",IF($HH78=1,"DEFENSIV",IF($HH78=2,"PRUDENT",IF($HH78=3,"MODERAT",IF($HH78=4,"RIDICAT","WATCH / NO BET"))))))</x:f>
      </x:c>
      <x:c r="HJ78" s="177" t="str">
        <x:f t="shared" si="166">IF($A78="","","Data="&amp;$GY78&amp;"; DQ="&amp;TEXT($GZ78,"0.0")&amp;"; ZM="&amp;IF($HA78="","n/a",TEXT($HA78,"0.0"))&amp;"; Context="&amp;TEXT($HB78,"0.0")&amp;"; Uncertainty="&amp;TEXT($HC78,"0.0")&amp;"; Compound="&amp;TEXT($HD78,"0.0")&amp;"; Risk Score="&amp;IF($HE78="","n/a",TEXT($HE78,"0.0"))&amp;"; Base="&amp;IF($HF78="","n/a",$HF78)&amp;"; G0="&amp;$HG78&amp;"; Final="&amp;$HH78&amp;". Cota, EV si lineup sunt informative si nu intra in recomandare.")</x:f>
      </x:c>
      <x:c r="HK78" s="174" t="str">
        <x:f t="shared" si="167">IF($A78="","",$HI78)</x:f>
      </x:c>
    </x:row>
    <x:row r="79" ht="24" customHeight="1">
      <x:c r="A79" s="58"/>
      <x:c r="B79" s="24"/>
      <x:c r="C79" s="59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18"/>
      <x:c r="O79" s="18"/>
      <x:c r="P79" s="24"/>
      <x:c r="Q79" s="24"/>
      <x:c r="R79" s="24"/>
      <x:c r="S79" s="24"/>
      <x:c r="T79" s="24"/>
      <x:c r="U79" s="18"/>
      <x:c r="V79" s="18"/>
      <x:c r="W79" s="24"/>
      <x:c r="X79" s="24"/>
      <x:c r="Y79" s="24"/>
      <x:c r="Z79" s="24"/>
      <x:c r="AA79" s="24"/>
      <x:c r="AB79" s="24"/>
      <x:c r="AC79" s="24"/>
      <x:c r="AD79" s="24"/>
      <x:c r="AE79" s="24"/>
      <x:c r="AF79" s="24"/>
      <x:c r="AG79" s="24"/>
      <x:c r="AH79" s="24"/>
      <x:c r="AI79" s="18"/>
      <x:c r="AJ79" s="24"/>
      <x:c r="AK79" s="24"/>
      <x:c r="AL79" s="24"/>
      <x:c r="AM79" s="18"/>
      <x:c r="AN79" s="24"/>
      <x:c r="AO79" s="60"/>
      <x:c r="AP79" s="60"/>
      <x:c r="AQ79" s="60"/>
      <x:c r="AR79" s="60"/>
      <x:c r="AS79" s="60"/>
      <x:c r="AT79" s="24"/>
      <x:c r="AU79" s="24"/>
      <x:c r="AV79" s="24"/>
      <x:c r="AW79" s="24"/>
      <x:c r="AX79" s="24"/>
      <x:c r="AY79" s="24"/>
      <x:c r="AZ79" s="24"/>
      <x:c r="BA79" s="24"/>
      <x:c r="BB79" s="24"/>
      <x:c r="BC79" s="24"/>
      <x:c r="BD79" s="24"/>
      <x:c r="BE79" s="24"/>
      <x:c r="BF79" s="24"/>
      <x:c r="BG79" s="24"/>
      <x:c r="BH79" s="61"/>
      <x:c r="BI79" s="61"/>
      <x:c r="BJ79" s="62" t="str">
        <x:f>IF($A79="","",SQRT((($I79*IF($J79="",$AJ79,$J79)+'Setari model'!$B$30*$AJ79)/($I79+'Setari model'!$B$30))*(($P79*IF($R79="",$AJ79,$R79)+'Setari model'!$B$30*$AJ79)/($P79+'Setari model'!$B$30)))+SQRT((($P79*IF($Q79="",$AK79,$Q79)+'Setari model'!$B$30*$AK79)/($P79+'Setari model'!$B$30))*(($I79*IF($K79="",$AK79,$K79)+'Setari model'!$B$30*$AK79)/($I79+'Setari model'!$B$30))))</x:f>
      </x:c>
      <x:c r="BK79" s="62" t="str">
        <x:f>IF($A79="","",SQRT((($I79*IF($L79="",IF($J79="",$AJ79,$J79),$L79)+'Setari model'!$B$30*$AJ79)/($I79+'Setari model'!$B$30))*(($P79*IF($T79="",IF($R79="",$AJ79,$R79),$T79)+'Setari model'!$B$30*$AJ79)/($P79+'Setari model'!$B$30)))+SQRT((($P79*IF($S79="",IF($Q79="",$AK79,$Q79),$S79)+'Setari model'!$B$30*$AK79)/($P79+'Setari model'!$B$30))*(($I79*IF($M79="",IF($K79="",$AK79,$K79),$M79)+'Setari model'!$B$30*$AK79)/($I79+'Setari model'!$B$30))))</x:f>
      </x:c>
      <x:c r="BL79" s="62" t="str">
        <x:f>IF($A79="","",SQRT((($W79*IF($X79="",$AL79/2,$X79)+'Setari model'!$B$31*$AL79/2)/($W79+'Setari model'!$B$31))*(($AB79*IF($AD79="",$AL79/2,$AD79)+'Setari model'!$B$31*$AL79/2)/($AB79+'Setari model'!$B$31)))+SQRT((($AB79*IF($AC79="",$AL79/2,$AC79)+'Setari model'!$B$31*$AL79/2)/($AB79+'Setari model'!$B$31))*(($W79*IF($Y79="",$AL79/2,$Y79)+'Setari model'!$B$31*$AL79/2)/($W79+'Setari model'!$B$31))))</x:f>
      </x:c>
      <x:c r="BM79" s="62" t="str">
        <x:f>IF($A79="","",SQRT((($W79*IF($Z79="",IF($X79="",$AL79/2,$X79),$Z79)+'Setari model'!$B$31*$AL79/2)/($W79+'Setari model'!$B$31))*(($AB79*IF($AF79="",IF($AD79="",$AL79/2,$AD79),$AF79)+'Setari model'!$B$31*$AL79/2)/($AB79+'Setari model'!$B$31)))+SQRT((($AB79*IF($AE79="",IF($AC79="",$AL79/2,$AC79),$AE79)+'Setari model'!$B$31*$AL79/2)/($AB79+'Setari model'!$B$31))*(($W79*IF($AA79="",IF($Y79="",$AL79/2,$Y79),$AA79)+'Setari model'!$B$31*$AL79/2)/($W79+'Setari model'!$B$31))))</x:f>
      </x:c>
      <x:c r="BN79" s="62" t="str">
        <x:f t="shared" si="112">IF($A79="","",IF($AG79&gt;0,($AG79*IF($AH79="",$AL79,$AH79)+5*$AL79)/($AG79+5),$AL79))</x:f>
      </x:c>
      <x:c r="BO79" s="63" t="str">
        <x:f>IF($A79="","",IF($AR79&gt;1,IF($AS79&gt;1,(1/$AR79)/((1/$AR79+1/$AS79)),MIN(0.995,(1/$AR79)/(1+'Setari model'!$B$32))),1-EXP(-$AL79)))</x:f>
      </x:c>
      <x:c r="BP79" s="62" t="str">
        <x:f t="shared" si="113">IF($A79="","",-LN(1-$BO79))</x:f>
      </x:c>
      <x:c r="BQ79" s="62" t="str">
        <x:f>IF($A79="","",$BJ79*INDEX('Setari model'!$B$5:$B$11,MATCH($E79,'Setari model'!$A$5:$A$11,0))+$BK79*INDEX('Setari model'!$C$5:$C$11,MATCH($E79,'Setari model'!$A$5:$A$11,0))+$BL79*INDEX('Setari model'!$D$5:$D$11,MATCH($E79,'Setari model'!$A$5:$A$11,0))+$BM79*INDEX('Setari model'!$E$5:$E$11,MATCH($E79,'Setari model'!$A$5:$A$11,0))+$BN79*INDEX('Setari model'!$F$5:$F$11,MATCH($E79,'Setari model'!$A$5:$A$11,0))+$BP79*INDEX('Setari model'!$G$5:$G$11,MATCH($E79,'Setari model'!$A$5:$A$11,0)))</x:f>
      </x:c>
      <x:c r="BR79" s="64" t="str">
        <x:f>IF($A79="","",MAX('Setari model'!$B$53,MIN('Setari model'!$B$54,1+($AV79*'Setari model'!$B$15+$AW79*'Setari model'!$B$16+$AX79*'Setari model'!$B$17+$AY79*'Setari model'!$B$18+$AZ79*'Setari model'!$B$19+$BA79*'Setari model'!$B$20+$BB79*'Setari model'!$B$21+$BC79*'Setari model'!$B$22+$BD79*'Setari model'!$B$23+$BE79*'Setari model'!$B$24+$BF79*'Setari model'!$B$25)*INDEX('Setari model'!$H$5:$H$11,MATCH($E79,'Setari model'!$A$5:$A$11,0)))))</x:f>
      </x:c>
      <x:c r="BS79" s="62" t="str">
        <x:f t="shared" si="114">IF($A79="","",$BQ79*$BR79)</x:f>
      </x:c>
      <x:c r="BT79" s="63" t="str">
        <x:f t="shared" si="115">IF($A79="","",EXP(-$BS79))</x:f>
      </x:c>
      <x:c r="BU79" s="65" t="str">
        <x:f>IF($A79="","",IF(OR($AM79="",$AN79=""),1,1+MIN('Setari model'!$B$33,$AN79/100*'Setari model'!$B$33)*($AM79/EXP(-$AL79)-1)))</x:f>
      </x:c>
      <x:c r="BV79" s="63" t="str">
        <x:f>IF($A79="","",MIN(0.45,MAX(0.005,(1-'Setari model'!$B$34*MIN(1,($I79+$P79)/20))*MIN(0.45,$BT79*$BU79)+'Setari model'!$B$34*MIN(1,($I79+$P79)/20)*IF(COUNT($N79,$U79)=2,SQRT(MAX(0,1-$N79)*MAX(0,1-$U79)),IF($AM79="",EXP(-$AL79),$AM79)))))</x:f>
      </x:c>
      <x:c r="BW79" s="63" t="str">
        <x:f t="shared" si="116">IF($A79="","",1-$BV79)</x:f>
      </x:c>
      <x:c r="BX79" s="62" t="str">
        <x:f t="shared" si="117">IF($A79="","",1/$BW79)</x:f>
      </x:c>
      <x:c r="BY79" s="63" t="str">
        <x:f t="shared" si="118">IF($A79="","",$BO79)</x:f>
      </x:c>
      <x:c r="BZ79" s="63" t="str">
        <x:f t="shared" si="119">IF($A79="","",$BW79-$BY79)</x:f>
      </x:c>
      <x:c r="CA79" s="63" t="str">
        <x:f t="shared" si="120">IF($A79="","",IF($AR79&gt;1,$BW79*$AR79-1,""))</x:f>
      </x:c>
      <x:c r="CB79" s="63" t="str">
        <x:f>IF($A79="","",MIN(1,COUNT($I79:$AN79,$AR79:$BG79)/'Setari model'!$B$46))</x:f>
      </x:c>
      <x:c r="CC79" s="63" t="str">
        <x:f t="shared" si="121">IF($A79="","",0.25*MIN(1,$I79/10)+0.25*MIN(1,$P79/10)+0.15*MIN(1,$W79/5)+0.15*MIN(1,$AB79/5)+0.1*MIN(1,$AG79/5)+0.1*MIN(1,$AN79/100))</x:f>
      </x:c>
      <x:c r="CD79" s="63" t="str">
        <x:f>IF($A79="","",MAX(0,1-(MAX($BJ79:$BN79,$BP79)-MIN($BJ79:$BN79,$BP79))/(AVERAGE($BJ79:$BN79,$BP79)*'Setari model'!$B$45)))</x:f>
      </x:c>
      <x:c r="CE79" s="66" t="str">
        <x:f>IF($A79="","",MAX(0,MIN(100,100*INDEX('Setari model'!$I$5:$I$11,MATCH($E79,'Setari model'!$A$5:$A$11,0))*('Setari model'!$B$47*$CB79+'Setari model'!$B$48*$CC79+'Setari model'!$B$49*$CD79+'Setari model'!$B$50*$AT79/5+'Setari model'!$B$51*$AU79)-100*'Setari model'!$B$52*$BG79)))</x:f>
      </x:c>
      <x:c r="CF79" s="65" t="str">
        <x:f t="shared" si="122">IF($A79="","",IF(OR($AT79&lt;3,$BG79&gt;=2,$CB79&lt;0.55,$CC79&lt;0.4),"RIDICAT",IF(OR($AU79=0,$CD79&lt;0.45,$BR79&lt;0.9),"MEDIU","SCĂZUT")))</x:f>
      </x:c>
      <x:c r="CG79" s="65" t="str">
        <x:f>IF($A79="","",IF($AR79&gt;1,IF(AND($BW79&gt;= 'Setari model'!$B$35,$CE79&gt;=100*'Setari model'!$B$36,$BZ79&gt;= 'Setari model'!$B$37,$CA79&gt;= 'Setari model'!$B$38,$CF79&lt;&gt;"RIDICAT"),"PARIU RECOMANDAT",IF(AND($BW79&gt;= 'Setari model'!$B$39,$CE79&gt;=100*'Setari model'!$B$40,$BZ79&gt;= 'Setari model'!$B$41,$CA79&gt;=0,$CF79&lt;&gt;"RIDICAT"),"RECOMANDAT CU PRUDENȚĂ",IF(AND($BW79&gt;= 'Setari model'!$B$42,$CE79&gt;=100*'Setari model'!$B$43),"ANALIZĂ NECONCLUDENTĂ","PARIU EVITAT"))),IF(AND($BW79&gt;= 'Setari model'!$B$35,$CE79&gt;=100*'Setari model'!$B$36,$CF79&lt;&gt;"RIDICAT"),"FAVORABIL STATISTIC – VERIFICĂ COTA",IF(AND($BW79&gt;= 'Setari model'!$B$42,$CE79&gt;=100*'Setari model'!$B$43),"ANALIZĂ NECONCLUDENTĂ","PARIU EVITAT"))))</x:f>
      </x:c>
      <x:c r="CH79" s="67" t="str">
        <x:f t="shared" si="123">IF($A79="","","P(O0,5)="&amp;TEXT($BW79,"0.0%")&amp;"; λ ajustat="&amp;TEXT($BS79,"0.00")&amp;"; Confidence="&amp;TEXT($CE79,"0")&amp;"/100; Edge="&amp;TEXT($BZ79,"0.0%")&amp;"; risc="&amp;$CF79&amp;". "&amp;$BH79)</x:f>
      </x:c>
      <x:c r="CI79" s="68" t="str">
        <x:f t="shared" si="124">IF($A79="","",$BI79)</x:f>
      </x:c>
      <x:c r="CJ79" s="112"/>
      <x:c r="CK79" s="112"/>
      <x:c r="CL79" s="112"/>
      <x:c r="CM79" s="112"/>
      <x:c r="CN79" s="112"/>
      <x:c r="CO79" s="112"/>
      <x:c r="CP79" s="112"/>
      <x:c r="CQ79" s="112"/>
      <x:c r="CR79" s="112"/>
      <x:c r="CS79" s="112"/>
      <x:c r="CT79" s="112"/>
      <x:c r="CU79" s="112"/>
      <x:c r="CV79" s="112"/>
      <x:c r="CW79" s="112"/>
      <x:c r="CX79" s="112"/>
      <x:c r="CY79" s="112"/>
      <x:c r="CZ79" s="112"/>
      <x:c r="DA79" s="112"/>
      <x:c r="DB79" s="112"/>
      <x:c r="DC79" s="114"/>
      <x:c r="DD79" s="114"/>
      <x:c r="DE79" s="112" t="s">
        <x:v>266</x:v>
      </x:c>
      <x:c r="DF79" s="112"/>
      <x:c r="DG79" s="112"/>
      <x:c r="DH79" s="112"/>
      <x:c r="DI79" s="112"/>
      <x:c r="DJ79" s="112"/>
      <x:c r="DK79" s="112"/>
      <x:c r="DL79" s="112"/>
      <x:c r="DM79" s="112"/>
      <x:c r="DN79" s="112"/>
      <x:c r="DO79" s="112"/>
      <x:c r="DP79" s="112"/>
      <x:c r="DQ79" s="114"/>
      <x:c r="DR79" s="112">
        <x:v>1</x:v>
      </x:c>
      <x:c r="DS79" s="116">
        <x:v>0</x:v>
      </x:c>
      <x:c r="DT79" s="120"/>
      <x:c r="DU79" s="116">
        <x:v>0.02</x:v>
      </x:c>
      <x:c r="DV79" s="116">
        <x:v>0.25</x:v>
      </x:c>
      <x:c r="DW79" s="118" t="str">
        <x:f>IF($A79="","",MAX('Setari model'!$B$71,MIN('Setari model'!$B$72,1+0.08*(IFERROR(AVERAGE($CM79:$CN79)/'Setari model'!$B$66,1)-1)+0.08*(IFERROR(AVERAGE($CO79:$CP79)/'Setari model'!$B$67,1)-1)+0.06*(IFERROR(AVERAGE($CQ79:$CR79)/'Setari model'!$B$68,1)-1)+0.04*(IFERROR(AVERAGE($CS79:$CT79)/'Setari model'!$B$69,1)-1)+0.04*(IFERROR(AVERAGE($CU79:$CV79)/'Setari model'!$B$70,1)-1)-'Setari model'!$B$73*IFERROR(AVERAGE($CW79:$CX79),0))))</x:f>
      </x:c>
      <x:c r="DX79" s="118" t="str">
        <x:f>IF($A79="","",1+'Setari model'!$B$62*MAX(IF(OR($CK79=1,$CL79=1),1,0),IF(AND($CJ79&lt;&gt;"",$CJ79&lt;=1),1,0))+'Setari model'!$B$63*IF(AND($CJ79&gt;1,$CJ79&lt;=3),1,0))</x:f>
      </x:c>
      <x:c r="DY79" s="118" t="str">
        <x:f>IF($A79="","",1+'Setari model'!$B$74*(IF($CY79="",0,IF($CY79=0,1,0))+IF($CZ79="",0,IF($CZ79=0,1,0)))+'Setari model'!$B$75*(IF($DA79="",0,IF($DA79=0,1,0))+IF($DB79="",0,IF($DB79=0,1,0))))</x:f>
      </x:c>
      <x:c r="DZ79" s="117" t="str">
        <x:f>IF($A79="","",MIN(0.6,MAX(0.002,(((1-'Setari model'!$B$34*MIN(1,($I79+$P79)/20))*$BT79+'Setari model'!$B$34*MIN(1,($I79+$P79)/20)*IF(COUNT($N79,$U79)=2,SQRT(MAX(0,1-$N79)*MAX(0,1-$U79)),$BT79))*(1-'Setari model'!$B$65*MIN(1,IF($AN79="",0,$AN79/'Setari model'!$B$64)))+'Setari model'!$B$65*MIN(1,IF($AN79="",0,$AN79/'Setari model'!$B$64))*IF($AM79="",$BT79,$AM79))*$DX79*$DY79/$DW79)))</x:f>
      </x:c>
      <x:c r="EA79" s="117" t="str">
        <x:f>IF($A79="","",MIN(1-$DZ79,IF(OR(MIN($I79,$P79)&lt;'Setari model'!$B$58,$CK79=1,$CL79=1,AND($CJ79&lt;&gt;"",$CJ79&lt;=1)),'Setari model'!$B$59,IF(AND($AU79=1,$AR79&gt;1,COUNT($CY79:$DB79)=4),'Setari model'!$B$61,'Setari model'!$B$60))))</x:f>
      </x:c>
      <x:c r="EB79" s="115" t="str">
        <x:f t="shared" si="125">IF($A79="","",1/$EA79)</x:f>
      </x:c>
      <x:c r="EC79" s="117" t="str">
        <x:f t="shared" si="126">IF($A79="","",IF($AR79&gt;1,IF($AS79&gt;1,(1/$AR79)/((1/$AR79)+(1/$AS79)),1/$AR79),""))</x:f>
      </x:c>
      <x:c r="ED79" s="117" t="str">
        <x:f t="shared" si="127">IF($A79="","",IF($EC79="","",$EA79-$EC79))</x:f>
      </x:c>
      <x:c r="EE79" s="117" t="str">
        <x:f t="shared" si="128">""</x:f>
      </x:c>
      <x:c r="EF79" s="119" t="str">
        <x:f>IF($A79="","",MAX(0,MIN(100,$CE79-200*MAX(0,$EG79-'Setari model'!$B$77)-IF($AU79&lt;&gt;1,10,0)-IF(COUNT($CY79:$DB79)&lt;4,4,0))))</x:f>
      </x:c>
      <x:c r="EG79" s="117" t="str">
        <x:f>IF($A79="","",'Setari model'!$B$77+IF(MIN($I79,$P79)&lt;'Setari model'!$B$58,0.03,0)+IF(OR($CK79=1,$CL79=1,AND($CJ79&lt;&gt;"",$CJ79&lt;=1)),0.03,0)+IF($AG79=0,0.02,0)+0.03*(1-MIN(1,COUNT($CM79:$CV79)/10))+0.03*(1-MIN(1,IF($AN79="",0,$AN79/'Setari model'!$B$64)))+IF($AR79&lt;=1,0.02,0))</x:f>
      </x:c>
      <x:c r="EH79" s="113" t="str">
        <x:f>IF($A79="","",IF(OR(MIN($I79,$P79)&lt;'Setari model'!$B$58,$CK79=1,$CL79=1,AND($CJ79&lt;&gt;"",$CJ79&lt;=1)),"92% – early/regim",IF(AND($AU79=1,$AR79&gt;1,COUNT($CY79:$DB79)=4),"94% – confirmat","93% – standard")))</x:f>
      </x:c>
      <x:c r="EI79" s="113" t="str">
        <x:f t="shared" si="129">IF($A79="","",IF(AND($EA79&gt;0.9,$AU79&lt;&gt;1),"WAIT XI – HIGH P",IF(AND($EA79&gt;0.9,COUNT($CY79:$DB79)&lt;4),"WAIT DATE CHEIE – HIGH P",IF($EP79&lt;&gt;"DA","NU – PORTOFOLIU","DA"))))</x:f>
      </x:c>
      <x:c r="EJ79" s="117" t="str">
        <x:f t="shared" si="130">IF($A79="","",IF($DE79&lt;&gt;"Live 20-30","",IF(SUM($DG79:$DH79)&gt;0,1,IF($EU79="","",1-MIN(0.95,MAX(0.001,EXP(-$EU79)*$DX79*$DY79/$DW79))))))</x:f>
      </x:c>
      <x:c r="EK79" s="117" t="str">
        <x:f t="shared" si="131">""</x:f>
      </x:c>
      <x:c r="EL79" s="113" t="str">
        <x:f>IF($A79="","",IF($DE79="Live 20-30",IF(SUM($DG79:$DH79)&gt;0,"EVENIMENT ÎNDEPLINIT",IF(OR($DF79="",COUNT($DI79:$DN79)&lt;4),"LIVE – WATCH",IF($EJ79&gt;=0.75,"LIVE – FEZABIL TEHNIC","LIVE – NO BET"))),IF($EI79&lt;&gt;"DA","WATCH / NO BET",IF(AND($EA79&gt;=INDEX('Setari model'!$B$35:$B$40,1),$EF79&gt;=100*'Setari model'!$B$76),"PARIU RECOMANDAT",IF(AND($EA79&gt;=INDEX('Setari model'!$B$35:$B$40,5),$EF79&gt;=100*'Setari model'!$B$40),"WATCH – APROAPE DE PRAG","PARIU EVITAT")))))</x:f>
      </x:c>
      <x:c r="EM79" s="113" t="str">
        <x:f t="shared" si="132">IF($A79="","",IF($DE79="Live 20-30",IF(SUM($DG79:$DH79)&gt;0,"Gol deja marcat.",IF($DF79="","Minut live lipsă.",IF(COUNT($DI79:$DN79)&lt;4,"Lipsesc xG/SOT/big chances live.",IF($EJ79&lt;0.75,"P live sub prag.","Semnal live tehnic complet; EV ignorat.")))),IF($EI79&lt;&gt;"DA",$EI79,IF($EF79&lt;75,"Confidence sub 75.",IF($EA79&lt;0.92,"P sub 92%.","G0/Zero-Mass + confidence trecute; EV ignorat.")))))</x:f>
      </x:c>
      <x:c r="EN79" s="117" t="str">
        <x:f>IF($A79="","",IF(OR($EL79="PARIU RECOMANDAT",$EL79="LIVE – FEZABIL"),MIN(IF($DU79&gt;0,$DU79,'Setari model'!$B$81)/MAX(1,$DR79),IF($DV79&gt;0,$DV79,'Setari model'!$B$80)*MAX(0,((IF($DE79="Live 20-30",$EJ79,$EA79)*IF($DE79="Live 20-30",$DQ79,$AR79)-1)/(IF($DE79="Live 20-30",$DQ79,$AR79)-1)))),0))</x:f>
      </x:c>
      <x:c r="EO79" s="121" t="str">
        <x:f t="shared" si="133">IF($A79="","",IF(AND($EN79&gt;0,$DT79&gt;0),$EN79*$DT79,""))</x:f>
      </x:c>
      <x:c r="EP79" s="113" t="str">
        <x:f>IF($A79="","",IF(OR($DR79&lt;1,$DR79&gt;'Setari model'!$B$78),"NU – 1–5 selecții",IF($DS79&gt;'Setari model'!$B$79,"NU – corelație", "DA")))</x:f>
      </x:c>
      <x:c r="EQ79" s="117" t="str">
        <x:f t="shared" si="134">IF($A79="","",IF(AND($DC79&gt;1,$DD79&gt;1),$DC79/$DD79-1,""))</x:f>
      </x:c>
      <x:c r="ER79" s="113" t="str">
        <x:f t="shared" si="135">IF($A79="","","P v2="&amp;TEXT($EA79,"0.0%")&amp;" ±"&amp;TEXT($EG79,"0.0%")&amp;"; P0 ZIP="&amp;TEXT($DZ79,"0.0%")&amp;"; Confidence="&amp;TEXT($EF79,"0")&amp;"/100; piață reală="&amp;IF($EC79="","NU","DA")&amp;"; EV="&amp;IF($EE79="","n/a",TEXT($EE79,"0.0%"))&amp;"; gate="&amp;$EI79&amp;"; verdict="&amp;$EL79&amp;". "&amp;$EM79)</x:f>
      </x:c>
      <x:c r="ES79" s="119" t="str">
        <x:f>IF($A79="","",'Setari model'!$B$82)</x:f>
      </x:c>
      <x:c r="ET79" s="118" t="str">
        <x:f>IF($A79="","",'Setari model'!$B$83)</x:f>
      </x:c>
      <x:c r="EU79" s="115" t="str">
        <x:f t="shared" si="136">IF(OR($A79="",$DE79&lt;&gt;"Live 20-30",$DF79="",$DF79&lt;$ES79,$DF79&gt;=90),"",MAX(0.05,MIN($BS79*$ET79,$BS79*(90-$DF79)/90+0.35*($DI79+$DJ79)+0.06*($DK79+$DL79)+0.15*($DM79+$DN79)+0.1*(MAX($DO79,$DP79)-MIN($DO79,$DP79)))))</x:f>
      </x:c>
      <x:c r="EV79" s="132"/>
      <x:c r="EW79" s="132"/>
      <x:c r="EX79" s="132"/>
      <x:c r="EY79" s="132"/>
      <x:c r="EZ79" s="132"/>
      <x:c r="FA79" s="132"/>
      <x:c r="FB79" s="247"/>
      <x:c r="FC79" s="134" t="str">
        <x:f t="shared" si="137">IF($A79="","",IF(OR($J79="",$L79="",$L79&lt;=0),"",MAX(0.5,MIN(1.5,$J79/$L79))))</x:f>
      </x:c>
      <x:c r="FD79" s="134" t="str">
        <x:f t="shared" si="138">IF($A79="","",IF(OR($Q79="",$S79="",$S79&lt;=0),"",MAX(0.5,MIN(1.5,$Q79/$S79))))</x:f>
      </x:c>
      <x:c r="FE79" s="134" t="str">
        <x:f>IF($A79="","",IF(COUNT($EV79:$EW79)&lt;2,"",SQRT($EV79*$EW79)/'Setari model'!$B$87))</x:f>
      </x:c>
      <x:c r="FF79" s="134" t="str">
        <x:f>IF($A79="","",IF(COUNT($O79,$V79,$EX79,$EY79)&lt;4,"",AVERAGE(SQRT($O79*$EY79),SQRT($V79*$EX79))/'Setari model'!$B$88))</x:f>
      </x:c>
      <x:c r="FG79" s="134" t="str">
        <x:f t="shared" si="139">IF($A79="","",IF(COUNT($FC79:$FD79)&lt;2,"",MAX(0,1-AVERAGE($FC79:$FD79))))</x:f>
      </x:c>
      <x:c r="FH79" s="134" t="str">
        <x:f>IF($A79="","",IF(COUNT($EZ79:$FA79)&lt;2,"",'Setari model'!$B$94*AVERAGE($EZ79:$FA79)/'Setari model'!$B$89))</x:f>
      </x:c>
      <x:c r="FI79" s="134" t="str">
        <x:f>IF($A79="","",IF(COUNT($FE79:$FH79)&lt;4,"",MAX('Setari model'!$B$97,MIN('Setari model'!$B$98,1+'Setari model'!$B$90*($FE79-1)+'Setari model'!$B$91*($FF79-1)+'Setari model'!$B$92*$FG79+'Setari model'!$B$93*($FH79-1)))))</x:f>
      </x:c>
      <x:c r="FJ79" s="133" t="str">
        <x:f>IF($A79="","",IF($FI79="","",MIN('Setari model'!$B$101,MAX(0.002,$DZ79*$FI79))))</x:f>
      </x:c>
      <x:c r="FK79" s="131" t="str">
        <x:f t="shared" si="140">IF($A79="","",IF(AND(COUNT($EV79:$FA79)=6,COUNT($O79,$V79,$FC79,$FD79)=4),"DA","NU"))</x:f>
      </x:c>
      <x:c r="FL79" s="131" t="str">
        <x:f>IF($A79="","",IF($FK79&lt;&gt;"DA","NEDETERMINAT",IF($FI79&lt;='Setari model'!$B$99,"SCĂZUT",IF($FI79&lt;='Setari model'!$B$100,"MEDIU","RIDICAT"))))</x:f>
      </x:c>
      <x:c r="FM79" s="131" t="str">
        <x:f>IF($A79="","",IF(AND($AR79&gt;1,$EC79&gt;='Setari model'!$B$106),"DA","NU"))</x:f>
      </x:c>
      <x:c r="FN79" s="131" t="str">
        <x:f t="shared" si="141">IF($A79="","",IF(AND($AU79=1,COUNT($CY79:$DB79)=4),"DA","NU"))</x:f>
      </x:c>
      <x:c r="FO79" s="133" t="str">
        <x:f>IF($A79="","",IF(OR($FK79&lt;&gt;"DA",$FL79="RIDICAT"),'Setari model'!$B$102,IF($FL79="MEDIU",'Setari model'!$B$103,IF(AND($FM79="DA",$FN79="DA"),'Setari model'!$B$105,'Setari model'!$B$104))))</x:f>
      </x:c>
      <x:c r="FP79" s="133" t="str">
        <x:f t="shared" si="142">IF($A79="","",IF($FJ79="","",MIN(1-$FJ79,$FO79)))</x:f>
      </x:c>
      <x:c r="FQ79" s="135" t="str">
        <x:f t="shared" si="143">IF($A79="","",IF($FP79="","",IF($FP79&gt;0,1/$FP79,"")))</x:f>
      </x:c>
      <x:c r="FR79" s="133" t="str">
        <x:f t="shared" si="144">IF($A79="","",IF($EC79="","",$FP79-$EC79))</x:f>
      </x:c>
      <x:c r="FS79" s="133" t="str">
        <x:f t="shared" si="145">IF($A79="","",IF($AR79&gt;1,$FP79*$AR79-1,""))</x:f>
      </x:c>
      <x:c r="FT79" s="136" t="str">
        <x:f>IF($A79="","",MAX(0,MIN(100,$EF79-IF($FK79&lt;&gt;"DA",'Setari model'!$B$107,0)-IF($FL79="MEDIU",'Setari model'!$B$108,0)-IF($FL79="RIDICAT",'Setari model'!$B$109,0))))</x:f>
      </x:c>
      <x:c r="FU79" s="131" t="str">
        <x:f t="shared" si="146">IF($A79="","",IF($AR79&lt;=1,"NU – LIPSEȘTE COTA REALĂ",IF($FK79&lt;&gt;"DA","NU – ZERO-RISK INCOMPLET",IF($FL79&lt;&gt;"SCĂZUT","NU – RISC 0-0 "&amp;$FL79,IF($FN79&lt;&gt;"DA","NU – LINEUP NECONFIRMAT",IF($FM79&lt;&gt;"DA","NU – PIAȚĂ NECONFIRMATĂ",IF($EP79&lt;&gt;"DA","NU – PORTOFOLIU","DA")))))))</x:f>
      </x:c>
      <x:c r="FV79" s="131" t="str">
        <x:f>IF($A79="","",IF($FU79&lt;&gt;"DA","WATCH / NO BET",IF(AND($FP79&gt;='Setari model'!$B$35,$FT79&gt;=100*'Setari model'!$B$76,$FS79&gt;0),"PARIU RECOMANDAT",IF(AND($FP79&gt;='Setari model'!$B$39,$FT79&gt;=100*'Setari model'!$B$40,$FS79&gt;0),"WATCH – APROAPE DE PRAG","PARIU EVITAT"))))</x:f>
      </x:c>
      <x:c r="FW79" s="131" t="str">
        <x:f t="shared" si="147">IF($A79="","",IF($FU79&lt;&gt;"DA",$FU79,IF($FT79&lt;75,"Confidence v3 sub 75.",IF($FP79&lt;0.92,"P v3 sub 92%.",IF($FS79&lt;=0,"EV v3 nepozitiv.","P0 v3, lineup și piață confirmate.")))))</x:f>
      </x:c>
      <x:c r="FX79" s="131" t="str">
        <x:f t="shared" si="148">IF($A79="","","P v3="&amp;TEXT($FP79,"0.0%")&amp;"; P0 v3="&amp;TEXT($FJ79,"0.0%")&amp;"; factor zero="&amp;IF($FI79="","n/a",TEXT($FI79,"0.00x"))&amp;" ("&amp;$FL79&amp;"); cap="&amp;TEXT($FO79,"0.0%")&amp;"; Confidence="&amp;TEXT($FT79,"0")&amp;"/100; lineup="&amp;$FN79&amp;"; piață="&amp;$FM79&amp;"; EV="&amp;IF($FS79="","n/a",TEXT($FS79,"0.0%"))&amp;"; gate="&amp;$FU79&amp;"; verdict="&amp;$FV79&amp;". "&amp;$FW79)</x:f>
      </x:c>
      <x:c r="FY79" s="159"/>
      <x:c r="FZ79" s="159"/>
      <x:c r="GA79" s="157"/>
      <x:c r="GB79" s="157"/>
      <x:c r="GC79" s="161" t="str">
        <x:f t="shared" si="149">IF($A79="","",IF(OR($X79="",$Z79="",$Z79&lt;=0),"",MAX(0.5,MIN(1.5,$X79/$Z79))))</x:f>
      </x:c>
      <x:c r="GD79" s="161" t="str">
        <x:f t="shared" si="150">IF($A79="","",IF(OR($AC79="",$AE79="",$AE79&lt;=0),"",MAX(0.5,MIN(1.5,$AC79/$AE79))))</x:f>
      </x:c>
      <x:c r="GE79" s="162" t="str">
        <x:f t="shared" si="151">IF($A79="","",IF(COUNT($Z79,$AE79)&lt;2,"",AVERAGE($Z79,$AE79)))</x:f>
      </x:c>
      <x:c r="GF79" s="158" t="str">
        <x:f>IF($A79="","",IF(COUNT($FY79:$FZ79)&lt;2,"NEDETERMINAT",IF(AND($FY79&gt;='Setari model'!$B$113,$FZ79&gt;='Setari model'!$B$113),"DA","NU")))</x:f>
      </x:c>
      <x:c r="GG79" s="158" t="str">
        <x:f>IF($A79="","",IF(COUNT($FY79:$FZ79,$EX79:$EY79)&lt;4,"NEDETERMINAT",IF(OR(AND($FY79&gt;='Setari model'!$B$113,$EY79&gt;='Setari model'!$B$114),AND($FZ79&gt;='Setari model'!$B$113,$EX79&gt;='Setari model'!$B$114)),"DA","NU")))</x:f>
      </x:c>
      <x:c r="GH79" s="158" t="str">
        <x:f>IF($A79="","",IF(COUNT($BJ79:$BN79,$GC79:$GE79)&lt;8,"NEDETERMINAT",IF(AND((($BJ79*INDEX('Setari model'!$B$5:$B$11,MATCH($E79,'Setari model'!$A$5:$A$11,0))+$BK79*INDEX('Setari model'!$C$5:$C$11,MATCH($E79,'Setari model'!$A$5:$A$11,0))+$BL79*INDEX('Setari model'!$D$5:$D$11,MATCH($E79,'Setari model'!$A$5:$A$11,0))+$BM79*INDEX('Setari model'!$E$5:$E$11,MATCH($E79,'Setari model'!$A$5:$A$11,0))+$BN79*INDEX('Setari model'!$F$5:$F$11,MATCH($E79,'Setari model'!$A$5:$A$11,0)))/(INDEX('Setari model'!$B$5:$B$11,MATCH($E79,'Setari model'!$A$5:$A$11,0))+INDEX('Setari model'!$C$5:$C$11,MATCH($E79,'Setari model'!$A$5:$A$11,0))+INDEX('Setari model'!$D$5:$D$11,MATCH($E79,'Setari model'!$A$5:$A$11,0))+INDEX('Setari model'!$E$5:$E$11,MATCH($E79,'Setari model'!$A$5:$A$11,0))+INDEX('Setari model'!$F$5:$F$11,MATCH($E79,'Setari model'!$A$5:$A$11,0))))*$BR79&gt;='Setari model'!$B$115,(($BJ79*INDEX('Setari model'!$B$5:$B$11,MATCH($E79,'Setari model'!$A$5:$A$11,0))+$BK79*INDEX('Setari model'!$C$5:$C$11,MATCH($E79,'Setari model'!$A$5:$A$11,0))+$BL79*INDEX('Setari model'!$D$5:$D$11,MATCH($E79,'Setari model'!$A$5:$A$11,0))+$BM79*INDEX('Setari model'!$E$5:$E$11,MATCH($E79,'Setari model'!$A$5:$A$11,0))+$BN79*INDEX('Setari model'!$F$5:$F$11,MATCH($E79,'Setari model'!$A$5:$A$11,0)))/(INDEX('Setari model'!$B$5:$B$11,MATCH($E79,'Setari model'!$A$5:$A$11,0))+INDEX('Setari model'!$C$5:$C$11,MATCH($E79,'Setari model'!$A$5:$A$11,0))+INDEX('Setari model'!$D$5:$D$11,MATCH($E79,'Setari model'!$A$5:$A$11,0))+INDEX('Setari model'!$E$5:$E$11,MATCH($E79,'Setari model'!$A$5:$A$11,0))+INDEX('Setari model'!$F$5:$F$11,MATCH($E79,'Setari model'!$A$5:$A$11,0))))*$BR79&lt;='Setari model'!$B$116,AVERAGE($GC79:$GD79)&lt;='Setari model'!$B$117,$GE79&gt;='Setari model'!$B$118),"DA","NU")))</x:f>
      </x:c>
      <x:c r="GI79" s="158" t="str">
        <x:f>IF($A79="","",IF(COUNT($W79,$AB79,$GA79:$GB79)&lt;4,"NEDETERMINAT",IF(AND($W79&gt;='Setari model'!$B$120,$AB79&gt;='Setari model'!$B$120,OR(IFERROR($GA79/$W79,0)&gt;='Setari model'!$B$119,IFERROR($GB79/$AB79,0)&gt;='Setari model'!$B$119)),"DA","NU")))</x:f>
      </x:c>
      <x:c r="GJ79" s="160" t="str">
        <x:f>IF($A79="","",IF(COUNT($FY79:$GB79)&lt;4,"",IF($GH79&lt;&gt;"DA",0,'Setari model'!$B$121*IF($GF79="DA",1,0)+'Setari model'!$B$122*IF($GG79="DA",1,0)+'Setari model'!$B$123+'Setari model'!$B$124*IF($GI79="DA",1,0))))</x:f>
      </x:c>
      <x:c r="GK79" s="161" t="str">
        <x:f>IF($A79="","",IF(COUNT($GJ79)=0,"",1+'Setari model'!$B$125*$GJ79))</x:f>
      </x:c>
      <x:c r="GL79" s="160" t="str">
        <x:f>IF($A79="","",IF($GM79&lt;&gt;"DA",$FJ79,MIN('Setari model'!$B$101,MAX(0.002,$FJ79*$GK79))))</x:f>
      </x:c>
      <x:c r="GM79" s="158" t="str">
        <x:f>IF($A79="","",IF(AND($FK79="DA",COUNT($FY79:$GB79)=4,COUNT($I79,$P79,$W79,$AB79,$Z79,$AE79,$EX79,$EY79,$GC79,$GD79)=10,COUNT($BJ79:$BN79)=5),"DA","NU"))</x:f>
      </x:c>
      <x:c r="GN79" s="158" t="str">
        <x:f>IF($A79="","",IF($GM79&lt;&gt;"DA","NEDETERMINAT",IF($FI79*$GK79&lt;='Setari model'!$B$99,"SCĂZUT",IF($FI79*$GK79&lt;='Setari model'!$B$100,"MEDIU","RIDICAT"))))</x:f>
      </x:c>
      <x:c r="GO79" s="160" t="str">
        <x:f>IF($A79="","",IF(OR($GM79&lt;&gt;"DA",$GN79="RIDICAT"),'Setari model'!$B$102,IF($GN79="MEDIU",'Setari model'!$B$103,IF(AND($FM79="DA",$FN79="DA"),'Setari model'!$B$105,'Setari model'!$B$104))))</x:f>
      </x:c>
      <x:c r="GP79" s="160" t="str">
        <x:f t="shared" si="152">IF($A79="","",IF($GL79="","",MIN(1-$GL79,$GO79)))</x:f>
      </x:c>
      <x:c r="GQ79" s="162" t="str">
        <x:f t="shared" si="153">IF($A79="","",IF($GP79="","",IF($GP79&gt;0,1/$GP79,"")))</x:f>
      </x:c>
      <x:c r="GR79" s="160" t="str">
        <x:f t="shared" si="154">IF($A79="","",IF($EC79="","",$GP79-$EC79))</x:f>
      </x:c>
      <x:c r="GS79" s="160" t="str">
        <x:f t="shared" si="155">IF($A79="","",IF($AR79&gt;1,$GP79*$AR79-1,""))</x:f>
      </x:c>
      <x:c r="GT79" s="163" t="str">
        <x:f>IF($A79="","",MAX(0,MIN(100,$FT79-IF(AND($GM79&lt;&gt;"DA",$FK79="DA"),'Setari model'!$B$107,0)-'Setari model'!$B$126*IF($GJ79="",0,$GJ79))))</x:f>
      </x:c>
      <x:c r="GU79" s="158" t="str">
        <x:f t="shared" si="156">IF($A79="","",IF($AR79&lt;=1,"NU – LIPSEȘTE COTA REALĂ",IF($GM79&lt;&gt;"DA","NU – DATE LOW-CONVERSION INCOMPLETE",IF($GN79&lt;&gt;"SCĂZUT","NU – RISC 0-0 "&amp;$GN79,IF($FN79&lt;&gt;"DA","NU – LINEUP NECONFIRMAT",IF($FM79&lt;&gt;"DA","NU – PIAȚĂ NECONFIRMATĂ",IF($EP79&lt;&gt;"DA","NU – PORTOFOLIU","DA")))))))</x:f>
      </x:c>
      <x:c r="GV79" s="158" t="str">
        <x:f>IF($A79="","",IF($GU79&lt;&gt;"DA","WATCH / NO BET",IF(AND($GP79&gt;='Setari model'!$B$35,$GT79&gt;=100*'Setari model'!$B$76,$GS79&gt;0),"PARIU RECOMANDAT",IF(AND($GP79&gt;='Setari model'!$B$39,$GT79&gt;=100*'Setari model'!$B$40,$GS79&gt;0),"WATCH – APROAPE DE PRAG","PARIU EVITAT"))))</x:f>
      </x:c>
      <x:c r="GW79" s="158" t="str">
        <x:f t="shared" si="157">IF($A79="","",IF($GU79&lt;&gt;"DA",$GU79,IF($GT79&lt;75,"Confidence v5 sub 75.",IF($GP79&lt;0.92,"P v5 sub 92%.",IF($GS79&lt;=0,"EV v5 nepozitiv.",IF($GJ79&gt;0,"Low-conversion absorbit în P0; toate porțile rămân trecute.","Toate porțile v5 sunt trecute."))))))</x:f>
      </x:c>
      <x:c r="GX79" s="158" t="str">
        <x:f t="shared" si="158">IF($A79="","","P v5="&amp;TEXT($GP79,"0.0%")&amp;"; P0 v5="&amp;TEXT($GL79,"0.0%")&amp;"; low-conv="&amp;IF(COUNT($GJ79)=0,"n/a",TEXT($GJ79,"0%"))&amp;"; mult.P0="&amp;IF(COUNT($GK79)=0,"n/a",TEXT($GK79,"0.00"))&amp;"; clasă="&amp;$GN79&amp;"; cap="&amp;TEXT($GO79,"0.0%")&amp;"; Confidence="&amp;TEXT($GT79,"0")&amp;"/100; lineup="&amp;$FN79&amp;"; piață="&amp;$FM79&amp;"; EV="&amp;IF($GS79="","n/a",TEXT($GS79,"0.0%"))&amp;"; gate="&amp;$GU79&amp;"; verdict="&amp;$GV79&amp;". "&amp;$GW79)</x:f>
      </x:c>
      <x:c r="GY79" s="174" t="str">
        <x:f>IF($A79="","",IF($GM79&lt;&gt;"DA","SOURCING INCOMPLETE – REVIEW REQUIRED",IF(MIN($I79,$P79,$W79,$AB79)&lt;'Setari model'!$B$58,"SMALL SAMPLE + PRIOR / SHRINKAGE","VERIFIED / PRIOR / SHRINKAGE")))</x:f>
      </x:c>
      <x:c r="GZ79" s="175" t="str">
        <x:f t="shared" si="159">IF($A79="","",MAX(0,MIN(100,100*(1-AVERAGE(IF($GM79="DA",1,0),MIN(1,$AT79/5))))))</x:f>
      </x:c>
      <x:c r="HA79" s="175" t="str">
        <x:f>IF($A79="","",IF($GM79&lt;&gt;"DA","",MAX(0,MIN(100,100*(($FI79*$GK79)-'Setari model'!$B$97)/('Setari model'!$B$98-'Setari model'!$B$97)))))</x:f>
      </x:c>
      <x:c r="HB79" s="175" t="str">
        <x:f>IF($A79="","",MAX(0,MIN(100,100*(ABS($BR79-1)/MAX(1-'Setari model'!$B$53,'Setari model'!$B$54-1)+MIN(1,$BG79/2))/2)))</x:f>
      </x:c>
      <x:c r="HC79" s="175" t="str">
        <x:f t="shared" si="160">IF($A79="","",MAX(0,MIN(100,100*(1-AVERAGE($CC79,MAX(0,1-(MAX($BJ79:$BN79)-MIN($BJ79:$BN79))/(AVERAGE($BJ79:$BN79)*'Setari model'!$B$45)))))))</x:f>
      </x:c>
      <x:c r="HD79" s="175" t="str">
        <x:f t="shared" si="161">IF($A79="","",MAX(0,MIN(100,100*MAX(IF($GJ79="",0,$GJ79),MIN(1,$BG79/2)))))</x:f>
      </x:c>
      <x:c r="HE79" s="175" t="str">
        <x:f>IF($A79="","",IF(COUNT($GZ79:$HD79)&lt;5,"",$GZ79*Risk_Classification!$E$28+$HA79*Risk_Classification!$E$29+$HB79*Risk_Classification!$E$30+$HC79*Risk_Classification!$E$31+$HD79*Risk_Classification!$E$32))</x:f>
      </x:c>
      <x:c r="HF79" s="176" t="str">
        <x:f t="shared" si="162">IF($A79="","",IF($HE79="","",IF($HE79&lt;=20,1,IF($HE79&lt;=40,2,IF($HE79&lt;=60,3,IF($HE79&lt;=80,4,5))))))</x:f>
      </x:c>
      <x:c r="HG79" s="176" t="str">
        <x:f t="shared" si="163">IF($A79="","",IF($GM79="DA","PASS","FAIL – DATE CRITICE ZERO-MASS INCOMPLETE"))</x:f>
      </x:c>
      <x:c r="HH79" s="176" t="str">
        <x:f t="shared" si="164">IF($A79="","",IF($HG79&lt;&gt;"PASS",5,$HF79))</x:f>
      </x:c>
      <x:c r="HI79" s="174" t="str">
        <x:f t="shared" si="165">IF($A79="","",IF($HH79="","N/A",IF($HH79=1,"DEFENSIV",IF($HH79=2,"PRUDENT",IF($HH79=3,"MODERAT",IF($HH79=4,"RIDICAT","WATCH / NO BET"))))))</x:f>
      </x:c>
      <x:c r="HJ79" s="177" t="str">
        <x:f t="shared" si="166">IF($A79="","","Data="&amp;$GY79&amp;"; DQ="&amp;TEXT($GZ79,"0.0")&amp;"; ZM="&amp;IF($HA79="","n/a",TEXT($HA79,"0.0"))&amp;"; Context="&amp;TEXT($HB79,"0.0")&amp;"; Uncertainty="&amp;TEXT($HC79,"0.0")&amp;"; Compound="&amp;TEXT($HD79,"0.0")&amp;"; Risk Score="&amp;IF($HE79="","n/a",TEXT($HE79,"0.0"))&amp;"; Base="&amp;IF($HF79="","n/a",$HF79)&amp;"; G0="&amp;$HG79&amp;"; Final="&amp;$HH79&amp;". Cota, EV si lineup sunt informative si nu intra in recomandare.")</x:f>
      </x:c>
      <x:c r="HK79" s="174" t="str">
        <x:f t="shared" si="167">IF($A79="","",$HI79)</x:f>
      </x:c>
    </x:row>
    <x:row r="80" ht="24" customHeight="1">
      <x:c r="A80" s="58"/>
      <x:c r="B80" s="24"/>
      <x:c r="C80" s="59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18"/>
      <x:c r="O80" s="18"/>
      <x:c r="P80" s="24"/>
      <x:c r="Q80" s="24"/>
      <x:c r="R80" s="24"/>
      <x:c r="S80" s="24"/>
      <x:c r="T80" s="24"/>
      <x:c r="U80" s="18"/>
      <x:c r="V80" s="18"/>
      <x:c r="W80" s="24"/>
      <x:c r="X80" s="24"/>
      <x:c r="Y80" s="24"/>
      <x:c r="Z80" s="24"/>
      <x:c r="AA80" s="24"/>
      <x:c r="AB80" s="24"/>
      <x:c r="AC80" s="24"/>
      <x:c r="AD80" s="24"/>
      <x:c r="AE80" s="24"/>
      <x:c r="AF80" s="24"/>
      <x:c r="AG80" s="24"/>
      <x:c r="AH80" s="24"/>
      <x:c r="AI80" s="18"/>
      <x:c r="AJ80" s="24"/>
      <x:c r="AK80" s="24"/>
      <x:c r="AL80" s="24"/>
      <x:c r="AM80" s="18"/>
      <x:c r="AN80" s="24"/>
      <x:c r="AO80" s="60"/>
      <x:c r="AP80" s="60"/>
      <x:c r="AQ80" s="60"/>
      <x:c r="AR80" s="60"/>
      <x:c r="AS80" s="60"/>
      <x:c r="AT80" s="24"/>
      <x:c r="AU80" s="24"/>
      <x:c r="AV80" s="24"/>
      <x:c r="AW80" s="24"/>
      <x:c r="AX80" s="24"/>
      <x:c r="AY80" s="24"/>
      <x:c r="AZ80" s="24"/>
      <x:c r="BA80" s="24"/>
      <x:c r="BB80" s="24"/>
      <x:c r="BC80" s="24"/>
      <x:c r="BD80" s="24"/>
      <x:c r="BE80" s="24"/>
      <x:c r="BF80" s="24"/>
      <x:c r="BG80" s="24"/>
      <x:c r="BH80" s="61"/>
      <x:c r="BI80" s="61"/>
      <x:c r="BJ80" s="62" t="str">
        <x:f>IF($A80="","",SQRT((($I80*IF($J80="",$AJ80,$J80)+'Setari model'!$B$30*$AJ80)/($I80+'Setari model'!$B$30))*(($P80*IF($R80="",$AJ80,$R80)+'Setari model'!$B$30*$AJ80)/($P80+'Setari model'!$B$30)))+SQRT((($P80*IF($Q80="",$AK80,$Q80)+'Setari model'!$B$30*$AK80)/($P80+'Setari model'!$B$30))*(($I80*IF($K80="",$AK80,$K80)+'Setari model'!$B$30*$AK80)/($I80+'Setari model'!$B$30))))</x:f>
      </x:c>
      <x:c r="BK80" s="62" t="str">
        <x:f>IF($A80="","",SQRT((($I80*IF($L80="",IF($J80="",$AJ80,$J80),$L80)+'Setari model'!$B$30*$AJ80)/($I80+'Setari model'!$B$30))*(($P80*IF($T80="",IF($R80="",$AJ80,$R80),$T80)+'Setari model'!$B$30*$AJ80)/($P80+'Setari model'!$B$30)))+SQRT((($P80*IF($S80="",IF($Q80="",$AK80,$Q80),$S80)+'Setari model'!$B$30*$AK80)/($P80+'Setari model'!$B$30))*(($I80*IF($M80="",IF($K80="",$AK80,$K80),$M80)+'Setari model'!$B$30*$AK80)/($I80+'Setari model'!$B$30))))</x:f>
      </x:c>
      <x:c r="BL80" s="62" t="str">
        <x:f>IF($A80="","",SQRT((($W80*IF($X80="",$AL80/2,$X80)+'Setari model'!$B$31*$AL80/2)/($W80+'Setari model'!$B$31))*(($AB80*IF($AD80="",$AL80/2,$AD80)+'Setari model'!$B$31*$AL80/2)/($AB80+'Setari model'!$B$31)))+SQRT((($AB80*IF($AC80="",$AL80/2,$AC80)+'Setari model'!$B$31*$AL80/2)/($AB80+'Setari model'!$B$31))*(($W80*IF($Y80="",$AL80/2,$Y80)+'Setari model'!$B$31*$AL80/2)/($W80+'Setari model'!$B$31))))</x:f>
      </x:c>
      <x:c r="BM80" s="62" t="str">
        <x:f>IF($A80="","",SQRT((($W80*IF($Z80="",IF($X80="",$AL80/2,$X80),$Z80)+'Setari model'!$B$31*$AL80/2)/($W80+'Setari model'!$B$31))*(($AB80*IF($AF80="",IF($AD80="",$AL80/2,$AD80),$AF80)+'Setari model'!$B$31*$AL80/2)/($AB80+'Setari model'!$B$31)))+SQRT((($AB80*IF($AE80="",IF($AC80="",$AL80/2,$AC80),$AE80)+'Setari model'!$B$31*$AL80/2)/($AB80+'Setari model'!$B$31))*(($W80*IF($AA80="",IF($Y80="",$AL80/2,$Y80),$AA80)+'Setari model'!$B$31*$AL80/2)/($W80+'Setari model'!$B$31))))</x:f>
      </x:c>
      <x:c r="BN80" s="62" t="str">
        <x:f t="shared" si="112">IF($A80="","",IF($AG80&gt;0,($AG80*IF($AH80="",$AL80,$AH80)+5*$AL80)/($AG80+5),$AL80))</x:f>
      </x:c>
      <x:c r="BO80" s="63" t="str">
        <x:f>IF($A80="","",IF($AR80&gt;1,IF($AS80&gt;1,(1/$AR80)/((1/$AR80+1/$AS80)),MIN(0.995,(1/$AR80)/(1+'Setari model'!$B$32))),1-EXP(-$AL80)))</x:f>
      </x:c>
      <x:c r="BP80" s="62" t="str">
        <x:f t="shared" si="113">IF($A80="","",-LN(1-$BO80))</x:f>
      </x:c>
      <x:c r="BQ80" s="62" t="str">
        <x:f>IF($A80="","",$BJ80*INDEX('Setari model'!$B$5:$B$11,MATCH($E80,'Setari model'!$A$5:$A$11,0))+$BK80*INDEX('Setari model'!$C$5:$C$11,MATCH($E80,'Setari model'!$A$5:$A$11,0))+$BL80*INDEX('Setari model'!$D$5:$D$11,MATCH($E80,'Setari model'!$A$5:$A$11,0))+$BM80*INDEX('Setari model'!$E$5:$E$11,MATCH($E80,'Setari model'!$A$5:$A$11,0))+$BN80*INDEX('Setari model'!$F$5:$F$11,MATCH($E80,'Setari model'!$A$5:$A$11,0))+$BP80*INDEX('Setari model'!$G$5:$G$11,MATCH($E80,'Setari model'!$A$5:$A$11,0)))</x:f>
      </x:c>
      <x:c r="BR80" s="64" t="str">
        <x:f>IF($A80="","",MAX('Setari model'!$B$53,MIN('Setari model'!$B$54,1+($AV80*'Setari model'!$B$15+$AW80*'Setari model'!$B$16+$AX80*'Setari model'!$B$17+$AY80*'Setari model'!$B$18+$AZ80*'Setari model'!$B$19+$BA80*'Setari model'!$B$20+$BB80*'Setari model'!$B$21+$BC80*'Setari model'!$B$22+$BD80*'Setari model'!$B$23+$BE80*'Setari model'!$B$24+$BF80*'Setari model'!$B$25)*INDEX('Setari model'!$H$5:$H$11,MATCH($E80,'Setari model'!$A$5:$A$11,0)))))</x:f>
      </x:c>
      <x:c r="BS80" s="62" t="str">
        <x:f t="shared" si="114">IF($A80="","",$BQ80*$BR80)</x:f>
      </x:c>
      <x:c r="BT80" s="63" t="str">
        <x:f t="shared" si="115">IF($A80="","",EXP(-$BS80))</x:f>
      </x:c>
      <x:c r="BU80" s="65" t="str">
        <x:f>IF($A80="","",IF(OR($AM80="",$AN80=""),1,1+MIN('Setari model'!$B$33,$AN80/100*'Setari model'!$B$33)*($AM80/EXP(-$AL80)-1)))</x:f>
      </x:c>
      <x:c r="BV80" s="63" t="str">
        <x:f>IF($A80="","",MIN(0.45,MAX(0.005,(1-'Setari model'!$B$34*MIN(1,($I80+$P80)/20))*MIN(0.45,$BT80*$BU80)+'Setari model'!$B$34*MIN(1,($I80+$P80)/20)*IF(COUNT($N80,$U80)=2,SQRT(MAX(0,1-$N80)*MAX(0,1-$U80)),IF($AM80="",EXP(-$AL80),$AM80)))))</x:f>
      </x:c>
      <x:c r="BW80" s="63" t="str">
        <x:f t="shared" si="116">IF($A80="","",1-$BV80)</x:f>
      </x:c>
      <x:c r="BX80" s="62" t="str">
        <x:f t="shared" si="117">IF($A80="","",1/$BW80)</x:f>
      </x:c>
      <x:c r="BY80" s="63" t="str">
        <x:f t="shared" si="118">IF($A80="","",$BO80)</x:f>
      </x:c>
      <x:c r="BZ80" s="63" t="str">
        <x:f t="shared" si="119">IF($A80="","",$BW80-$BY80)</x:f>
      </x:c>
      <x:c r="CA80" s="63" t="str">
        <x:f t="shared" si="120">IF($A80="","",IF($AR80&gt;1,$BW80*$AR80-1,""))</x:f>
      </x:c>
      <x:c r="CB80" s="63" t="str">
        <x:f>IF($A80="","",MIN(1,COUNT($I80:$AN80,$AR80:$BG80)/'Setari model'!$B$46))</x:f>
      </x:c>
      <x:c r="CC80" s="63" t="str">
        <x:f t="shared" si="121">IF($A80="","",0.25*MIN(1,$I80/10)+0.25*MIN(1,$P80/10)+0.15*MIN(1,$W80/5)+0.15*MIN(1,$AB80/5)+0.1*MIN(1,$AG80/5)+0.1*MIN(1,$AN80/100))</x:f>
      </x:c>
      <x:c r="CD80" s="63" t="str">
        <x:f>IF($A80="","",MAX(0,1-(MAX($BJ80:$BN80,$BP80)-MIN($BJ80:$BN80,$BP80))/(AVERAGE($BJ80:$BN80,$BP80)*'Setari model'!$B$45)))</x:f>
      </x:c>
      <x:c r="CE80" s="66" t="str">
        <x:f>IF($A80="","",MAX(0,MIN(100,100*INDEX('Setari model'!$I$5:$I$11,MATCH($E80,'Setari model'!$A$5:$A$11,0))*('Setari model'!$B$47*$CB80+'Setari model'!$B$48*$CC80+'Setari model'!$B$49*$CD80+'Setari model'!$B$50*$AT80/5+'Setari model'!$B$51*$AU80)-100*'Setari model'!$B$52*$BG80)))</x:f>
      </x:c>
      <x:c r="CF80" s="65" t="str">
        <x:f t="shared" si="122">IF($A80="","",IF(OR($AT80&lt;3,$BG80&gt;=2,$CB80&lt;0.55,$CC80&lt;0.4),"RIDICAT",IF(OR($AU80=0,$CD80&lt;0.45,$BR80&lt;0.9),"MEDIU","SCĂZUT")))</x:f>
      </x:c>
      <x:c r="CG80" s="65" t="str">
        <x:f>IF($A80="","",IF($AR80&gt;1,IF(AND($BW80&gt;= 'Setari model'!$B$35,$CE80&gt;=100*'Setari model'!$B$36,$BZ80&gt;= 'Setari model'!$B$37,$CA80&gt;= 'Setari model'!$B$38,$CF80&lt;&gt;"RIDICAT"),"PARIU RECOMANDAT",IF(AND($BW80&gt;= 'Setari model'!$B$39,$CE80&gt;=100*'Setari model'!$B$40,$BZ80&gt;= 'Setari model'!$B$41,$CA80&gt;=0,$CF80&lt;&gt;"RIDICAT"),"RECOMANDAT CU PRUDENȚĂ",IF(AND($BW80&gt;= 'Setari model'!$B$42,$CE80&gt;=100*'Setari model'!$B$43),"ANALIZĂ NECONCLUDENTĂ","PARIU EVITAT"))),IF(AND($BW80&gt;= 'Setari model'!$B$35,$CE80&gt;=100*'Setari model'!$B$36,$CF80&lt;&gt;"RIDICAT"),"FAVORABIL STATISTIC – VERIFICĂ COTA",IF(AND($BW80&gt;= 'Setari model'!$B$42,$CE80&gt;=100*'Setari model'!$B$43),"ANALIZĂ NECONCLUDENTĂ","PARIU EVITAT"))))</x:f>
      </x:c>
      <x:c r="CH80" s="67" t="str">
        <x:f t="shared" si="123">IF($A80="","","P(O0,5)="&amp;TEXT($BW80,"0.0%")&amp;"; λ ajustat="&amp;TEXT($BS80,"0.00")&amp;"; Confidence="&amp;TEXT($CE80,"0")&amp;"/100; Edge="&amp;TEXT($BZ80,"0.0%")&amp;"; risc="&amp;$CF80&amp;". "&amp;$BH80)</x:f>
      </x:c>
      <x:c r="CI80" s="68" t="str">
        <x:f t="shared" si="124">IF($A80="","",$BI80)</x:f>
      </x:c>
      <x:c r="CJ80" s="112"/>
      <x:c r="CK80" s="112"/>
      <x:c r="CL80" s="112"/>
      <x:c r="CM80" s="112"/>
      <x:c r="CN80" s="112"/>
      <x:c r="CO80" s="112"/>
      <x:c r="CP80" s="112"/>
      <x:c r="CQ80" s="112"/>
      <x:c r="CR80" s="112"/>
      <x:c r="CS80" s="112"/>
      <x:c r="CT80" s="112"/>
      <x:c r="CU80" s="112"/>
      <x:c r="CV80" s="112"/>
      <x:c r="CW80" s="112"/>
      <x:c r="CX80" s="112"/>
      <x:c r="CY80" s="112"/>
      <x:c r="CZ80" s="112"/>
      <x:c r="DA80" s="112"/>
      <x:c r="DB80" s="112"/>
      <x:c r="DC80" s="114"/>
      <x:c r="DD80" s="114"/>
      <x:c r="DE80" s="112" t="s">
        <x:v>266</x:v>
      </x:c>
      <x:c r="DF80" s="112"/>
      <x:c r="DG80" s="112"/>
      <x:c r="DH80" s="112"/>
      <x:c r="DI80" s="112"/>
      <x:c r="DJ80" s="112"/>
      <x:c r="DK80" s="112"/>
      <x:c r="DL80" s="112"/>
      <x:c r="DM80" s="112"/>
      <x:c r="DN80" s="112"/>
      <x:c r="DO80" s="112"/>
      <x:c r="DP80" s="112"/>
      <x:c r="DQ80" s="114"/>
      <x:c r="DR80" s="112">
        <x:v>1</x:v>
      </x:c>
      <x:c r="DS80" s="116">
        <x:v>0</x:v>
      </x:c>
      <x:c r="DT80" s="120"/>
      <x:c r="DU80" s="116">
        <x:v>0.02</x:v>
      </x:c>
      <x:c r="DV80" s="116">
        <x:v>0.25</x:v>
      </x:c>
      <x:c r="DW80" s="118" t="str">
        <x:f>IF($A80="","",MAX('Setari model'!$B$71,MIN('Setari model'!$B$72,1+0.08*(IFERROR(AVERAGE($CM80:$CN80)/'Setari model'!$B$66,1)-1)+0.08*(IFERROR(AVERAGE($CO80:$CP80)/'Setari model'!$B$67,1)-1)+0.06*(IFERROR(AVERAGE($CQ80:$CR80)/'Setari model'!$B$68,1)-1)+0.04*(IFERROR(AVERAGE($CS80:$CT80)/'Setari model'!$B$69,1)-1)+0.04*(IFERROR(AVERAGE($CU80:$CV80)/'Setari model'!$B$70,1)-1)-'Setari model'!$B$73*IFERROR(AVERAGE($CW80:$CX80),0))))</x:f>
      </x:c>
      <x:c r="DX80" s="118" t="str">
        <x:f>IF($A80="","",1+'Setari model'!$B$62*MAX(IF(OR($CK80=1,$CL80=1),1,0),IF(AND($CJ80&lt;&gt;"",$CJ80&lt;=1),1,0))+'Setari model'!$B$63*IF(AND($CJ80&gt;1,$CJ80&lt;=3),1,0))</x:f>
      </x:c>
      <x:c r="DY80" s="118" t="str">
        <x:f>IF($A80="","",1+'Setari model'!$B$74*(IF($CY80="",0,IF($CY80=0,1,0))+IF($CZ80="",0,IF($CZ80=0,1,0)))+'Setari model'!$B$75*(IF($DA80="",0,IF($DA80=0,1,0))+IF($DB80="",0,IF($DB80=0,1,0))))</x:f>
      </x:c>
      <x:c r="DZ80" s="117" t="str">
        <x:f>IF($A80="","",MIN(0.6,MAX(0.002,(((1-'Setari model'!$B$34*MIN(1,($I80+$P80)/20))*$BT80+'Setari model'!$B$34*MIN(1,($I80+$P80)/20)*IF(COUNT($N80,$U80)=2,SQRT(MAX(0,1-$N80)*MAX(0,1-$U80)),$BT80))*(1-'Setari model'!$B$65*MIN(1,IF($AN80="",0,$AN80/'Setari model'!$B$64)))+'Setari model'!$B$65*MIN(1,IF($AN80="",0,$AN80/'Setari model'!$B$64))*IF($AM80="",$BT80,$AM80))*$DX80*$DY80/$DW80)))</x:f>
      </x:c>
      <x:c r="EA80" s="117" t="str">
        <x:f>IF($A80="","",MIN(1-$DZ80,IF(OR(MIN($I80,$P80)&lt;'Setari model'!$B$58,$CK80=1,$CL80=1,AND($CJ80&lt;&gt;"",$CJ80&lt;=1)),'Setari model'!$B$59,IF(AND($AU80=1,$AR80&gt;1,COUNT($CY80:$DB80)=4),'Setari model'!$B$61,'Setari model'!$B$60))))</x:f>
      </x:c>
      <x:c r="EB80" s="115" t="str">
        <x:f t="shared" si="125">IF($A80="","",1/$EA80)</x:f>
      </x:c>
      <x:c r="EC80" s="117" t="str">
        <x:f t="shared" si="126">IF($A80="","",IF($AR80&gt;1,IF($AS80&gt;1,(1/$AR80)/((1/$AR80)+(1/$AS80)),1/$AR80),""))</x:f>
      </x:c>
      <x:c r="ED80" s="117" t="str">
        <x:f t="shared" si="127">IF($A80="","",IF($EC80="","",$EA80-$EC80))</x:f>
      </x:c>
      <x:c r="EE80" s="117" t="str">
        <x:f t="shared" si="128">""</x:f>
      </x:c>
      <x:c r="EF80" s="119" t="str">
        <x:f>IF($A80="","",MAX(0,MIN(100,$CE80-200*MAX(0,$EG80-'Setari model'!$B$77)-IF($AU80&lt;&gt;1,10,0)-IF(COUNT($CY80:$DB80)&lt;4,4,0))))</x:f>
      </x:c>
      <x:c r="EG80" s="117" t="str">
        <x:f>IF($A80="","",'Setari model'!$B$77+IF(MIN($I80,$P80)&lt;'Setari model'!$B$58,0.03,0)+IF(OR($CK80=1,$CL80=1,AND($CJ80&lt;&gt;"",$CJ80&lt;=1)),0.03,0)+IF($AG80=0,0.02,0)+0.03*(1-MIN(1,COUNT($CM80:$CV80)/10))+0.03*(1-MIN(1,IF($AN80="",0,$AN80/'Setari model'!$B$64)))+IF($AR80&lt;=1,0.02,0))</x:f>
      </x:c>
      <x:c r="EH80" s="113" t="str">
        <x:f>IF($A80="","",IF(OR(MIN($I80,$P80)&lt;'Setari model'!$B$58,$CK80=1,$CL80=1,AND($CJ80&lt;&gt;"",$CJ80&lt;=1)),"92% – early/regim",IF(AND($AU80=1,$AR80&gt;1,COUNT($CY80:$DB80)=4),"94% – confirmat","93% – standard")))</x:f>
      </x:c>
      <x:c r="EI80" s="113" t="str">
        <x:f t="shared" si="129">IF($A80="","",IF(AND($EA80&gt;0.9,$AU80&lt;&gt;1),"WAIT XI – HIGH P",IF(AND($EA80&gt;0.9,COUNT($CY80:$DB80)&lt;4),"WAIT DATE CHEIE – HIGH P",IF($EP80&lt;&gt;"DA","NU – PORTOFOLIU","DA"))))</x:f>
      </x:c>
      <x:c r="EJ80" s="117" t="str">
        <x:f t="shared" si="130">IF($A80="","",IF($DE80&lt;&gt;"Live 20-30","",IF(SUM($DG80:$DH80)&gt;0,1,IF($EU80="","",1-MIN(0.95,MAX(0.001,EXP(-$EU80)*$DX80*$DY80/$DW80))))))</x:f>
      </x:c>
      <x:c r="EK80" s="117" t="str">
        <x:f t="shared" si="131">""</x:f>
      </x:c>
      <x:c r="EL80" s="113" t="str">
        <x:f>IF($A80="","",IF($DE80="Live 20-30",IF(SUM($DG80:$DH80)&gt;0,"EVENIMENT ÎNDEPLINIT",IF(OR($DF80="",COUNT($DI80:$DN80)&lt;4),"LIVE – WATCH",IF($EJ80&gt;=0.75,"LIVE – FEZABIL TEHNIC","LIVE – NO BET"))),IF($EI80&lt;&gt;"DA","WATCH / NO BET",IF(AND($EA80&gt;=INDEX('Setari model'!$B$35:$B$40,1),$EF80&gt;=100*'Setari model'!$B$76),"PARIU RECOMANDAT",IF(AND($EA80&gt;=INDEX('Setari model'!$B$35:$B$40,5),$EF80&gt;=100*'Setari model'!$B$40),"WATCH – APROAPE DE PRAG","PARIU EVITAT")))))</x:f>
      </x:c>
      <x:c r="EM80" s="113" t="str">
        <x:f t="shared" si="132">IF($A80="","",IF($DE80="Live 20-30",IF(SUM($DG80:$DH80)&gt;0,"Gol deja marcat.",IF($DF80="","Minut live lipsă.",IF(COUNT($DI80:$DN80)&lt;4,"Lipsesc xG/SOT/big chances live.",IF($EJ80&lt;0.75,"P live sub prag.","Semnal live tehnic complet; EV ignorat.")))),IF($EI80&lt;&gt;"DA",$EI80,IF($EF80&lt;75,"Confidence sub 75.",IF($EA80&lt;0.92,"P sub 92%.","G0/Zero-Mass + confidence trecute; EV ignorat.")))))</x:f>
      </x:c>
      <x:c r="EN80" s="117" t="str">
        <x:f>IF($A80="","",IF(OR($EL80="PARIU RECOMANDAT",$EL80="LIVE – FEZABIL"),MIN(IF($DU80&gt;0,$DU80,'Setari model'!$B$81)/MAX(1,$DR80),IF($DV80&gt;0,$DV80,'Setari model'!$B$80)*MAX(0,((IF($DE80="Live 20-30",$EJ80,$EA80)*IF($DE80="Live 20-30",$DQ80,$AR80)-1)/(IF($DE80="Live 20-30",$DQ80,$AR80)-1)))),0))</x:f>
      </x:c>
      <x:c r="EO80" s="121" t="str">
        <x:f t="shared" si="133">IF($A80="","",IF(AND($EN80&gt;0,$DT80&gt;0),$EN80*$DT80,""))</x:f>
      </x:c>
      <x:c r="EP80" s="113" t="str">
        <x:f>IF($A80="","",IF(OR($DR80&lt;1,$DR80&gt;'Setari model'!$B$78),"NU – 1–5 selecții",IF($DS80&gt;'Setari model'!$B$79,"NU – corelație", "DA")))</x:f>
      </x:c>
      <x:c r="EQ80" s="117" t="str">
        <x:f t="shared" si="134">IF($A80="","",IF(AND($DC80&gt;1,$DD80&gt;1),$DC80/$DD80-1,""))</x:f>
      </x:c>
      <x:c r="ER80" s="113" t="str">
        <x:f t="shared" si="135">IF($A80="","","P v2="&amp;TEXT($EA80,"0.0%")&amp;" ±"&amp;TEXT($EG80,"0.0%")&amp;"; P0 ZIP="&amp;TEXT($DZ80,"0.0%")&amp;"; Confidence="&amp;TEXT($EF80,"0")&amp;"/100; piață reală="&amp;IF($EC80="","NU","DA")&amp;"; EV="&amp;IF($EE80="","n/a",TEXT($EE80,"0.0%"))&amp;"; gate="&amp;$EI80&amp;"; verdict="&amp;$EL80&amp;". "&amp;$EM80)</x:f>
      </x:c>
      <x:c r="ES80" s="119" t="str">
        <x:f>IF($A80="","",'Setari model'!$B$82)</x:f>
      </x:c>
      <x:c r="ET80" s="118" t="str">
        <x:f>IF($A80="","",'Setari model'!$B$83)</x:f>
      </x:c>
      <x:c r="EU80" s="115" t="str">
        <x:f t="shared" si="136">IF(OR($A80="",$DE80&lt;&gt;"Live 20-30",$DF80="",$DF80&lt;$ES80,$DF80&gt;=90),"",MAX(0.05,MIN($BS80*$ET80,$BS80*(90-$DF80)/90+0.35*($DI80+$DJ80)+0.06*($DK80+$DL80)+0.15*($DM80+$DN80)+0.1*(MAX($DO80,$DP80)-MIN($DO80,$DP80)))))</x:f>
      </x:c>
      <x:c r="EV80" s="132"/>
      <x:c r="EW80" s="132"/>
      <x:c r="EX80" s="132"/>
      <x:c r="EY80" s="132"/>
      <x:c r="EZ80" s="132"/>
      <x:c r="FA80" s="132"/>
      <x:c r="FB80" s="247"/>
      <x:c r="FC80" s="134" t="str">
        <x:f t="shared" si="137">IF($A80="","",IF(OR($J80="",$L80="",$L80&lt;=0),"",MAX(0.5,MIN(1.5,$J80/$L80))))</x:f>
      </x:c>
      <x:c r="FD80" s="134" t="str">
        <x:f t="shared" si="138">IF($A80="","",IF(OR($Q80="",$S80="",$S80&lt;=0),"",MAX(0.5,MIN(1.5,$Q80/$S80))))</x:f>
      </x:c>
      <x:c r="FE80" s="134" t="str">
        <x:f>IF($A80="","",IF(COUNT($EV80:$EW80)&lt;2,"",SQRT($EV80*$EW80)/'Setari model'!$B$87))</x:f>
      </x:c>
      <x:c r="FF80" s="134" t="str">
        <x:f>IF($A80="","",IF(COUNT($O80,$V80,$EX80,$EY80)&lt;4,"",AVERAGE(SQRT($O80*$EY80),SQRT($V80*$EX80))/'Setari model'!$B$88))</x:f>
      </x:c>
      <x:c r="FG80" s="134" t="str">
        <x:f t="shared" si="139">IF($A80="","",IF(COUNT($FC80:$FD80)&lt;2,"",MAX(0,1-AVERAGE($FC80:$FD80))))</x:f>
      </x:c>
      <x:c r="FH80" s="134" t="str">
        <x:f>IF($A80="","",IF(COUNT($EZ80:$FA80)&lt;2,"",'Setari model'!$B$94*AVERAGE($EZ80:$FA80)/'Setari model'!$B$89))</x:f>
      </x:c>
      <x:c r="FI80" s="134" t="str">
        <x:f>IF($A80="","",IF(COUNT($FE80:$FH80)&lt;4,"",MAX('Setari model'!$B$97,MIN('Setari model'!$B$98,1+'Setari model'!$B$90*($FE80-1)+'Setari model'!$B$91*($FF80-1)+'Setari model'!$B$92*$FG80+'Setari model'!$B$93*($FH80-1)))))</x:f>
      </x:c>
      <x:c r="FJ80" s="133" t="str">
        <x:f>IF($A80="","",IF($FI80="","",MIN('Setari model'!$B$101,MAX(0.002,$DZ80*$FI80))))</x:f>
      </x:c>
      <x:c r="FK80" s="131" t="str">
        <x:f t="shared" si="140">IF($A80="","",IF(AND(COUNT($EV80:$FA80)=6,COUNT($O80,$V80,$FC80,$FD80)=4),"DA","NU"))</x:f>
      </x:c>
      <x:c r="FL80" s="131" t="str">
        <x:f>IF($A80="","",IF($FK80&lt;&gt;"DA","NEDETERMINAT",IF($FI80&lt;='Setari model'!$B$99,"SCĂZUT",IF($FI80&lt;='Setari model'!$B$100,"MEDIU","RIDICAT"))))</x:f>
      </x:c>
      <x:c r="FM80" s="131" t="str">
        <x:f>IF($A80="","",IF(AND($AR80&gt;1,$EC80&gt;='Setari model'!$B$106),"DA","NU"))</x:f>
      </x:c>
      <x:c r="FN80" s="131" t="str">
        <x:f t="shared" si="141">IF($A80="","",IF(AND($AU80=1,COUNT($CY80:$DB80)=4),"DA","NU"))</x:f>
      </x:c>
      <x:c r="FO80" s="133" t="str">
        <x:f>IF($A80="","",IF(OR($FK80&lt;&gt;"DA",$FL80="RIDICAT"),'Setari model'!$B$102,IF($FL80="MEDIU",'Setari model'!$B$103,IF(AND($FM80="DA",$FN80="DA"),'Setari model'!$B$105,'Setari model'!$B$104))))</x:f>
      </x:c>
      <x:c r="FP80" s="133" t="str">
        <x:f t="shared" si="142">IF($A80="","",IF($FJ80="","",MIN(1-$FJ80,$FO80)))</x:f>
      </x:c>
      <x:c r="FQ80" s="135" t="str">
        <x:f t="shared" si="143">IF($A80="","",IF($FP80="","",IF($FP80&gt;0,1/$FP80,"")))</x:f>
      </x:c>
      <x:c r="FR80" s="133" t="str">
        <x:f t="shared" si="144">IF($A80="","",IF($EC80="","",$FP80-$EC80))</x:f>
      </x:c>
      <x:c r="FS80" s="133" t="str">
        <x:f t="shared" si="145">IF($A80="","",IF($AR80&gt;1,$FP80*$AR80-1,""))</x:f>
      </x:c>
      <x:c r="FT80" s="136" t="str">
        <x:f>IF($A80="","",MAX(0,MIN(100,$EF80-IF($FK80&lt;&gt;"DA",'Setari model'!$B$107,0)-IF($FL80="MEDIU",'Setari model'!$B$108,0)-IF($FL80="RIDICAT",'Setari model'!$B$109,0))))</x:f>
      </x:c>
      <x:c r="FU80" s="131" t="str">
        <x:f t="shared" si="146">IF($A80="","",IF($AR80&lt;=1,"NU – LIPSEȘTE COTA REALĂ",IF($FK80&lt;&gt;"DA","NU – ZERO-RISK INCOMPLET",IF($FL80&lt;&gt;"SCĂZUT","NU – RISC 0-0 "&amp;$FL80,IF($FN80&lt;&gt;"DA","NU – LINEUP NECONFIRMAT",IF($FM80&lt;&gt;"DA","NU – PIAȚĂ NECONFIRMATĂ",IF($EP80&lt;&gt;"DA","NU – PORTOFOLIU","DA")))))))</x:f>
      </x:c>
      <x:c r="FV80" s="131" t="str">
        <x:f>IF($A80="","",IF($FU80&lt;&gt;"DA","WATCH / NO BET",IF(AND($FP80&gt;='Setari model'!$B$35,$FT80&gt;=100*'Setari model'!$B$76,$FS80&gt;0),"PARIU RECOMANDAT",IF(AND($FP80&gt;='Setari model'!$B$39,$FT80&gt;=100*'Setari model'!$B$40,$FS80&gt;0),"WATCH – APROAPE DE PRAG","PARIU EVITAT"))))</x:f>
      </x:c>
      <x:c r="FW80" s="131" t="str">
        <x:f t="shared" si="147">IF($A80="","",IF($FU80&lt;&gt;"DA",$FU80,IF($FT80&lt;75,"Confidence v3 sub 75.",IF($FP80&lt;0.92,"P v3 sub 92%.",IF($FS80&lt;=0,"EV v3 nepozitiv.","P0 v3, lineup și piață confirmate.")))))</x:f>
      </x:c>
      <x:c r="FX80" s="131" t="str">
        <x:f t="shared" si="148">IF($A80="","","P v3="&amp;TEXT($FP80,"0.0%")&amp;"; P0 v3="&amp;TEXT($FJ80,"0.0%")&amp;"; factor zero="&amp;IF($FI80="","n/a",TEXT($FI80,"0.00x"))&amp;" ("&amp;$FL80&amp;"); cap="&amp;TEXT($FO80,"0.0%")&amp;"; Confidence="&amp;TEXT($FT80,"0")&amp;"/100; lineup="&amp;$FN80&amp;"; piață="&amp;$FM80&amp;"; EV="&amp;IF($FS80="","n/a",TEXT($FS80,"0.0%"))&amp;"; gate="&amp;$FU80&amp;"; verdict="&amp;$FV80&amp;". "&amp;$FW80)</x:f>
      </x:c>
      <x:c r="FY80" s="159"/>
      <x:c r="FZ80" s="159"/>
      <x:c r="GA80" s="157"/>
      <x:c r="GB80" s="157"/>
      <x:c r="GC80" s="161" t="str">
        <x:f t="shared" si="149">IF($A80="","",IF(OR($X80="",$Z80="",$Z80&lt;=0),"",MAX(0.5,MIN(1.5,$X80/$Z80))))</x:f>
      </x:c>
      <x:c r="GD80" s="161" t="str">
        <x:f t="shared" si="150">IF($A80="","",IF(OR($AC80="",$AE80="",$AE80&lt;=0),"",MAX(0.5,MIN(1.5,$AC80/$AE80))))</x:f>
      </x:c>
      <x:c r="GE80" s="162" t="str">
        <x:f t="shared" si="151">IF($A80="","",IF(COUNT($Z80,$AE80)&lt;2,"",AVERAGE($Z80,$AE80)))</x:f>
      </x:c>
      <x:c r="GF80" s="158" t="str">
        <x:f>IF($A80="","",IF(COUNT($FY80:$FZ80)&lt;2,"NEDETERMINAT",IF(AND($FY80&gt;='Setari model'!$B$113,$FZ80&gt;='Setari model'!$B$113),"DA","NU")))</x:f>
      </x:c>
      <x:c r="GG80" s="158" t="str">
        <x:f>IF($A80="","",IF(COUNT($FY80:$FZ80,$EX80:$EY80)&lt;4,"NEDETERMINAT",IF(OR(AND($FY80&gt;='Setari model'!$B$113,$EY80&gt;='Setari model'!$B$114),AND($FZ80&gt;='Setari model'!$B$113,$EX80&gt;='Setari model'!$B$114)),"DA","NU")))</x:f>
      </x:c>
      <x:c r="GH80" s="158" t="str">
        <x:f>IF($A80="","",IF(COUNT($BJ80:$BN80,$GC80:$GE80)&lt;8,"NEDETERMINAT",IF(AND((($BJ80*INDEX('Setari model'!$B$5:$B$11,MATCH($E80,'Setari model'!$A$5:$A$11,0))+$BK80*INDEX('Setari model'!$C$5:$C$11,MATCH($E80,'Setari model'!$A$5:$A$11,0))+$BL80*INDEX('Setari model'!$D$5:$D$11,MATCH($E80,'Setari model'!$A$5:$A$11,0))+$BM80*INDEX('Setari model'!$E$5:$E$11,MATCH($E80,'Setari model'!$A$5:$A$11,0))+$BN80*INDEX('Setari model'!$F$5:$F$11,MATCH($E80,'Setari model'!$A$5:$A$11,0)))/(INDEX('Setari model'!$B$5:$B$11,MATCH($E80,'Setari model'!$A$5:$A$11,0))+INDEX('Setari model'!$C$5:$C$11,MATCH($E80,'Setari model'!$A$5:$A$11,0))+INDEX('Setari model'!$D$5:$D$11,MATCH($E80,'Setari model'!$A$5:$A$11,0))+INDEX('Setari model'!$E$5:$E$11,MATCH($E80,'Setari model'!$A$5:$A$11,0))+INDEX('Setari model'!$F$5:$F$11,MATCH($E80,'Setari model'!$A$5:$A$11,0))))*$BR80&gt;='Setari model'!$B$115,(($BJ80*INDEX('Setari model'!$B$5:$B$11,MATCH($E80,'Setari model'!$A$5:$A$11,0))+$BK80*INDEX('Setari model'!$C$5:$C$11,MATCH($E80,'Setari model'!$A$5:$A$11,0))+$BL80*INDEX('Setari model'!$D$5:$D$11,MATCH($E80,'Setari model'!$A$5:$A$11,0))+$BM80*INDEX('Setari model'!$E$5:$E$11,MATCH($E80,'Setari model'!$A$5:$A$11,0))+$BN80*INDEX('Setari model'!$F$5:$F$11,MATCH($E80,'Setari model'!$A$5:$A$11,0)))/(INDEX('Setari model'!$B$5:$B$11,MATCH($E80,'Setari model'!$A$5:$A$11,0))+INDEX('Setari model'!$C$5:$C$11,MATCH($E80,'Setari model'!$A$5:$A$11,0))+INDEX('Setari model'!$D$5:$D$11,MATCH($E80,'Setari model'!$A$5:$A$11,0))+INDEX('Setari model'!$E$5:$E$11,MATCH($E80,'Setari model'!$A$5:$A$11,0))+INDEX('Setari model'!$F$5:$F$11,MATCH($E80,'Setari model'!$A$5:$A$11,0))))*$BR80&lt;='Setari model'!$B$116,AVERAGE($GC80:$GD80)&lt;='Setari model'!$B$117,$GE80&gt;='Setari model'!$B$118),"DA","NU")))</x:f>
      </x:c>
      <x:c r="GI80" s="158" t="str">
        <x:f>IF($A80="","",IF(COUNT($W80,$AB80,$GA80:$GB80)&lt;4,"NEDETERMINAT",IF(AND($W80&gt;='Setari model'!$B$120,$AB80&gt;='Setari model'!$B$120,OR(IFERROR($GA80/$W80,0)&gt;='Setari model'!$B$119,IFERROR($GB80/$AB80,0)&gt;='Setari model'!$B$119)),"DA","NU")))</x:f>
      </x:c>
      <x:c r="GJ80" s="160" t="str">
        <x:f>IF($A80="","",IF(COUNT($FY80:$GB80)&lt;4,"",IF($GH80&lt;&gt;"DA",0,'Setari model'!$B$121*IF($GF80="DA",1,0)+'Setari model'!$B$122*IF($GG80="DA",1,0)+'Setari model'!$B$123+'Setari model'!$B$124*IF($GI80="DA",1,0))))</x:f>
      </x:c>
      <x:c r="GK80" s="161" t="str">
        <x:f>IF($A80="","",IF(COUNT($GJ80)=0,"",1+'Setari model'!$B$125*$GJ80))</x:f>
      </x:c>
      <x:c r="GL80" s="160" t="str">
        <x:f>IF($A80="","",IF($GM80&lt;&gt;"DA",$FJ80,MIN('Setari model'!$B$101,MAX(0.002,$FJ80*$GK80))))</x:f>
      </x:c>
      <x:c r="GM80" s="158" t="str">
        <x:f>IF($A80="","",IF(AND($FK80="DA",COUNT($FY80:$GB80)=4,COUNT($I80,$P80,$W80,$AB80,$Z80,$AE80,$EX80,$EY80,$GC80,$GD80)=10,COUNT($BJ80:$BN80)=5),"DA","NU"))</x:f>
      </x:c>
      <x:c r="GN80" s="158" t="str">
        <x:f>IF($A80="","",IF($GM80&lt;&gt;"DA","NEDETERMINAT",IF($FI80*$GK80&lt;='Setari model'!$B$99,"SCĂZUT",IF($FI80*$GK80&lt;='Setari model'!$B$100,"MEDIU","RIDICAT"))))</x:f>
      </x:c>
      <x:c r="GO80" s="160" t="str">
        <x:f>IF($A80="","",IF(OR($GM80&lt;&gt;"DA",$GN80="RIDICAT"),'Setari model'!$B$102,IF($GN80="MEDIU",'Setari model'!$B$103,IF(AND($FM80="DA",$FN80="DA"),'Setari model'!$B$105,'Setari model'!$B$104))))</x:f>
      </x:c>
      <x:c r="GP80" s="160" t="str">
        <x:f t="shared" si="152">IF($A80="","",IF($GL80="","",MIN(1-$GL80,$GO80)))</x:f>
      </x:c>
      <x:c r="GQ80" s="162" t="str">
        <x:f t="shared" si="153">IF($A80="","",IF($GP80="","",IF($GP80&gt;0,1/$GP80,"")))</x:f>
      </x:c>
      <x:c r="GR80" s="160" t="str">
        <x:f t="shared" si="154">IF($A80="","",IF($EC80="","",$GP80-$EC80))</x:f>
      </x:c>
      <x:c r="GS80" s="160" t="str">
        <x:f t="shared" si="155">IF($A80="","",IF($AR80&gt;1,$GP80*$AR80-1,""))</x:f>
      </x:c>
      <x:c r="GT80" s="163" t="str">
        <x:f>IF($A80="","",MAX(0,MIN(100,$FT80-IF(AND($GM80&lt;&gt;"DA",$FK80="DA"),'Setari model'!$B$107,0)-'Setari model'!$B$126*IF($GJ80="",0,$GJ80))))</x:f>
      </x:c>
      <x:c r="GU80" s="158" t="str">
        <x:f t="shared" si="156">IF($A80="","",IF($AR80&lt;=1,"NU – LIPSEȘTE COTA REALĂ",IF($GM80&lt;&gt;"DA","NU – DATE LOW-CONVERSION INCOMPLETE",IF($GN80&lt;&gt;"SCĂZUT","NU – RISC 0-0 "&amp;$GN80,IF($FN80&lt;&gt;"DA","NU – LINEUP NECONFIRMAT",IF($FM80&lt;&gt;"DA","NU – PIAȚĂ NECONFIRMATĂ",IF($EP80&lt;&gt;"DA","NU – PORTOFOLIU","DA")))))))</x:f>
      </x:c>
      <x:c r="GV80" s="158" t="str">
        <x:f>IF($A80="","",IF($GU80&lt;&gt;"DA","WATCH / NO BET",IF(AND($GP80&gt;='Setari model'!$B$35,$GT80&gt;=100*'Setari model'!$B$76,$GS80&gt;0),"PARIU RECOMANDAT",IF(AND($GP80&gt;='Setari model'!$B$39,$GT80&gt;=100*'Setari model'!$B$40,$GS80&gt;0),"WATCH – APROAPE DE PRAG","PARIU EVITAT"))))</x:f>
      </x:c>
      <x:c r="GW80" s="158" t="str">
        <x:f t="shared" si="157">IF($A80="","",IF($GU80&lt;&gt;"DA",$GU80,IF($GT80&lt;75,"Confidence v5 sub 75.",IF($GP80&lt;0.92,"P v5 sub 92%.",IF($GS80&lt;=0,"EV v5 nepozitiv.",IF($GJ80&gt;0,"Low-conversion absorbit în P0; toate porțile rămân trecute.","Toate porțile v5 sunt trecute."))))))</x:f>
      </x:c>
      <x:c r="GX80" s="158" t="str">
        <x:f t="shared" si="158">IF($A80="","","P v5="&amp;TEXT($GP80,"0.0%")&amp;"; P0 v5="&amp;TEXT($GL80,"0.0%")&amp;"; low-conv="&amp;IF(COUNT($GJ80)=0,"n/a",TEXT($GJ80,"0%"))&amp;"; mult.P0="&amp;IF(COUNT($GK80)=0,"n/a",TEXT($GK80,"0.00"))&amp;"; clasă="&amp;$GN80&amp;"; cap="&amp;TEXT($GO80,"0.0%")&amp;"; Confidence="&amp;TEXT($GT80,"0")&amp;"/100; lineup="&amp;$FN80&amp;"; piață="&amp;$FM80&amp;"; EV="&amp;IF($GS80="","n/a",TEXT($GS80,"0.0%"))&amp;"; gate="&amp;$GU80&amp;"; verdict="&amp;$GV80&amp;". "&amp;$GW80)</x:f>
      </x:c>
      <x:c r="GY80" s="174" t="str">
        <x:f>IF($A80="","",IF($GM80&lt;&gt;"DA","SOURCING INCOMPLETE – REVIEW REQUIRED",IF(MIN($I80,$P80,$W80,$AB80)&lt;'Setari model'!$B$58,"SMALL SAMPLE + PRIOR / SHRINKAGE","VERIFIED / PRIOR / SHRINKAGE")))</x:f>
      </x:c>
      <x:c r="GZ80" s="175" t="str">
        <x:f t="shared" si="159">IF($A80="","",MAX(0,MIN(100,100*(1-AVERAGE(IF($GM80="DA",1,0),MIN(1,$AT80/5))))))</x:f>
      </x:c>
      <x:c r="HA80" s="175" t="str">
        <x:f>IF($A80="","",IF($GM80&lt;&gt;"DA","",MAX(0,MIN(100,100*(($FI80*$GK80)-'Setari model'!$B$97)/('Setari model'!$B$98-'Setari model'!$B$97)))))</x:f>
      </x:c>
      <x:c r="HB80" s="175" t="str">
        <x:f>IF($A80="","",MAX(0,MIN(100,100*(ABS($BR80-1)/MAX(1-'Setari model'!$B$53,'Setari model'!$B$54-1)+MIN(1,$BG80/2))/2)))</x:f>
      </x:c>
      <x:c r="HC80" s="175" t="str">
        <x:f t="shared" si="160">IF($A80="","",MAX(0,MIN(100,100*(1-AVERAGE($CC80,MAX(0,1-(MAX($BJ80:$BN80)-MIN($BJ80:$BN80))/(AVERAGE($BJ80:$BN80)*'Setari model'!$B$45)))))))</x:f>
      </x:c>
      <x:c r="HD80" s="175" t="str">
        <x:f t="shared" si="161">IF($A80="","",MAX(0,MIN(100,100*MAX(IF($GJ80="",0,$GJ80),MIN(1,$BG80/2)))))</x:f>
      </x:c>
      <x:c r="HE80" s="175" t="str">
        <x:f>IF($A80="","",IF(COUNT($GZ80:$HD80)&lt;5,"",$GZ80*Risk_Classification!$E$28+$HA80*Risk_Classification!$E$29+$HB80*Risk_Classification!$E$30+$HC80*Risk_Classification!$E$31+$HD80*Risk_Classification!$E$32))</x:f>
      </x:c>
      <x:c r="HF80" s="176" t="str">
        <x:f t="shared" si="162">IF($A80="","",IF($HE80="","",IF($HE80&lt;=20,1,IF($HE80&lt;=40,2,IF($HE80&lt;=60,3,IF($HE80&lt;=80,4,5))))))</x:f>
      </x:c>
      <x:c r="HG80" s="176" t="str">
        <x:f t="shared" si="163">IF($A80="","",IF($GM80="DA","PASS","FAIL – DATE CRITICE ZERO-MASS INCOMPLETE"))</x:f>
      </x:c>
      <x:c r="HH80" s="176" t="str">
        <x:f t="shared" si="164">IF($A80="","",IF($HG80&lt;&gt;"PASS",5,$HF80))</x:f>
      </x:c>
      <x:c r="HI80" s="174" t="str">
        <x:f t="shared" si="165">IF($A80="","",IF($HH80="","N/A",IF($HH80=1,"DEFENSIV",IF($HH80=2,"PRUDENT",IF($HH80=3,"MODERAT",IF($HH80=4,"RIDICAT","WATCH / NO BET"))))))</x:f>
      </x:c>
      <x:c r="HJ80" s="177" t="str">
        <x:f t="shared" si="166">IF($A80="","","Data="&amp;$GY80&amp;"; DQ="&amp;TEXT($GZ80,"0.0")&amp;"; ZM="&amp;IF($HA80="","n/a",TEXT($HA80,"0.0"))&amp;"; Context="&amp;TEXT($HB80,"0.0")&amp;"; Uncertainty="&amp;TEXT($HC80,"0.0")&amp;"; Compound="&amp;TEXT($HD80,"0.0")&amp;"; Risk Score="&amp;IF($HE80="","n/a",TEXT($HE80,"0.0"))&amp;"; Base="&amp;IF($HF80="","n/a",$HF80)&amp;"; G0="&amp;$HG80&amp;"; Final="&amp;$HH80&amp;". Cota, EV si lineup sunt informative si nu intra in recomandare.")</x:f>
      </x:c>
      <x:c r="HK80" s="174" t="str">
        <x:f t="shared" si="167">IF($A80="","",$HI80)</x:f>
      </x:c>
    </x:row>
    <x:row r="81" ht="24" customHeight="1">
      <x:c r="A81" s="58"/>
      <x:c r="B81" s="24"/>
      <x:c r="C81" s="59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18"/>
      <x:c r="O81" s="18"/>
      <x:c r="P81" s="24"/>
      <x:c r="Q81" s="24"/>
      <x:c r="R81" s="24"/>
      <x:c r="S81" s="24"/>
      <x:c r="T81" s="24"/>
      <x:c r="U81" s="18"/>
      <x:c r="V81" s="18"/>
      <x:c r="W81" s="24"/>
      <x:c r="X81" s="24"/>
      <x:c r="Y81" s="24"/>
      <x:c r="Z81" s="24"/>
      <x:c r="AA81" s="24"/>
      <x:c r="AB81" s="24"/>
      <x:c r="AC81" s="24"/>
      <x:c r="AD81" s="24"/>
      <x:c r="AE81" s="24"/>
      <x:c r="AF81" s="24"/>
      <x:c r="AG81" s="24"/>
      <x:c r="AH81" s="24"/>
      <x:c r="AI81" s="18"/>
      <x:c r="AJ81" s="24"/>
      <x:c r="AK81" s="24"/>
      <x:c r="AL81" s="24"/>
      <x:c r="AM81" s="18"/>
      <x:c r="AN81" s="24"/>
      <x:c r="AO81" s="60"/>
      <x:c r="AP81" s="60"/>
      <x:c r="AQ81" s="60"/>
      <x:c r="AR81" s="60"/>
      <x:c r="AS81" s="60"/>
      <x:c r="AT81" s="24"/>
      <x:c r="AU81" s="24"/>
      <x:c r="AV81" s="24"/>
      <x:c r="AW81" s="24"/>
      <x:c r="AX81" s="24"/>
      <x:c r="AY81" s="24"/>
      <x:c r="AZ81" s="24"/>
      <x:c r="BA81" s="24"/>
      <x:c r="BB81" s="24"/>
      <x:c r="BC81" s="24"/>
      <x:c r="BD81" s="24"/>
      <x:c r="BE81" s="24"/>
      <x:c r="BF81" s="24"/>
      <x:c r="BG81" s="24"/>
      <x:c r="BH81" s="61"/>
      <x:c r="BI81" s="61"/>
      <x:c r="BJ81" s="62" t="str">
        <x:f>IF($A81="","",SQRT((($I81*IF($J81="",$AJ81,$J81)+'Setari model'!$B$30*$AJ81)/($I81+'Setari model'!$B$30))*(($P81*IF($R81="",$AJ81,$R81)+'Setari model'!$B$30*$AJ81)/($P81+'Setari model'!$B$30)))+SQRT((($P81*IF($Q81="",$AK81,$Q81)+'Setari model'!$B$30*$AK81)/($P81+'Setari model'!$B$30))*(($I81*IF($K81="",$AK81,$K81)+'Setari model'!$B$30*$AK81)/($I81+'Setari model'!$B$30))))</x:f>
      </x:c>
      <x:c r="BK81" s="62" t="str">
        <x:f>IF($A81="","",SQRT((($I81*IF($L81="",IF($J81="",$AJ81,$J81),$L81)+'Setari model'!$B$30*$AJ81)/($I81+'Setari model'!$B$30))*(($P81*IF($T81="",IF($R81="",$AJ81,$R81),$T81)+'Setari model'!$B$30*$AJ81)/($P81+'Setari model'!$B$30)))+SQRT((($P81*IF($S81="",IF($Q81="",$AK81,$Q81),$S81)+'Setari model'!$B$30*$AK81)/($P81+'Setari model'!$B$30))*(($I81*IF($M81="",IF($K81="",$AK81,$K81),$M81)+'Setari model'!$B$30*$AK81)/($I81+'Setari model'!$B$30))))</x:f>
      </x:c>
      <x:c r="BL81" s="62" t="str">
        <x:f>IF($A81="","",SQRT((($W81*IF($X81="",$AL81/2,$X81)+'Setari model'!$B$31*$AL81/2)/($W81+'Setari model'!$B$31))*(($AB81*IF($AD81="",$AL81/2,$AD81)+'Setari model'!$B$31*$AL81/2)/($AB81+'Setari model'!$B$31)))+SQRT((($AB81*IF($AC81="",$AL81/2,$AC81)+'Setari model'!$B$31*$AL81/2)/($AB81+'Setari model'!$B$31))*(($W81*IF($Y81="",$AL81/2,$Y81)+'Setari model'!$B$31*$AL81/2)/($W81+'Setari model'!$B$31))))</x:f>
      </x:c>
      <x:c r="BM81" s="62" t="str">
        <x:f>IF($A81="","",SQRT((($W81*IF($Z81="",IF($X81="",$AL81/2,$X81),$Z81)+'Setari model'!$B$31*$AL81/2)/($W81+'Setari model'!$B$31))*(($AB81*IF($AF81="",IF($AD81="",$AL81/2,$AD81),$AF81)+'Setari model'!$B$31*$AL81/2)/($AB81+'Setari model'!$B$31)))+SQRT((($AB81*IF($AE81="",IF($AC81="",$AL81/2,$AC81),$AE81)+'Setari model'!$B$31*$AL81/2)/($AB81+'Setari model'!$B$31))*(($W81*IF($AA81="",IF($Y81="",$AL81/2,$Y81),$AA81)+'Setari model'!$B$31*$AL81/2)/($W81+'Setari model'!$B$31))))</x:f>
      </x:c>
      <x:c r="BN81" s="62" t="str">
        <x:f t="shared" si="112">IF($A81="","",IF($AG81&gt;0,($AG81*IF($AH81="",$AL81,$AH81)+5*$AL81)/($AG81+5),$AL81))</x:f>
      </x:c>
      <x:c r="BO81" s="63" t="str">
        <x:f>IF($A81="","",IF($AR81&gt;1,IF($AS81&gt;1,(1/$AR81)/((1/$AR81+1/$AS81)),MIN(0.995,(1/$AR81)/(1+'Setari model'!$B$32))),1-EXP(-$AL81)))</x:f>
      </x:c>
      <x:c r="BP81" s="62" t="str">
        <x:f t="shared" si="113">IF($A81="","",-LN(1-$BO81))</x:f>
      </x:c>
      <x:c r="BQ81" s="62" t="str">
        <x:f>IF($A81="","",$BJ81*INDEX('Setari model'!$B$5:$B$11,MATCH($E81,'Setari model'!$A$5:$A$11,0))+$BK81*INDEX('Setari model'!$C$5:$C$11,MATCH($E81,'Setari model'!$A$5:$A$11,0))+$BL81*INDEX('Setari model'!$D$5:$D$11,MATCH($E81,'Setari model'!$A$5:$A$11,0))+$BM81*INDEX('Setari model'!$E$5:$E$11,MATCH($E81,'Setari model'!$A$5:$A$11,0))+$BN81*INDEX('Setari model'!$F$5:$F$11,MATCH($E81,'Setari model'!$A$5:$A$11,0))+$BP81*INDEX('Setari model'!$G$5:$G$11,MATCH($E81,'Setari model'!$A$5:$A$11,0)))</x:f>
      </x:c>
      <x:c r="BR81" s="64" t="str">
        <x:f>IF($A81="","",MAX('Setari model'!$B$53,MIN('Setari model'!$B$54,1+($AV81*'Setari model'!$B$15+$AW81*'Setari model'!$B$16+$AX81*'Setari model'!$B$17+$AY81*'Setari model'!$B$18+$AZ81*'Setari model'!$B$19+$BA81*'Setari model'!$B$20+$BB81*'Setari model'!$B$21+$BC81*'Setari model'!$B$22+$BD81*'Setari model'!$B$23+$BE81*'Setari model'!$B$24+$BF81*'Setari model'!$B$25)*INDEX('Setari model'!$H$5:$H$11,MATCH($E81,'Setari model'!$A$5:$A$11,0)))))</x:f>
      </x:c>
      <x:c r="BS81" s="62" t="str">
        <x:f t="shared" si="114">IF($A81="","",$BQ81*$BR81)</x:f>
      </x:c>
      <x:c r="BT81" s="63" t="str">
        <x:f t="shared" si="115">IF($A81="","",EXP(-$BS81))</x:f>
      </x:c>
      <x:c r="BU81" s="65" t="str">
        <x:f>IF($A81="","",IF(OR($AM81="",$AN81=""),1,1+MIN('Setari model'!$B$33,$AN81/100*'Setari model'!$B$33)*($AM81/EXP(-$AL81)-1)))</x:f>
      </x:c>
      <x:c r="BV81" s="63" t="str">
        <x:f>IF($A81="","",MIN(0.45,MAX(0.005,(1-'Setari model'!$B$34*MIN(1,($I81+$P81)/20))*MIN(0.45,$BT81*$BU81)+'Setari model'!$B$34*MIN(1,($I81+$P81)/20)*IF(COUNT($N81,$U81)=2,SQRT(MAX(0,1-$N81)*MAX(0,1-$U81)),IF($AM81="",EXP(-$AL81),$AM81)))))</x:f>
      </x:c>
      <x:c r="BW81" s="63" t="str">
        <x:f t="shared" si="116">IF($A81="","",1-$BV81)</x:f>
      </x:c>
      <x:c r="BX81" s="62" t="str">
        <x:f t="shared" si="117">IF($A81="","",1/$BW81)</x:f>
      </x:c>
      <x:c r="BY81" s="63" t="str">
        <x:f t="shared" si="118">IF($A81="","",$BO81)</x:f>
      </x:c>
      <x:c r="BZ81" s="63" t="str">
        <x:f t="shared" si="119">IF($A81="","",$BW81-$BY81)</x:f>
      </x:c>
      <x:c r="CA81" s="63" t="str">
        <x:f t="shared" si="120">IF($A81="","",IF($AR81&gt;1,$BW81*$AR81-1,""))</x:f>
      </x:c>
      <x:c r="CB81" s="63" t="str">
        <x:f>IF($A81="","",MIN(1,COUNT($I81:$AN81,$AR81:$BG81)/'Setari model'!$B$46))</x:f>
      </x:c>
      <x:c r="CC81" s="63" t="str">
        <x:f t="shared" si="121">IF($A81="","",0.25*MIN(1,$I81/10)+0.25*MIN(1,$P81/10)+0.15*MIN(1,$W81/5)+0.15*MIN(1,$AB81/5)+0.1*MIN(1,$AG81/5)+0.1*MIN(1,$AN81/100))</x:f>
      </x:c>
      <x:c r="CD81" s="63" t="str">
        <x:f>IF($A81="","",MAX(0,1-(MAX($BJ81:$BN81,$BP81)-MIN($BJ81:$BN81,$BP81))/(AVERAGE($BJ81:$BN81,$BP81)*'Setari model'!$B$45)))</x:f>
      </x:c>
      <x:c r="CE81" s="66" t="str">
        <x:f>IF($A81="","",MAX(0,MIN(100,100*INDEX('Setari model'!$I$5:$I$11,MATCH($E81,'Setari model'!$A$5:$A$11,0))*('Setari model'!$B$47*$CB81+'Setari model'!$B$48*$CC81+'Setari model'!$B$49*$CD81+'Setari model'!$B$50*$AT81/5+'Setari model'!$B$51*$AU81)-100*'Setari model'!$B$52*$BG81)))</x:f>
      </x:c>
      <x:c r="CF81" s="65" t="str">
        <x:f t="shared" si="122">IF($A81="","",IF(OR($AT81&lt;3,$BG81&gt;=2,$CB81&lt;0.55,$CC81&lt;0.4),"RIDICAT",IF(OR($AU81=0,$CD81&lt;0.45,$BR81&lt;0.9),"MEDIU","SCĂZUT")))</x:f>
      </x:c>
      <x:c r="CG81" s="65" t="str">
        <x:f>IF($A81="","",IF($AR81&gt;1,IF(AND($BW81&gt;= 'Setari model'!$B$35,$CE81&gt;=100*'Setari model'!$B$36,$BZ81&gt;= 'Setari model'!$B$37,$CA81&gt;= 'Setari model'!$B$38,$CF81&lt;&gt;"RIDICAT"),"PARIU RECOMANDAT",IF(AND($BW81&gt;= 'Setari model'!$B$39,$CE81&gt;=100*'Setari model'!$B$40,$BZ81&gt;= 'Setari model'!$B$41,$CA81&gt;=0,$CF81&lt;&gt;"RIDICAT"),"RECOMANDAT CU PRUDENȚĂ",IF(AND($BW81&gt;= 'Setari model'!$B$42,$CE81&gt;=100*'Setari model'!$B$43),"ANALIZĂ NECONCLUDENTĂ","PARIU EVITAT"))),IF(AND($BW81&gt;= 'Setari model'!$B$35,$CE81&gt;=100*'Setari model'!$B$36,$CF81&lt;&gt;"RIDICAT"),"FAVORABIL STATISTIC – VERIFICĂ COTA",IF(AND($BW81&gt;= 'Setari model'!$B$42,$CE81&gt;=100*'Setari model'!$B$43),"ANALIZĂ NECONCLUDENTĂ","PARIU EVITAT"))))</x:f>
      </x:c>
      <x:c r="CH81" s="67" t="str">
        <x:f t="shared" si="123">IF($A81="","","P(O0,5)="&amp;TEXT($BW81,"0.0%")&amp;"; λ ajustat="&amp;TEXT($BS81,"0.00")&amp;"; Confidence="&amp;TEXT($CE81,"0")&amp;"/100; Edge="&amp;TEXT($BZ81,"0.0%")&amp;"; risc="&amp;$CF81&amp;". "&amp;$BH81)</x:f>
      </x:c>
      <x:c r="CI81" s="68" t="str">
        <x:f t="shared" si="124">IF($A81="","",$BI81)</x:f>
      </x:c>
      <x:c r="CJ81" s="112"/>
      <x:c r="CK81" s="112"/>
      <x:c r="CL81" s="112"/>
      <x:c r="CM81" s="112"/>
      <x:c r="CN81" s="112"/>
      <x:c r="CO81" s="112"/>
      <x:c r="CP81" s="112"/>
      <x:c r="CQ81" s="112"/>
      <x:c r="CR81" s="112"/>
      <x:c r="CS81" s="112"/>
      <x:c r="CT81" s="112"/>
      <x:c r="CU81" s="112"/>
      <x:c r="CV81" s="112"/>
      <x:c r="CW81" s="112"/>
      <x:c r="CX81" s="112"/>
      <x:c r="CY81" s="112"/>
      <x:c r="CZ81" s="112"/>
      <x:c r="DA81" s="112"/>
      <x:c r="DB81" s="112"/>
      <x:c r="DC81" s="114"/>
      <x:c r="DD81" s="114"/>
      <x:c r="DE81" s="112" t="s">
        <x:v>266</x:v>
      </x:c>
      <x:c r="DF81" s="112"/>
      <x:c r="DG81" s="112"/>
      <x:c r="DH81" s="112"/>
      <x:c r="DI81" s="112"/>
      <x:c r="DJ81" s="112"/>
      <x:c r="DK81" s="112"/>
      <x:c r="DL81" s="112"/>
      <x:c r="DM81" s="112"/>
      <x:c r="DN81" s="112"/>
      <x:c r="DO81" s="112"/>
      <x:c r="DP81" s="112"/>
      <x:c r="DQ81" s="114"/>
      <x:c r="DR81" s="112">
        <x:v>1</x:v>
      </x:c>
      <x:c r="DS81" s="116">
        <x:v>0</x:v>
      </x:c>
      <x:c r="DT81" s="120"/>
      <x:c r="DU81" s="116">
        <x:v>0.02</x:v>
      </x:c>
      <x:c r="DV81" s="116">
        <x:v>0.25</x:v>
      </x:c>
      <x:c r="DW81" s="118" t="str">
        <x:f>IF($A81="","",MAX('Setari model'!$B$71,MIN('Setari model'!$B$72,1+0.08*(IFERROR(AVERAGE($CM81:$CN81)/'Setari model'!$B$66,1)-1)+0.08*(IFERROR(AVERAGE($CO81:$CP81)/'Setari model'!$B$67,1)-1)+0.06*(IFERROR(AVERAGE($CQ81:$CR81)/'Setari model'!$B$68,1)-1)+0.04*(IFERROR(AVERAGE($CS81:$CT81)/'Setari model'!$B$69,1)-1)+0.04*(IFERROR(AVERAGE($CU81:$CV81)/'Setari model'!$B$70,1)-1)-'Setari model'!$B$73*IFERROR(AVERAGE($CW81:$CX81),0))))</x:f>
      </x:c>
      <x:c r="DX81" s="118" t="str">
        <x:f>IF($A81="","",1+'Setari model'!$B$62*MAX(IF(OR($CK81=1,$CL81=1),1,0),IF(AND($CJ81&lt;&gt;"",$CJ81&lt;=1),1,0))+'Setari model'!$B$63*IF(AND($CJ81&gt;1,$CJ81&lt;=3),1,0))</x:f>
      </x:c>
      <x:c r="DY81" s="118" t="str">
        <x:f>IF($A81="","",1+'Setari model'!$B$74*(IF($CY81="",0,IF($CY81=0,1,0))+IF($CZ81="",0,IF($CZ81=0,1,0)))+'Setari model'!$B$75*(IF($DA81="",0,IF($DA81=0,1,0))+IF($DB81="",0,IF($DB81=0,1,0))))</x:f>
      </x:c>
      <x:c r="DZ81" s="117" t="str">
        <x:f>IF($A81="","",MIN(0.6,MAX(0.002,(((1-'Setari model'!$B$34*MIN(1,($I81+$P81)/20))*$BT81+'Setari model'!$B$34*MIN(1,($I81+$P81)/20)*IF(COUNT($N81,$U81)=2,SQRT(MAX(0,1-$N81)*MAX(0,1-$U81)),$BT81))*(1-'Setari model'!$B$65*MIN(1,IF($AN81="",0,$AN81/'Setari model'!$B$64)))+'Setari model'!$B$65*MIN(1,IF($AN81="",0,$AN81/'Setari model'!$B$64))*IF($AM81="",$BT81,$AM81))*$DX81*$DY81/$DW81)))</x:f>
      </x:c>
      <x:c r="EA81" s="117" t="str">
        <x:f>IF($A81="","",MIN(1-$DZ81,IF(OR(MIN($I81,$P81)&lt;'Setari model'!$B$58,$CK81=1,$CL81=1,AND($CJ81&lt;&gt;"",$CJ81&lt;=1)),'Setari model'!$B$59,IF(AND($AU81=1,$AR81&gt;1,COUNT($CY81:$DB81)=4),'Setari model'!$B$61,'Setari model'!$B$60))))</x:f>
      </x:c>
      <x:c r="EB81" s="115" t="str">
        <x:f t="shared" si="125">IF($A81="","",1/$EA81)</x:f>
      </x:c>
      <x:c r="EC81" s="117" t="str">
        <x:f t="shared" si="126">IF($A81="","",IF($AR81&gt;1,IF($AS81&gt;1,(1/$AR81)/((1/$AR81)+(1/$AS81)),1/$AR81),""))</x:f>
      </x:c>
      <x:c r="ED81" s="117" t="str">
        <x:f t="shared" si="127">IF($A81="","",IF($EC81="","",$EA81-$EC81))</x:f>
      </x:c>
      <x:c r="EE81" s="117" t="str">
        <x:f t="shared" si="128">""</x:f>
      </x:c>
      <x:c r="EF81" s="119" t="str">
        <x:f>IF($A81="","",MAX(0,MIN(100,$CE81-200*MAX(0,$EG81-'Setari model'!$B$77)-IF($AU81&lt;&gt;1,10,0)-IF(COUNT($CY81:$DB81)&lt;4,4,0))))</x:f>
      </x:c>
      <x:c r="EG81" s="117" t="str">
        <x:f>IF($A81="","",'Setari model'!$B$77+IF(MIN($I81,$P81)&lt;'Setari model'!$B$58,0.03,0)+IF(OR($CK81=1,$CL81=1,AND($CJ81&lt;&gt;"",$CJ81&lt;=1)),0.03,0)+IF($AG81=0,0.02,0)+0.03*(1-MIN(1,COUNT($CM81:$CV81)/10))+0.03*(1-MIN(1,IF($AN81="",0,$AN81/'Setari model'!$B$64)))+IF($AR81&lt;=1,0.02,0))</x:f>
      </x:c>
      <x:c r="EH81" s="113" t="str">
        <x:f>IF($A81="","",IF(OR(MIN($I81,$P81)&lt;'Setari model'!$B$58,$CK81=1,$CL81=1,AND($CJ81&lt;&gt;"",$CJ81&lt;=1)),"92% – early/regim",IF(AND($AU81=1,$AR81&gt;1,COUNT($CY81:$DB81)=4),"94% – confirmat","93% – standard")))</x:f>
      </x:c>
      <x:c r="EI81" s="113" t="str">
        <x:f t="shared" si="129">IF($A81="","",IF(AND($EA81&gt;0.9,$AU81&lt;&gt;1),"WAIT XI – HIGH P",IF(AND($EA81&gt;0.9,COUNT($CY81:$DB81)&lt;4),"WAIT DATE CHEIE – HIGH P",IF($EP81&lt;&gt;"DA","NU – PORTOFOLIU","DA"))))</x:f>
      </x:c>
      <x:c r="EJ81" s="117" t="str">
        <x:f t="shared" si="130">IF($A81="","",IF($DE81&lt;&gt;"Live 20-30","",IF(SUM($DG81:$DH81)&gt;0,1,IF($EU81="","",1-MIN(0.95,MAX(0.001,EXP(-$EU81)*$DX81*$DY81/$DW81))))))</x:f>
      </x:c>
      <x:c r="EK81" s="117" t="str">
        <x:f t="shared" si="131">""</x:f>
      </x:c>
      <x:c r="EL81" s="113" t="str">
        <x:f>IF($A81="","",IF($DE81="Live 20-30",IF(SUM($DG81:$DH81)&gt;0,"EVENIMENT ÎNDEPLINIT",IF(OR($DF81="",COUNT($DI81:$DN81)&lt;4),"LIVE – WATCH",IF($EJ81&gt;=0.75,"LIVE – FEZABIL TEHNIC","LIVE – NO BET"))),IF($EI81&lt;&gt;"DA","WATCH / NO BET",IF(AND($EA81&gt;=INDEX('Setari model'!$B$35:$B$40,1),$EF81&gt;=100*'Setari model'!$B$76),"PARIU RECOMANDAT",IF(AND($EA81&gt;=INDEX('Setari model'!$B$35:$B$40,5),$EF81&gt;=100*'Setari model'!$B$40),"WATCH – APROAPE DE PRAG","PARIU EVITAT")))))</x:f>
      </x:c>
      <x:c r="EM81" s="113" t="str">
        <x:f t="shared" si="132">IF($A81="","",IF($DE81="Live 20-30",IF(SUM($DG81:$DH81)&gt;0,"Gol deja marcat.",IF($DF81="","Minut live lipsă.",IF(COUNT($DI81:$DN81)&lt;4,"Lipsesc xG/SOT/big chances live.",IF($EJ81&lt;0.75,"P live sub prag.","Semnal live tehnic complet; EV ignorat.")))),IF($EI81&lt;&gt;"DA",$EI81,IF($EF81&lt;75,"Confidence sub 75.",IF($EA81&lt;0.92,"P sub 92%.","G0/Zero-Mass + confidence trecute; EV ignorat.")))))</x:f>
      </x:c>
      <x:c r="EN81" s="117" t="str">
        <x:f>IF($A81="","",IF(OR($EL81="PARIU RECOMANDAT",$EL81="LIVE – FEZABIL"),MIN(IF($DU81&gt;0,$DU81,'Setari model'!$B$81)/MAX(1,$DR81),IF($DV81&gt;0,$DV81,'Setari model'!$B$80)*MAX(0,((IF($DE81="Live 20-30",$EJ81,$EA81)*IF($DE81="Live 20-30",$DQ81,$AR81)-1)/(IF($DE81="Live 20-30",$DQ81,$AR81)-1)))),0))</x:f>
      </x:c>
      <x:c r="EO81" s="121" t="str">
        <x:f t="shared" si="133">IF($A81="","",IF(AND($EN81&gt;0,$DT81&gt;0),$EN81*$DT81,""))</x:f>
      </x:c>
      <x:c r="EP81" s="113" t="str">
        <x:f>IF($A81="","",IF(OR($DR81&lt;1,$DR81&gt;'Setari model'!$B$78),"NU – 1–5 selecții",IF($DS81&gt;'Setari model'!$B$79,"NU – corelație", "DA")))</x:f>
      </x:c>
      <x:c r="EQ81" s="117" t="str">
        <x:f t="shared" si="134">IF($A81="","",IF(AND($DC81&gt;1,$DD81&gt;1),$DC81/$DD81-1,""))</x:f>
      </x:c>
      <x:c r="ER81" s="113" t="str">
        <x:f t="shared" si="135">IF($A81="","","P v2="&amp;TEXT($EA81,"0.0%")&amp;" ±"&amp;TEXT($EG81,"0.0%")&amp;"; P0 ZIP="&amp;TEXT($DZ81,"0.0%")&amp;"; Confidence="&amp;TEXT($EF81,"0")&amp;"/100; piață reală="&amp;IF($EC81="","NU","DA")&amp;"; EV="&amp;IF($EE81="","n/a",TEXT($EE81,"0.0%"))&amp;"; gate="&amp;$EI81&amp;"; verdict="&amp;$EL81&amp;". "&amp;$EM81)</x:f>
      </x:c>
      <x:c r="ES81" s="119" t="str">
        <x:f>IF($A81="","",'Setari model'!$B$82)</x:f>
      </x:c>
      <x:c r="ET81" s="118" t="str">
        <x:f>IF($A81="","",'Setari model'!$B$83)</x:f>
      </x:c>
      <x:c r="EU81" s="115" t="str">
        <x:f t="shared" si="136">IF(OR($A81="",$DE81&lt;&gt;"Live 20-30",$DF81="",$DF81&lt;$ES81,$DF81&gt;=90),"",MAX(0.05,MIN($BS81*$ET81,$BS81*(90-$DF81)/90+0.35*($DI81+$DJ81)+0.06*($DK81+$DL81)+0.15*($DM81+$DN81)+0.1*(MAX($DO81,$DP81)-MIN($DO81,$DP81)))))</x:f>
      </x:c>
      <x:c r="EV81" s="132"/>
      <x:c r="EW81" s="132"/>
      <x:c r="EX81" s="132"/>
      <x:c r="EY81" s="132"/>
      <x:c r="EZ81" s="132"/>
      <x:c r="FA81" s="132"/>
      <x:c r="FB81" s="247"/>
      <x:c r="FC81" s="134" t="str">
        <x:f t="shared" si="137">IF($A81="","",IF(OR($J81="",$L81="",$L81&lt;=0),"",MAX(0.5,MIN(1.5,$J81/$L81))))</x:f>
      </x:c>
      <x:c r="FD81" s="134" t="str">
        <x:f t="shared" si="138">IF($A81="","",IF(OR($Q81="",$S81="",$S81&lt;=0),"",MAX(0.5,MIN(1.5,$Q81/$S81))))</x:f>
      </x:c>
      <x:c r="FE81" s="134" t="str">
        <x:f>IF($A81="","",IF(COUNT($EV81:$EW81)&lt;2,"",SQRT($EV81*$EW81)/'Setari model'!$B$87))</x:f>
      </x:c>
      <x:c r="FF81" s="134" t="str">
        <x:f>IF($A81="","",IF(COUNT($O81,$V81,$EX81,$EY81)&lt;4,"",AVERAGE(SQRT($O81*$EY81),SQRT($V81*$EX81))/'Setari model'!$B$88))</x:f>
      </x:c>
      <x:c r="FG81" s="134" t="str">
        <x:f t="shared" si="139">IF($A81="","",IF(COUNT($FC81:$FD81)&lt;2,"",MAX(0,1-AVERAGE($FC81:$FD81))))</x:f>
      </x:c>
      <x:c r="FH81" s="134" t="str">
        <x:f>IF($A81="","",IF(COUNT($EZ81:$FA81)&lt;2,"",'Setari model'!$B$94*AVERAGE($EZ81:$FA81)/'Setari model'!$B$89))</x:f>
      </x:c>
      <x:c r="FI81" s="134" t="str">
        <x:f>IF($A81="","",IF(COUNT($FE81:$FH81)&lt;4,"",MAX('Setari model'!$B$97,MIN('Setari model'!$B$98,1+'Setari model'!$B$90*($FE81-1)+'Setari model'!$B$91*($FF81-1)+'Setari model'!$B$92*$FG81+'Setari model'!$B$93*($FH81-1)))))</x:f>
      </x:c>
      <x:c r="FJ81" s="133" t="str">
        <x:f>IF($A81="","",IF($FI81="","",MIN('Setari model'!$B$101,MAX(0.002,$DZ81*$FI81))))</x:f>
      </x:c>
      <x:c r="FK81" s="131" t="str">
        <x:f t="shared" si="140">IF($A81="","",IF(AND(COUNT($EV81:$FA81)=6,COUNT($O81,$V81,$FC81,$FD81)=4),"DA","NU"))</x:f>
      </x:c>
      <x:c r="FL81" s="131" t="str">
        <x:f>IF($A81="","",IF($FK81&lt;&gt;"DA","NEDETERMINAT",IF($FI81&lt;='Setari model'!$B$99,"SCĂZUT",IF($FI81&lt;='Setari model'!$B$100,"MEDIU","RIDICAT"))))</x:f>
      </x:c>
      <x:c r="FM81" s="131" t="str">
        <x:f>IF($A81="","",IF(AND($AR81&gt;1,$EC81&gt;='Setari model'!$B$106),"DA","NU"))</x:f>
      </x:c>
      <x:c r="FN81" s="131" t="str">
        <x:f t="shared" si="141">IF($A81="","",IF(AND($AU81=1,COUNT($CY81:$DB81)=4),"DA","NU"))</x:f>
      </x:c>
      <x:c r="FO81" s="133" t="str">
        <x:f>IF($A81="","",IF(OR($FK81&lt;&gt;"DA",$FL81="RIDICAT"),'Setari model'!$B$102,IF($FL81="MEDIU",'Setari model'!$B$103,IF(AND($FM81="DA",$FN81="DA"),'Setari model'!$B$105,'Setari model'!$B$104))))</x:f>
      </x:c>
      <x:c r="FP81" s="133" t="str">
        <x:f t="shared" si="142">IF($A81="","",IF($FJ81="","",MIN(1-$FJ81,$FO81)))</x:f>
      </x:c>
      <x:c r="FQ81" s="135" t="str">
        <x:f t="shared" si="143">IF($A81="","",IF($FP81="","",IF($FP81&gt;0,1/$FP81,"")))</x:f>
      </x:c>
      <x:c r="FR81" s="133" t="str">
        <x:f t="shared" si="144">IF($A81="","",IF($EC81="","",$FP81-$EC81))</x:f>
      </x:c>
      <x:c r="FS81" s="133" t="str">
        <x:f t="shared" si="145">IF($A81="","",IF($AR81&gt;1,$FP81*$AR81-1,""))</x:f>
      </x:c>
      <x:c r="FT81" s="136" t="str">
        <x:f>IF($A81="","",MAX(0,MIN(100,$EF81-IF($FK81&lt;&gt;"DA",'Setari model'!$B$107,0)-IF($FL81="MEDIU",'Setari model'!$B$108,0)-IF($FL81="RIDICAT",'Setari model'!$B$109,0))))</x:f>
      </x:c>
      <x:c r="FU81" s="131" t="str">
        <x:f t="shared" si="146">IF($A81="","",IF($AR81&lt;=1,"NU – LIPSEȘTE COTA REALĂ",IF($FK81&lt;&gt;"DA","NU – ZERO-RISK INCOMPLET",IF($FL81&lt;&gt;"SCĂZUT","NU – RISC 0-0 "&amp;$FL81,IF($FN81&lt;&gt;"DA","NU – LINEUP NECONFIRMAT",IF($FM81&lt;&gt;"DA","NU – PIAȚĂ NECONFIRMATĂ",IF($EP81&lt;&gt;"DA","NU – PORTOFOLIU","DA")))))))</x:f>
      </x:c>
      <x:c r="FV81" s="131" t="str">
        <x:f>IF($A81="","",IF($FU81&lt;&gt;"DA","WATCH / NO BET",IF(AND($FP81&gt;='Setari model'!$B$35,$FT81&gt;=100*'Setari model'!$B$76,$FS81&gt;0),"PARIU RECOMANDAT",IF(AND($FP81&gt;='Setari model'!$B$39,$FT81&gt;=100*'Setari model'!$B$40,$FS81&gt;0),"WATCH – APROAPE DE PRAG","PARIU EVITAT"))))</x:f>
      </x:c>
      <x:c r="FW81" s="131" t="str">
        <x:f t="shared" si="147">IF($A81="","",IF($FU81&lt;&gt;"DA",$FU81,IF($FT81&lt;75,"Confidence v3 sub 75.",IF($FP81&lt;0.92,"P v3 sub 92%.",IF($FS81&lt;=0,"EV v3 nepozitiv.","P0 v3, lineup și piață confirmate.")))))</x:f>
      </x:c>
      <x:c r="FX81" s="131" t="str">
        <x:f t="shared" si="148">IF($A81="","","P v3="&amp;TEXT($FP81,"0.0%")&amp;"; P0 v3="&amp;TEXT($FJ81,"0.0%")&amp;"; factor zero="&amp;IF($FI81="","n/a",TEXT($FI81,"0.00x"))&amp;" ("&amp;$FL81&amp;"); cap="&amp;TEXT($FO81,"0.0%")&amp;"; Confidence="&amp;TEXT($FT81,"0")&amp;"/100; lineup="&amp;$FN81&amp;"; piață="&amp;$FM81&amp;"; EV="&amp;IF($FS81="","n/a",TEXT($FS81,"0.0%"))&amp;"; gate="&amp;$FU81&amp;"; verdict="&amp;$FV81&amp;". "&amp;$FW81)</x:f>
      </x:c>
      <x:c r="FY81" s="159"/>
      <x:c r="FZ81" s="159"/>
      <x:c r="GA81" s="157"/>
      <x:c r="GB81" s="157"/>
      <x:c r="GC81" s="161" t="str">
        <x:f t="shared" si="149">IF($A81="","",IF(OR($X81="",$Z81="",$Z81&lt;=0),"",MAX(0.5,MIN(1.5,$X81/$Z81))))</x:f>
      </x:c>
      <x:c r="GD81" s="161" t="str">
        <x:f t="shared" si="150">IF($A81="","",IF(OR($AC81="",$AE81="",$AE81&lt;=0),"",MAX(0.5,MIN(1.5,$AC81/$AE81))))</x:f>
      </x:c>
      <x:c r="GE81" s="162" t="str">
        <x:f t="shared" si="151">IF($A81="","",IF(COUNT($Z81,$AE81)&lt;2,"",AVERAGE($Z81,$AE81)))</x:f>
      </x:c>
      <x:c r="GF81" s="158" t="str">
        <x:f>IF($A81="","",IF(COUNT($FY81:$FZ81)&lt;2,"NEDETERMINAT",IF(AND($FY81&gt;='Setari model'!$B$113,$FZ81&gt;='Setari model'!$B$113),"DA","NU")))</x:f>
      </x:c>
      <x:c r="GG81" s="158" t="str">
        <x:f>IF($A81="","",IF(COUNT($FY81:$FZ81,$EX81:$EY81)&lt;4,"NEDETERMINAT",IF(OR(AND($FY81&gt;='Setari model'!$B$113,$EY81&gt;='Setari model'!$B$114),AND($FZ81&gt;='Setari model'!$B$113,$EX81&gt;='Setari model'!$B$114)),"DA","NU")))</x:f>
      </x:c>
      <x:c r="GH81" s="158" t="str">
        <x:f>IF($A81="","",IF(COUNT($BJ81:$BN81,$GC81:$GE81)&lt;8,"NEDETERMINAT",IF(AND((($BJ81*INDEX('Setari model'!$B$5:$B$11,MATCH($E81,'Setari model'!$A$5:$A$11,0))+$BK81*INDEX('Setari model'!$C$5:$C$11,MATCH($E81,'Setari model'!$A$5:$A$11,0))+$BL81*INDEX('Setari model'!$D$5:$D$11,MATCH($E81,'Setari model'!$A$5:$A$11,0))+$BM81*INDEX('Setari model'!$E$5:$E$11,MATCH($E81,'Setari model'!$A$5:$A$11,0))+$BN81*INDEX('Setari model'!$F$5:$F$11,MATCH($E81,'Setari model'!$A$5:$A$11,0)))/(INDEX('Setari model'!$B$5:$B$11,MATCH($E81,'Setari model'!$A$5:$A$11,0))+INDEX('Setari model'!$C$5:$C$11,MATCH($E81,'Setari model'!$A$5:$A$11,0))+INDEX('Setari model'!$D$5:$D$11,MATCH($E81,'Setari model'!$A$5:$A$11,0))+INDEX('Setari model'!$E$5:$E$11,MATCH($E81,'Setari model'!$A$5:$A$11,0))+INDEX('Setari model'!$F$5:$F$11,MATCH($E81,'Setari model'!$A$5:$A$11,0))))*$BR81&gt;='Setari model'!$B$115,(($BJ81*INDEX('Setari model'!$B$5:$B$11,MATCH($E81,'Setari model'!$A$5:$A$11,0))+$BK81*INDEX('Setari model'!$C$5:$C$11,MATCH($E81,'Setari model'!$A$5:$A$11,0))+$BL81*INDEX('Setari model'!$D$5:$D$11,MATCH($E81,'Setari model'!$A$5:$A$11,0))+$BM81*INDEX('Setari model'!$E$5:$E$11,MATCH($E81,'Setari model'!$A$5:$A$11,0))+$BN81*INDEX('Setari model'!$F$5:$F$11,MATCH($E81,'Setari model'!$A$5:$A$11,0)))/(INDEX('Setari model'!$B$5:$B$11,MATCH($E81,'Setari model'!$A$5:$A$11,0))+INDEX('Setari model'!$C$5:$C$11,MATCH($E81,'Setari model'!$A$5:$A$11,0))+INDEX('Setari model'!$D$5:$D$11,MATCH($E81,'Setari model'!$A$5:$A$11,0))+INDEX('Setari model'!$E$5:$E$11,MATCH($E81,'Setari model'!$A$5:$A$11,0))+INDEX('Setari model'!$F$5:$F$11,MATCH($E81,'Setari model'!$A$5:$A$11,0))))*$BR81&lt;='Setari model'!$B$116,AVERAGE($GC81:$GD81)&lt;='Setari model'!$B$117,$GE81&gt;='Setari model'!$B$118),"DA","NU")))</x:f>
      </x:c>
      <x:c r="GI81" s="158" t="str">
        <x:f>IF($A81="","",IF(COUNT($W81,$AB81,$GA81:$GB81)&lt;4,"NEDETERMINAT",IF(AND($W81&gt;='Setari model'!$B$120,$AB81&gt;='Setari model'!$B$120,OR(IFERROR($GA81/$W81,0)&gt;='Setari model'!$B$119,IFERROR($GB81/$AB81,0)&gt;='Setari model'!$B$119)),"DA","NU")))</x:f>
      </x:c>
      <x:c r="GJ81" s="160" t="str">
        <x:f>IF($A81="","",IF(COUNT($FY81:$GB81)&lt;4,"",IF($GH81&lt;&gt;"DA",0,'Setari model'!$B$121*IF($GF81="DA",1,0)+'Setari model'!$B$122*IF($GG81="DA",1,0)+'Setari model'!$B$123+'Setari model'!$B$124*IF($GI81="DA",1,0))))</x:f>
      </x:c>
      <x:c r="GK81" s="161" t="str">
        <x:f>IF($A81="","",IF(COUNT($GJ81)=0,"",1+'Setari model'!$B$125*$GJ81))</x:f>
      </x:c>
      <x:c r="GL81" s="160" t="str">
        <x:f>IF($A81="","",IF($GM81&lt;&gt;"DA",$FJ81,MIN('Setari model'!$B$101,MAX(0.002,$FJ81*$GK81))))</x:f>
      </x:c>
      <x:c r="GM81" s="158" t="str">
        <x:f>IF($A81="","",IF(AND($FK81="DA",COUNT($FY81:$GB81)=4,COUNT($I81,$P81,$W81,$AB81,$Z81,$AE81,$EX81,$EY81,$GC81,$GD81)=10,COUNT($BJ81:$BN81)=5),"DA","NU"))</x:f>
      </x:c>
      <x:c r="GN81" s="158" t="str">
        <x:f>IF($A81="","",IF($GM81&lt;&gt;"DA","NEDETERMINAT",IF($FI81*$GK81&lt;='Setari model'!$B$99,"SCĂZUT",IF($FI81*$GK81&lt;='Setari model'!$B$100,"MEDIU","RIDICAT"))))</x:f>
      </x:c>
      <x:c r="GO81" s="160" t="str">
        <x:f>IF($A81="","",IF(OR($GM81&lt;&gt;"DA",$GN81="RIDICAT"),'Setari model'!$B$102,IF($GN81="MEDIU",'Setari model'!$B$103,IF(AND($FM81="DA",$FN81="DA"),'Setari model'!$B$105,'Setari model'!$B$104))))</x:f>
      </x:c>
      <x:c r="GP81" s="160" t="str">
        <x:f t="shared" si="152">IF($A81="","",IF($GL81="","",MIN(1-$GL81,$GO81)))</x:f>
      </x:c>
      <x:c r="GQ81" s="162" t="str">
        <x:f t="shared" si="153">IF($A81="","",IF($GP81="","",IF($GP81&gt;0,1/$GP81,"")))</x:f>
      </x:c>
      <x:c r="GR81" s="160" t="str">
        <x:f t="shared" si="154">IF($A81="","",IF($EC81="","",$GP81-$EC81))</x:f>
      </x:c>
      <x:c r="GS81" s="160" t="str">
        <x:f t="shared" si="155">IF($A81="","",IF($AR81&gt;1,$GP81*$AR81-1,""))</x:f>
      </x:c>
      <x:c r="GT81" s="163" t="str">
        <x:f>IF($A81="","",MAX(0,MIN(100,$FT81-IF(AND($GM81&lt;&gt;"DA",$FK81="DA"),'Setari model'!$B$107,0)-'Setari model'!$B$126*IF($GJ81="",0,$GJ81))))</x:f>
      </x:c>
      <x:c r="GU81" s="158" t="str">
        <x:f t="shared" si="156">IF($A81="","",IF($AR81&lt;=1,"NU – LIPSEȘTE COTA REALĂ",IF($GM81&lt;&gt;"DA","NU – DATE LOW-CONVERSION INCOMPLETE",IF($GN81&lt;&gt;"SCĂZUT","NU – RISC 0-0 "&amp;$GN81,IF($FN81&lt;&gt;"DA","NU – LINEUP NECONFIRMAT",IF($FM81&lt;&gt;"DA","NU – PIAȚĂ NECONFIRMATĂ",IF($EP81&lt;&gt;"DA","NU – PORTOFOLIU","DA")))))))</x:f>
      </x:c>
      <x:c r="GV81" s="158" t="str">
        <x:f>IF($A81="","",IF($GU81&lt;&gt;"DA","WATCH / NO BET",IF(AND($GP81&gt;='Setari model'!$B$35,$GT81&gt;=100*'Setari model'!$B$76,$GS81&gt;0),"PARIU RECOMANDAT",IF(AND($GP81&gt;='Setari model'!$B$39,$GT81&gt;=100*'Setari model'!$B$40,$GS81&gt;0),"WATCH – APROAPE DE PRAG","PARIU EVITAT"))))</x:f>
      </x:c>
      <x:c r="GW81" s="158" t="str">
        <x:f t="shared" si="157">IF($A81="","",IF($GU81&lt;&gt;"DA",$GU81,IF($GT81&lt;75,"Confidence v5 sub 75.",IF($GP81&lt;0.92,"P v5 sub 92%.",IF($GS81&lt;=0,"EV v5 nepozitiv.",IF($GJ81&gt;0,"Low-conversion absorbit în P0; toate porțile rămân trecute.","Toate porțile v5 sunt trecute."))))))</x:f>
      </x:c>
      <x:c r="GX81" s="158" t="str">
        <x:f t="shared" si="158">IF($A81="","","P v5="&amp;TEXT($GP81,"0.0%")&amp;"; P0 v5="&amp;TEXT($GL81,"0.0%")&amp;"; low-conv="&amp;IF(COUNT($GJ81)=0,"n/a",TEXT($GJ81,"0%"))&amp;"; mult.P0="&amp;IF(COUNT($GK81)=0,"n/a",TEXT($GK81,"0.00"))&amp;"; clasă="&amp;$GN81&amp;"; cap="&amp;TEXT($GO81,"0.0%")&amp;"; Confidence="&amp;TEXT($GT81,"0")&amp;"/100; lineup="&amp;$FN81&amp;"; piață="&amp;$FM81&amp;"; EV="&amp;IF($GS81="","n/a",TEXT($GS81,"0.0%"))&amp;"; gate="&amp;$GU81&amp;"; verdict="&amp;$GV81&amp;". "&amp;$GW81)</x:f>
      </x:c>
      <x:c r="GY81" s="174" t="str">
        <x:f>IF($A81="","",IF($GM81&lt;&gt;"DA","SOURCING INCOMPLETE – REVIEW REQUIRED",IF(MIN($I81,$P81,$W81,$AB81)&lt;'Setari model'!$B$58,"SMALL SAMPLE + PRIOR / SHRINKAGE","VERIFIED / PRIOR / SHRINKAGE")))</x:f>
      </x:c>
      <x:c r="GZ81" s="175" t="str">
        <x:f t="shared" si="159">IF($A81="","",MAX(0,MIN(100,100*(1-AVERAGE(IF($GM81="DA",1,0),MIN(1,$AT81/5))))))</x:f>
      </x:c>
      <x:c r="HA81" s="175" t="str">
        <x:f>IF($A81="","",IF($GM81&lt;&gt;"DA","",MAX(0,MIN(100,100*(($FI81*$GK81)-'Setari model'!$B$97)/('Setari model'!$B$98-'Setari model'!$B$97)))))</x:f>
      </x:c>
      <x:c r="HB81" s="175" t="str">
        <x:f>IF($A81="","",MAX(0,MIN(100,100*(ABS($BR81-1)/MAX(1-'Setari model'!$B$53,'Setari model'!$B$54-1)+MIN(1,$BG81/2))/2)))</x:f>
      </x:c>
      <x:c r="HC81" s="175" t="str">
        <x:f t="shared" si="160">IF($A81="","",MAX(0,MIN(100,100*(1-AVERAGE($CC81,MAX(0,1-(MAX($BJ81:$BN81)-MIN($BJ81:$BN81))/(AVERAGE($BJ81:$BN81)*'Setari model'!$B$45)))))))</x:f>
      </x:c>
      <x:c r="HD81" s="175" t="str">
        <x:f t="shared" si="161">IF($A81="","",MAX(0,MIN(100,100*MAX(IF($GJ81="",0,$GJ81),MIN(1,$BG81/2)))))</x:f>
      </x:c>
      <x:c r="HE81" s="175" t="str">
        <x:f>IF($A81="","",IF(COUNT($GZ81:$HD81)&lt;5,"",$GZ81*Risk_Classification!$E$28+$HA81*Risk_Classification!$E$29+$HB81*Risk_Classification!$E$30+$HC81*Risk_Classification!$E$31+$HD81*Risk_Classification!$E$32))</x:f>
      </x:c>
      <x:c r="HF81" s="176" t="str">
        <x:f t="shared" si="162">IF($A81="","",IF($HE81="","",IF($HE81&lt;=20,1,IF($HE81&lt;=40,2,IF($HE81&lt;=60,3,IF($HE81&lt;=80,4,5))))))</x:f>
      </x:c>
      <x:c r="HG81" s="176" t="str">
        <x:f t="shared" si="163">IF($A81="","",IF($GM81="DA","PASS","FAIL – DATE CRITICE ZERO-MASS INCOMPLETE"))</x:f>
      </x:c>
      <x:c r="HH81" s="176" t="str">
        <x:f t="shared" si="164">IF($A81="","",IF($HG81&lt;&gt;"PASS",5,$HF81))</x:f>
      </x:c>
      <x:c r="HI81" s="174" t="str">
        <x:f t="shared" si="165">IF($A81="","",IF($HH81="","N/A",IF($HH81=1,"DEFENSIV",IF($HH81=2,"PRUDENT",IF($HH81=3,"MODERAT",IF($HH81=4,"RIDICAT","WATCH / NO BET"))))))</x:f>
      </x:c>
      <x:c r="HJ81" s="177" t="str">
        <x:f t="shared" si="166">IF($A81="","","Data="&amp;$GY81&amp;"; DQ="&amp;TEXT($GZ81,"0.0")&amp;"; ZM="&amp;IF($HA81="","n/a",TEXT($HA81,"0.0"))&amp;"; Context="&amp;TEXT($HB81,"0.0")&amp;"; Uncertainty="&amp;TEXT($HC81,"0.0")&amp;"; Compound="&amp;TEXT($HD81,"0.0")&amp;"; Risk Score="&amp;IF($HE81="","n/a",TEXT($HE81,"0.0"))&amp;"; Base="&amp;IF($HF81="","n/a",$HF81)&amp;"; G0="&amp;$HG81&amp;"; Final="&amp;$HH81&amp;". Cota, EV si lineup sunt informative si nu intra in recomandare.")</x:f>
      </x:c>
      <x:c r="HK81" s="174" t="str">
        <x:f t="shared" si="167">IF($A81="","",$HI81)</x:f>
      </x:c>
    </x:row>
    <x:row r="82" ht="24" customHeight="1">
      <x:c r="A82" s="58"/>
      <x:c r="B82" s="24"/>
      <x:c r="C82" s="59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18"/>
      <x:c r="O82" s="18"/>
      <x:c r="P82" s="24"/>
      <x:c r="Q82" s="24"/>
      <x:c r="R82" s="24"/>
      <x:c r="S82" s="24"/>
      <x:c r="T82" s="24"/>
      <x:c r="U82" s="18"/>
      <x:c r="V82" s="18"/>
      <x:c r="W82" s="24"/>
      <x:c r="X82" s="24"/>
      <x:c r="Y82" s="24"/>
      <x:c r="Z82" s="24"/>
      <x:c r="AA82" s="24"/>
      <x:c r="AB82" s="24"/>
      <x:c r="AC82" s="24"/>
      <x:c r="AD82" s="24"/>
      <x:c r="AE82" s="24"/>
      <x:c r="AF82" s="24"/>
      <x:c r="AG82" s="24"/>
      <x:c r="AH82" s="24"/>
      <x:c r="AI82" s="18"/>
      <x:c r="AJ82" s="24"/>
      <x:c r="AK82" s="24"/>
      <x:c r="AL82" s="24"/>
      <x:c r="AM82" s="18"/>
      <x:c r="AN82" s="24"/>
      <x:c r="AO82" s="60"/>
      <x:c r="AP82" s="60"/>
      <x:c r="AQ82" s="60"/>
      <x:c r="AR82" s="60"/>
      <x:c r="AS82" s="60"/>
      <x:c r="AT82" s="24"/>
      <x:c r="AU82" s="24"/>
      <x:c r="AV82" s="24"/>
      <x:c r="AW82" s="24"/>
      <x:c r="AX82" s="24"/>
      <x:c r="AY82" s="24"/>
      <x:c r="AZ82" s="24"/>
      <x:c r="BA82" s="24"/>
      <x:c r="BB82" s="24"/>
      <x:c r="BC82" s="24"/>
      <x:c r="BD82" s="24"/>
      <x:c r="BE82" s="24"/>
      <x:c r="BF82" s="24"/>
      <x:c r="BG82" s="24"/>
      <x:c r="BH82" s="61"/>
      <x:c r="BI82" s="61"/>
      <x:c r="BJ82" s="62" t="str">
        <x:f>IF($A82="","",SQRT((($I82*IF($J82="",$AJ82,$J82)+'Setari model'!$B$30*$AJ82)/($I82+'Setari model'!$B$30))*(($P82*IF($R82="",$AJ82,$R82)+'Setari model'!$B$30*$AJ82)/($P82+'Setari model'!$B$30)))+SQRT((($P82*IF($Q82="",$AK82,$Q82)+'Setari model'!$B$30*$AK82)/($P82+'Setari model'!$B$30))*(($I82*IF($K82="",$AK82,$K82)+'Setari model'!$B$30*$AK82)/($I82+'Setari model'!$B$30))))</x:f>
      </x:c>
      <x:c r="BK82" s="62" t="str">
        <x:f>IF($A82="","",SQRT((($I82*IF($L82="",IF($J82="",$AJ82,$J82),$L82)+'Setari model'!$B$30*$AJ82)/($I82+'Setari model'!$B$30))*(($P82*IF($T82="",IF($R82="",$AJ82,$R82),$T82)+'Setari model'!$B$30*$AJ82)/($P82+'Setari model'!$B$30)))+SQRT((($P82*IF($S82="",IF($Q82="",$AK82,$Q82),$S82)+'Setari model'!$B$30*$AK82)/($P82+'Setari model'!$B$30))*(($I82*IF($M82="",IF($K82="",$AK82,$K82),$M82)+'Setari model'!$B$30*$AK82)/($I82+'Setari model'!$B$30))))</x:f>
      </x:c>
      <x:c r="BL82" s="62" t="str">
        <x:f>IF($A82="","",SQRT((($W82*IF($X82="",$AL82/2,$X82)+'Setari model'!$B$31*$AL82/2)/($W82+'Setari model'!$B$31))*(($AB82*IF($AD82="",$AL82/2,$AD82)+'Setari model'!$B$31*$AL82/2)/($AB82+'Setari model'!$B$31)))+SQRT((($AB82*IF($AC82="",$AL82/2,$AC82)+'Setari model'!$B$31*$AL82/2)/($AB82+'Setari model'!$B$31))*(($W82*IF($Y82="",$AL82/2,$Y82)+'Setari model'!$B$31*$AL82/2)/($W82+'Setari model'!$B$31))))</x:f>
      </x:c>
      <x:c r="BM82" s="62" t="str">
        <x:f>IF($A82="","",SQRT((($W82*IF($Z82="",IF($X82="",$AL82/2,$X82),$Z82)+'Setari model'!$B$31*$AL82/2)/($W82+'Setari model'!$B$31))*(($AB82*IF($AF82="",IF($AD82="",$AL82/2,$AD82),$AF82)+'Setari model'!$B$31*$AL82/2)/($AB82+'Setari model'!$B$31)))+SQRT((($AB82*IF($AE82="",IF($AC82="",$AL82/2,$AC82),$AE82)+'Setari model'!$B$31*$AL82/2)/($AB82+'Setari model'!$B$31))*(($W82*IF($AA82="",IF($Y82="",$AL82/2,$Y82),$AA82)+'Setari model'!$B$31*$AL82/2)/($W82+'Setari model'!$B$31))))</x:f>
      </x:c>
      <x:c r="BN82" s="62" t="str">
        <x:f t="shared" si="112">IF($A82="","",IF($AG82&gt;0,($AG82*IF($AH82="",$AL82,$AH82)+5*$AL82)/($AG82+5),$AL82))</x:f>
      </x:c>
      <x:c r="BO82" s="63" t="str">
        <x:f>IF($A82="","",IF($AR82&gt;1,IF($AS82&gt;1,(1/$AR82)/((1/$AR82+1/$AS82)),MIN(0.995,(1/$AR82)/(1+'Setari model'!$B$32))),1-EXP(-$AL82)))</x:f>
      </x:c>
      <x:c r="BP82" s="62" t="str">
        <x:f t="shared" si="113">IF($A82="","",-LN(1-$BO82))</x:f>
      </x:c>
      <x:c r="BQ82" s="62" t="str">
        <x:f>IF($A82="","",$BJ82*INDEX('Setari model'!$B$5:$B$11,MATCH($E82,'Setari model'!$A$5:$A$11,0))+$BK82*INDEX('Setari model'!$C$5:$C$11,MATCH($E82,'Setari model'!$A$5:$A$11,0))+$BL82*INDEX('Setari model'!$D$5:$D$11,MATCH($E82,'Setari model'!$A$5:$A$11,0))+$BM82*INDEX('Setari model'!$E$5:$E$11,MATCH($E82,'Setari model'!$A$5:$A$11,0))+$BN82*INDEX('Setari model'!$F$5:$F$11,MATCH($E82,'Setari model'!$A$5:$A$11,0))+$BP82*INDEX('Setari model'!$G$5:$G$11,MATCH($E82,'Setari model'!$A$5:$A$11,0)))</x:f>
      </x:c>
      <x:c r="BR82" s="64" t="str">
        <x:f>IF($A82="","",MAX('Setari model'!$B$53,MIN('Setari model'!$B$54,1+($AV82*'Setari model'!$B$15+$AW82*'Setari model'!$B$16+$AX82*'Setari model'!$B$17+$AY82*'Setari model'!$B$18+$AZ82*'Setari model'!$B$19+$BA82*'Setari model'!$B$20+$BB82*'Setari model'!$B$21+$BC82*'Setari model'!$B$22+$BD82*'Setari model'!$B$23+$BE82*'Setari model'!$B$24+$BF82*'Setari model'!$B$25)*INDEX('Setari model'!$H$5:$H$11,MATCH($E82,'Setari model'!$A$5:$A$11,0)))))</x:f>
      </x:c>
      <x:c r="BS82" s="62" t="str">
        <x:f t="shared" si="114">IF($A82="","",$BQ82*$BR82)</x:f>
      </x:c>
      <x:c r="BT82" s="63" t="str">
        <x:f t="shared" si="115">IF($A82="","",EXP(-$BS82))</x:f>
      </x:c>
      <x:c r="BU82" s="65" t="str">
        <x:f>IF($A82="","",IF(OR($AM82="",$AN82=""),1,1+MIN('Setari model'!$B$33,$AN82/100*'Setari model'!$B$33)*($AM82/EXP(-$AL82)-1)))</x:f>
      </x:c>
      <x:c r="BV82" s="63" t="str">
        <x:f>IF($A82="","",MIN(0.45,MAX(0.005,(1-'Setari model'!$B$34*MIN(1,($I82+$P82)/20))*MIN(0.45,$BT82*$BU82)+'Setari model'!$B$34*MIN(1,($I82+$P82)/20)*IF(COUNT($N82,$U82)=2,SQRT(MAX(0,1-$N82)*MAX(0,1-$U82)),IF($AM82="",EXP(-$AL82),$AM82)))))</x:f>
      </x:c>
      <x:c r="BW82" s="63" t="str">
        <x:f t="shared" si="116">IF($A82="","",1-$BV82)</x:f>
      </x:c>
      <x:c r="BX82" s="62" t="str">
        <x:f t="shared" si="117">IF($A82="","",1/$BW82)</x:f>
      </x:c>
      <x:c r="BY82" s="63" t="str">
        <x:f t="shared" si="118">IF($A82="","",$BO82)</x:f>
      </x:c>
      <x:c r="BZ82" s="63" t="str">
        <x:f t="shared" si="119">IF($A82="","",$BW82-$BY82)</x:f>
      </x:c>
      <x:c r="CA82" s="63" t="str">
        <x:f t="shared" si="120">IF($A82="","",IF($AR82&gt;1,$BW82*$AR82-1,""))</x:f>
      </x:c>
      <x:c r="CB82" s="63" t="str">
        <x:f>IF($A82="","",MIN(1,COUNT($I82:$AN82,$AR82:$BG82)/'Setari model'!$B$46))</x:f>
      </x:c>
      <x:c r="CC82" s="63" t="str">
        <x:f t="shared" si="121">IF($A82="","",0.25*MIN(1,$I82/10)+0.25*MIN(1,$P82/10)+0.15*MIN(1,$W82/5)+0.15*MIN(1,$AB82/5)+0.1*MIN(1,$AG82/5)+0.1*MIN(1,$AN82/100))</x:f>
      </x:c>
      <x:c r="CD82" s="63" t="str">
        <x:f>IF($A82="","",MAX(0,1-(MAX($BJ82:$BN82,$BP82)-MIN($BJ82:$BN82,$BP82))/(AVERAGE($BJ82:$BN82,$BP82)*'Setari model'!$B$45)))</x:f>
      </x:c>
      <x:c r="CE82" s="66" t="str">
        <x:f>IF($A82="","",MAX(0,MIN(100,100*INDEX('Setari model'!$I$5:$I$11,MATCH($E82,'Setari model'!$A$5:$A$11,0))*('Setari model'!$B$47*$CB82+'Setari model'!$B$48*$CC82+'Setari model'!$B$49*$CD82+'Setari model'!$B$50*$AT82/5+'Setari model'!$B$51*$AU82)-100*'Setari model'!$B$52*$BG82)))</x:f>
      </x:c>
      <x:c r="CF82" s="65" t="str">
        <x:f t="shared" si="122">IF($A82="","",IF(OR($AT82&lt;3,$BG82&gt;=2,$CB82&lt;0.55,$CC82&lt;0.4),"RIDICAT",IF(OR($AU82=0,$CD82&lt;0.45,$BR82&lt;0.9),"MEDIU","SCĂZUT")))</x:f>
      </x:c>
      <x:c r="CG82" s="65" t="str">
        <x:f>IF($A82="","",IF($AR82&gt;1,IF(AND($BW82&gt;= 'Setari model'!$B$35,$CE82&gt;=100*'Setari model'!$B$36,$BZ82&gt;= 'Setari model'!$B$37,$CA82&gt;= 'Setari model'!$B$38,$CF82&lt;&gt;"RIDICAT"),"PARIU RECOMANDAT",IF(AND($BW82&gt;= 'Setari model'!$B$39,$CE82&gt;=100*'Setari model'!$B$40,$BZ82&gt;= 'Setari model'!$B$41,$CA82&gt;=0,$CF82&lt;&gt;"RIDICAT"),"RECOMANDAT CU PRUDENȚĂ",IF(AND($BW82&gt;= 'Setari model'!$B$42,$CE82&gt;=100*'Setari model'!$B$43),"ANALIZĂ NECONCLUDENTĂ","PARIU EVITAT"))),IF(AND($BW82&gt;= 'Setari model'!$B$35,$CE82&gt;=100*'Setari model'!$B$36,$CF82&lt;&gt;"RIDICAT"),"FAVORABIL STATISTIC – VERIFICĂ COTA",IF(AND($BW82&gt;= 'Setari model'!$B$42,$CE82&gt;=100*'Setari model'!$B$43),"ANALIZĂ NECONCLUDENTĂ","PARIU EVITAT"))))</x:f>
      </x:c>
      <x:c r="CH82" s="67" t="str">
        <x:f t="shared" si="123">IF($A82="","","P(O0,5)="&amp;TEXT($BW82,"0.0%")&amp;"; λ ajustat="&amp;TEXT($BS82,"0.00")&amp;"; Confidence="&amp;TEXT($CE82,"0")&amp;"/100; Edge="&amp;TEXT($BZ82,"0.0%")&amp;"; risc="&amp;$CF82&amp;". "&amp;$BH82)</x:f>
      </x:c>
      <x:c r="CI82" s="68" t="str">
        <x:f t="shared" si="124">IF($A82="","",$BI82)</x:f>
      </x:c>
      <x:c r="CJ82" s="112"/>
      <x:c r="CK82" s="112"/>
      <x:c r="CL82" s="112"/>
      <x:c r="CM82" s="112"/>
      <x:c r="CN82" s="112"/>
      <x:c r="CO82" s="112"/>
      <x:c r="CP82" s="112"/>
      <x:c r="CQ82" s="112"/>
      <x:c r="CR82" s="112"/>
      <x:c r="CS82" s="112"/>
      <x:c r="CT82" s="112"/>
      <x:c r="CU82" s="112"/>
      <x:c r="CV82" s="112"/>
      <x:c r="CW82" s="112"/>
      <x:c r="CX82" s="112"/>
      <x:c r="CY82" s="112"/>
      <x:c r="CZ82" s="112"/>
      <x:c r="DA82" s="112"/>
      <x:c r="DB82" s="112"/>
      <x:c r="DC82" s="114"/>
      <x:c r="DD82" s="114"/>
      <x:c r="DE82" s="112" t="s">
        <x:v>266</x:v>
      </x:c>
      <x:c r="DF82" s="112"/>
      <x:c r="DG82" s="112"/>
      <x:c r="DH82" s="112"/>
      <x:c r="DI82" s="112"/>
      <x:c r="DJ82" s="112"/>
      <x:c r="DK82" s="112"/>
      <x:c r="DL82" s="112"/>
      <x:c r="DM82" s="112"/>
      <x:c r="DN82" s="112"/>
      <x:c r="DO82" s="112"/>
      <x:c r="DP82" s="112"/>
      <x:c r="DQ82" s="114"/>
      <x:c r="DR82" s="112">
        <x:v>1</x:v>
      </x:c>
      <x:c r="DS82" s="116">
        <x:v>0</x:v>
      </x:c>
      <x:c r="DT82" s="120"/>
      <x:c r="DU82" s="116">
        <x:v>0.02</x:v>
      </x:c>
      <x:c r="DV82" s="116">
        <x:v>0.25</x:v>
      </x:c>
      <x:c r="DW82" s="118" t="str">
        <x:f>IF($A82="","",MAX('Setari model'!$B$71,MIN('Setari model'!$B$72,1+0.08*(IFERROR(AVERAGE($CM82:$CN82)/'Setari model'!$B$66,1)-1)+0.08*(IFERROR(AVERAGE($CO82:$CP82)/'Setari model'!$B$67,1)-1)+0.06*(IFERROR(AVERAGE($CQ82:$CR82)/'Setari model'!$B$68,1)-1)+0.04*(IFERROR(AVERAGE($CS82:$CT82)/'Setari model'!$B$69,1)-1)+0.04*(IFERROR(AVERAGE($CU82:$CV82)/'Setari model'!$B$70,1)-1)-'Setari model'!$B$73*IFERROR(AVERAGE($CW82:$CX82),0))))</x:f>
      </x:c>
      <x:c r="DX82" s="118" t="str">
        <x:f>IF($A82="","",1+'Setari model'!$B$62*MAX(IF(OR($CK82=1,$CL82=1),1,0),IF(AND($CJ82&lt;&gt;"",$CJ82&lt;=1),1,0))+'Setari model'!$B$63*IF(AND($CJ82&gt;1,$CJ82&lt;=3),1,0))</x:f>
      </x:c>
      <x:c r="DY82" s="118" t="str">
        <x:f>IF($A82="","",1+'Setari model'!$B$74*(IF($CY82="",0,IF($CY82=0,1,0))+IF($CZ82="",0,IF($CZ82=0,1,0)))+'Setari model'!$B$75*(IF($DA82="",0,IF($DA82=0,1,0))+IF($DB82="",0,IF($DB82=0,1,0))))</x:f>
      </x:c>
      <x:c r="DZ82" s="117" t="str">
        <x:f>IF($A82="","",MIN(0.6,MAX(0.002,(((1-'Setari model'!$B$34*MIN(1,($I82+$P82)/20))*$BT82+'Setari model'!$B$34*MIN(1,($I82+$P82)/20)*IF(COUNT($N82,$U82)=2,SQRT(MAX(0,1-$N82)*MAX(0,1-$U82)),$BT82))*(1-'Setari model'!$B$65*MIN(1,IF($AN82="",0,$AN82/'Setari model'!$B$64)))+'Setari model'!$B$65*MIN(1,IF($AN82="",0,$AN82/'Setari model'!$B$64))*IF($AM82="",$BT82,$AM82))*$DX82*$DY82/$DW82)))</x:f>
      </x:c>
      <x:c r="EA82" s="117" t="str">
        <x:f>IF($A82="","",MIN(1-$DZ82,IF(OR(MIN($I82,$P82)&lt;'Setari model'!$B$58,$CK82=1,$CL82=1,AND($CJ82&lt;&gt;"",$CJ82&lt;=1)),'Setari model'!$B$59,IF(AND($AU82=1,$AR82&gt;1,COUNT($CY82:$DB82)=4),'Setari model'!$B$61,'Setari model'!$B$60))))</x:f>
      </x:c>
      <x:c r="EB82" s="115" t="str">
        <x:f t="shared" si="125">IF($A82="","",1/$EA82)</x:f>
      </x:c>
      <x:c r="EC82" s="117" t="str">
        <x:f t="shared" si="126">IF($A82="","",IF($AR82&gt;1,IF($AS82&gt;1,(1/$AR82)/((1/$AR82)+(1/$AS82)),1/$AR82),""))</x:f>
      </x:c>
      <x:c r="ED82" s="117" t="str">
        <x:f t="shared" si="127">IF($A82="","",IF($EC82="","",$EA82-$EC82))</x:f>
      </x:c>
      <x:c r="EE82" s="117" t="str">
        <x:f t="shared" si="128">""</x:f>
      </x:c>
      <x:c r="EF82" s="119" t="str">
        <x:f>IF($A82="","",MAX(0,MIN(100,$CE82-200*MAX(0,$EG82-'Setari model'!$B$77)-IF($AU82&lt;&gt;1,10,0)-IF(COUNT($CY82:$DB82)&lt;4,4,0))))</x:f>
      </x:c>
      <x:c r="EG82" s="117" t="str">
        <x:f>IF($A82="","",'Setari model'!$B$77+IF(MIN($I82,$P82)&lt;'Setari model'!$B$58,0.03,0)+IF(OR($CK82=1,$CL82=1,AND($CJ82&lt;&gt;"",$CJ82&lt;=1)),0.03,0)+IF($AG82=0,0.02,0)+0.03*(1-MIN(1,COUNT($CM82:$CV82)/10))+0.03*(1-MIN(1,IF($AN82="",0,$AN82/'Setari model'!$B$64)))+IF($AR82&lt;=1,0.02,0))</x:f>
      </x:c>
      <x:c r="EH82" s="113" t="str">
        <x:f>IF($A82="","",IF(OR(MIN($I82,$P82)&lt;'Setari model'!$B$58,$CK82=1,$CL82=1,AND($CJ82&lt;&gt;"",$CJ82&lt;=1)),"92% – early/regim",IF(AND($AU82=1,$AR82&gt;1,COUNT($CY82:$DB82)=4),"94% – confirmat","93% – standard")))</x:f>
      </x:c>
      <x:c r="EI82" s="113" t="str">
        <x:f t="shared" si="129">IF($A82="","",IF(AND($EA82&gt;0.9,$AU82&lt;&gt;1),"WAIT XI – HIGH P",IF(AND($EA82&gt;0.9,COUNT($CY82:$DB82)&lt;4),"WAIT DATE CHEIE – HIGH P",IF($EP82&lt;&gt;"DA","NU – PORTOFOLIU","DA"))))</x:f>
      </x:c>
      <x:c r="EJ82" s="117" t="str">
        <x:f t="shared" si="130">IF($A82="","",IF($DE82&lt;&gt;"Live 20-30","",IF(SUM($DG82:$DH82)&gt;0,1,IF($EU82="","",1-MIN(0.95,MAX(0.001,EXP(-$EU82)*$DX82*$DY82/$DW82))))))</x:f>
      </x:c>
      <x:c r="EK82" s="117" t="str">
        <x:f t="shared" si="131">""</x:f>
      </x:c>
      <x:c r="EL82" s="113" t="str">
        <x:f>IF($A82="","",IF($DE82="Live 20-30",IF(SUM($DG82:$DH82)&gt;0,"EVENIMENT ÎNDEPLINIT",IF(OR($DF82="",COUNT($DI82:$DN82)&lt;4),"LIVE – WATCH",IF($EJ82&gt;=0.75,"LIVE – FEZABIL TEHNIC","LIVE – NO BET"))),IF($EI82&lt;&gt;"DA","WATCH / NO BET",IF(AND($EA82&gt;=INDEX('Setari model'!$B$35:$B$40,1),$EF82&gt;=100*'Setari model'!$B$76),"PARIU RECOMANDAT",IF(AND($EA82&gt;=INDEX('Setari model'!$B$35:$B$40,5),$EF82&gt;=100*'Setari model'!$B$40),"WATCH – APROAPE DE PRAG","PARIU EVITAT")))))</x:f>
      </x:c>
      <x:c r="EM82" s="113" t="str">
        <x:f t="shared" si="132">IF($A82="","",IF($DE82="Live 20-30",IF(SUM($DG82:$DH82)&gt;0,"Gol deja marcat.",IF($DF82="","Minut live lipsă.",IF(COUNT($DI82:$DN82)&lt;4,"Lipsesc xG/SOT/big chances live.",IF($EJ82&lt;0.75,"P live sub prag.","Semnal live tehnic complet; EV ignorat.")))),IF($EI82&lt;&gt;"DA",$EI82,IF($EF82&lt;75,"Confidence sub 75.",IF($EA82&lt;0.92,"P sub 92%.","G0/Zero-Mass + confidence trecute; EV ignorat.")))))</x:f>
      </x:c>
      <x:c r="EN82" s="117" t="str">
        <x:f>IF($A82="","",IF(OR($EL82="PARIU RECOMANDAT",$EL82="LIVE – FEZABIL"),MIN(IF($DU82&gt;0,$DU82,'Setari model'!$B$81)/MAX(1,$DR82),IF($DV82&gt;0,$DV82,'Setari model'!$B$80)*MAX(0,((IF($DE82="Live 20-30",$EJ82,$EA82)*IF($DE82="Live 20-30",$DQ82,$AR82)-1)/(IF($DE82="Live 20-30",$DQ82,$AR82)-1)))),0))</x:f>
      </x:c>
      <x:c r="EO82" s="121" t="str">
        <x:f t="shared" si="133">IF($A82="","",IF(AND($EN82&gt;0,$DT82&gt;0),$EN82*$DT82,""))</x:f>
      </x:c>
      <x:c r="EP82" s="113" t="str">
        <x:f>IF($A82="","",IF(OR($DR82&lt;1,$DR82&gt;'Setari model'!$B$78),"NU – 1–5 selecții",IF($DS82&gt;'Setari model'!$B$79,"NU – corelație", "DA")))</x:f>
      </x:c>
      <x:c r="EQ82" s="117" t="str">
        <x:f t="shared" si="134">IF($A82="","",IF(AND($DC82&gt;1,$DD82&gt;1),$DC82/$DD82-1,""))</x:f>
      </x:c>
      <x:c r="ER82" s="113" t="str">
        <x:f t="shared" si="135">IF($A82="","","P v2="&amp;TEXT($EA82,"0.0%")&amp;" ±"&amp;TEXT($EG82,"0.0%")&amp;"; P0 ZIP="&amp;TEXT($DZ82,"0.0%")&amp;"; Confidence="&amp;TEXT($EF82,"0")&amp;"/100; piață reală="&amp;IF($EC82="","NU","DA")&amp;"; EV="&amp;IF($EE82="","n/a",TEXT($EE82,"0.0%"))&amp;"; gate="&amp;$EI82&amp;"; verdict="&amp;$EL82&amp;". "&amp;$EM82)</x:f>
      </x:c>
      <x:c r="ES82" s="119" t="str">
        <x:f>IF($A82="","",'Setari model'!$B$82)</x:f>
      </x:c>
      <x:c r="ET82" s="118" t="str">
        <x:f>IF($A82="","",'Setari model'!$B$83)</x:f>
      </x:c>
      <x:c r="EU82" s="115" t="str">
        <x:f t="shared" si="136">IF(OR($A82="",$DE82&lt;&gt;"Live 20-30",$DF82="",$DF82&lt;$ES82,$DF82&gt;=90),"",MAX(0.05,MIN($BS82*$ET82,$BS82*(90-$DF82)/90+0.35*($DI82+$DJ82)+0.06*($DK82+$DL82)+0.15*($DM82+$DN82)+0.1*(MAX($DO82,$DP82)-MIN($DO82,$DP82)))))</x:f>
      </x:c>
      <x:c r="EV82" s="132"/>
      <x:c r="EW82" s="132"/>
      <x:c r="EX82" s="132"/>
      <x:c r="EY82" s="132"/>
      <x:c r="EZ82" s="132"/>
      <x:c r="FA82" s="132"/>
      <x:c r="FB82" s="247"/>
      <x:c r="FC82" s="134" t="str">
        <x:f t="shared" si="137">IF($A82="","",IF(OR($J82="",$L82="",$L82&lt;=0),"",MAX(0.5,MIN(1.5,$J82/$L82))))</x:f>
      </x:c>
      <x:c r="FD82" s="134" t="str">
        <x:f t="shared" si="138">IF($A82="","",IF(OR($Q82="",$S82="",$S82&lt;=0),"",MAX(0.5,MIN(1.5,$Q82/$S82))))</x:f>
      </x:c>
      <x:c r="FE82" s="134" t="str">
        <x:f>IF($A82="","",IF(COUNT($EV82:$EW82)&lt;2,"",SQRT($EV82*$EW82)/'Setari model'!$B$87))</x:f>
      </x:c>
      <x:c r="FF82" s="134" t="str">
        <x:f>IF($A82="","",IF(COUNT($O82,$V82,$EX82,$EY82)&lt;4,"",AVERAGE(SQRT($O82*$EY82),SQRT($V82*$EX82))/'Setari model'!$B$88))</x:f>
      </x:c>
      <x:c r="FG82" s="134" t="str">
        <x:f t="shared" si="139">IF($A82="","",IF(COUNT($FC82:$FD82)&lt;2,"",MAX(0,1-AVERAGE($FC82:$FD82))))</x:f>
      </x:c>
      <x:c r="FH82" s="134" t="str">
        <x:f>IF($A82="","",IF(COUNT($EZ82:$FA82)&lt;2,"",'Setari model'!$B$94*AVERAGE($EZ82:$FA82)/'Setari model'!$B$89))</x:f>
      </x:c>
      <x:c r="FI82" s="134" t="str">
        <x:f>IF($A82="","",IF(COUNT($FE82:$FH82)&lt;4,"",MAX('Setari model'!$B$97,MIN('Setari model'!$B$98,1+'Setari model'!$B$90*($FE82-1)+'Setari model'!$B$91*($FF82-1)+'Setari model'!$B$92*$FG82+'Setari model'!$B$93*($FH82-1)))))</x:f>
      </x:c>
      <x:c r="FJ82" s="133" t="str">
        <x:f>IF($A82="","",IF($FI82="","",MIN('Setari model'!$B$101,MAX(0.002,$DZ82*$FI82))))</x:f>
      </x:c>
      <x:c r="FK82" s="131" t="str">
        <x:f t="shared" si="140">IF($A82="","",IF(AND(COUNT($EV82:$FA82)=6,COUNT($O82,$V82,$FC82,$FD82)=4),"DA","NU"))</x:f>
      </x:c>
      <x:c r="FL82" s="131" t="str">
        <x:f>IF($A82="","",IF($FK82&lt;&gt;"DA","NEDETERMINAT",IF($FI82&lt;='Setari model'!$B$99,"SCĂZUT",IF($FI82&lt;='Setari model'!$B$100,"MEDIU","RIDICAT"))))</x:f>
      </x:c>
      <x:c r="FM82" s="131" t="str">
        <x:f>IF($A82="","",IF(AND($AR82&gt;1,$EC82&gt;='Setari model'!$B$106),"DA","NU"))</x:f>
      </x:c>
      <x:c r="FN82" s="131" t="str">
        <x:f t="shared" si="141">IF($A82="","",IF(AND($AU82=1,COUNT($CY82:$DB82)=4),"DA","NU"))</x:f>
      </x:c>
      <x:c r="FO82" s="133" t="str">
        <x:f>IF($A82="","",IF(OR($FK82&lt;&gt;"DA",$FL82="RIDICAT"),'Setari model'!$B$102,IF($FL82="MEDIU",'Setari model'!$B$103,IF(AND($FM82="DA",$FN82="DA"),'Setari model'!$B$105,'Setari model'!$B$104))))</x:f>
      </x:c>
      <x:c r="FP82" s="133" t="str">
        <x:f t="shared" si="142">IF($A82="","",IF($FJ82="","",MIN(1-$FJ82,$FO82)))</x:f>
      </x:c>
      <x:c r="FQ82" s="135" t="str">
        <x:f t="shared" si="143">IF($A82="","",IF($FP82="","",IF($FP82&gt;0,1/$FP82,"")))</x:f>
      </x:c>
      <x:c r="FR82" s="133" t="str">
        <x:f t="shared" si="144">IF($A82="","",IF($EC82="","",$FP82-$EC82))</x:f>
      </x:c>
      <x:c r="FS82" s="133" t="str">
        <x:f t="shared" si="145">IF($A82="","",IF($AR82&gt;1,$FP82*$AR82-1,""))</x:f>
      </x:c>
      <x:c r="FT82" s="136" t="str">
        <x:f>IF($A82="","",MAX(0,MIN(100,$EF82-IF($FK82&lt;&gt;"DA",'Setari model'!$B$107,0)-IF($FL82="MEDIU",'Setari model'!$B$108,0)-IF($FL82="RIDICAT",'Setari model'!$B$109,0))))</x:f>
      </x:c>
      <x:c r="FU82" s="131" t="str">
        <x:f t="shared" si="146">IF($A82="","",IF($AR82&lt;=1,"NU – LIPSEȘTE COTA REALĂ",IF($FK82&lt;&gt;"DA","NU – ZERO-RISK INCOMPLET",IF($FL82&lt;&gt;"SCĂZUT","NU – RISC 0-0 "&amp;$FL82,IF($FN82&lt;&gt;"DA","NU – LINEUP NECONFIRMAT",IF($FM82&lt;&gt;"DA","NU – PIAȚĂ NECONFIRMATĂ",IF($EP82&lt;&gt;"DA","NU – PORTOFOLIU","DA")))))))</x:f>
      </x:c>
      <x:c r="FV82" s="131" t="str">
        <x:f>IF($A82="","",IF($FU82&lt;&gt;"DA","WATCH / NO BET",IF(AND($FP82&gt;='Setari model'!$B$35,$FT82&gt;=100*'Setari model'!$B$76,$FS82&gt;0),"PARIU RECOMANDAT",IF(AND($FP82&gt;='Setari model'!$B$39,$FT82&gt;=100*'Setari model'!$B$40,$FS82&gt;0),"WATCH – APROAPE DE PRAG","PARIU EVITAT"))))</x:f>
      </x:c>
      <x:c r="FW82" s="131" t="str">
        <x:f t="shared" si="147">IF($A82="","",IF($FU82&lt;&gt;"DA",$FU82,IF($FT82&lt;75,"Confidence v3 sub 75.",IF($FP82&lt;0.92,"P v3 sub 92%.",IF($FS82&lt;=0,"EV v3 nepozitiv.","P0 v3, lineup și piață confirmate.")))))</x:f>
      </x:c>
      <x:c r="FX82" s="131" t="str">
        <x:f t="shared" si="148">IF($A82="","","P v3="&amp;TEXT($FP82,"0.0%")&amp;"; P0 v3="&amp;TEXT($FJ82,"0.0%")&amp;"; factor zero="&amp;IF($FI82="","n/a",TEXT($FI82,"0.00x"))&amp;" ("&amp;$FL82&amp;"); cap="&amp;TEXT($FO82,"0.0%")&amp;"; Confidence="&amp;TEXT($FT82,"0")&amp;"/100; lineup="&amp;$FN82&amp;"; piață="&amp;$FM82&amp;"; EV="&amp;IF($FS82="","n/a",TEXT($FS82,"0.0%"))&amp;"; gate="&amp;$FU82&amp;"; verdict="&amp;$FV82&amp;". "&amp;$FW82)</x:f>
      </x:c>
      <x:c r="FY82" s="159"/>
      <x:c r="FZ82" s="159"/>
      <x:c r="GA82" s="157"/>
      <x:c r="GB82" s="157"/>
      <x:c r="GC82" s="161" t="str">
        <x:f t="shared" si="149">IF($A82="","",IF(OR($X82="",$Z82="",$Z82&lt;=0),"",MAX(0.5,MIN(1.5,$X82/$Z82))))</x:f>
      </x:c>
      <x:c r="GD82" s="161" t="str">
        <x:f t="shared" si="150">IF($A82="","",IF(OR($AC82="",$AE82="",$AE82&lt;=0),"",MAX(0.5,MIN(1.5,$AC82/$AE82))))</x:f>
      </x:c>
      <x:c r="GE82" s="162" t="str">
        <x:f t="shared" si="151">IF($A82="","",IF(COUNT($Z82,$AE82)&lt;2,"",AVERAGE($Z82,$AE82)))</x:f>
      </x:c>
      <x:c r="GF82" s="158" t="str">
        <x:f>IF($A82="","",IF(COUNT($FY82:$FZ82)&lt;2,"NEDETERMINAT",IF(AND($FY82&gt;='Setari model'!$B$113,$FZ82&gt;='Setari model'!$B$113),"DA","NU")))</x:f>
      </x:c>
      <x:c r="GG82" s="158" t="str">
        <x:f>IF($A82="","",IF(COUNT($FY82:$FZ82,$EX82:$EY82)&lt;4,"NEDETERMINAT",IF(OR(AND($FY82&gt;='Setari model'!$B$113,$EY82&gt;='Setari model'!$B$114),AND($FZ82&gt;='Setari model'!$B$113,$EX82&gt;='Setari model'!$B$114)),"DA","NU")))</x:f>
      </x:c>
      <x:c r="GH82" s="158" t="str">
        <x:f>IF($A82="","",IF(COUNT($BJ82:$BN82,$GC82:$GE82)&lt;8,"NEDETERMINAT",IF(AND((($BJ82*INDEX('Setari model'!$B$5:$B$11,MATCH($E82,'Setari model'!$A$5:$A$11,0))+$BK82*INDEX('Setari model'!$C$5:$C$11,MATCH($E82,'Setari model'!$A$5:$A$11,0))+$BL82*INDEX('Setari model'!$D$5:$D$11,MATCH($E82,'Setari model'!$A$5:$A$11,0))+$BM82*INDEX('Setari model'!$E$5:$E$11,MATCH($E82,'Setari model'!$A$5:$A$11,0))+$BN82*INDEX('Setari model'!$F$5:$F$11,MATCH($E82,'Setari model'!$A$5:$A$11,0)))/(INDEX('Setari model'!$B$5:$B$11,MATCH($E82,'Setari model'!$A$5:$A$11,0))+INDEX('Setari model'!$C$5:$C$11,MATCH($E82,'Setari model'!$A$5:$A$11,0))+INDEX('Setari model'!$D$5:$D$11,MATCH($E82,'Setari model'!$A$5:$A$11,0))+INDEX('Setari model'!$E$5:$E$11,MATCH($E82,'Setari model'!$A$5:$A$11,0))+INDEX('Setari model'!$F$5:$F$11,MATCH($E82,'Setari model'!$A$5:$A$11,0))))*$BR82&gt;='Setari model'!$B$115,(($BJ82*INDEX('Setari model'!$B$5:$B$11,MATCH($E82,'Setari model'!$A$5:$A$11,0))+$BK82*INDEX('Setari model'!$C$5:$C$11,MATCH($E82,'Setari model'!$A$5:$A$11,0))+$BL82*INDEX('Setari model'!$D$5:$D$11,MATCH($E82,'Setari model'!$A$5:$A$11,0))+$BM82*INDEX('Setari model'!$E$5:$E$11,MATCH($E82,'Setari model'!$A$5:$A$11,0))+$BN82*INDEX('Setari model'!$F$5:$F$11,MATCH($E82,'Setari model'!$A$5:$A$11,0)))/(INDEX('Setari model'!$B$5:$B$11,MATCH($E82,'Setari model'!$A$5:$A$11,0))+INDEX('Setari model'!$C$5:$C$11,MATCH($E82,'Setari model'!$A$5:$A$11,0))+INDEX('Setari model'!$D$5:$D$11,MATCH($E82,'Setari model'!$A$5:$A$11,0))+INDEX('Setari model'!$E$5:$E$11,MATCH($E82,'Setari model'!$A$5:$A$11,0))+INDEX('Setari model'!$F$5:$F$11,MATCH($E82,'Setari model'!$A$5:$A$11,0))))*$BR82&lt;='Setari model'!$B$116,AVERAGE($GC82:$GD82)&lt;='Setari model'!$B$117,$GE82&gt;='Setari model'!$B$118),"DA","NU")))</x:f>
      </x:c>
      <x:c r="GI82" s="158" t="str">
        <x:f>IF($A82="","",IF(COUNT($W82,$AB82,$GA82:$GB82)&lt;4,"NEDETERMINAT",IF(AND($W82&gt;='Setari model'!$B$120,$AB82&gt;='Setari model'!$B$120,OR(IFERROR($GA82/$W82,0)&gt;='Setari model'!$B$119,IFERROR($GB82/$AB82,0)&gt;='Setari model'!$B$119)),"DA","NU")))</x:f>
      </x:c>
      <x:c r="GJ82" s="160" t="str">
        <x:f>IF($A82="","",IF(COUNT($FY82:$GB82)&lt;4,"",IF($GH82&lt;&gt;"DA",0,'Setari model'!$B$121*IF($GF82="DA",1,0)+'Setari model'!$B$122*IF($GG82="DA",1,0)+'Setari model'!$B$123+'Setari model'!$B$124*IF($GI82="DA",1,0))))</x:f>
      </x:c>
      <x:c r="GK82" s="161" t="str">
        <x:f>IF($A82="","",IF(COUNT($GJ82)=0,"",1+'Setari model'!$B$125*$GJ82))</x:f>
      </x:c>
      <x:c r="GL82" s="160" t="str">
        <x:f>IF($A82="","",IF($GM82&lt;&gt;"DA",$FJ82,MIN('Setari model'!$B$101,MAX(0.002,$FJ82*$GK82))))</x:f>
      </x:c>
      <x:c r="GM82" s="158" t="str">
        <x:f>IF($A82="","",IF(AND($FK82="DA",COUNT($FY82:$GB82)=4,COUNT($I82,$P82,$W82,$AB82,$Z82,$AE82,$EX82,$EY82,$GC82,$GD82)=10,COUNT($BJ82:$BN82)=5),"DA","NU"))</x:f>
      </x:c>
      <x:c r="GN82" s="158" t="str">
        <x:f>IF($A82="","",IF($GM82&lt;&gt;"DA","NEDETERMINAT",IF($FI82*$GK82&lt;='Setari model'!$B$99,"SCĂZUT",IF($FI82*$GK82&lt;='Setari model'!$B$100,"MEDIU","RIDICAT"))))</x:f>
      </x:c>
      <x:c r="GO82" s="160" t="str">
        <x:f>IF($A82="","",IF(OR($GM82&lt;&gt;"DA",$GN82="RIDICAT"),'Setari model'!$B$102,IF($GN82="MEDIU",'Setari model'!$B$103,IF(AND($FM82="DA",$FN82="DA"),'Setari model'!$B$105,'Setari model'!$B$104))))</x:f>
      </x:c>
      <x:c r="GP82" s="160" t="str">
        <x:f t="shared" si="152">IF($A82="","",IF($GL82="","",MIN(1-$GL82,$GO82)))</x:f>
      </x:c>
      <x:c r="GQ82" s="162" t="str">
        <x:f t="shared" si="153">IF($A82="","",IF($GP82="","",IF($GP82&gt;0,1/$GP82,"")))</x:f>
      </x:c>
      <x:c r="GR82" s="160" t="str">
        <x:f t="shared" si="154">IF($A82="","",IF($EC82="","",$GP82-$EC82))</x:f>
      </x:c>
      <x:c r="GS82" s="160" t="str">
        <x:f t="shared" si="155">IF($A82="","",IF($AR82&gt;1,$GP82*$AR82-1,""))</x:f>
      </x:c>
      <x:c r="GT82" s="163" t="str">
        <x:f>IF($A82="","",MAX(0,MIN(100,$FT82-IF(AND($GM82&lt;&gt;"DA",$FK82="DA"),'Setari model'!$B$107,0)-'Setari model'!$B$126*IF($GJ82="",0,$GJ82))))</x:f>
      </x:c>
      <x:c r="GU82" s="158" t="str">
        <x:f t="shared" si="156">IF($A82="","",IF($AR82&lt;=1,"NU – LIPSEȘTE COTA REALĂ",IF($GM82&lt;&gt;"DA","NU – DATE LOW-CONVERSION INCOMPLETE",IF($GN82&lt;&gt;"SCĂZUT","NU – RISC 0-0 "&amp;$GN82,IF($FN82&lt;&gt;"DA","NU – LINEUP NECONFIRMAT",IF($FM82&lt;&gt;"DA","NU – PIAȚĂ NECONFIRMATĂ",IF($EP82&lt;&gt;"DA","NU – PORTOFOLIU","DA")))))))</x:f>
      </x:c>
      <x:c r="GV82" s="158" t="str">
        <x:f>IF($A82="","",IF($GU82&lt;&gt;"DA","WATCH / NO BET",IF(AND($GP82&gt;='Setari model'!$B$35,$GT82&gt;=100*'Setari model'!$B$76,$GS82&gt;0),"PARIU RECOMANDAT",IF(AND($GP82&gt;='Setari model'!$B$39,$GT82&gt;=100*'Setari model'!$B$40,$GS82&gt;0),"WATCH – APROAPE DE PRAG","PARIU EVITAT"))))</x:f>
      </x:c>
      <x:c r="GW82" s="158" t="str">
        <x:f t="shared" si="157">IF($A82="","",IF($GU82&lt;&gt;"DA",$GU82,IF($GT82&lt;75,"Confidence v5 sub 75.",IF($GP82&lt;0.92,"P v5 sub 92%.",IF($GS82&lt;=0,"EV v5 nepozitiv.",IF($GJ82&gt;0,"Low-conversion absorbit în P0; toate porțile rămân trecute.","Toate porțile v5 sunt trecute."))))))</x:f>
      </x:c>
      <x:c r="GX82" s="158" t="str">
        <x:f t="shared" si="158">IF($A82="","","P v5="&amp;TEXT($GP82,"0.0%")&amp;"; P0 v5="&amp;TEXT($GL82,"0.0%")&amp;"; low-conv="&amp;IF(COUNT($GJ82)=0,"n/a",TEXT($GJ82,"0%"))&amp;"; mult.P0="&amp;IF(COUNT($GK82)=0,"n/a",TEXT($GK82,"0.00"))&amp;"; clasă="&amp;$GN82&amp;"; cap="&amp;TEXT($GO82,"0.0%")&amp;"; Confidence="&amp;TEXT($GT82,"0")&amp;"/100; lineup="&amp;$FN82&amp;"; piață="&amp;$FM82&amp;"; EV="&amp;IF($GS82="","n/a",TEXT($GS82,"0.0%"))&amp;"; gate="&amp;$GU82&amp;"; verdict="&amp;$GV82&amp;". "&amp;$GW82)</x:f>
      </x:c>
      <x:c r="GY82" s="174" t="str">
        <x:f>IF($A82="","",IF($GM82&lt;&gt;"DA","SOURCING INCOMPLETE – REVIEW REQUIRED",IF(MIN($I82,$P82,$W82,$AB82)&lt;'Setari model'!$B$58,"SMALL SAMPLE + PRIOR / SHRINKAGE","VERIFIED / PRIOR / SHRINKAGE")))</x:f>
      </x:c>
      <x:c r="GZ82" s="175" t="str">
        <x:f t="shared" si="159">IF($A82="","",MAX(0,MIN(100,100*(1-AVERAGE(IF($GM82="DA",1,0),MIN(1,$AT82/5))))))</x:f>
      </x:c>
      <x:c r="HA82" s="175" t="str">
        <x:f>IF($A82="","",IF($GM82&lt;&gt;"DA","",MAX(0,MIN(100,100*(($FI82*$GK82)-'Setari model'!$B$97)/('Setari model'!$B$98-'Setari model'!$B$97)))))</x:f>
      </x:c>
      <x:c r="HB82" s="175" t="str">
        <x:f>IF($A82="","",MAX(0,MIN(100,100*(ABS($BR82-1)/MAX(1-'Setari model'!$B$53,'Setari model'!$B$54-1)+MIN(1,$BG82/2))/2)))</x:f>
      </x:c>
      <x:c r="HC82" s="175" t="str">
        <x:f t="shared" si="160">IF($A82="","",MAX(0,MIN(100,100*(1-AVERAGE($CC82,MAX(0,1-(MAX($BJ82:$BN82)-MIN($BJ82:$BN82))/(AVERAGE($BJ82:$BN82)*'Setari model'!$B$45)))))))</x:f>
      </x:c>
      <x:c r="HD82" s="175" t="str">
        <x:f t="shared" si="161">IF($A82="","",MAX(0,MIN(100,100*MAX(IF($GJ82="",0,$GJ82),MIN(1,$BG82/2)))))</x:f>
      </x:c>
      <x:c r="HE82" s="175" t="str">
        <x:f>IF($A82="","",IF(COUNT($GZ82:$HD82)&lt;5,"",$GZ82*Risk_Classification!$E$28+$HA82*Risk_Classification!$E$29+$HB82*Risk_Classification!$E$30+$HC82*Risk_Classification!$E$31+$HD82*Risk_Classification!$E$32))</x:f>
      </x:c>
      <x:c r="HF82" s="176" t="str">
        <x:f t="shared" si="162">IF($A82="","",IF($HE82="","",IF($HE82&lt;=20,1,IF($HE82&lt;=40,2,IF($HE82&lt;=60,3,IF($HE82&lt;=80,4,5))))))</x:f>
      </x:c>
      <x:c r="HG82" s="176" t="str">
        <x:f t="shared" si="163">IF($A82="","",IF($GM82="DA","PASS","FAIL – DATE CRITICE ZERO-MASS INCOMPLETE"))</x:f>
      </x:c>
      <x:c r="HH82" s="176" t="str">
        <x:f t="shared" si="164">IF($A82="","",IF($HG82&lt;&gt;"PASS",5,$HF82))</x:f>
      </x:c>
      <x:c r="HI82" s="174" t="str">
        <x:f t="shared" si="165">IF($A82="","",IF($HH82="","N/A",IF($HH82=1,"DEFENSIV",IF($HH82=2,"PRUDENT",IF($HH82=3,"MODERAT",IF($HH82=4,"RIDICAT","WATCH / NO BET"))))))</x:f>
      </x:c>
      <x:c r="HJ82" s="177" t="str">
        <x:f t="shared" si="166">IF($A82="","","Data="&amp;$GY82&amp;"; DQ="&amp;TEXT($GZ82,"0.0")&amp;"; ZM="&amp;IF($HA82="","n/a",TEXT($HA82,"0.0"))&amp;"; Context="&amp;TEXT($HB82,"0.0")&amp;"; Uncertainty="&amp;TEXT($HC82,"0.0")&amp;"; Compound="&amp;TEXT($HD82,"0.0")&amp;"; Risk Score="&amp;IF($HE82="","n/a",TEXT($HE82,"0.0"))&amp;"; Base="&amp;IF($HF82="","n/a",$HF82)&amp;"; G0="&amp;$HG82&amp;"; Final="&amp;$HH82&amp;". Cota, EV si lineup sunt informative si nu intra in recomandare.")</x:f>
      </x:c>
      <x:c r="HK82" s="174" t="str">
        <x:f t="shared" si="167">IF($A82="","",$HI82)</x:f>
      </x:c>
    </x:row>
    <x:row r="83" ht="24" customHeight="1">
      <x:c r="A83" s="58"/>
      <x:c r="B83" s="24"/>
      <x:c r="C83" s="59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18"/>
      <x:c r="O83" s="18"/>
      <x:c r="P83" s="24"/>
      <x:c r="Q83" s="24"/>
      <x:c r="R83" s="24"/>
      <x:c r="S83" s="24"/>
      <x:c r="T83" s="24"/>
      <x:c r="U83" s="18"/>
      <x:c r="V83" s="18"/>
      <x:c r="W83" s="24"/>
      <x:c r="X83" s="24"/>
      <x:c r="Y83" s="24"/>
      <x:c r="Z83" s="24"/>
      <x:c r="AA83" s="24"/>
      <x:c r="AB83" s="24"/>
      <x:c r="AC83" s="24"/>
      <x:c r="AD83" s="24"/>
      <x:c r="AE83" s="24"/>
      <x:c r="AF83" s="24"/>
      <x:c r="AG83" s="24"/>
      <x:c r="AH83" s="24"/>
      <x:c r="AI83" s="18"/>
      <x:c r="AJ83" s="24"/>
      <x:c r="AK83" s="24"/>
      <x:c r="AL83" s="24"/>
      <x:c r="AM83" s="18"/>
      <x:c r="AN83" s="24"/>
      <x:c r="AO83" s="60"/>
      <x:c r="AP83" s="60"/>
      <x:c r="AQ83" s="60"/>
      <x:c r="AR83" s="60"/>
      <x:c r="AS83" s="60"/>
      <x:c r="AT83" s="24"/>
      <x:c r="AU83" s="24"/>
      <x:c r="AV83" s="24"/>
      <x:c r="AW83" s="24"/>
      <x:c r="AX83" s="24"/>
      <x:c r="AY83" s="24"/>
      <x:c r="AZ83" s="24"/>
      <x:c r="BA83" s="24"/>
      <x:c r="BB83" s="24"/>
      <x:c r="BC83" s="24"/>
      <x:c r="BD83" s="24"/>
      <x:c r="BE83" s="24"/>
      <x:c r="BF83" s="24"/>
      <x:c r="BG83" s="24"/>
      <x:c r="BH83" s="61"/>
      <x:c r="BI83" s="61"/>
      <x:c r="BJ83" s="62" t="str">
        <x:f>IF($A83="","",SQRT((($I83*IF($J83="",$AJ83,$J83)+'Setari model'!$B$30*$AJ83)/($I83+'Setari model'!$B$30))*(($P83*IF($R83="",$AJ83,$R83)+'Setari model'!$B$30*$AJ83)/($P83+'Setari model'!$B$30)))+SQRT((($P83*IF($Q83="",$AK83,$Q83)+'Setari model'!$B$30*$AK83)/($P83+'Setari model'!$B$30))*(($I83*IF($K83="",$AK83,$K83)+'Setari model'!$B$30*$AK83)/($I83+'Setari model'!$B$30))))</x:f>
      </x:c>
      <x:c r="BK83" s="62" t="str">
        <x:f>IF($A83="","",SQRT((($I83*IF($L83="",IF($J83="",$AJ83,$J83),$L83)+'Setari model'!$B$30*$AJ83)/($I83+'Setari model'!$B$30))*(($P83*IF($T83="",IF($R83="",$AJ83,$R83),$T83)+'Setari model'!$B$30*$AJ83)/($P83+'Setari model'!$B$30)))+SQRT((($P83*IF($S83="",IF($Q83="",$AK83,$Q83),$S83)+'Setari model'!$B$30*$AK83)/($P83+'Setari model'!$B$30))*(($I83*IF($M83="",IF($K83="",$AK83,$K83),$M83)+'Setari model'!$B$30*$AK83)/($I83+'Setari model'!$B$30))))</x:f>
      </x:c>
      <x:c r="BL83" s="62" t="str">
        <x:f>IF($A83="","",SQRT((($W83*IF($X83="",$AL83/2,$X83)+'Setari model'!$B$31*$AL83/2)/($W83+'Setari model'!$B$31))*(($AB83*IF($AD83="",$AL83/2,$AD83)+'Setari model'!$B$31*$AL83/2)/($AB83+'Setari model'!$B$31)))+SQRT((($AB83*IF($AC83="",$AL83/2,$AC83)+'Setari model'!$B$31*$AL83/2)/($AB83+'Setari model'!$B$31))*(($W83*IF($Y83="",$AL83/2,$Y83)+'Setari model'!$B$31*$AL83/2)/($W83+'Setari model'!$B$31))))</x:f>
      </x:c>
      <x:c r="BM83" s="62" t="str">
        <x:f>IF($A83="","",SQRT((($W83*IF($Z83="",IF($X83="",$AL83/2,$X83),$Z83)+'Setari model'!$B$31*$AL83/2)/($W83+'Setari model'!$B$31))*(($AB83*IF($AF83="",IF($AD83="",$AL83/2,$AD83),$AF83)+'Setari model'!$B$31*$AL83/2)/($AB83+'Setari model'!$B$31)))+SQRT((($AB83*IF($AE83="",IF($AC83="",$AL83/2,$AC83),$AE83)+'Setari model'!$B$31*$AL83/2)/($AB83+'Setari model'!$B$31))*(($W83*IF($AA83="",IF($Y83="",$AL83/2,$Y83),$AA83)+'Setari model'!$B$31*$AL83/2)/($W83+'Setari model'!$B$31))))</x:f>
      </x:c>
      <x:c r="BN83" s="62" t="str">
        <x:f t="shared" si="112">IF($A83="","",IF($AG83&gt;0,($AG83*IF($AH83="",$AL83,$AH83)+5*$AL83)/($AG83+5),$AL83))</x:f>
      </x:c>
      <x:c r="BO83" s="63" t="str">
        <x:f>IF($A83="","",IF($AR83&gt;1,IF($AS83&gt;1,(1/$AR83)/((1/$AR83+1/$AS83)),MIN(0.995,(1/$AR83)/(1+'Setari model'!$B$32))),1-EXP(-$AL83)))</x:f>
      </x:c>
      <x:c r="BP83" s="62" t="str">
        <x:f t="shared" si="113">IF($A83="","",-LN(1-$BO83))</x:f>
      </x:c>
      <x:c r="BQ83" s="62" t="str">
        <x:f>IF($A83="","",$BJ83*INDEX('Setari model'!$B$5:$B$11,MATCH($E83,'Setari model'!$A$5:$A$11,0))+$BK83*INDEX('Setari model'!$C$5:$C$11,MATCH($E83,'Setari model'!$A$5:$A$11,0))+$BL83*INDEX('Setari model'!$D$5:$D$11,MATCH($E83,'Setari model'!$A$5:$A$11,0))+$BM83*INDEX('Setari model'!$E$5:$E$11,MATCH($E83,'Setari model'!$A$5:$A$11,0))+$BN83*INDEX('Setari model'!$F$5:$F$11,MATCH($E83,'Setari model'!$A$5:$A$11,0))+$BP83*INDEX('Setari model'!$G$5:$G$11,MATCH($E83,'Setari model'!$A$5:$A$11,0)))</x:f>
      </x:c>
      <x:c r="BR83" s="64" t="str">
        <x:f>IF($A83="","",MAX('Setari model'!$B$53,MIN('Setari model'!$B$54,1+($AV83*'Setari model'!$B$15+$AW83*'Setari model'!$B$16+$AX83*'Setari model'!$B$17+$AY83*'Setari model'!$B$18+$AZ83*'Setari model'!$B$19+$BA83*'Setari model'!$B$20+$BB83*'Setari model'!$B$21+$BC83*'Setari model'!$B$22+$BD83*'Setari model'!$B$23+$BE83*'Setari model'!$B$24+$BF83*'Setari model'!$B$25)*INDEX('Setari model'!$H$5:$H$11,MATCH($E83,'Setari model'!$A$5:$A$11,0)))))</x:f>
      </x:c>
      <x:c r="BS83" s="62" t="str">
        <x:f t="shared" si="114">IF($A83="","",$BQ83*$BR83)</x:f>
      </x:c>
      <x:c r="BT83" s="63" t="str">
        <x:f t="shared" si="115">IF($A83="","",EXP(-$BS83))</x:f>
      </x:c>
      <x:c r="BU83" s="65" t="str">
        <x:f>IF($A83="","",IF(OR($AM83="",$AN83=""),1,1+MIN('Setari model'!$B$33,$AN83/100*'Setari model'!$B$33)*($AM83/EXP(-$AL83)-1)))</x:f>
      </x:c>
      <x:c r="BV83" s="63" t="str">
        <x:f>IF($A83="","",MIN(0.45,MAX(0.005,(1-'Setari model'!$B$34*MIN(1,($I83+$P83)/20))*MIN(0.45,$BT83*$BU83)+'Setari model'!$B$34*MIN(1,($I83+$P83)/20)*IF(COUNT($N83,$U83)=2,SQRT(MAX(0,1-$N83)*MAX(0,1-$U83)),IF($AM83="",EXP(-$AL83),$AM83)))))</x:f>
      </x:c>
      <x:c r="BW83" s="63" t="str">
        <x:f t="shared" si="116">IF($A83="","",1-$BV83)</x:f>
      </x:c>
      <x:c r="BX83" s="62" t="str">
        <x:f t="shared" si="117">IF($A83="","",1/$BW83)</x:f>
      </x:c>
      <x:c r="BY83" s="63" t="str">
        <x:f t="shared" si="118">IF($A83="","",$BO83)</x:f>
      </x:c>
      <x:c r="BZ83" s="63" t="str">
        <x:f t="shared" si="119">IF($A83="","",$BW83-$BY83)</x:f>
      </x:c>
      <x:c r="CA83" s="63" t="str">
        <x:f t="shared" si="120">IF($A83="","",IF($AR83&gt;1,$BW83*$AR83-1,""))</x:f>
      </x:c>
      <x:c r="CB83" s="63" t="str">
        <x:f>IF($A83="","",MIN(1,COUNT($I83:$AN83,$AR83:$BG83)/'Setari model'!$B$46))</x:f>
      </x:c>
      <x:c r="CC83" s="63" t="str">
        <x:f t="shared" si="121">IF($A83="","",0.25*MIN(1,$I83/10)+0.25*MIN(1,$P83/10)+0.15*MIN(1,$W83/5)+0.15*MIN(1,$AB83/5)+0.1*MIN(1,$AG83/5)+0.1*MIN(1,$AN83/100))</x:f>
      </x:c>
      <x:c r="CD83" s="63" t="str">
        <x:f>IF($A83="","",MAX(0,1-(MAX($BJ83:$BN83,$BP83)-MIN($BJ83:$BN83,$BP83))/(AVERAGE($BJ83:$BN83,$BP83)*'Setari model'!$B$45)))</x:f>
      </x:c>
      <x:c r="CE83" s="66" t="str">
        <x:f>IF($A83="","",MAX(0,MIN(100,100*INDEX('Setari model'!$I$5:$I$11,MATCH($E83,'Setari model'!$A$5:$A$11,0))*('Setari model'!$B$47*$CB83+'Setari model'!$B$48*$CC83+'Setari model'!$B$49*$CD83+'Setari model'!$B$50*$AT83/5+'Setari model'!$B$51*$AU83)-100*'Setari model'!$B$52*$BG83)))</x:f>
      </x:c>
      <x:c r="CF83" s="65" t="str">
        <x:f t="shared" si="122">IF($A83="","",IF(OR($AT83&lt;3,$BG83&gt;=2,$CB83&lt;0.55,$CC83&lt;0.4),"RIDICAT",IF(OR($AU83=0,$CD83&lt;0.45,$BR83&lt;0.9),"MEDIU","SCĂZUT")))</x:f>
      </x:c>
      <x:c r="CG83" s="65" t="str">
        <x:f>IF($A83="","",IF($AR83&gt;1,IF(AND($BW83&gt;= 'Setari model'!$B$35,$CE83&gt;=100*'Setari model'!$B$36,$BZ83&gt;= 'Setari model'!$B$37,$CA83&gt;= 'Setari model'!$B$38,$CF83&lt;&gt;"RIDICAT"),"PARIU RECOMANDAT",IF(AND($BW83&gt;= 'Setari model'!$B$39,$CE83&gt;=100*'Setari model'!$B$40,$BZ83&gt;= 'Setari model'!$B$41,$CA83&gt;=0,$CF83&lt;&gt;"RIDICAT"),"RECOMANDAT CU PRUDENȚĂ",IF(AND($BW83&gt;= 'Setari model'!$B$42,$CE83&gt;=100*'Setari model'!$B$43),"ANALIZĂ NECONCLUDENTĂ","PARIU EVITAT"))),IF(AND($BW83&gt;= 'Setari model'!$B$35,$CE83&gt;=100*'Setari model'!$B$36,$CF83&lt;&gt;"RIDICAT"),"FAVORABIL STATISTIC – VERIFICĂ COTA",IF(AND($BW83&gt;= 'Setari model'!$B$42,$CE83&gt;=100*'Setari model'!$B$43),"ANALIZĂ NECONCLUDENTĂ","PARIU EVITAT"))))</x:f>
      </x:c>
      <x:c r="CH83" s="67" t="str">
        <x:f t="shared" si="123">IF($A83="","","P(O0,5)="&amp;TEXT($BW83,"0.0%")&amp;"; λ ajustat="&amp;TEXT($BS83,"0.00")&amp;"; Confidence="&amp;TEXT($CE83,"0")&amp;"/100; Edge="&amp;TEXT($BZ83,"0.0%")&amp;"; risc="&amp;$CF83&amp;". "&amp;$BH83)</x:f>
      </x:c>
      <x:c r="CI83" s="68" t="str">
        <x:f t="shared" si="124">IF($A83="","",$BI83)</x:f>
      </x:c>
      <x:c r="CJ83" s="112"/>
      <x:c r="CK83" s="112"/>
      <x:c r="CL83" s="112"/>
      <x:c r="CM83" s="112"/>
      <x:c r="CN83" s="112"/>
      <x:c r="CO83" s="112"/>
      <x:c r="CP83" s="112"/>
      <x:c r="CQ83" s="112"/>
      <x:c r="CR83" s="112"/>
      <x:c r="CS83" s="112"/>
      <x:c r="CT83" s="112"/>
      <x:c r="CU83" s="112"/>
      <x:c r="CV83" s="112"/>
      <x:c r="CW83" s="112"/>
      <x:c r="CX83" s="112"/>
      <x:c r="CY83" s="112"/>
      <x:c r="CZ83" s="112"/>
      <x:c r="DA83" s="112"/>
      <x:c r="DB83" s="112"/>
      <x:c r="DC83" s="114"/>
      <x:c r="DD83" s="114"/>
      <x:c r="DE83" s="112" t="s">
        <x:v>266</x:v>
      </x:c>
      <x:c r="DF83" s="112"/>
      <x:c r="DG83" s="112"/>
      <x:c r="DH83" s="112"/>
      <x:c r="DI83" s="112"/>
      <x:c r="DJ83" s="112"/>
      <x:c r="DK83" s="112"/>
      <x:c r="DL83" s="112"/>
      <x:c r="DM83" s="112"/>
      <x:c r="DN83" s="112"/>
      <x:c r="DO83" s="112"/>
      <x:c r="DP83" s="112"/>
      <x:c r="DQ83" s="114"/>
      <x:c r="DR83" s="112">
        <x:v>1</x:v>
      </x:c>
      <x:c r="DS83" s="116">
        <x:v>0</x:v>
      </x:c>
      <x:c r="DT83" s="120"/>
      <x:c r="DU83" s="116">
        <x:v>0.02</x:v>
      </x:c>
      <x:c r="DV83" s="116">
        <x:v>0.25</x:v>
      </x:c>
      <x:c r="DW83" s="118" t="str">
        <x:f>IF($A83="","",MAX('Setari model'!$B$71,MIN('Setari model'!$B$72,1+0.08*(IFERROR(AVERAGE($CM83:$CN83)/'Setari model'!$B$66,1)-1)+0.08*(IFERROR(AVERAGE($CO83:$CP83)/'Setari model'!$B$67,1)-1)+0.06*(IFERROR(AVERAGE($CQ83:$CR83)/'Setari model'!$B$68,1)-1)+0.04*(IFERROR(AVERAGE($CS83:$CT83)/'Setari model'!$B$69,1)-1)+0.04*(IFERROR(AVERAGE($CU83:$CV83)/'Setari model'!$B$70,1)-1)-'Setari model'!$B$73*IFERROR(AVERAGE($CW83:$CX83),0))))</x:f>
      </x:c>
      <x:c r="DX83" s="118" t="str">
        <x:f>IF($A83="","",1+'Setari model'!$B$62*MAX(IF(OR($CK83=1,$CL83=1),1,0),IF(AND($CJ83&lt;&gt;"",$CJ83&lt;=1),1,0))+'Setari model'!$B$63*IF(AND($CJ83&gt;1,$CJ83&lt;=3),1,0))</x:f>
      </x:c>
      <x:c r="DY83" s="118" t="str">
        <x:f>IF($A83="","",1+'Setari model'!$B$74*(IF($CY83="",0,IF($CY83=0,1,0))+IF($CZ83="",0,IF($CZ83=0,1,0)))+'Setari model'!$B$75*(IF($DA83="",0,IF($DA83=0,1,0))+IF($DB83="",0,IF($DB83=0,1,0))))</x:f>
      </x:c>
      <x:c r="DZ83" s="117" t="str">
        <x:f>IF($A83="","",MIN(0.6,MAX(0.002,(((1-'Setari model'!$B$34*MIN(1,($I83+$P83)/20))*$BT83+'Setari model'!$B$34*MIN(1,($I83+$P83)/20)*IF(COUNT($N83,$U83)=2,SQRT(MAX(0,1-$N83)*MAX(0,1-$U83)),$BT83))*(1-'Setari model'!$B$65*MIN(1,IF($AN83="",0,$AN83/'Setari model'!$B$64)))+'Setari model'!$B$65*MIN(1,IF($AN83="",0,$AN83/'Setari model'!$B$64))*IF($AM83="",$BT83,$AM83))*$DX83*$DY83/$DW83)))</x:f>
      </x:c>
      <x:c r="EA83" s="117" t="str">
        <x:f>IF($A83="","",MIN(1-$DZ83,IF(OR(MIN($I83,$P83)&lt;'Setari model'!$B$58,$CK83=1,$CL83=1,AND($CJ83&lt;&gt;"",$CJ83&lt;=1)),'Setari model'!$B$59,IF(AND($AU83=1,$AR83&gt;1,COUNT($CY83:$DB83)=4),'Setari model'!$B$61,'Setari model'!$B$60))))</x:f>
      </x:c>
      <x:c r="EB83" s="115" t="str">
        <x:f t="shared" si="125">IF($A83="","",1/$EA83)</x:f>
      </x:c>
      <x:c r="EC83" s="117" t="str">
        <x:f t="shared" si="126">IF($A83="","",IF($AR83&gt;1,IF($AS83&gt;1,(1/$AR83)/((1/$AR83)+(1/$AS83)),1/$AR83),""))</x:f>
      </x:c>
      <x:c r="ED83" s="117" t="str">
        <x:f t="shared" si="127">IF($A83="","",IF($EC83="","",$EA83-$EC83))</x:f>
      </x:c>
      <x:c r="EE83" s="117" t="str">
        <x:f t="shared" si="128">""</x:f>
      </x:c>
      <x:c r="EF83" s="119" t="str">
        <x:f>IF($A83="","",MAX(0,MIN(100,$CE83-200*MAX(0,$EG83-'Setari model'!$B$77)-IF($AU83&lt;&gt;1,10,0)-IF(COUNT($CY83:$DB83)&lt;4,4,0))))</x:f>
      </x:c>
      <x:c r="EG83" s="117" t="str">
        <x:f>IF($A83="","",'Setari model'!$B$77+IF(MIN($I83,$P83)&lt;'Setari model'!$B$58,0.03,0)+IF(OR($CK83=1,$CL83=1,AND($CJ83&lt;&gt;"",$CJ83&lt;=1)),0.03,0)+IF($AG83=0,0.02,0)+0.03*(1-MIN(1,COUNT($CM83:$CV83)/10))+0.03*(1-MIN(1,IF($AN83="",0,$AN83/'Setari model'!$B$64)))+IF($AR83&lt;=1,0.02,0))</x:f>
      </x:c>
      <x:c r="EH83" s="113" t="str">
        <x:f>IF($A83="","",IF(OR(MIN($I83,$P83)&lt;'Setari model'!$B$58,$CK83=1,$CL83=1,AND($CJ83&lt;&gt;"",$CJ83&lt;=1)),"92% – early/regim",IF(AND($AU83=1,$AR83&gt;1,COUNT($CY83:$DB83)=4),"94% – confirmat","93% – standard")))</x:f>
      </x:c>
      <x:c r="EI83" s="113" t="str">
        <x:f t="shared" si="129">IF($A83="","",IF(AND($EA83&gt;0.9,$AU83&lt;&gt;1),"WAIT XI – HIGH P",IF(AND($EA83&gt;0.9,COUNT($CY83:$DB83)&lt;4),"WAIT DATE CHEIE – HIGH P",IF($EP83&lt;&gt;"DA","NU – PORTOFOLIU","DA"))))</x:f>
      </x:c>
      <x:c r="EJ83" s="117" t="str">
        <x:f t="shared" si="130">IF($A83="","",IF($DE83&lt;&gt;"Live 20-30","",IF(SUM($DG83:$DH83)&gt;0,1,IF($EU83="","",1-MIN(0.95,MAX(0.001,EXP(-$EU83)*$DX83*$DY83/$DW83))))))</x:f>
      </x:c>
      <x:c r="EK83" s="117" t="str">
        <x:f t="shared" si="131">""</x:f>
      </x:c>
      <x:c r="EL83" s="113" t="str">
        <x:f>IF($A83="","",IF($DE83="Live 20-30",IF(SUM($DG83:$DH83)&gt;0,"EVENIMENT ÎNDEPLINIT",IF(OR($DF83="",COUNT($DI83:$DN83)&lt;4),"LIVE – WATCH",IF($EJ83&gt;=0.75,"LIVE – FEZABIL TEHNIC","LIVE – NO BET"))),IF($EI83&lt;&gt;"DA","WATCH / NO BET",IF(AND($EA83&gt;=INDEX('Setari model'!$B$35:$B$40,1),$EF83&gt;=100*'Setari model'!$B$76),"PARIU RECOMANDAT",IF(AND($EA83&gt;=INDEX('Setari model'!$B$35:$B$40,5),$EF83&gt;=100*'Setari model'!$B$40),"WATCH – APROAPE DE PRAG","PARIU EVITAT")))))</x:f>
      </x:c>
      <x:c r="EM83" s="113" t="str">
        <x:f t="shared" si="132">IF($A83="","",IF($DE83="Live 20-30",IF(SUM($DG83:$DH83)&gt;0,"Gol deja marcat.",IF($DF83="","Minut live lipsă.",IF(COUNT($DI83:$DN83)&lt;4,"Lipsesc xG/SOT/big chances live.",IF($EJ83&lt;0.75,"P live sub prag.","Semnal live tehnic complet; EV ignorat.")))),IF($EI83&lt;&gt;"DA",$EI83,IF($EF83&lt;75,"Confidence sub 75.",IF($EA83&lt;0.92,"P sub 92%.","G0/Zero-Mass + confidence trecute; EV ignorat.")))))</x:f>
      </x:c>
      <x:c r="EN83" s="117" t="str">
        <x:f>IF($A83="","",IF(OR($EL83="PARIU RECOMANDAT",$EL83="LIVE – FEZABIL"),MIN(IF($DU83&gt;0,$DU83,'Setari model'!$B$81)/MAX(1,$DR83),IF($DV83&gt;0,$DV83,'Setari model'!$B$80)*MAX(0,((IF($DE83="Live 20-30",$EJ83,$EA83)*IF($DE83="Live 20-30",$DQ83,$AR83)-1)/(IF($DE83="Live 20-30",$DQ83,$AR83)-1)))),0))</x:f>
      </x:c>
      <x:c r="EO83" s="121" t="str">
        <x:f t="shared" si="133">IF($A83="","",IF(AND($EN83&gt;0,$DT83&gt;0),$EN83*$DT83,""))</x:f>
      </x:c>
      <x:c r="EP83" s="113" t="str">
        <x:f>IF($A83="","",IF(OR($DR83&lt;1,$DR83&gt;'Setari model'!$B$78),"NU – 1–5 selecții",IF($DS83&gt;'Setari model'!$B$79,"NU – corelație", "DA")))</x:f>
      </x:c>
      <x:c r="EQ83" s="117" t="str">
        <x:f t="shared" si="134">IF($A83="","",IF(AND($DC83&gt;1,$DD83&gt;1),$DC83/$DD83-1,""))</x:f>
      </x:c>
      <x:c r="ER83" s="113" t="str">
        <x:f t="shared" si="135">IF($A83="","","P v2="&amp;TEXT($EA83,"0.0%")&amp;" ±"&amp;TEXT($EG83,"0.0%")&amp;"; P0 ZIP="&amp;TEXT($DZ83,"0.0%")&amp;"; Confidence="&amp;TEXT($EF83,"0")&amp;"/100; piață reală="&amp;IF($EC83="","NU","DA")&amp;"; EV="&amp;IF($EE83="","n/a",TEXT($EE83,"0.0%"))&amp;"; gate="&amp;$EI83&amp;"; verdict="&amp;$EL83&amp;". "&amp;$EM83)</x:f>
      </x:c>
      <x:c r="ES83" s="119" t="str">
        <x:f>IF($A83="","",'Setari model'!$B$82)</x:f>
      </x:c>
      <x:c r="ET83" s="118" t="str">
        <x:f>IF($A83="","",'Setari model'!$B$83)</x:f>
      </x:c>
      <x:c r="EU83" s="115" t="str">
        <x:f t="shared" si="136">IF(OR($A83="",$DE83&lt;&gt;"Live 20-30",$DF83="",$DF83&lt;$ES83,$DF83&gt;=90),"",MAX(0.05,MIN($BS83*$ET83,$BS83*(90-$DF83)/90+0.35*($DI83+$DJ83)+0.06*($DK83+$DL83)+0.15*($DM83+$DN83)+0.1*(MAX($DO83,$DP83)-MIN($DO83,$DP83)))))</x:f>
      </x:c>
      <x:c r="EV83" s="132"/>
      <x:c r="EW83" s="132"/>
      <x:c r="EX83" s="132"/>
      <x:c r="EY83" s="132"/>
      <x:c r="EZ83" s="132"/>
      <x:c r="FA83" s="132"/>
      <x:c r="FB83" s="247"/>
      <x:c r="FC83" s="134" t="str">
        <x:f t="shared" si="137">IF($A83="","",IF(OR($J83="",$L83="",$L83&lt;=0),"",MAX(0.5,MIN(1.5,$J83/$L83))))</x:f>
      </x:c>
      <x:c r="FD83" s="134" t="str">
        <x:f t="shared" si="138">IF($A83="","",IF(OR($Q83="",$S83="",$S83&lt;=0),"",MAX(0.5,MIN(1.5,$Q83/$S83))))</x:f>
      </x:c>
      <x:c r="FE83" s="134" t="str">
        <x:f>IF($A83="","",IF(COUNT($EV83:$EW83)&lt;2,"",SQRT($EV83*$EW83)/'Setari model'!$B$87))</x:f>
      </x:c>
      <x:c r="FF83" s="134" t="str">
        <x:f>IF($A83="","",IF(COUNT($O83,$V83,$EX83,$EY83)&lt;4,"",AVERAGE(SQRT($O83*$EY83),SQRT($V83*$EX83))/'Setari model'!$B$88))</x:f>
      </x:c>
      <x:c r="FG83" s="134" t="str">
        <x:f t="shared" si="139">IF($A83="","",IF(COUNT($FC83:$FD83)&lt;2,"",MAX(0,1-AVERAGE($FC83:$FD83))))</x:f>
      </x:c>
      <x:c r="FH83" s="134" t="str">
        <x:f>IF($A83="","",IF(COUNT($EZ83:$FA83)&lt;2,"",'Setari model'!$B$94*AVERAGE($EZ83:$FA83)/'Setari model'!$B$89))</x:f>
      </x:c>
      <x:c r="FI83" s="134" t="str">
        <x:f>IF($A83="","",IF(COUNT($FE83:$FH83)&lt;4,"",MAX('Setari model'!$B$97,MIN('Setari model'!$B$98,1+'Setari model'!$B$90*($FE83-1)+'Setari model'!$B$91*($FF83-1)+'Setari model'!$B$92*$FG83+'Setari model'!$B$93*($FH83-1)))))</x:f>
      </x:c>
      <x:c r="FJ83" s="133" t="str">
        <x:f>IF($A83="","",IF($FI83="","",MIN('Setari model'!$B$101,MAX(0.002,$DZ83*$FI83))))</x:f>
      </x:c>
      <x:c r="FK83" s="131" t="str">
        <x:f t="shared" si="140">IF($A83="","",IF(AND(COUNT($EV83:$FA83)=6,COUNT($O83,$V83,$FC83,$FD83)=4),"DA","NU"))</x:f>
      </x:c>
      <x:c r="FL83" s="131" t="str">
        <x:f>IF($A83="","",IF($FK83&lt;&gt;"DA","NEDETERMINAT",IF($FI83&lt;='Setari model'!$B$99,"SCĂZUT",IF($FI83&lt;='Setari model'!$B$100,"MEDIU","RIDICAT"))))</x:f>
      </x:c>
      <x:c r="FM83" s="131" t="str">
        <x:f>IF($A83="","",IF(AND($AR83&gt;1,$EC83&gt;='Setari model'!$B$106),"DA","NU"))</x:f>
      </x:c>
      <x:c r="FN83" s="131" t="str">
        <x:f t="shared" si="141">IF($A83="","",IF(AND($AU83=1,COUNT($CY83:$DB83)=4),"DA","NU"))</x:f>
      </x:c>
      <x:c r="FO83" s="133" t="str">
        <x:f>IF($A83="","",IF(OR($FK83&lt;&gt;"DA",$FL83="RIDICAT"),'Setari model'!$B$102,IF($FL83="MEDIU",'Setari model'!$B$103,IF(AND($FM83="DA",$FN83="DA"),'Setari model'!$B$105,'Setari model'!$B$104))))</x:f>
      </x:c>
      <x:c r="FP83" s="133" t="str">
        <x:f t="shared" si="142">IF($A83="","",IF($FJ83="","",MIN(1-$FJ83,$FO83)))</x:f>
      </x:c>
      <x:c r="FQ83" s="135" t="str">
        <x:f t="shared" si="143">IF($A83="","",IF($FP83="","",IF($FP83&gt;0,1/$FP83,"")))</x:f>
      </x:c>
      <x:c r="FR83" s="133" t="str">
        <x:f t="shared" si="144">IF($A83="","",IF($EC83="","",$FP83-$EC83))</x:f>
      </x:c>
      <x:c r="FS83" s="133" t="str">
        <x:f t="shared" si="145">IF($A83="","",IF($AR83&gt;1,$FP83*$AR83-1,""))</x:f>
      </x:c>
      <x:c r="FT83" s="136" t="str">
        <x:f>IF($A83="","",MAX(0,MIN(100,$EF83-IF($FK83&lt;&gt;"DA",'Setari model'!$B$107,0)-IF($FL83="MEDIU",'Setari model'!$B$108,0)-IF($FL83="RIDICAT",'Setari model'!$B$109,0))))</x:f>
      </x:c>
      <x:c r="FU83" s="131" t="str">
        <x:f t="shared" si="146">IF($A83="","",IF($AR83&lt;=1,"NU – LIPSEȘTE COTA REALĂ",IF($FK83&lt;&gt;"DA","NU – ZERO-RISK INCOMPLET",IF($FL83&lt;&gt;"SCĂZUT","NU – RISC 0-0 "&amp;$FL83,IF($FN83&lt;&gt;"DA","NU – LINEUP NECONFIRMAT",IF($FM83&lt;&gt;"DA","NU – PIAȚĂ NECONFIRMATĂ",IF($EP83&lt;&gt;"DA","NU – PORTOFOLIU","DA")))))))</x:f>
      </x:c>
      <x:c r="FV83" s="131" t="str">
        <x:f>IF($A83="","",IF($FU83&lt;&gt;"DA","WATCH / NO BET",IF(AND($FP83&gt;='Setari model'!$B$35,$FT83&gt;=100*'Setari model'!$B$76,$FS83&gt;0),"PARIU RECOMANDAT",IF(AND($FP83&gt;='Setari model'!$B$39,$FT83&gt;=100*'Setari model'!$B$40,$FS83&gt;0),"WATCH – APROAPE DE PRAG","PARIU EVITAT"))))</x:f>
      </x:c>
      <x:c r="FW83" s="131" t="str">
        <x:f t="shared" si="147">IF($A83="","",IF($FU83&lt;&gt;"DA",$FU83,IF($FT83&lt;75,"Confidence v3 sub 75.",IF($FP83&lt;0.92,"P v3 sub 92%.",IF($FS83&lt;=0,"EV v3 nepozitiv.","P0 v3, lineup și piață confirmate.")))))</x:f>
      </x:c>
      <x:c r="FX83" s="131" t="str">
        <x:f t="shared" si="148">IF($A83="","","P v3="&amp;TEXT($FP83,"0.0%")&amp;"; P0 v3="&amp;TEXT($FJ83,"0.0%")&amp;"; factor zero="&amp;IF($FI83="","n/a",TEXT($FI83,"0.00x"))&amp;" ("&amp;$FL83&amp;"); cap="&amp;TEXT($FO83,"0.0%")&amp;"; Confidence="&amp;TEXT($FT83,"0")&amp;"/100; lineup="&amp;$FN83&amp;"; piață="&amp;$FM83&amp;"; EV="&amp;IF($FS83="","n/a",TEXT($FS83,"0.0%"))&amp;"; gate="&amp;$FU83&amp;"; verdict="&amp;$FV83&amp;". "&amp;$FW83)</x:f>
      </x:c>
      <x:c r="FY83" s="159"/>
      <x:c r="FZ83" s="159"/>
      <x:c r="GA83" s="157"/>
      <x:c r="GB83" s="157"/>
      <x:c r="GC83" s="161" t="str">
        <x:f t="shared" si="149">IF($A83="","",IF(OR($X83="",$Z83="",$Z83&lt;=0),"",MAX(0.5,MIN(1.5,$X83/$Z83))))</x:f>
      </x:c>
      <x:c r="GD83" s="161" t="str">
        <x:f t="shared" si="150">IF($A83="","",IF(OR($AC83="",$AE83="",$AE83&lt;=0),"",MAX(0.5,MIN(1.5,$AC83/$AE83))))</x:f>
      </x:c>
      <x:c r="GE83" s="162" t="str">
        <x:f t="shared" si="151">IF($A83="","",IF(COUNT($Z83,$AE83)&lt;2,"",AVERAGE($Z83,$AE83)))</x:f>
      </x:c>
      <x:c r="GF83" s="158" t="str">
        <x:f>IF($A83="","",IF(COUNT($FY83:$FZ83)&lt;2,"NEDETERMINAT",IF(AND($FY83&gt;='Setari model'!$B$113,$FZ83&gt;='Setari model'!$B$113),"DA","NU")))</x:f>
      </x:c>
      <x:c r="GG83" s="158" t="str">
        <x:f>IF($A83="","",IF(COUNT($FY83:$FZ83,$EX83:$EY83)&lt;4,"NEDETERMINAT",IF(OR(AND($FY83&gt;='Setari model'!$B$113,$EY83&gt;='Setari model'!$B$114),AND($FZ83&gt;='Setari model'!$B$113,$EX83&gt;='Setari model'!$B$114)),"DA","NU")))</x:f>
      </x:c>
      <x:c r="GH83" s="158" t="str">
        <x:f>IF($A83="","",IF(COUNT($BJ83:$BN83,$GC83:$GE83)&lt;8,"NEDETERMINAT",IF(AND((($BJ83*INDEX('Setari model'!$B$5:$B$11,MATCH($E83,'Setari model'!$A$5:$A$11,0))+$BK83*INDEX('Setari model'!$C$5:$C$11,MATCH($E83,'Setari model'!$A$5:$A$11,0))+$BL83*INDEX('Setari model'!$D$5:$D$11,MATCH($E83,'Setari model'!$A$5:$A$11,0))+$BM83*INDEX('Setari model'!$E$5:$E$11,MATCH($E83,'Setari model'!$A$5:$A$11,0))+$BN83*INDEX('Setari model'!$F$5:$F$11,MATCH($E83,'Setari model'!$A$5:$A$11,0)))/(INDEX('Setari model'!$B$5:$B$11,MATCH($E83,'Setari model'!$A$5:$A$11,0))+INDEX('Setari model'!$C$5:$C$11,MATCH($E83,'Setari model'!$A$5:$A$11,0))+INDEX('Setari model'!$D$5:$D$11,MATCH($E83,'Setari model'!$A$5:$A$11,0))+INDEX('Setari model'!$E$5:$E$11,MATCH($E83,'Setari model'!$A$5:$A$11,0))+INDEX('Setari model'!$F$5:$F$11,MATCH($E83,'Setari model'!$A$5:$A$11,0))))*$BR83&gt;='Setari model'!$B$115,(($BJ83*INDEX('Setari model'!$B$5:$B$11,MATCH($E83,'Setari model'!$A$5:$A$11,0))+$BK83*INDEX('Setari model'!$C$5:$C$11,MATCH($E83,'Setari model'!$A$5:$A$11,0))+$BL83*INDEX('Setari model'!$D$5:$D$11,MATCH($E83,'Setari model'!$A$5:$A$11,0))+$BM83*INDEX('Setari model'!$E$5:$E$11,MATCH($E83,'Setari model'!$A$5:$A$11,0))+$BN83*INDEX('Setari model'!$F$5:$F$11,MATCH($E83,'Setari model'!$A$5:$A$11,0)))/(INDEX('Setari model'!$B$5:$B$11,MATCH($E83,'Setari model'!$A$5:$A$11,0))+INDEX('Setari model'!$C$5:$C$11,MATCH($E83,'Setari model'!$A$5:$A$11,0))+INDEX('Setari model'!$D$5:$D$11,MATCH($E83,'Setari model'!$A$5:$A$11,0))+INDEX('Setari model'!$E$5:$E$11,MATCH($E83,'Setari model'!$A$5:$A$11,0))+INDEX('Setari model'!$F$5:$F$11,MATCH($E83,'Setari model'!$A$5:$A$11,0))))*$BR83&lt;='Setari model'!$B$116,AVERAGE($GC83:$GD83)&lt;='Setari model'!$B$117,$GE83&gt;='Setari model'!$B$118),"DA","NU")))</x:f>
      </x:c>
      <x:c r="GI83" s="158" t="str">
        <x:f>IF($A83="","",IF(COUNT($W83,$AB83,$GA83:$GB83)&lt;4,"NEDETERMINAT",IF(AND($W83&gt;='Setari model'!$B$120,$AB83&gt;='Setari model'!$B$120,OR(IFERROR($GA83/$W83,0)&gt;='Setari model'!$B$119,IFERROR($GB83/$AB83,0)&gt;='Setari model'!$B$119)),"DA","NU")))</x:f>
      </x:c>
      <x:c r="GJ83" s="160" t="str">
        <x:f>IF($A83="","",IF(COUNT($FY83:$GB83)&lt;4,"",IF($GH83&lt;&gt;"DA",0,'Setari model'!$B$121*IF($GF83="DA",1,0)+'Setari model'!$B$122*IF($GG83="DA",1,0)+'Setari model'!$B$123+'Setari model'!$B$124*IF($GI83="DA",1,0))))</x:f>
      </x:c>
      <x:c r="GK83" s="161" t="str">
        <x:f>IF($A83="","",IF(COUNT($GJ83)=0,"",1+'Setari model'!$B$125*$GJ83))</x:f>
      </x:c>
      <x:c r="GL83" s="160" t="str">
        <x:f>IF($A83="","",IF($GM83&lt;&gt;"DA",$FJ83,MIN('Setari model'!$B$101,MAX(0.002,$FJ83*$GK83))))</x:f>
      </x:c>
      <x:c r="GM83" s="158" t="str">
        <x:f>IF($A83="","",IF(AND($FK83="DA",COUNT($FY83:$GB83)=4,COUNT($I83,$P83,$W83,$AB83,$Z83,$AE83,$EX83,$EY83,$GC83,$GD83)=10,COUNT($BJ83:$BN83)=5),"DA","NU"))</x:f>
      </x:c>
      <x:c r="GN83" s="158" t="str">
        <x:f>IF($A83="","",IF($GM83&lt;&gt;"DA","NEDETERMINAT",IF($FI83*$GK83&lt;='Setari model'!$B$99,"SCĂZUT",IF($FI83*$GK83&lt;='Setari model'!$B$100,"MEDIU","RIDICAT"))))</x:f>
      </x:c>
      <x:c r="GO83" s="160" t="str">
        <x:f>IF($A83="","",IF(OR($GM83&lt;&gt;"DA",$GN83="RIDICAT"),'Setari model'!$B$102,IF($GN83="MEDIU",'Setari model'!$B$103,IF(AND($FM83="DA",$FN83="DA"),'Setari model'!$B$105,'Setari model'!$B$104))))</x:f>
      </x:c>
      <x:c r="GP83" s="160" t="str">
        <x:f t="shared" si="152">IF($A83="","",IF($GL83="","",MIN(1-$GL83,$GO83)))</x:f>
      </x:c>
      <x:c r="GQ83" s="162" t="str">
        <x:f t="shared" si="153">IF($A83="","",IF($GP83="","",IF($GP83&gt;0,1/$GP83,"")))</x:f>
      </x:c>
      <x:c r="GR83" s="160" t="str">
        <x:f t="shared" si="154">IF($A83="","",IF($EC83="","",$GP83-$EC83))</x:f>
      </x:c>
      <x:c r="GS83" s="160" t="str">
        <x:f t="shared" si="155">IF($A83="","",IF($AR83&gt;1,$GP83*$AR83-1,""))</x:f>
      </x:c>
      <x:c r="GT83" s="163" t="str">
        <x:f>IF($A83="","",MAX(0,MIN(100,$FT83-IF(AND($GM83&lt;&gt;"DA",$FK83="DA"),'Setari model'!$B$107,0)-'Setari model'!$B$126*IF($GJ83="",0,$GJ83))))</x:f>
      </x:c>
      <x:c r="GU83" s="158" t="str">
        <x:f t="shared" si="156">IF($A83="","",IF($AR83&lt;=1,"NU – LIPSEȘTE COTA REALĂ",IF($GM83&lt;&gt;"DA","NU – DATE LOW-CONVERSION INCOMPLETE",IF($GN83&lt;&gt;"SCĂZUT","NU – RISC 0-0 "&amp;$GN83,IF($FN83&lt;&gt;"DA","NU – LINEUP NECONFIRMAT",IF($FM83&lt;&gt;"DA","NU – PIAȚĂ NECONFIRMATĂ",IF($EP83&lt;&gt;"DA","NU – PORTOFOLIU","DA")))))))</x:f>
      </x:c>
      <x:c r="GV83" s="158" t="str">
        <x:f>IF($A83="","",IF($GU83&lt;&gt;"DA","WATCH / NO BET",IF(AND($GP83&gt;='Setari model'!$B$35,$GT83&gt;=100*'Setari model'!$B$76,$GS83&gt;0),"PARIU RECOMANDAT",IF(AND($GP83&gt;='Setari model'!$B$39,$GT83&gt;=100*'Setari model'!$B$40,$GS83&gt;0),"WATCH – APROAPE DE PRAG","PARIU EVITAT"))))</x:f>
      </x:c>
      <x:c r="GW83" s="158" t="str">
        <x:f t="shared" si="157">IF($A83="","",IF($GU83&lt;&gt;"DA",$GU83,IF($GT83&lt;75,"Confidence v5 sub 75.",IF($GP83&lt;0.92,"P v5 sub 92%.",IF($GS83&lt;=0,"EV v5 nepozitiv.",IF($GJ83&gt;0,"Low-conversion absorbit în P0; toate porțile rămân trecute.","Toate porțile v5 sunt trecute."))))))</x:f>
      </x:c>
      <x:c r="GX83" s="158" t="str">
        <x:f t="shared" si="158">IF($A83="","","P v5="&amp;TEXT($GP83,"0.0%")&amp;"; P0 v5="&amp;TEXT($GL83,"0.0%")&amp;"; low-conv="&amp;IF(COUNT($GJ83)=0,"n/a",TEXT($GJ83,"0%"))&amp;"; mult.P0="&amp;IF(COUNT($GK83)=0,"n/a",TEXT($GK83,"0.00"))&amp;"; clasă="&amp;$GN83&amp;"; cap="&amp;TEXT($GO83,"0.0%")&amp;"; Confidence="&amp;TEXT($GT83,"0")&amp;"/100; lineup="&amp;$FN83&amp;"; piață="&amp;$FM83&amp;"; EV="&amp;IF($GS83="","n/a",TEXT($GS83,"0.0%"))&amp;"; gate="&amp;$GU83&amp;"; verdict="&amp;$GV83&amp;". "&amp;$GW83)</x:f>
      </x:c>
      <x:c r="GY83" s="174" t="str">
        <x:f>IF($A83="","",IF($GM83&lt;&gt;"DA","SOURCING INCOMPLETE – REVIEW REQUIRED",IF(MIN($I83,$P83,$W83,$AB83)&lt;'Setari model'!$B$58,"SMALL SAMPLE + PRIOR / SHRINKAGE","VERIFIED / PRIOR / SHRINKAGE")))</x:f>
      </x:c>
      <x:c r="GZ83" s="175" t="str">
        <x:f t="shared" si="159">IF($A83="","",MAX(0,MIN(100,100*(1-AVERAGE(IF($GM83="DA",1,0),MIN(1,$AT83/5))))))</x:f>
      </x:c>
      <x:c r="HA83" s="175" t="str">
        <x:f>IF($A83="","",IF($GM83&lt;&gt;"DA","",MAX(0,MIN(100,100*(($FI83*$GK83)-'Setari model'!$B$97)/('Setari model'!$B$98-'Setari model'!$B$97)))))</x:f>
      </x:c>
      <x:c r="HB83" s="175" t="str">
        <x:f>IF($A83="","",MAX(0,MIN(100,100*(ABS($BR83-1)/MAX(1-'Setari model'!$B$53,'Setari model'!$B$54-1)+MIN(1,$BG83/2))/2)))</x:f>
      </x:c>
      <x:c r="HC83" s="175" t="str">
        <x:f t="shared" si="160">IF($A83="","",MAX(0,MIN(100,100*(1-AVERAGE($CC83,MAX(0,1-(MAX($BJ83:$BN83)-MIN($BJ83:$BN83))/(AVERAGE($BJ83:$BN83)*'Setari model'!$B$45)))))))</x:f>
      </x:c>
      <x:c r="HD83" s="175" t="str">
        <x:f t="shared" si="161">IF($A83="","",MAX(0,MIN(100,100*MAX(IF($GJ83="",0,$GJ83),MIN(1,$BG83/2)))))</x:f>
      </x:c>
      <x:c r="HE83" s="175" t="str">
        <x:f>IF($A83="","",IF(COUNT($GZ83:$HD83)&lt;5,"",$GZ83*Risk_Classification!$E$28+$HA83*Risk_Classification!$E$29+$HB83*Risk_Classification!$E$30+$HC83*Risk_Classification!$E$31+$HD83*Risk_Classification!$E$32))</x:f>
      </x:c>
      <x:c r="HF83" s="176" t="str">
        <x:f t="shared" si="162">IF($A83="","",IF($HE83="","",IF($HE83&lt;=20,1,IF($HE83&lt;=40,2,IF($HE83&lt;=60,3,IF($HE83&lt;=80,4,5))))))</x:f>
      </x:c>
      <x:c r="HG83" s="176" t="str">
        <x:f t="shared" si="163">IF($A83="","",IF($GM83="DA","PASS","FAIL – DATE CRITICE ZERO-MASS INCOMPLETE"))</x:f>
      </x:c>
      <x:c r="HH83" s="176" t="str">
        <x:f t="shared" si="164">IF($A83="","",IF($HG83&lt;&gt;"PASS",5,$HF83))</x:f>
      </x:c>
      <x:c r="HI83" s="174" t="str">
        <x:f t="shared" si="165">IF($A83="","",IF($HH83="","N/A",IF($HH83=1,"DEFENSIV",IF($HH83=2,"PRUDENT",IF($HH83=3,"MODERAT",IF($HH83=4,"RIDICAT","WATCH / NO BET"))))))</x:f>
      </x:c>
      <x:c r="HJ83" s="177" t="str">
        <x:f t="shared" si="166">IF($A83="","","Data="&amp;$GY83&amp;"; DQ="&amp;TEXT($GZ83,"0.0")&amp;"; ZM="&amp;IF($HA83="","n/a",TEXT($HA83,"0.0"))&amp;"; Context="&amp;TEXT($HB83,"0.0")&amp;"; Uncertainty="&amp;TEXT($HC83,"0.0")&amp;"; Compound="&amp;TEXT($HD83,"0.0")&amp;"; Risk Score="&amp;IF($HE83="","n/a",TEXT($HE83,"0.0"))&amp;"; Base="&amp;IF($HF83="","n/a",$HF83)&amp;"; G0="&amp;$HG83&amp;"; Final="&amp;$HH83&amp;". Cota, EV si lineup sunt informative si nu intra in recomandare.")</x:f>
      </x:c>
      <x:c r="HK83" s="174" t="str">
        <x:f t="shared" si="167">IF($A83="","",$HI83)</x:f>
      </x:c>
    </x:row>
    <x:row r="84" ht="24" customHeight="1">
      <x:c r="A84" s="58"/>
      <x:c r="B84" s="24"/>
      <x:c r="C84" s="59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18"/>
      <x:c r="O84" s="18"/>
      <x:c r="P84" s="24"/>
      <x:c r="Q84" s="24"/>
      <x:c r="R84" s="24"/>
      <x:c r="S84" s="24"/>
      <x:c r="T84" s="24"/>
      <x:c r="U84" s="18"/>
      <x:c r="V84" s="18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24"/>
      <x:c r="AH84" s="24"/>
      <x:c r="AI84" s="18"/>
      <x:c r="AJ84" s="24"/>
      <x:c r="AK84" s="24"/>
      <x:c r="AL84" s="24"/>
      <x:c r="AM84" s="18"/>
      <x:c r="AN84" s="24"/>
      <x:c r="AO84" s="60"/>
      <x:c r="AP84" s="60"/>
      <x:c r="AQ84" s="60"/>
      <x:c r="AR84" s="60"/>
      <x:c r="AS84" s="60"/>
      <x:c r="AT84" s="24"/>
      <x:c r="AU84" s="24"/>
      <x:c r="AV84" s="24"/>
      <x:c r="AW84" s="24"/>
      <x:c r="AX84" s="24"/>
      <x:c r="AY84" s="24"/>
      <x:c r="AZ84" s="24"/>
      <x:c r="BA84" s="24"/>
      <x:c r="BB84" s="24"/>
      <x:c r="BC84" s="24"/>
      <x:c r="BD84" s="24"/>
      <x:c r="BE84" s="24"/>
      <x:c r="BF84" s="24"/>
      <x:c r="BG84" s="24"/>
      <x:c r="BH84" s="61"/>
      <x:c r="BI84" s="61"/>
      <x:c r="BJ84" s="62" t="str">
        <x:f>IF($A84="","",SQRT((($I84*IF($J84="",$AJ84,$J84)+'Setari model'!$B$30*$AJ84)/($I84+'Setari model'!$B$30))*(($P84*IF($R84="",$AJ84,$R84)+'Setari model'!$B$30*$AJ84)/($P84+'Setari model'!$B$30)))+SQRT((($P84*IF($Q84="",$AK84,$Q84)+'Setari model'!$B$30*$AK84)/($P84+'Setari model'!$B$30))*(($I84*IF($K84="",$AK84,$K84)+'Setari model'!$B$30*$AK84)/($I84+'Setari model'!$B$30))))</x:f>
      </x:c>
      <x:c r="BK84" s="62" t="str">
        <x:f>IF($A84="","",SQRT((($I84*IF($L84="",IF($J84="",$AJ84,$J84),$L84)+'Setari model'!$B$30*$AJ84)/($I84+'Setari model'!$B$30))*(($P84*IF($T84="",IF($R84="",$AJ84,$R84),$T84)+'Setari model'!$B$30*$AJ84)/($P84+'Setari model'!$B$30)))+SQRT((($P84*IF($S84="",IF($Q84="",$AK84,$Q84),$S84)+'Setari model'!$B$30*$AK84)/($P84+'Setari model'!$B$30))*(($I84*IF($M84="",IF($K84="",$AK84,$K84),$M84)+'Setari model'!$B$30*$AK84)/($I84+'Setari model'!$B$30))))</x:f>
      </x:c>
      <x:c r="BL84" s="62" t="str">
        <x:f>IF($A84="","",SQRT((($W84*IF($X84="",$AL84/2,$X84)+'Setari model'!$B$31*$AL84/2)/($W84+'Setari model'!$B$31))*(($AB84*IF($AD84="",$AL84/2,$AD84)+'Setari model'!$B$31*$AL84/2)/($AB84+'Setari model'!$B$31)))+SQRT((($AB84*IF($AC84="",$AL84/2,$AC84)+'Setari model'!$B$31*$AL84/2)/($AB84+'Setari model'!$B$31))*(($W84*IF($Y84="",$AL84/2,$Y84)+'Setari model'!$B$31*$AL84/2)/($W84+'Setari model'!$B$31))))</x:f>
      </x:c>
      <x:c r="BM84" s="62" t="str">
        <x:f>IF($A84="","",SQRT((($W84*IF($Z84="",IF($X84="",$AL84/2,$X84),$Z84)+'Setari model'!$B$31*$AL84/2)/($W84+'Setari model'!$B$31))*(($AB84*IF($AF84="",IF($AD84="",$AL84/2,$AD84),$AF84)+'Setari model'!$B$31*$AL84/2)/($AB84+'Setari model'!$B$31)))+SQRT((($AB84*IF($AE84="",IF($AC84="",$AL84/2,$AC84),$AE84)+'Setari model'!$B$31*$AL84/2)/($AB84+'Setari model'!$B$31))*(($W84*IF($AA84="",IF($Y84="",$AL84/2,$Y84),$AA84)+'Setari model'!$B$31*$AL84/2)/($W84+'Setari model'!$B$31))))</x:f>
      </x:c>
      <x:c r="BN84" s="62" t="str">
        <x:f t="shared" si="112">IF($A84="","",IF($AG84&gt;0,($AG84*IF($AH84="",$AL84,$AH84)+5*$AL84)/($AG84+5),$AL84))</x:f>
      </x:c>
      <x:c r="BO84" s="63" t="str">
        <x:f>IF($A84="","",IF($AR84&gt;1,IF($AS84&gt;1,(1/$AR84)/((1/$AR84+1/$AS84)),MIN(0.995,(1/$AR84)/(1+'Setari model'!$B$32))),1-EXP(-$AL84)))</x:f>
      </x:c>
      <x:c r="BP84" s="62" t="str">
        <x:f t="shared" si="113">IF($A84="","",-LN(1-$BO84))</x:f>
      </x:c>
      <x:c r="BQ84" s="62" t="str">
        <x:f>IF($A84="","",$BJ84*INDEX('Setari model'!$B$5:$B$11,MATCH($E84,'Setari model'!$A$5:$A$11,0))+$BK84*INDEX('Setari model'!$C$5:$C$11,MATCH($E84,'Setari model'!$A$5:$A$11,0))+$BL84*INDEX('Setari model'!$D$5:$D$11,MATCH($E84,'Setari model'!$A$5:$A$11,0))+$BM84*INDEX('Setari model'!$E$5:$E$11,MATCH($E84,'Setari model'!$A$5:$A$11,0))+$BN84*INDEX('Setari model'!$F$5:$F$11,MATCH($E84,'Setari model'!$A$5:$A$11,0))+$BP84*INDEX('Setari model'!$G$5:$G$11,MATCH($E84,'Setari model'!$A$5:$A$11,0)))</x:f>
      </x:c>
      <x:c r="BR84" s="64" t="str">
        <x:f>IF($A84="","",MAX('Setari model'!$B$53,MIN('Setari model'!$B$54,1+($AV84*'Setari model'!$B$15+$AW84*'Setari model'!$B$16+$AX84*'Setari model'!$B$17+$AY84*'Setari model'!$B$18+$AZ84*'Setari model'!$B$19+$BA84*'Setari model'!$B$20+$BB84*'Setari model'!$B$21+$BC84*'Setari model'!$B$22+$BD84*'Setari model'!$B$23+$BE84*'Setari model'!$B$24+$BF84*'Setari model'!$B$25)*INDEX('Setari model'!$H$5:$H$11,MATCH($E84,'Setari model'!$A$5:$A$11,0)))))</x:f>
      </x:c>
      <x:c r="BS84" s="62" t="str">
        <x:f t="shared" si="114">IF($A84="","",$BQ84*$BR84)</x:f>
      </x:c>
      <x:c r="BT84" s="63" t="str">
        <x:f t="shared" si="115">IF($A84="","",EXP(-$BS84))</x:f>
      </x:c>
      <x:c r="BU84" s="65" t="str">
        <x:f>IF($A84="","",IF(OR($AM84="",$AN84=""),1,1+MIN('Setari model'!$B$33,$AN84/100*'Setari model'!$B$33)*($AM84/EXP(-$AL84)-1)))</x:f>
      </x:c>
      <x:c r="BV84" s="63" t="str">
        <x:f>IF($A84="","",MIN(0.45,MAX(0.005,(1-'Setari model'!$B$34*MIN(1,($I84+$P84)/20))*MIN(0.45,$BT84*$BU84)+'Setari model'!$B$34*MIN(1,($I84+$P84)/20)*IF(COUNT($N84,$U84)=2,SQRT(MAX(0,1-$N84)*MAX(0,1-$U84)),IF($AM84="",EXP(-$AL84),$AM84)))))</x:f>
      </x:c>
      <x:c r="BW84" s="63" t="str">
        <x:f t="shared" si="116">IF($A84="","",1-$BV84)</x:f>
      </x:c>
      <x:c r="BX84" s="62" t="str">
        <x:f t="shared" si="117">IF($A84="","",1/$BW84)</x:f>
      </x:c>
      <x:c r="BY84" s="63" t="str">
        <x:f t="shared" si="118">IF($A84="","",$BO84)</x:f>
      </x:c>
      <x:c r="BZ84" s="63" t="str">
        <x:f t="shared" si="119">IF($A84="","",$BW84-$BY84)</x:f>
      </x:c>
      <x:c r="CA84" s="63" t="str">
        <x:f t="shared" si="120">IF($A84="","",IF($AR84&gt;1,$BW84*$AR84-1,""))</x:f>
      </x:c>
      <x:c r="CB84" s="63" t="str">
        <x:f>IF($A84="","",MIN(1,COUNT($I84:$AN84,$AR84:$BG84)/'Setari model'!$B$46))</x:f>
      </x:c>
      <x:c r="CC84" s="63" t="str">
        <x:f t="shared" si="121">IF($A84="","",0.25*MIN(1,$I84/10)+0.25*MIN(1,$P84/10)+0.15*MIN(1,$W84/5)+0.15*MIN(1,$AB84/5)+0.1*MIN(1,$AG84/5)+0.1*MIN(1,$AN84/100))</x:f>
      </x:c>
      <x:c r="CD84" s="63" t="str">
        <x:f>IF($A84="","",MAX(0,1-(MAX($BJ84:$BN84,$BP84)-MIN($BJ84:$BN84,$BP84))/(AVERAGE($BJ84:$BN84,$BP84)*'Setari model'!$B$45)))</x:f>
      </x:c>
      <x:c r="CE84" s="66" t="str">
        <x:f>IF($A84="","",MAX(0,MIN(100,100*INDEX('Setari model'!$I$5:$I$11,MATCH($E84,'Setari model'!$A$5:$A$11,0))*('Setari model'!$B$47*$CB84+'Setari model'!$B$48*$CC84+'Setari model'!$B$49*$CD84+'Setari model'!$B$50*$AT84/5+'Setari model'!$B$51*$AU84)-100*'Setari model'!$B$52*$BG84)))</x:f>
      </x:c>
      <x:c r="CF84" s="65" t="str">
        <x:f t="shared" si="122">IF($A84="","",IF(OR($AT84&lt;3,$BG84&gt;=2,$CB84&lt;0.55,$CC84&lt;0.4),"RIDICAT",IF(OR($AU84=0,$CD84&lt;0.45,$BR84&lt;0.9),"MEDIU","SCĂZUT")))</x:f>
      </x:c>
      <x:c r="CG84" s="65" t="str">
        <x:f>IF($A84="","",IF($AR84&gt;1,IF(AND($BW84&gt;= 'Setari model'!$B$35,$CE84&gt;=100*'Setari model'!$B$36,$BZ84&gt;= 'Setari model'!$B$37,$CA84&gt;= 'Setari model'!$B$38,$CF84&lt;&gt;"RIDICAT"),"PARIU RECOMANDAT",IF(AND($BW84&gt;= 'Setari model'!$B$39,$CE84&gt;=100*'Setari model'!$B$40,$BZ84&gt;= 'Setari model'!$B$41,$CA84&gt;=0,$CF84&lt;&gt;"RIDICAT"),"RECOMANDAT CU PRUDENȚĂ",IF(AND($BW84&gt;= 'Setari model'!$B$42,$CE84&gt;=100*'Setari model'!$B$43),"ANALIZĂ NECONCLUDENTĂ","PARIU EVITAT"))),IF(AND($BW84&gt;= 'Setari model'!$B$35,$CE84&gt;=100*'Setari model'!$B$36,$CF84&lt;&gt;"RIDICAT"),"FAVORABIL STATISTIC – VERIFICĂ COTA",IF(AND($BW84&gt;= 'Setari model'!$B$42,$CE84&gt;=100*'Setari model'!$B$43),"ANALIZĂ NECONCLUDENTĂ","PARIU EVITAT"))))</x:f>
      </x:c>
      <x:c r="CH84" s="67" t="str">
        <x:f t="shared" si="123">IF($A84="","","P(O0,5)="&amp;TEXT($BW84,"0.0%")&amp;"; λ ajustat="&amp;TEXT($BS84,"0.00")&amp;"; Confidence="&amp;TEXT($CE84,"0")&amp;"/100; Edge="&amp;TEXT($BZ84,"0.0%")&amp;"; risc="&amp;$CF84&amp;". "&amp;$BH84)</x:f>
      </x:c>
      <x:c r="CI84" s="68" t="str">
        <x:f t="shared" si="124">IF($A84="","",$BI84)</x:f>
      </x:c>
      <x:c r="CJ84" s="112"/>
      <x:c r="CK84" s="112"/>
      <x:c r="CL84" s="112"/>
      <x:c r="CM84" s="112"/>
      <x:c r="CN84" s="112"/>
      <x:c r="CO84" s="112"/>
      <x:c r="CP84" s="112"/>
      <x:c r="CQ84" s="112"/>
      <x:c r="CR84" s="112"/>
      <x:c r="CS84" s="112"/>
      <x:c r="CT84" s="112"/>
      <x:c r="CU84" s="112"/>
      <x:c r="CV84" s="112"/>
      <x:c r="CW84" s="112"/>
      <x:c r="CX84" s="112"/>
      <x:c r="CY84" s="112"/>
      <x:c r="CZ84" s="112"/>
      <x:c r="DA84" s="112"/>
      <x:c r="DB84" s="112"/>
      <x:c r="DC84" s="114"/>
      <x:c r="DD84" s="114"/>
      <x:c r="DE84" s="112" t="s">
        <x:v>266</x:v>
      </x:c>
      <x:c r="DF84" s="112"/>
      <x:c r="DG84" s="112"/>
      <x:c r="DH84" s="112"/>
      <x:c r="DI84" s="112"/>
      <x:c r="DJ84" s="112"/>
      <x:c r="DK84" s="112"/>
      <x:c r="DL84" s="112"/>
      <x:c r="DM84" s="112"/>
      <x:c r="DN84" s="112"/>
      <x:c r="DO84" s="112"/>
      <x:c r="DP84" s="112"/>
      <x:c r="DQ84" s="114"/>
      <x:c r="DR84" s="112">
        <x:v>1</x:v>
      </x:c>
      <x:c r="DS84" s="116">
        <x:v>0</x:v>
      </x:c>
      <x:c r="DT84" s="120"/>
      <x:c r="DU84" s="116">
        <x:v>0.02</x:v>
      </x:c>
      <x:c r="DV84" s="116">
        <x:v>0.25</x:v>
      </x:c>
      <x:c r="DW84" s="118" t="str">
        <x:f>IF($A84="","",MAX('Setari model'!$B$71,MIN('Setari model'!$B$72,1+0.08*(IFERROR(AVERAGE($CM84:$CN84)/'Setari model'!$B$66,1)-1)+0.08*(IFERROR(AVERAGE($CO84:$CP84)/'Setari model'!$B$67,1)-1)+0.06*(IFERROR(AVERAGE($CQ84:$CR84)/'Setari model'!$B$68,1)-1)+0.04*(IFERROR(AVERAGE($CS84:$CT84)/'Setari model'!$B$69,1)-1)+0.04*(IFERROR(AVERAGE($CU84:$CV84)/'Setari model'!$B$70,1)-1)-'Setari model'!$B$73*IFERROR(AVERAGE($CW84:$CX84),0))))</x:f>
      </x:c>
      <x:c r="DX84" s="118" t="str">
        <x:f>IF($A84="","",1+'Setari model'!$B$62*MAX(IF(OR($CK84=1,$CL84=1),1,0),IF(AND($CJ84&lt;&gt;"",$CJ84&lt;=1),1,0))+'Setari model'!$B$63*IF(AND($CJ84&gt;1,$CJ84&lt;=3),1,0))</x:f>
      </x:c>
      <x:c r="DY84" s="118" t="str">
        <x:f>IF($A84="","",1+'Setari model'!$B$74*(IF($CY84="",0,IF($CY84=0,1,0))+IF($CZ84="",0,IF($CZ84=0,1,0)))+'Setari model'!$B$75*(IF($DA84="",0,IF($DA84=0,1,0))+IF($DB84="",0,IF($DB84=0,1,0))))</x:f>
      </x:c>
      <x:c r="DZ84" s="117" t="str">
        <x:f>IF($A84="","",MIN(0.6,MAX(0.002,(((1-'Setari model'!$B$34*MIN(1,($I84+$P84)/20))*$BT84+'Setari model'!$B$34*MIN(1,($I84+$P84)/20)*IF(COUNT($N84,$U84)=2,SQRT(MAX(0,1-$N84)*MAX(0,1-$U84)),$BT84))*(1-'Setari model'!$B$65*MIN(1,IF($AN84="",0,$AN84/'Setari model'!$B$64)))+'Setari model'!$B$65*MIN(1,IF($AN84="",0,$AN84/'Setari model'!$B$64))*IF($AM84="",$BT84,$AM84))*$DX84*$DY84/$DW84)))</x:f>
      </x:c>
      <x:c r="EA84" s="117" t="str">
        <x:f>IF($A84="","",MIN(1-$DZ84,IF(OR(MIN($I84,$P84)&lt;'Setari model'!$B$58,$CK84=1,$CL84=1,AND($CJ84&lt;&gt;"",$CJ84&lt;=1)),'Setari model'!$B$59,IF(AND($AU84=1,$AR84&gt;1,COUNT($CY84:$DB84)=4),'Setari model'!$B$61,'Setari model'!$B$60))))</x:f>
      </x:c>
      <x:c r="EB84" s="115" t="str">
        <x:f t="shared" si="125">IF($A84="","",1/$EA84)</x:f>
      </x:c>
      <x:c r="EC84" s="117" t="str">
        <x:f t="shared" si="126">IF($A84="","",IF($AR84&gt;1,IF($AS84&gt;1,(1/$AR84)/((1/$AR84)+(1/$AS84)),1/$AR84),""))</x:f>
      </x:c>
      <x:c r="ED84" s="117" t="str">
        <x:f t="shared" si="127">IF($A84="","",IF($EC84="","",$EA84-$EC84))</x:f>
      </x:c>
      <x:c r="EE84" s="117" t="str">
        <x:f t="shared" si="128">""</x:f>
      </x:c>
      <x:c r="EF84" s="119" t="str">
        <x:f>IF($A84="","",MAX(0,MIN(100,$CE84-200*MAX(0,$EG84-'Setari model'!$B$77)-IF($AU84&lt;&gt;1,10,0)-IF(COUNT($CY84:$DB84)&lt;4,4,0))))</x:f>
      </x:c>
      <x:c r="EG84" s="117" t="str">
        <x:f>IF($A84="","",'Setari model'!$B$77+IF(MIN($I84,$P84)&lt;'Setari model'!$B$58,0.03,0)+IF(OR($CK84=1,$CL84=1,AND($CJ84&lt;&gt;"",$CJ84&lt;=1)),0.03,0)+IF($AG84=0,0.02,0)+0.03*(1-MIN(1,COUNT($CM84:$CV84)/10))+0.03*(1-MIN(1,IF($AN84="",0,$AN84/'Setari model'!$B$64)))+IF($AR84&lt;=1,0.02,0))</x:f>
      </x:c>
      <x:c r="EH84" s="113" t="str">
        <x:f>IF($A84="","",IF(OR(MIN($I84,$P84)&lt;'Setari model'!$B$58,$CK84=1,$CL84=1,AND($CJ84&lt;&gt;"",$CJ84&lt;=1)),"92% – early/regim",IF(AND($AU84=1,$AR84&gt;1,COUNT($CY84:$DB84)=4),"94% – confirmat","93% – standard")))</x:f>
      </x:c>
      <x:c r="EI84" s="113" t="str">
        <x:f t="shared" si="129">IF($A84="","",IF(AND($EA84&gt;0.9,$AU84&lt;&gt;1),"WAIT XI – HIGH P",IF(AND($EA84&gt;0.9,COUNT($CY84:$DB84)&lt;4),"WAIT DATE CHEIE – HIGH P",IF($EP84&lt;&gt;"DA","NU – PORTOFOLIU","DA"))))</x:f>
      </x:c>
      <x:c r="EJ84" s="117" t="str">
        <x:f t="shared" si="130">IF($A84="","",IF($DE84&lt;&gt;"Live 20-30","",IF(SUM($DG84:$DH84)&gt;0,1,IF($EU84="","",1-MIN(0.95,MAX(0.001,EXP(-$EU84)*$DX84*$DY84/$DW84))))))</x:f>
      </x:c>
      <x:c r="EK84" s="117" t="str">
        <x:f t="shared" si="131">""</x:f>
      </x:c>
      <x:c r="EL84" s="113" t="str">
        <x:f>IF($A84="","",IF($DE84="Live 20-30",IF(SUM($DG84:$DH84)&gt;0,"EVENIMENT ÎNDEPLINIT",IF(OR($DF84="",COUNT($DI84:$DN84)&lt;4),"LIVE – WATCH",IF($EJ84&gt;=0.75,"LIVE – FEZABIL TEHNIC","LIVE – NO BET"))),IF($EI84&lt;&gt;"DA","WATCH / NO BET",IF(AND($EA84&gt;=INDEX('Setari model'!$B$35:$B$40,1),$EF84&gt;=100*'Setari model'!$B$76),"PARIU RECOMANDAT",IF(AND($EA84&gt;=INDEX('Setari model'!$B$35:$B$40,5),$EF84&gt;=100*'Setari model'!$B$40),"WATCH – APROAPE DE PRAG","PARIU EVITAT")))))</x:f>
      </x:c>
      <x:c r="EM84" s="113" t="str">
        <x:f t="shared" si="132">IF($A84="","",IF($DE84="Live 20-30",IF(SUM($DG84:$DH84)&gt;0,"Gol deja marcat.",IF($DF84="","Minut live lipsă.",IF(COUNT($DI84:$DN84)&lt;4,"Lipsesc xG/SOT/big chances live.",IF($EJ84&lt;0.75,"P live sub prag.","Semnal live tehnic complet; EV ignorat.")))),IF($EI84&lt;&gt;"DA",$EI84,IF($EF84&lt;75,"Confidence sub 75.",IF($EA84&lt;0.92,"P sub 92%.","G0/Zero-Mass + confidence trecute; EV ignorat.")))))</x:f>
      </x:c>
      <x:c r="EN84" s="117" t="str">
        <x:f>IF($A84="","",IF(OR($EL84="PARIU RECOMANDAT",$EL84="LIVE – FEZABIL"),MIN(IF($DU84&gt;0,$DU84,'Setari model'!$B$81)/MAX(1,$DR84),IF($DV84&gt;0,$DV84,'Setari model'!$B$80)*MAX(0,((IF($DE84="Live 20-30",$EJ84,$EA84)*IF($DE84="Live 20-30",$DQ84,$AR84)-1)/(IF($DE84="Live 20-30",$DQ84,$AR84)-1)))),0))</x:f>
      </x:c>
      <x:c r="EO84" s="121" t="str">
        <x:f t="shared" si="133">IF($A84="","",IF(AND($EN84&gt;0,$DT84&gt;0),$EN84*$DT84,""))</x:f>
      </x:c>
      <x:c r="EP84" s="113" t="str">
        <x:f>IF($A84="","",IF(OR($DR84&lt;1,$DR84&gt;'Setari model'!$B$78),"NU – 1–5 selecții",IF($DS84&gt;'Setari model'!$B$79,"NU – corelație", "DA")))</x:f>
      </x:c>
      <x:c r="EQ84" s="117" t="str">
        <x:f t="shared" si="134">IF($A84="","",IF(AND($DC84&gt;1,$DD84&gt;1),$DC84/$DD84-1,""))</x:f>
      </x:c>
      <x:c r="ER84" s="113" t="str">
        <x:f t="shared" si="135">IF($A84="","","P v2="&amp;TEXT($EA84,"0.0%")&amp;" ±"&amp;TEXT($EG84,"0.0%")&amp;"; P0 ZIP="&amp;TEXT($DZ84,"0.0%")&amp;"; Confidence="&amp;TEXT($EF84,"0")&amp;"/100; piață reală="&amp;IF($EC84="","NU","DA")&amp;"; EV="&amp;IF($EE84="","n/a",TEXT($EE84,"0.0%"))&amp;"; gate="&amp;$EI84&amp;"; verdict="&amp;$EL84&amp;". "&amp;$EM84)</x:f>
      </x:c>
      <x:c r="ES84" s="119" t="str">
        <x:f>IF($A84="","",'Setari model'!$B$82)</x:f>
      </x:c>
      <x:c r="ET84" s="118" t="str">
        <x:f>IF($A84="","",'Setari model'!$B$83)</x:f>
      </x:c>
      <x:c r="EU84" s="115" t="str">
        <x:f t="shared" si="136">IF(OR($A84="",$DE84&lt;&gt;"Live 20-30",$DF84="",$DF84&lt;$ES84,$DF84&gt;=90),"",MAX(0.05,MIN($BS84*$ET84,$BS84*(90-$DF84)/90+0.35*($DI84+$DJ84)+0.06*($DK84+$DL84)+0.15*($DM84+$DN84)+0.1*(MAX($DO84,$DP84)-MIN($DO84,$DP84)))))</x:f>
      </x:c>
      <x:c r="EV84" s="132"/>
      <x:c r="EW84" s="132"/>
      <x:c r="EX84" s="132"/>
      <x:c r="EY84" s="132"/>
      <x:c r="EZ84" s="132"/>
      <x:c r="FA84" s="132"/>
      <x:c r="FB84" s="247"/>
      <x:c r="FC84" s="134" t="str">
        <x:f t="shared" si="137">IF($A84="","",IF(OR($J84="",$L84="",$L84&lt;=0),"",MAX(0.5,MIN(1.5,$J84/$L84))))</x:f>
      </x:c>
      <x:c r="FD84" s="134" t="str">
        <x:f t="shared" si="138">IF($A84="","",IF(OR($Q84="",$S84="",$S84&lt;=0),"",MAX(0.5,MIN(1.5,$Q84/$S84))))</x:f>
      </x:c>
      <x:c r="FE84" s="134" t="str">
        <x:f>IF($A84="","",IF(COUNT($EV84:$EW84)&lt;2,"",SQRT($EV84*$EW84)/'Setari model'!$B$87))</x:f>
      </x:c>
      <x:c r="FF84" s="134" t="str">
        <x:f>IF($A84="","",IF(COUNT($O84,$V84,$EX84,$EY84)&lt;4,"",AVERAGE(SQRT($O84*$EY84),SQRT($V84*$EX84))/'Setari model'!$B$88))</x:f>
      </x:c>
      <x:c r="FG84" s="134" t="str">
        <x:f t="shared" si="139">IF($A84="","",IF(COUNT($FC84:$FD84)&lt;2,"",MAX(0,1-AVERAGE($FC84:$FD84))))</x:f>
      </x:c>
      <x:c r="FH84" s="134" t="str">
        <x:f>IF($A84="","",IF(COUNT($EZ84:$FA84)&lt;2,"",'Setari model'!$B$94*AVERAGE($EZ84:$FA84)/'Setari model'!$B$89))</x:f>
      </x:c>
      <x:c r="FI84" s="134" t="str">
        <x:f>IF($A84="","",IF(COUNT($FE84:$FH84)&lt;4,"",MAX('Setari model'!$B$97,MIN('Setari model'!$B$98,1+'Setari model'!$B$90*($FE84-1)+'Setari model'!$B$91*($FF84-1)+'Setari model'!$B$92*$FG84+'Setari model'!$B$93*($FH84-1)))))</x:f>
      </x:c>
      <x:c r="FJ84" s="133" t="str">
        <x:f>IF($A84="","",IF($FI84="","",MIN('Setari model'!$B$101,MAX(0.002,$DZ84*$FI84))))</x:f>
      </x:c>
      <x:c r="FK84" s="131" t="str">
        <x:f t="shared" si="140">IF($A84="","",IF(AND(COUNT($EV84:$FA84)=6,COUNT($O84,$V84,$FC84,$FD84)=4),"DA","NU"))</x:f>
      </x:c>
      <x:c r="FL84" s="131" t="str">
        <x:f>IF($A84="","",IF($FK84&lt;&gt;"DA","NEDETERMINAT",IF($FI84&lt;='Setari model'!$B$99,"SCĂZUT",IF($FI84&lt;='Setari model'!$B$100,"MEDIU","RIDICAT"))))</x:f>
      </x:c>
      <x:c r="FM84" s="131" t="str">
        <x:f>IF($A84="","",IF(AND($AR84&gt;1,$EC84&gt;='Setari model'!$B$106),"DA","NU"))</x:f>
      </x:c>
      <x:c r="FN84" s="131" t="str">
        <x:f t="shared" si="141">IF($A84="","",IF(AND($AU84=1,COUNT($CY84:$DB84)=4),"DA","NU"))</x:f>
      </x:c>
      <x:c r="FO84" s="133" t="str">
        <x:f>IF($A84="","",IF(OR($FK84&lt;&gt;"DA",$FL84="RIDICAT"),'Setari model'!$B$102,IF($FL84="MEDIU",'Setari model'!$B$103,IF(AND($FM84="DA",$FN84="DA"),'Setari model'!$B$105,'Setari model'!$B$104))))</x:f>
      </x:c>
      <x:c r="FP84" s="133" t="str">
        <x:f t="shared" si="142">IF($A84="","",IF($FJ84="","",MIN(1-$FJ84,$FO84)))</x:f>
      </x:c>
      <x:c r="FQ84" s="135" t="str">
        <x:f t="shared" si="143">IF($A84="","",IF($FP84="","",IF($FP84&gt;0,1/$FP84,"")))</x:f>
      </x:c>
      <x:c r="FR84" s="133" t="str">
        <x:f t="shared" si="144">IF($A84="","",IF($EC84="","",$FP84-$EC84))</x:f>
      </x:c>
      <x:c r="FS84" s="133" t="str">
        <x:f t="shared" si="145">IF($A84="","",IF($AR84&gt;1,$FP84*$AR84-1,""))</x:f>
      </x:c>
      <x:c r="FT84" s="136" t="str">
        <x:f>IF($A84="","",MAX(0,MIN(100,$EF84-IF($FK84&lt;&gt;"DA",'Setari model'!$B$107,0)-IF($FL84="MEDIU",'Setari model'!$B$108,0)-IF($FL84="RIDICAT",'Setari model'!$B$109,0))))</x:f>
      </x:c>
      <x:c r="FU84" s="131" t="str">
        <x:f t="shared" si="146">IF($A84="","",IF($AR84&lt;=1,"NU – LIPSEȘTE COTA REALĂ",IF($FK84&lt;&gt;"DA","NU – ZERO-RISK INCOMPLET",IF($FL84&lt;&gt;"SCĂZUT","NU – RISC 0-0 "&amp;$FL84,IF($FN84&lt;&gt;"DA","NU – LINEUP NECONFIRMAT",IF($FM84&lt;&gt;"DA","NU – PIAȚĂ NECONFIRMATĂ",IF($EP84&lt;&gt;"DA","NU – PORTOFOLIU","DA")))))))</x:f>
      </x:c>
      <x:c r="FV84" s="131" t="str">
        <x:f>IF($A84="","",IF($FU84&lt;&gt;"DA","WATCH / NO BET",IF(AND($FP84&gt;='Setari model'!$B$35,$FT84&gt;=100*'Setari model'!$B$76,$FS84&gt;0),"PARIU RECOMANDAT",IF(AND($FP84&gt;='Setari model'!$B$39,$FT84&gt;=100*'Setari model'!$B$40,$FS84&gt;0),"WATCH – APROAPE DE PRAG","PARIU EVITAT"))))</x:f>
      </x:c>
      <x:c r="FW84" s="131" t="str">
        <x:f t="shared" si="147">IF($A84="","",IF($FU84&lt;&gt;"DA",$FU84,IF($FT84&lt;75,"Confidence v3 sub 75.",IF($FP84&lt;0.92,"P v3 sub 92%.",IF($FS84&lt;=0,"EV v3 nepozitiv.","P0 v3, lineup și piață confirmate.")))))</x:f>
      </x:c>
      <x:c r="FX84" s="131" t="str">
        <x:f t="shared" si="148">IF($A84="","","P v3="&amp;TEXT($FP84,"0.0%")&amp;"; P0 v3="&amp;TEXT($FJ84,"0.0%")&amp;"; factor zero="&amp;IF($FI84="","n/a",TEXT($FI84,"0.00x"))&amp;" ("&amp;$FL84&amp;"); cap="&amp;TEXT($FO84,"0.0%")&amp;"; Confidence="&amp;TEXT($FT84,"0")&amp;"/100; lineup="&amp;$FN84&amp;"; piață="&amp;$FM84&amp;"; EV="&amp;IF($FS84="","n/a",TEXT($FS84,"0.0%"))&amp;"; gate="&amp;$FU84&amp;"; verdict="&amp;$FV84&amp;". "&amp;$FW84)</x:f>
      </x:c>
      <x:c r="FY84" s="159"/>
      <x:c r="FZ84" s="159"/>
      <x:c r="GA84" s="157"/>
      <x:c r="GB84" s="157"/>
      <x:c r="GC84" s="161" t="str">
        <x:f t="shared" si="149">IF($A84="","",IF(OR($X84="",$Z84="",$Z84&lt;=0),"",MAX(0.5,MIN(1.5,$X84/$Z84))))</x:f>
      </x:c>
      <x:c r="GD84" s="161" t="str">
        <x:f t="shared" si="150">IF($A84="","",IF(OR($AC84="",$AE84="",$AE84&lt;=0),"",MAX(0.5,MIN(1.5,$AC84/$AE84))))</x:f>
      </x:c>
      <x:c r="GE84" s="162" t="str">
        <x:f t="shared" si="151">IF($A84="","",IF(COUNT($Z84,$AE84)&lt;2,"",AVERAGE($Z84,$AE84)))</x:f>
      </x:c>
      <x:c r="GF84" s="158" t="str">
        <x:f>IF($A84="","",IF(COUNT($FY84:$FZ84)&lt;2,"NEDETERMINAT",IF(AND($FY84&gt;='Setari model'!$B$113,$FZ84&gt;='Setari model'!$B$113),"DA","NU")))</x:f>
      </x:c>
      <x:c r="GG84" s="158" t="str">
        <x:f>IF($A84="","",IF(COUNT($FY84:$FZ84,$EX84:$EY84)&lt;4,"NEDETERMINAT",IF(OR(AND($FY84&gt;='Setari model'!$B$113,$EY84&gt;='Setari model'!$B$114),AND($FZ84&gt;='Setari model'!$B$113,$EX84&gt;='Setari model'!$B$114)),"DA","NU")))</x:f>
      </x:c>
      <x:c r="GH84" s="158" t="str">
        <x:f>IF($A84="","",IF(COUNT($BJ84:$BN84,$GC84:$GE84)&lt;8,"NEDETERMINAT",IF(AND((($BJ84*INDEX('Setari model'!$B$5:$B$11,MATCH($E84,'Setari model'!$A$5:$A$11,0))+$BK84*INDEX('Setari model'!$C$5:$C$11,MATCH($E84,'Setari model'!$A$5:$A$11,0))+$BL84*INDEX('Setari model'!$D$5:$D$11,MATCH($E84,'Setari model'!$A$5:$A$11,0))+$BM84*INDEX('Setari model'!$E$5:$E$11,MATCH($E84,'Setari model'!$A$5:$A$11,0))+$BN84*INDEX('Setari model'!$F$5:$F$11,MATCH($E84,'Setari model'!$A$5:$A$11,0)))/(INDEX('Setari model'!$B$5:$B$11,MATCH($E84,'Setari model'!$A$5:$A$11,0))+INDEX('Setari model'!$C$5:$C$11,MATCH($E84,'Setari model'!$A$5:$A$11,0))+INDEX('Setari model'!$D$5:$D$11,MATCH($E84,'Setari model'!$A$5:$A$11,0))+INDEX('Setari model'!$E$5:$E$11,MATCH($E84,'Setari model'!$A$5:$A$11,0))+INDEX('Setari model'!$F$5:$F$11,MATCH($E84,'Setari model'!$A$5:$A$11,0))))*$BR84&gt;='Setari model'!$B$115,(($BJ84*INDEX('Setari model'!$B$5:$B$11,MATCH($E84,'Setari model'!$A$5:$A$11,0))+$BK84*INDEX('Setari model'!$C$5:$C$11,MATCH($E84,'Setari model'!$A$5:$A$11,0))+$BL84*INDEX('Setari model'!$D$5:$D$11,MATCH($E84,'Setari model'!$A$5:$A$11,0))+$BM84*INDEX('Setari model'!$E$5:$E$11,MATCH($E84,'Setari model'!$A$5:$A$11,0))+$BN84*INDEX('Setari model'!$F$5:$F$11,MATCH($E84,'Setari model'!$A$5:$A$11,0)))/(INDEX('Setari model'!$B$5:$B$11,MATCH($E84,'Setari model'!$A$5:$A$11,0))+INDEX('Setari model'!$C$5:$C$11,MATCH($E84,'Setari model'!$A$5:$A$11,0))+INDEX('Setari model'!$D$5:$D$11,MATCH($E84,'Setari model'!$A$5:$A$11,0))+INDEX('Setari model'!$E$5:$E$11,MATCH($E84,'Setari model'!$A$5:$A$11,0))+INDEX('Setari model'!$F$5:$F$11,MATCH($E84,'Setari model'!$A$5:$A$11,0))))*$BR84&lt;='Setari model'!$B$116,AVERAGE($GC84:$GD84)&lt;='Setari model'!$B$117,$GE84&gt;='Setari model'!$B$118),"DA","NU")))</x:f>
      </x:c>
      <x:c r="GI84" s="158" t="str">
        <x:f>IF($A84="","",IF(COUNT($W84,$AB84,$GA84:$GB84)&lt;4,"NEDETERMINAT",IF(AND($W84&gt;='Setari model'!$B$120,$AB84&gt;='Setari model'!$B$120,OR(IFERROR($GA84/$W84,0)&gt;='Setari model'!$B$119,IFERROR($GB84/$AB84,0)&gt;='Setari model'!$B$119)),"DA","NU")))</x:f>
      </x:c>
      <x:c r="GJ84" s="160" t="str">
        <x:f>IF($A84="","",IF(COUNT($FY84:$GB84)&lt;4,"",IF($GH84&lt;&gt;"DA",0,'Setari model'!$B$121*IF($GF84="DA",1,0)+'Setari model'!$B$122*IF($GG84="DA",1,0)+'Setari model'!$B$123+'Setari model'!$B$124*IF($GI84="DA",1,0))))</x:f>
      </x:c>
      <x:c r="GK84" s="161" t="str">
        <x:f>IF($A84="","",IF(COUNT($GJ84)=0,"",1+'Setari model'!$B$125*$GJ84))</x:f>
      </x:c>
      <x:c r="GL84" s="160" t="str">
        <x:f>IF($A84="","",IF($GM84&lt;&gt;"DA",$FJ84,MIN('Setari model'!$B$101,MAX(0.002,$FJ84*$GK84))))</x:f>
      </x:c>
      <x:c r="GM84" s="158" t="str">
        <x:f>IF($A84="","",IF(AND($FK84="DA",COUNT($FY84:$GB84)=4,COUNT($I84,$P84,$W84,$AB84,$Z84,$AE84,$EX84,$EY84,$GC84,$GD84)=10,COUNT($BJ84:$BN84)=5),"DA","NU"))</x:f>
      </x:c>
      <x:c r="GN84" s="158" t="str">
        <x:f>IF($A84="","",IF($GM84&lt;&gt;"DA","NEDETERMINAT",IF($FI84*$GK84&lt;='Setari model'!$B$99,"SCĂZUT",IF($FI84*$GK84&lt;='Setari model'!$B$100,"MEDIU","RIDICAT"))))</x:f>
      </x:c>
      <x:c r="GO84" s="160" t="str">
        <x:f>IF($A84="","",IF(OR($GM84&lt;&gt;"DA",$GN84="RIDICAT"),'Setari model'!$B$102,IF($GN84="MEDIU",'Setari model'!$B$103,IF(AND($FM84="DA",$FN84="DA"),'Setari model'!$B$105,'Setari model'!$B$104))))</x:f>
      </x:c>
      <x:c r="GP84" s="160" t="str">
        <x:f t="shared" si="152">IF($A84="","",IF($GL84="","",MIN(1-$GL84,$GO84)))</x:f>
      </x:c>
      <x:c r="GQ84" s="162" t="str">
        <x:f t="shared" si="153">IF($A84="","",IF($GP84="","",IF($GP84&gt;0,1/$GP84,"")))</x:f>
      </x:c>
      <x:c r="GR84" s="160" t="str">
        <x:f t="shared" si="154">IF($A84="","",IF($EC84="","",$GP84-$EC84))</x:f>
      </x:c>
      <x:c r="GS84" s="160" t="str">
        <x:f t="shared" si="155">IF($A84="","",IF($AR84&gt;1,$GP84*$AR84-1,""))</x:f>
      </x:c>
      <x:c r="GT84" s="163" t="str">
        <x:f>IF($A84="","",MAX(0,MIN(100,$FT84-IF(AND($GM84&lt;&gt;"DA",$FK84="DA"),'Setari model'!$B$107,0)-'Setari model'!$B$126*IF($GJ84="",0,$GJ84))))</x:f>
      </x:c>
      <x:c r="GU84" s="158" t="str">
        <x:f t="shared" si="156">IF($A84="","",IF($AR84&lt;=1,"NU – LIPSEȘTE COTA REALĂ",IF($GM84&lt;&gt;"DA","NU – DATE LOW-CONVERSION INCOMPLETE",IF($GN84&lt;&gt;"SCĂZUT","NU – RISC 0-0 "&amp;$GN84,IF($FN84&lt;&gt;"DA","NU – LINEUP NECONFIRMAT",IF($FM84&lt;&gt;"DA","NU – PIAȚĂ NECONFIRMATĂ",IF($EP84&lt;&gt;"DA","NU – PORTOFOLIU","DA")))))))</x:f>
      </x:c>
      <x:c r="GV84" s="158" t="str">
        <x:f>IF($A84="","",IF($GU84&lt;&gt;"DA","WATCH / NO BET",IF(AND($GP84&gt;='Setari model'!$B$35,$GT84&gt;=100*'Setari model'!$B$76,$GS84&gt;0),"PARIU RECOMANDAT",IF(AND($GP84&gt;='Setari model'!$B$39,$GT84&gt;=100*'Setari model'!$B$40,$GS84&gt;0),"WATCH – APROAPE DE PRAG","PARIU EVITAT"))))</x:f>
      </x:c>
      <x:c r="GW84" s="158" t="str">
        <x:f t="shared" si="157">IF($A84="","",IF($GU84&lt;&gt;"DA",$GU84,IF($GT84&lt;75,"Confidence v5 sub 75.",IF($GP84&lt;0.92,"P v5 sub 92%.",IF($GS84&lt;=0,"EV v5 nepozitiv.",IF($GJ84&gt;0,"Low-conversion absorbit în P0; toate porțile rămân trecute.","Toate porțile v5 sunt trecute."))))))</x:f>
      </x:c>
      <x:c r="GX84" s="158" t="str">
        <x:f t="shared" si="158">IF($A84="","","P v5="&amp;TEXT($GP84,"0.0%")&amp;"; P0 v5="&amp;TEXT($GL84,"0.0%")&amp;"; low-conv="&amp;IF(COUNT($GJ84)=0,"n/a",TEXT($GJ84,"0%"))&amp;"; mult.P0="&amp;IF(COUNT($GK84)=0,"n/a",TEXT($GK84,"0.00"))&amp;"; clasă="&amp;$GN84&amp;"; cap="&amp;TEXT($GO84,"0.0%")&amp;"; Confidence="&amp;TEXT($GT84,"0")&amp;"/100; lineup="&amp;$FN84&amp;"; piață="&amp;$FM84&amp;"; EV="&amp;IF($GS84="","n/a",TEXT($GS84,"0.0%"))&amp;"; gate="&amp;$GU84&amp;"; verdict="&amp;$GV84&amp;". "&amp;$GW84)</x:f>
      </x:c>
      <x:c r="GY84" s="174" t="str">
        <x:f>IF($A84="","",IF($GM84&lt;&gt;"DA","SOURCING INCOMPLETE – REVIEW REQUIRED",IF(MIN($I84,$P84,$W84,$AB84)&lt;'Setari model'!$B$58,"SMALL SAMPLE + PRIOR / SHRINKAGE","VERIFIED / PRIOR / SHRINKAGE")))</x:f>
      </x:c>
      <x:c r="GZ84" s="175" t="str">
        <x:f t="shared" si="159">IF($A84="","",MAX(0,MIN(100,100*(1-AVERAGE(IF($GM84="DA",1,0),MIN(1,$AT84/5))))))</x:f>
      </x:c>
      <x:c r="HA84" s="175" t="str">
        <x:f>IF($A84="","",IF($GM84&lt;&gt;"DA","",MAX(0,MIN(100,100*(($FI84*$GK84)-'Setari model'!$B$97)/('Setari model'!$B$98-'Setari model'!$B$97)))))</x:f>
      </x:c>
      <x:c r="HB84" s="175" t="str">
        <x:f>IF($A84="","",MAX(0,MIN(100,100*(ABS($BR84-1)/MAX(1-'Setari model'!$B$53,'Setari model'!$B$54-1)+MIN(1,$BG84/2))/2)))</x:f>
      </x:c>
      <x:c r="HC84" s="175" t="str">
        <x:f t="shared" si="160">IF($A84="","",MAX(0,MIN(100,100*(1-AVERAGE($CC84,MAX(0,1-(MAX($BJ84:$BN84)-MIN($BJ84:$BN84))/(AVERAGE($BJ84:$BN84)*'Setari model'!$B$45)))))))</x:f>
      </x:c>
      <x:c r="HD84" s="175" t="str">
        <x:f t="shared" si="161">IF($A84="","",MAX(0,MIN(100,100*MAX(IF($GJ84="",0,$GJ84),MIN(1,$BG84/2)))))</x:f>
      </x:c>
      <x:c r="HE84" s="175" t="str">
        <x:f>IF($A84="","",IF(COUNT($GZ84:$HD84)&lt;5,"",$GZ84*Risk_Classification!$E$28+$HA84*Risk_Classification!$E$29+$HB84*Risk_Classification!$E$30+$HC84*Risk_Classification!$E$31+$HD84*Risk_Classification!$E$32))</x:f>
      </x:c>
      <x:c r="HF84" s="176" t="str">
        <x:f t="shared" si="162">IF($A84="","",IF($HE84="","",IF($HE84&lt;=20,1,IF($HE84&lt;=40,2,IF($HE84&lt;=60,3,IF($HE84&lt;=80,4,5))))))</x:f>
      </x:c>
      <x:c r="HG84" s="176" t="str">
        <x:f t="shared" si="163">IF($A84="","",IF($GM84="DA","PASS","FAIL – DATE CRITICE ZERO-MASS INCOMPLETE"))</x:f>
      </x:c>
      <x:c r="HH84" s="176" t="str">
        <x:f t="shared" si="164">IF($A84="","",IF($HG84&lt;&gt;"PASS",5,$HF84))</x:f>
      </x:c>
      <x:c r="HI84" s="174" t="str">
        <x:f t="shared" si="165">IF($A84="","",IF($HH84="","N/A",IF($HH84=1,"DEFENSIV",IF($HH84=2,"PRUDENT",IF($HH84=3,"MODERAT",IF($HH84=4,"RIDICAT","WATCH / NO BET"))))))</x:f>
      </x:c>
      <x:c r="HJ84" s="177" t="str">
        <x:f t="shared" si="166">IF($A84="","","Data="&amp;$GY84&amp;"; DQ="&amp;TEXT($GZ84,"0.0")&amp;"; ZM="&amp;IF($HA84="","n/a",TEXT($HA84,"0.0"))&amp;"; Context="&amp;TEXT($HB84,"0.0")&amp;"; Uncertainty="&amp;TEXT($HC84,"0.0")&amp;"; Compound="&amp;TEXT($HD84,"0.0")&amp;"; Risk Score="&amp;IF($HE84="","n/a",TEXT($HE84,"0.0"))&amp;"; Base="&amp;IF($HF84="","n/a",$HF84)&amp;"; G0="&amp;$HG84&amp;"; Final="&amp;$HH84&amp;". Cota, EV si lineup sunt informative si nu intra in recomandare.")</x:f>
      </x:c>
      <x:c r="HK84" s="174" t="str">
        <x:f t="shared" si="167">IF($A84="","",$HI84)</x:f>
      </x:c>
    </x:row>
    <x:row r="85" ht="24" customHeight="1">
      <x:c r="A85" s="58"/>
      <x:c r="B85" s="24"/>
      <x:c r="C85" s="59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18"/>
      <x:c r="O85" s="18"/>
      <x:c r="P85" s="24"/>
      <x:c r="Q85" s="24"/>
      <x:c r="R85" s="24"/>
      <x:c r="S85" s="24"/>
      <x:c r="T85" s="24"/>
      <x:c r="U85" s="18"/>
      <x:c r="V85" s="18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24"/>
      <x:c r="AH85" s="24"/>
      <x:c r="AI85" s="18"/>
      <x:c r="AJ85" s="24"/>
      <x:c r="AK85" s="24"/>
      <x:c r="AL85" s="24"/>
      <x:c r="AM85" s="18"/>
      <x:c r="AN85" s="24"/>
      <x:c r="AO85" s="60"/>
      <x:c r="AP85" s="60"/>
      <x:c r="AQ85" s="60"/>
      <x:c r="AR85" s="60"/>
      <x:c r="AS85" s="60"/>
      <x:c r="AT85" s="24"/>
      <x:c r="AU85" s="24"/>
      <x:c r="AV85" s="24"/>
      <x:c r="AW85" s="24"/>
      <x:c r="AX85" s="24"/>
      <x:c r="AY85" s="24"/>
      <x:c r="AZ85" s="24"/>
      <x:c r="BA85" s="24"/>
      <x:c r="BB85" s="24"/>
      <x:c r="BC85" s="24"/>
      <x:c r="BD85" s="24"/>
      <x:c r="BE85" s="24"/>
      <x:c r="BF85" s="24"/>
      <x:c r="BG85" s="24"/>
      <x:c r="BH85" s="61"/>
      <x:c r="BI85" s="61"/>
      <x:c r="BJ85" s="62" t="str">
        <x:f>IF($A85="","",SQRT((($I85*IF($J85="",$AJ85,$J85)+'Setari model'!$B$30*$AJ85)/($I85+'Setari model'!$B$30))*(($P85*IF($R85="",$AJ85,$R85)+'Setari model'!$B$30*$AJ85)/($P85+'Setari model'!$B$30)))+SQRT((($P85*IF($Q85="",$AK85,$Q85)+'Setari model'!$B$30*$AK85)/($P85+'Setari model'!$B$30))*(($I85*IF($K85="",$AK85,$K85)+'Setari model'!$B$30*$AK85)/($I85+'Setari model'!$B$30))))</x:f>
      </x:c>
      <x:c r="BK85" s="62" t="str">
        <x:f>IF($A85="","",SQRT((($I85*IF($L85="",IF($J85="",$AJ85,$J85),$L85)+'Setari model'!$B$30*$AJ85)/($I85+'Setari model'!$B$30))*(($P85*IF($T85="",IF($R85="",$AJ85,$R85),$T85)+'Setari model'!$B$30*$AJ85)/($P85+'Setari model'!$B$30)))+SQRT((($P85*IF($S85="",IF($Q85="",$AK85,$Q85),$S85)+'Setari model'!$B$30*$AK85)/($P85+'Setari model'!$B$30))*(($I85*IF($M85="",IF($K85="",$AK85,$K85),$M85)+'Setari model'!$B$30*$AK85)/($I85+'Setari model'!$B$30))))</x:f>
      </x:c>
      <x:c r="BL85" s="62" t="str">
        <x:f>IF($A85="","",SQRT((($W85*IF($X85="",$AL85/2,$X85)+'Setari model'!$B$31*$AL85/2)/($W85+'Setari model'!$B$31))*(($AB85*IF($AD85="",$AL85/2,$AD85)+'Setari model'!$B$31*$AL85/2)/($AB85+'Setari model'!$B$31)))+SQRT((($AB85*IF($AC85="",$AL85/2,$AC85)+'Setari model'!$B$31*$AL85/2)/($AB85+'Setari model'!$B$31))*(($W85*IF($Y85="",$AL85/2,$Y85)+'Setari model'!$B$31*$AL85/2)/($W85+'Setari model'!$B$31))))</x:f>
      </x:c>
      <x:c r="BM85" s="62" t="str">
        <x:f>IF($A85="","",SQRT((($W85*IF($Z85="",IF($X85="",$AL85/2,$X85),$Z85)+'Setari model'!$B$31*$AL85/2)/($W85+'Setari model'!$B$31))*(($AB85*IF($AF85="",IF($AD85="",$AL85/2,$AD85),$AF85)+'Setari model'!$B$31*$AL85/2)/($AB85+'Setari model'!$B$31)))+SQRT((($AB85*IF($AE85="",IF($AC85="",$AL85/2,$AC85),$AE85)+'Setari model'!$B$31*$AL85/2)/($AB85+'Setari model'!$B$31))*(($W85*IF($AA85="",IF($Y85="",$AL85/2,$Y85),$AA85)+'Setari model'!$B$31*$AL85/2)/($W85+'Setari model'!$B$31))))</x:f>
      </x:c>
      <x:c r="BN85" s="62" t="str">
        <x:f t="shared" si="112">IF($A85="","",IF($AG85&gt;0,($AG85*IF($AH85="",$AL85,$AH85)+5*$AL85)/($AG85+5),$AL85))</x:f>
      </x:c>
      <x:c r="BO85" s="63" t="str">
        <x:f>IF($A85="","",IF($AR85&gt;1,IF($AS85&gt;1,(1/$AR85)/((1/$AR85+1/$AS85)),MIN(0.995,(1/$AR85)/(1+'Setari model'!$B$32))),1-EXP(-$AL85)))</x:f>
      </x:c>
      <x:c r="BP85" s="62" t="str">
        <x:f t="shared" si="113">IF($A85="","",-LN(1-$BO85))</x:f>
      </x:c>
      <x:c r="BQ85" s="62" t="str">
        <x:f>IF($A85="","",$BJ85*INDEX('Setari model'!$B$5:$B$11,MATCH($E85,'Setari model'!$A$5:$A$11,0))+$BK85*INDEX('Setari model'!$C$5:$C$11,MATCH($E85,'Setari model'!$A$5:$A$11,0))+$BL85*INDEX('Setari model'!$D$5:$D$11,MATCH($E85,'Setari model'!$A$5:$A$11,0))+$BM85*INDEX('Setari model'!$E$5:$E$11,MATCH($E85,'Setari model'!$A$5:$A$11,0))+$BN85*INDEX('Setari model'!$F$5:$F$11,MATCH($E85,'Setari model'!$A$5:$A$11,0))+$BP85*INDEX('Setari model'!$G$5:$G$11,MATCH($E85,'Setari model'!$A$5:$A$11,0)))</x:f>
      </x:c>
      <x:c r="BR85" s="64" t="str">
        <x:f>IF($A85="","",MAX('Setari model'!$B$53,MIN('Setari model'!$B$54,1+($AV85*'Setari model'!$B$15+$AW85*'Setari model'!$B$16+$AX85*'Setari model'!$B$17+$AY85*'Setari model'!$B$18+$AZ85*'Setari model'!$B$19+$BA85*'Setari model'!$B$20+$BB85*'Setari model'!$B$21+$BC85*'Setari model'!$B$22+$BD85*'Setari model'!$B$23+$BE85*'Setari model'!$B$24+$BF85*'Setari model'!$B$25)*INDEX('Setari model'!$H$5:$H$11,MATCH($E85,'Setari model'!$A$5:$A$11,0)))))</x:f>
      </x:c>
      <x:c r="BS85" s="62" t="str">
        <x:f t="shared" si="114">IF($A85="","",$BQ85*$BR85)</x:f>
      </x:c>
      <x:c r="BT85" s="63" t="str">
        <x:f t="shared" si="115">IF($A85="","",EXP(-$BS85))</x:f>
      </x:c>
      <x:c r="BU85" s="65" t="str">
        <x:f>IF($A85="","",IF(OR($AM85="",$AN85=""),1,1+MIN('Setari model'!$B$33,$AN85/100*'Setari model'!$B$33)*($AM85/EXP(-$AL85)-1)))</x:f>
      </x:c>
      <x:c r="BV85" s="63" t="str">
        <x:f>IF($A85="","",MIN(0.45,MAX(0.005,(1-'Setari model'!$B$34*MIN(1,($I85+$P85)/20))*MIN(0.45,$BT85*$BU85)+'Setari model'!$B$34*MIN(1,($I85+$P85)/20)*IF(COUNT($N85,$U85)=2,SQRT(MAX(0,1-$N85)*MAX(0,1-$U85)),IF($AM85="",EXP(-$AL85),$AM85)))))</x:f>
      </x:c>
      <x:c r="BW85" s="63" t="str">
        <x:f t="shared" si="116">IF($A85="","",1-$BV85)</x:f>
      </x:c>
      <x:c r="BX85" s="62" t="str">
        <x:f t="shared" si="117">IF($A85="","",1/$BW85)</x:f>
      </x:c>
      <x:c r="BY85" s="63" t="str">
        <x:f t="shared" si="118">IF($A85="","",$BO85)</x:f>
      </x:c>
      <x:c r="BZ85" s="63" t="str">
        <x:f t="shared" si="119">IF($A85="","",$BW85-$BY85)</x:f>
      </x:c>
      <x:c r="CA85" s="63" t="str">
        <x:f t="shared" si="120">IF($A85="","",IF($AR85&gt;1,$BW85*$AR85-1,""))</x:f>
      </x:c>
      <x:c r="CB85" s="63" t="str">
        <x:f>IF($A85="","",MIN(1,COUNT($I85:$AN85,$AR85:$BG85)/'Setari model'!$B$46))</x:f>
      </x:c>
      <x:c r="CC85" s="63" t="str">
        <x:f t="shared" si="121">IF($A85="","",0.25*MIN(1,$I85/10)+0.25*MIN(1,$P85/10)+0.15*MIN(1,$W85/5)+0.15*MIN(1,$AB85/5)+0.1*MIN(1,$AG85/5)+0.1*MIN(1,$AN85/100))</x:f>
      </x:c>
      <x:c r="CD85" s="63" t="str">
        <x:f>IF($A85="","",MAX(0,1-(MAX($BJ85:$BN85,$BP85)-MIN($BJ85:$BN85,$BP85))/(AVERAGE($BJ85:$BN85,$BP85)*'Setari model'!$B$45)))</x:f>
      </x:c>
      <x:c r="CE85" s="66" t="str">
        <x:f>IF($A85="","",MAX(0,MIN(100,100*INDEX('Setari model'!$I$5:$I$11,MATCH($E85,'Setari model'!$A$5:$A$11,0))*('Setari model'!$B$47*$CB85+'Setari model'!$B$48*$CC85+'Setari model'!$B$49*$CD85+'Setari model'!$B$50*$AT85/5+'Setari model'!$B$51*$AU85)-100*'Setari model'!$B$52*$BG85)))</x:f>
      </x:c>
      <x:c r="CF85" s="65" t="str">
        <x:f t="shared" si="122">IF($A85="","",IF(OR($AT85&lt;3,$BG85&gt;=2,$CB85&lt;0.55,$CC85&lt;0.4),"RIDICAT",IF(OR($AU85=0,$CD85&lt;0.45,$BR85&lt;0.9),"MEDIU","SCĂZUT")))</x:f>
      </x:c>
      <x:c r="CG85" s="65" t="str">
        <x:f>IF($A85="","",IF($AR85&gt;1,IF(AND($BW85&gt;= 'Setari model'!$B$35,$CE85&gt;=100*'Setari model'!$B$36,$BZ85&gt;= 'Setari model'!$B$37,$CA85&gt;= 'Setari model'!$B$38,$CF85&lt;&gt;"RIDICAT"),"PARIU RECOMANDAT",IF(AND($BW85&gt;= 'Setari model'!$B$39,$CE85&gt;=100*'Setari model'!$B$40,$BZ85&gt;= 'Setari model'!$B$41,$CA85&gt;=0,$CF85&lt;&gt;"RIDICAT"),"RECOMANDAT CU PRUDENȚĂ",IF(AND($BW85&gt;= 'Setari model'!$B$42,$CE85&gt;=100*'Setari model'!$B$43),"ANALIZĂ NECONCLUDENTĂ","PARIU EVITAT"))),IF(AND($BW85&gt;= 'Setari model'!$B$35,$CE85&gt;=100*'Setari model'!$B$36,$CF85&lt;&gt;"RIDICAT"),"FAVORABIL STATISTIC – VERIFICĂ COTA",IF(AND($BW85&gt;= 'Setari model'!$B$42,$CE85&gt;=100*'Setari model'!$B$43),"ANALIZĂ NECONCLUDENTĂ","PARIU EVITAT"))))</x:f>
      </x:c>
      <x:c r="CH85" s="67" t="str">
        <x:f t="shared" si="123">IF($A85="","","P(O0,5)="&amp;TEXT($BW85,"0.0%")&amp;"; λ ajustat="&amp;TEXT($BS85,"0.00")&amp;"; Confidence="&amp;TEXT($CE85,"0")&amp;"/100; Edge="&amp;TEXT($BZ85,"0.0%")&amp;"; risc="&amp;$CF85&amp;". "&amp;$BH85)</x:f>
      </x:c>
      <x:c r="CI85" s="68" t="str">
        <x:f t="shared" si="124">IF($A85="","",$BI85)</x:f>
      </x:c>
      <x:c r="CJ85" s="112"/>
      <x:c r="CK85" s="112"/>
      <x:c r="CL85" s="112"/>
      <x:c r="CM85" s="112"/>
      <x:c r="CN85" s="112"/>
      <x:c r="CO85" s="112"/>
      <x:c r="CP85" s="112"/>
      <x:c r="CQ85" s="112"/>
      <x:c r="CR85" s="112"/>
      <x:c r="CS85" s="112"/>
      <x:c r="CT85" s="112"/>
      <x:c r="CU85" s="112"/>
      <x:c r="CV85" s="112"/>
      <x:c r="CW85" s="112"/>
      <x:c r="CX85" s="112"/>
      <x:c r="CY85" s="112"/>
      <x:c r="CZ85" s="112"/>
      <x:c r="DA85" s="112"/>
      <x:c r="DB85" s="112"/>
      <x:c r="DC85" s="114"/>
      <x:c r="DD85" s="114"/>
      <x:c r="DE85" s="112" t="s">
        <x:v>266</x:v>
      </x:c>
      <x:c r="DF85" s="112"/>
      <x:c r="DG85" s="112"/>
      <x:c r="DH85" s="112"/>
      <x:c r="DI85" s="112"/>
      <x:c r="DJ85" s="112"/>
      <x:c r="DK85" s="112"/>
      <x:c r="DL85" s="112"/>
      <x:c r="DM85" s="112"/>
      <x:c r="DN85" s="112"/>
      <x:c r="DO85" s="112"/>
      <x:c r="DP85" s="112"/>
      <x:c r="DQ85" s="114"/>
      <x:c r="DR85" s="112">
        <x:v>1</x:v>
      </x:c>
      <x:c r="DS85" s="116">
        <x:v>0</x:v>
      </x:c>
      <x:c r="DT85" s="120"/>
      <x:c r="DU85" s="116">
        <x:v>0.02</x:v>
      </x:c>
      <x:c r="DV85" s="116">
        <x:v>0.25</x:v>
      </x:c>
      <x:c r="DW85" s="118" t="str">
        <x:f>IF($A85="","",MAX('Setari model'!$B$71,MIN('Setari model'!$B$72,1+0.08*(IFERROR(AVERAGE($CM85:$CN85)/'Setari model'!$B$66,1)-1)+0.08*(IFERROR(AVERAGE($CO85:$CP85)/'Setari model'!$B$67,1)-1)+0.06*(IFERROR(AVERAGE($CQ85:$CR85)/'Setari model'!$B$68,1)-1)+0.04*(IFERROR(AVERAGE($CS85:$CT85)/'Setari model'!$B$69,1)-1)+0.04*(IFERROR(AVERAGE($CU85:$CV85)/'Setari model'!$B$70,1)-1)-'Setari model'!$B$73*IFERROR(AVERAGE($CW85:$CX85),0))))</x:f>
      </x:c>
      <x:c r="DX85" s="118" t="str">
        <x:f>IF($A85="","",1+'Setari model'!$B$62*MAX(IF(OR($CK85=1,$CL85=1),1,0),IF(AND($CJ85&lt;&gt;"",$CJ85&lt;=1),1,0))+'Setari model'!$B$63*IF(AND($CJ85&gt;1,$CJ85&lt;=3),1,0))</x:f>
      </x:c>
      <x:c r="DY85" s="118" t="str">
        <x:f>IF($A85="","",1+'Setari model'!$B$74*(IF($CY85="",0,IF($CY85=0,1,0))+IF($CZ85="",0,IF($CZ85=0,1,0)))+'Setari model'!$B$75*(IF($DA85="",0,IF($DA85=0,1,0))+IF($DB85="",0,IF($DB85=0,1,0))))</x:f>
      </x:c>
      <x:c r="DZ85" s="117" t="str">
        <x:f>IF($A85="","",MIN(0.6,MAX(0.002,(((1-'Setari model'!$B$34*MIN(1,($I85+$P85)/20))*$BT85+'Setari model'!$B$34*MIN(1,($I85+$P85)/20)*IF(COUNT($N85,$U85)=2,SQRT(MAX(0,1-$N85)*MAX(0,1-$U85)),$BT85))*(1-'Setari model'!$B$65*MIN(1,IF($AN85="",0,$AN85/'Setari model'!$B$64)))+'Setari model'!$B$65*MIN(1,IF($AN85="",0,$AN85/'Setari model'!$B$64))*IF($AM85="",$BT85,$AM85))*$DX85*$DY85/$DW85)))</x:f>
      </x:c>
      <x:c r="EA85" s="117" t="str">
        <x:f>IF($A85="","",MIN(1-$DZ85,IF(OR(MIN($I85,$P85)&lt;'Setari model'!$B$58,$CK85=1,$CL85=1,AND($CJ85&lt;&gt;"",$CJ85&lt;=1)),'Setari model'!$B$59,IF(AND($AU85=1,$AR85&gt;1,COUNT($CY85:$DB85)=4),'Setari model'!$B$61,'Setari model'!$B$60))))</x:f>
      </x:c>
      <x:c r="EB85" s="115" t="str">
        <x:f t="shared" si="125">IF($A85="","",1/$EA85)</x:f>
      </x:c>
      <x:c r="EC85" s="117" t="str">
        <x:f t="shared" si="126">IF($A85="","",IF($AR85&gt;1,IF($AS85&gt;1,(1/$AR85)/((1/$AR85)+(1/$AS85)),1/$AR85),""))</x:f>
      </x:c>
      <x:c r="ED85" s="117" t="str">
        <x:f t="shared" si="127">IF($A85="","",IF($EC85="","",$EA85-$EC85))</x:f>
      </x:c>
      <x:c r="EE85" s="117" t="str">
        <x:f t="shared" si="128">""</x:f>
      </x:c>
      <x:c r="EF85" s="119" t="str">
        <x:f>IF($A85="","",MAX(0,MIN(100,$CE85-200*MAX(0,$EG85-'Setari model'!$B$77)-IF($AU85&lt;&gt;1,10,0)-IF(COUNT($CY85:$DB85)&lt;4,4,0))))</x:f>
      </x:c>
      <x:c r="EG85" s="117" t="str">
        <x:f>IF($A85="","",'Setari model'!$B$77+IF(MIN($I85,$P85)&lt;'Setari model'!$B$58,0.03,0)+IF(OR($CK85=1,$CL85=1,AND($CJ85&lt;&gt;"",$CJ85&lt;=1)),0.03,0)+IF($AG85=0,0.02,0)+0.03*(1-MIN(1,COUNT($CM85:$CV85)/10))+0.03*(1-MIN(1,IF($AN85="",0,$AN85/'Setari model'!$B$64)))+IF($AR85&lt;=1,0.02,0))</x:f>
      </x:c>
      <x:c r="EH85" s="113" t="str">
        <x:f>IF($A85="","",IF(OR(MIN($I85,$P85)&lt;'Setari model'!$B$58,$CK85=1,$CL85=1,AND($CJ85&lt;&gt;"",$CJ85&lt;=1)),"92% – early/regim",IF(AND($AU85=1,$AR85&gt;1,COUNT($CY85:$DB85)=4),"94% – confirmat","93% – standard")))</x:f>
      </x:c>
      <x:c r="EI85" s="113" t="str">
        <x:f t="shared" si="129">IF($A85="","",IF(AND($EA85&gt;0.9,$AU85&lt;&gt;1),"WAIT XI – HIGH P",IF(AND($EA85&gt;0.9,COUNT($CY85:$DB85)&lt;4),"WAIT DATE CHEIE – HIGH P",IF($EP85&lt;&gt;"DA","NU – PORTOFOLIU","DA"))))</x:f>
      </x:c>
      <x:c r="EJ85" s="117" t="str">
        <x:f t="shared" si="130">IF($A85="","",IF($DE85&lt;&gt;"Live 20-30","",IF(SUM($DG85:$DH85)&gt;0,1,IF($EU85="","",1-MIN(0.95,MAX(0.001,EXP(-$EU85)*$DX85*$DY85/$DW85))))))</x:f>
      </x:c>
      <x:c r="EK85" s="117" t="str">
        <x:f t="shared" si="131">""</x:f>
      </x:c>
      <x:c r="EL85" s="113" t="str">
        <x:f>IF($A85="","",IF($DE85="Live 20-30",IF(SUM($DG85:$DH85)&gt;0,"EVENIMENT ÎNDEPLINIT",IF(OR($DF85="",COUNT($DI85:$DN85)&lt;4),"LIVE – WATCH",IF($EJ85&gt;=0.75,"LIVE – FEZABIL TEHNIC","LIVE – NO BET"))),IF($EI85&lt;&gt;"DA","WATCH / NO BET",IF(AND($EA85&gt;=INDEX('Setari model'!$B$35:$B$40,1),$EF85&gt;=100*'Setari model'!$B$76),"PARIU RECOMANDAT",IF(AND($EA85&gt;=INDEX('Setari model'!$B$35:$B$40,5),$EF85&gt;=100*'Setari model'!$B$40),"WATCH – APROAPE DE PRAG","PARIU EVITAT")))))</x:f>
      </x:c>
      <x:c r="EM85" s="113" t="str">
        <x:f t="shared" si="132">IF($A85="","",IF($DE85="Live 20-30",IF(SUM($DG85:$DH85)&gt;0,"Gol deja marcat.",IF($DF85="","Minut live lipsă.",IF(COUNT($DI85:$DN85)&lt;4,"Lipsesc xG/SOT/big chances live.",IF($EJ85&lt;0.75,"P live sub prag.","Semnal live tehnic complet; EV ignorat.")))),IF($EI85&lt;&gt;"DA",$EI85,IF($EF85&lt;75,"Confidence sub 75.",IF($EA85&lt;0.92,"P sub 92%.","G0/Zero-Mass + confidence trecute; EV ignorat.")))))</x:f>
      </x:c>
      <x:c r="EN85" s="117" t="str">
        <x:f>IF($A85="","",IF(OR($EL85="PARIU RECOMANDAT",$EL85="LIVE – FEZABIL"),MIN(IF($DU85&gt;0,$DU85,'Setari model'!$B$81)/MAX(1,$DR85),IF($DV85&gt;0,$DV85,'Setari model'!$B$80)*MAX(0,((IF($DE85="Live 20-30",$EJ85,$EA85)*IF($DE85="Live 20-30",$DQ85,$AR85)-1)/(IF($DE85="Live 20-30",$DQ85,$AR85)-1)))),0))</x:f>
      </x:c>
      <x:c r="EO85" s="121" t="str">
        <x:f t="shared" si="133">IF($A85="","",IF(AND($EN85&gt;0,$DT85&gt;0),$EN85*$DT85,""))</x:f>
      </x:c>
      <x:c r="EP85" s="113" t="str">
        <x:f>IF($A85="","",IF(OR($DR85&lt;1,$DR85&gt;'Setari model'!$B$78),"NU – 1–5 selecții",IF($DS85&gt;'Setari model'!$B$79,"NU – corelație", "DA")))</x:f>
      </x:c>
      <x:c r="EQ85" s="117" t="str">
        <x:f t="shared" si="134">IF($A85="","",IF(AND($DC85&gt;1,$DD85&gt;1),$DC85/$DD85-1,""))</x:f>
      </x:c>
      <x:c r="ER85" s="113" t="str">
        <x:f t="shared" si="135">IF($A85="","","P v2="&amp;TEXT($EA85,"0.0%")&amp;" ±"&amp;TEXT($EG85,"0.0%")&amp;"; P0 ZIP="&amp;TEXT($DZ85,"0.0%")&amp;"; Confidence="&amp;TEXT($EF85,"0")&amp;"/100; piață reală="&amp;IF($EC85="","NU","DA")&amp;"; EV="&amp;IF($EE85="","n/a",TEXT($EE85,"0.0%"))&amp;"; gate="&amp;$EI85&amp;"; verdict="&amp;$EL85&amp;". "&amp;$EM85)</x:f>
      </x:c>
      <x:c r="ES85" s="119" t="str">
        <x:f>IF($A85="","",'Setari model'!$B$82)</x:f>
      </x:c>
      <x:c r="ET85" s="118" t="str">
        <x:f>IF($A85="","",'Setari model'!$B$83)</x:f>
      </x:c>
      <x:c r="EU85" s="115" t="str">
        <x:f t="shared" si="136">IF(OR($A85="",$DE85&lt;&gt;"Live 20-30",$DF85="",$DF85&lt;$ES85,$DF85&gt;=90),"",MAX(0.05,MIN($BS85*$ET85,$BS85*(90-$DF85)/90+0.35*($DI85+$DJ85)+0.06*($DK85+$DL85)+0.15*($DM85+$DN85)+0.1*(MAX($DO85,$DP85)-MIN($DO85,$DP85)))))</x:f>
      </x:c>
      <x:c r="EV85" s="132"/>
      <x:c r="EW85" s="132"/>
      <x:c r="EX85" s="132"/>
      <x:c r="EY85" s="132"/>
      <x:c r="EZ85" s="132"/>
      <x:c r="FA85" s="132"/>
      <x:c r="FB85" s="247"/>
      <x:c r="FC85" s="134" t="str">
        <x:f t="shared" si="137">IF($A85="","",IF(OR($J85="",$L85="",$L85&lt;=0),"",MAX(0.5,MIN(1.5,$J85/$L85))))</x:f>
      </x:c>
      <x:c r="FD85" s="134" t="str">
        <x:f t="shared" si="138">IF($A85="","",IF(OR($Q85="",$S85="",$S85&lt;=0),"",MAX(0.5,MIN(1.5,$Q85/$S85))))</x:f>
      </x:c>
      <x:c r="FE85" s="134" t="str">
        <x:f>IF($A85="","",IF(COUNT($EV85:$EW85)&lt;2,"",SQRT($EV85*$EW85)/'Setari model'!$B$87))</x:f>
      </x:c>
      <x:c r="FF85" s="134" t="str">
        <x:f>IF($A85="","",IF(COUNT($O85,$V85,$EX85,$EY85)&lt;4,"",AVERAGE(SQRT($O85*$EY85),SQRT($V85*$EX85))/'Setari model'!$B$88))</x:f>
      </x:c>
      <x:c r="FG85" s="134" t="str">
        <x:f t="shared" si="139">IF($A85="","",IF(COUNT($FC85:$FD85)&lt;2,"",MAX(0,1-AVERAGE($FC85:$FD85))))</x:f>
      </x:c>
      <x:c r="FH85" s="134" t="str">
        <x:f>IF($A85="","",IF(COUNT($EZ85:$FA85)&lt;2,"",'Setari model'!$B$94*AVERAGE($EZ85:$FA85)/'Setari model'!$B$89))</x:f>
      </x:c>
      <x:c r="FI85" s="134" t="str">
        <x:f>IF($A85="","",IF(COUNT($FE85:$FH85)&lt;4,"",MAX('Setari model'!$B$97,MIN('Setari model'!$B$98,1+'Setari model'!$B$90*($FE85-1)+'Setari model'!$B$91*($FF85-1)+'Setari model'!$B$92*$FG85+'Setari model'!$B$93*($FH85-1)))))</x:f>
      </x:c>
      <x:c r="FJ85" s="133" t="str">
        <x:f>IF($A85="","",IF($FI85="","",MIN('Setari model'!$B$101,MAX(0.002,$DZ85*$FI85))))</x:f>
      </x:c>
      <x:c r="FK85" s="131" t="str">
        <x:f t="shared" si="140">IF($A85="","",IF(AND(COUNT($EV85:$FA85)=6,COUNT($O85,$V85,$FC85,$FD85)=4),"DA","NU"))</x:f>
      </x:c>
      <x:c r="FL85" s="131" t="str">
        <x:f>IF($A85="","",IF($FK85&lt;&gt;"DA","NEDETERMINAT",IF($FI85&lt;='Setari model'!$B$99,"SCĂZUT",IF($FI85&lt;='Setari model'!$B$100,"MEDIU","RIDICAT"))))</x:f>
      </x:c>
      <x:c r="FM85" s="131" t="str">
        <x:f>IF($A85="","",IF(AND($AR85&gt;1,$EC85&gt;='Setari model'!$B$106),"DA","NU"))</x:f>
      </x:c>
      <x:c r="FN85" s="131" t="str">
        <x:f t="shared" si="141">IF($A85="","",IF(AND($AU85=1,COUNT($CY85:$DB85)=4),"DA","NU"))</x:f>
      </x:c>
      <x:c r="FO85" s="133" t="str">
        <x:f>IF($A85="","",IF(OR($FK85&lt;&gt;"DA",$FL85="RIDICAT"),'Setari model'!$B$102,IF($FL85="MEDIU",'Setari model'!$B$103,IF(AND($FM85="DA",$FN85="DA"),'Setari model'!$B$105,'Setari model'!$B$104))))</x:f>
      </x:c>
      <x:c r="FP85" s="133" t="str">
        <x:f t="shared" si="142">IF($A85="","",IF($FJ85="","",MIN(1-$FJ85,$FO85)))</x:f>
      </x:c>
      <x:c r="FQ85" s="135" t="str">
        <x:f t="shared" si="143">IF($A85="","",IF($FP85="","",IF($FP85&gt;0,1/$FP85,"")))</x:f>
      </x:c>
      <x:c r="FR85" s="133" t="str">
        <x:f t="shared" si="144">IF($A85="","",IF($EC85="","",$FP85-$EC85))</x:f>
      </x:c>
      <x:c r="FS85" s="133" t="str">
        <x:f t="shared" si="145">IF($A85="","",IF($AR85&gt;1,$FP85*$AR85-1,""))</x:f>
      </x:c>
      <x:c r="FT85" s="136" t="str">
        <x:f>IF($A85="","",MAX(0,MIN(100,$EF85-IF($FK85&lt;&gt;"DA",'Setari model'!$B$107,0)-IF($FL85="MEDIU",'Setari model'!$B$108,0)-IF($FL85="RIDICAT",'Setari model'!$B$109,0))))</x:f>
      </x:c>
      <x:c r="FU85" s="131" t="str">
        <x:f t="shared" si="146">IF($A85="","",IF($AR85&lt;=1,"NU – LIPSEȘTE COTA REALĂ",IF($FK85&lt;&gt;"DA","NU – ZERO-RISK INCOMPLET",IF($FL85&lt;&gt;"SCĂZUT","NU – RISC 0-0 "&amp;$FL85,IF($FN85&lt;&gt;"DA","NU – LINEUP NECONFIRMAT",IF($FM85&lt;&gt;"DA","NU – PIAȚĂ NECONFIRMATĂ",IF($EP85&lt;&gt;"DA","NU – PORTOFOLIU","DA")))))))</x:f>
      </x:c>
      <x:c r="FV85" s="131" t="str">
        <x:f>IF($A85="","",IF($FU85&lt;&gt;"DA","WATCH / NO BET",IF(AND($FP85&gt;='Setari model'!$B$35,$FT85&gt;=100*'Setari model'!$B$76,$FS85&gt;0),"PARIU RECOMANDAT",IF(AND($FP85&gt;='Setari model'!$B$39,$FT85&gt;=100*'Setari model'!$B$40,$FS85&gt;0),"WATCH – APROAPE DE PRAG","PARIU EVITAT"))))</x:f>
      </x:c>
      <x:c r="FW85" s="131" t="str">
        <x:f t="shared" si="147">IF($A85="","",IF($FU85&lt;&gt;"DA",$FU85,IF($FT85&lt;75,"Confidence v3 sub 75.",IF($FP85&lt;0.92,"P v3 sub 92%.",IF($FS85&lt;=0,"EV v3 nepozitiv.","P0 v3, lineup și piață confirmate.")))))</x:f>
      </x:c>
      <x:c r="FX85" s="131" t="str">
        <x:f t="shared" si="148">IF($A85="","","P v3="&amp;TEXT($FP85,"0.0%")&amp;"; P0 v3="&amp;TEXT($FJ85,"0.0%")&amp;"; factor zero="&amp;IF($FI85="","n/a",TEXT($FI85,"0.00x"))&amp;" ("&amp;$FL85&amp;"); cap="&amp;TEXT($FO85,"0.0%")&amp;"; Confidence="&amp;TEXT($FT85,"0")&amp;"/100; lineup="&amp;$FN85&amp;"; piață="&amp;$FM85&amp;"; EV="&amp;IF($FS85="","n/a",TEXT($FS85,"0.0%"))&amp;"; gate="&amp;$FU85&amp;"; verdict="&amp;$FV85&amp;". "&amp;$FW85)</x:f>
      </x:c>
      <x:c r="FY85" s="159"/>
      <x:c r="FZ85" s="159"/>
      <x:c r="GA85" s="157"/>
      <x:c r="GB85" s="157"/>
      <x:c r="GC85" s="161" t="str">
        <x:f t="shared" si="149">IF($A85="","",IF(OR($X85="",$Z85="",$Z85&lt;=0),"",MAX(0.5,MIN(1.5,$X85/$Z85))))</x:f>
      </x:c>
      <x:c r="GD85" s="161" t="str">
        <x:f t="shared" si="150">IF($A85="","",IF(OR($AC85="",$AE85="",$AE85&lt;=0),"",MAX(0.5,MIN(1.5,$AC85/$AE85))))</x:f>
      </x:c>
      <x:c r="GE85" s="162" t="str">
        <x:f t="shared" si="151">IF($A85="","",IF(COUNT($Z85,$AE85)&lt;2,"",AVERAGE($Z85,$AE85)))</x:f>
      </x:c>
      <x:c r="GF85" s="158" t="str">
        <x:f>IF($A85="","",IF(COUNT($FY85:$FZ85)&lt;2,"NEDETERMINAT",IF(AND($FY85&gt;='Setari model'!$B$113,$FZ85&gt;='Setari model'!$B$113),"DA","NU")))</x:f>
      </x:c>
      <x:c r="GG85" s="158" t="str">
        <x:f>IF($A85="","",IF(COUNT($FY85:$FZ85,$EX85:$EY85)&lt;4,"NEDETERMINAT",IF(OR(AND($FY85&gt;='Setari model'!$B$113,$EY85&gt;='Setari model'!$B$114),AND($FZ85&gt;='Setari model'!$B$113,$EX85&gt;='Setari model'!$B$114)),"DA","NU")))</x:f>
      </x:c>
      <x:c r="GH85" s="158" t="str">
        <x:f>IF($A85="","",IF(COUNT($BJ85:$BN85,$GC85:$GE85)&lt;8,"NEDETERMINAT",IF(AND((($BJ85*INDEX('Setari model'!$B$5:$B$11,MATCH($E85,'Setari model'!$A$5:$A$11,0))+$BK85*INDEX('Setari model'!$C$5:$C$11,MATCH($E85,'Setari model'!$A$5:$A$11,0))+$BL85*INDEX('Setari model'!$D$5:$D$11,MATCH($E85,'Setari model'!$A$5:$A$11,0))+$BM85*INDEX('Setari model'!$E$5:$E$11,MATCH($E85,'Setari model'!$A$5:$A$11,0))+$BN85*INDEX('Setari model'!$F$5:$F$11,MATCH($E85,'Setari model'!$A$5:$A$11,0)))/(INDEX('Setari model'!$B$5:$B$11,MATCH($E85,'Setari model'!$A$5:$A$11,0))+INDEX('Setari model'!$C$5:$C$11,MATCH($E85,'Setari model'!$A$5:$A$11,0))+INDEX('Setari model'!$D$5:$D$11,MATCH($E85,'Setari model'!$A$5:$A$11,0))+INDEX('Setari model'!$E$5:$E$11,MATCH($E85,'Setari model'!$A$5:$A$11,0))+INDEX('Setari model'!$F$5:$F$11,MATCH($E85,'Setari model'!$A$5:$A$11,0))))*$BR85&gt;='Setari model'!$B$115,(($BJ85*INDEX('Setari model'!$B$5:$B$11,MATCH($E85,'Setari model'!$A$5:$A$11,0))+$BK85*INDEX('Setari model'!$C$5:$C$11,MATCH($E85,'Setari model'!$A$5:$A$11,0))+$BL85*INDEX('Setari model'!$D$5:$D$11,MATCH($E85,'Setari model'!$A$5:$A$11,0))+$BM85*INDEX('Setari model'!$E$5:$E$11,MATCH($E85,'Setari model'!$A$5:$A$11,0))+$BN85*INDEX('Setari model'!$F$5:$F$11,MATCH($E85,'Setari model'!$A$5:$A$11,0)))/(INDEX('Setari model'!$B$5:$B$11,MATCH($E85,'Setari model'!$A$5:$A$11,0))+INDEX('Setari model'!$C$5:$C$11,MATCH($E85,'Setari model'!$A$5:$A$11,0))+INDEX('Setari model'!$D$5:$D$11,MATCH($E85,'Setari model'!$A$5:$A$11,0))+INDEX('Setari model'!$E$5:$E$11,MATCH($E85,'Setari model'!$A$5:$A$11,0))+INDEX('Setari model'!$F$5:$F$11,MATCH($E85,'Setari model'!$A$5:$A$11,0))))*$BR85&lt;='Setari model'!$B$116,AVERAGE($GC85:$GD85)&lt;='Setari model'!$B$117,$GE85&gt;='Setari model'!$B$118),"DA","NU")))</x:f>
      </x:c>
      <x:c r="GI85" s="158" t="str">
        <x:f>IF($A85="","",IF(COUNT($W85,$AB85,$GA85:$GB85)&lt;4,"NEDETERMINAT",IF(AND($W85&gt;='Setari model'!$B$120,$AB85&gt;='Setari model'!$B$120,OR(IFERROR($GA85/$W85,0)&gt;='Setari model'!$B$119,IFERROR($GB85/$AB85,0)&gt;='Setari model'!$B$119)),"DA","NU")))</x:f>
      </x:c>
      <x:c r="GJ85" s="160" t="str">
        <x:f>IF($A85="","",IF(COUNT($FY85:$GB85)&lt;4,"",IF($GH85&lt;&gt;"DA",0,'Setari model'!$B$121*IF($GF85="DA",1,0)+'Setari model'!$B$122*IF($GG85="DA",1,0)+'Setari model'!$B$123+'Setari model'!$B$124*IF($GI85="DA",1,0))))</x:f>
      </x:c>
      <x:c r="GK85" s="161" t="str">
        <x:f>IF($A85="","",IF(COUNT($GJ85)=0,"",1+'Setari model'!$B$125*$GJ85))</x:f>
      </x:c>
      <x:c r="GL85" s="160" t="str">
        <x:f>IF($A85="","",IF($GM85&lt;&gt;"DA",$FJ85,MIN('Setari model'!$B$101,MAX(0.002,$FJ85*$GK85))))</x:f>
      </x:c>
      <x:c r="GM85" s="158" t="str">
        <x:f>IF($A85="","",IF(AND($FK85="DA",COUNT($FY85:$GB85)=4,COUNT($I85,$P85,$W85,$AB85,$Z85,$AE85,$EX85,$EY85,$GC85,$GD85)=10,COUNT($BJ85:$BN85)=5),"DA","NU"))</x:f>
      </x:c>
      <x:c r="GN85" s="158" t="str">
        <x:f>IF($A85="","",IF($GM85&lt;&gt;"DA","NEDETERMINAT",IF($FI85*$GK85&lt;='Setari model'!$B$99,"SCĂZUT",IF($FI85*$GK85&lt;='Setari model'!$B$100,"MEDIU","RIDICAT"))))</x:f>
      </x:c>
      <x:c r="GO85" s="160" t="str">
        <x:f>IF($A85="","",IF(OR($GM85&lt;&gt;"DA",$GN85="RIDICAT"),'Setari model'!$B$102,IF($GN85="MEDIU",'Setari model'!$B$103,IF(AND($FM85="DA",$FN85="DA"),'Setari model'!$B$105,'Setari model'!$B$104))))</x:f>
      </x:c>
      <x:c r="GP85" s="160" t="str">
        <x:f t="shared" si="152">IF($A85="","",IF($GL85="","",MIN(1-$GL85,$GO85)))</x:f>
      </x:c>
      <x:c r="GQ85" s="162" t="str">
        <x:f t="shared" si="153">IF($A85="","",IF($GP85="","",IF($GP85&gt;0,1/$GP85,"")))</x:f>
      </x:c>
      <x:c r="GR85" s="160" t="str">
        <x:f t="shared" si="154">IF($A85="","",IF($EC85="","",$GP85-$EC85))</x:f>
      </x:c>
      <x:c r="GS85" s="160" t="str">
        <x:f t="shared" si="155">IF($A85="","",IF($AR85&gt;1,$GP85*$AR85-1,""))</x:f>
      </x:c>
      <x:c r="GT85" s="163" t="str">
        <x:f>IF($A85="","",MAX(0,MIN(100,$FT85-IF(AND($GM85&lt;&gt;"DA",$FK85="DA"),'Setari model'!$B$107,0)-'Setari model'!$B$126*IF($GJ85="",0,$GJ85))))</x:f>
      </x:c>
      <x:c r="GU85" s="158" t="str">
        <x:f t="shared" si="156">IF($A85="","",IF($AR85&lt;=1,"NU – LIPSEȘTE COTA REALĂ",IF($GM85&lt;&gt;"DA","NU – DATE LOW-CONVERSION INCOMPLETE",IF($GN85&lt;&gt;"SCĂZUT","NU – RISC 0-0 "&amp;$GN85,IF($FN85&lt;&gt;"DA","NU – LINEUP NECONFIRMAT",IF($FM85&lt;&gt;"DA","NU – PIAȚĂ NECONFIRMATĂ",IF($EP85&lt;&gt;"DA","NU – PORTOFOLIU","DA")))))))</x:f>
      </x:c>
      <x:c r="GV85" s="158" t="str">
        <x:f>IF($A85="","",IF($GU85&lt;&gt;"DA","WATCH / NO BET",IF(AND($GP85&gt;='Setari model'!$B$35,$GT85&gt;=100*'Setari model'!$B$76,$GS85&gt;0),"PARIU RECOMANDAT",IF(AND($GP85&gt;='Setari model'!$B$39,$GT85&gt;=100*'Setari model'!$B$40,$GS85&gt;0),"WATCH – APROAPE DE PRAG","PARIU EVITAT"))))</x:f>
      </x:c>
      <x:c r="GW85" s="158" t="str">
        <x:f t="shared" si="157">IF($A85="","",IF($GU85&lt;&gt;"DA",$GU85,IF($GT85&lt;75,"Confidence v5 sub 75.",IF($GP85&lt;0.92,"P v5 sub 92%.",IF($GS85&lt;=0,"EV v5 nepozitiv.",IF($GJ85&gt;0,"Low-conversion absorbit în P0; toate porțile rămân trecute.","Toate porțile v5 sunt trecute."))))))</x:f>
      </x:c>
      <x:c r="GX85" s="158" t="str">
        <x:f t="shared" si="158">IF($A85="","","P v5="&amp;TEXT($GP85,"0.0%")&amp;"; P0 v5="&amp;TEXT($GL85,"0.0%")&amp;"; low-conv="&amp;IF(COUNT($GJ85)=0,"n/a",TEXT($GJ85,"0%"))&amp;"; mult.P0="&amp;IF(COUNT($GK85)=0,"n/a",TEXT($GK85,"0.00"))&amp;"; clasă="&amp;$GN85&amp;"; cap="&amp;TEXT($GO85,"0.0%")&amp;"; Confidence="&amp;TEXT($GT85,"0")&amp;"/100; lineup="&amp;$FN85&amp;"; piață="&amp;$FM85&amp;"; EV="&amp;IF($GS85="","n/a",TEXT($GS85,"0.0%"))&amp;"; gate="&amp;$GU85&amp;"; verdict="&amp;$GV85&amp;". "&amp;$GW85)</x:f>
      </x:c>
      <x:c r="GY85" s="174" t="str">
        <x:f>IF($A85="","",IF($GM85&lt;&gt;"DA","SOURCING INCOMPLETE – REVIEW REQUIRED",IF(MIN($I85,$P85,$W85,$AB85)&lt;'Setari model'!$B$58,"SMALL SAMPLE + PRIOR / SHRINKAGE","VERIFIED / PRIOR / SHRINKAGE")))</x:f>
      </x:c>
      <x:c r="GZ85" s="175" t="str">
        <x:f t="shared" si="159">IF($A85="","",MAX(0,MIN(100,100*(1-AVERAGE(IF($GM85="DA",1,0),MIN(1,$AT85/5))))))</x:f>
      </x:c>
      <x:c r="HA85" s="175" t="str">
        <x:f>IF($A85="","",IF($GM85&lt;&gt;"DA","",MAX(0,MIN(100,100*(($FI85*$GK85)-'Setari model'!$B$97)/('Setari model'!$B$98-'Setari model'!$B$97)))))</x:f>
      </x:c>
      <x:c r="HB85" s="175" t="str">
        <x:f>IF($A85="","",MAX(0,MIN(100,100*(ABS($BR85-1)/MAX(1-'Setari model'!$B$53,'Setari model'!$B$54-1)+MIN(1,$BG85/2))/2)))</x:f>
      </x:c>
      <x:c r="HC85" s="175" t="str">
        <x:f t="shared" si="160">IF($A85="","",MAX(0,MIN(100,100*(1-AVERAGE($CC85,MAX(0,1-(MAX($BJ85:$BN85)-MIN($BJ85:$BN85))/(AVERAGE($BJ85:$BN85)*'Setari model'!$B$45)))))))</x:f>
      </x:c>
      <x:c r="HD85" s="175" t="str">
        <x:f t="shared" si="161">IF($A85="","",MAX(0,MIN(100,100*MAX(IF($GJ85="",0,$GJ85),MIN(1,$BG85/2)))))</x:f>
      </x:c>
      <x:c r="HE85" s="175" t="str">
        <x:f>IF($A85="","",IF(COUNT($GZ85:$HD85)&lt;5,"",$GZ85*Risk_Classification!$E$28+$HA85*Risk_Classification!$E$29+$HB85*Risk_Classification!$E$30+$HC85*Risk_Classification!$E$31+$HD85*Risk_Classification!$E$32))</x:f>
      </x:c>
      <x:c r="HF85" s="176" t="str">
        <x:f t="shared" si="162">IF($A85="","",IF($HE85="","",IF($HE85&lt;=20,1,IF($HE85&lt;=40,2,IF($HE85&lt;=60,3,IF($HE85&lt;=80,4,5))))))</x:f>
      </x:c>
      <x:c r="HG85" s="176" t="str">
        <x:f t="shared" si="163">IF($A85="","",IF($GM85="DA","PASS","FAIL – DATE CRITICE ZERO-MASS INCOMPLETE"))</x:f>
      </x:c>
      <x:c r="HH85" s="176" t="str">
        <x:f t="shared" si="164">IF($A85="","",IF($HG85&lt;&gt;"PASS",5,$HF85))</x:f>
      </x:c>
      <x:c r="HI85" s="174" t="str">
        <x:f t="shared" si="165">IF($A85="","",IF($HH85="","N/A",IF($HH85=1,"DEFENSIV",IF($HH85=2,"PRUDENT",IF($HH85=3,"MODERAT",IF($HH85=4,"RIDICAT","WATCH / NO BET"))))))</x:f>
      </x:c>
      <x:c r="HJ85" s="177" t="str">
        <x:f t="shared" si="166">IF($A85="","","Data="&amp;$GY85&amp;"; DQ="&amp;TEXT($GZ85,"0.0")&amp;"; ZM="&amp;IF($HA85="","n/a",TEXT($HA85,"0.0"))&amp;"; Context="&amp;TEXT($HB85,"0.0")&amp;"; Uncertainty="&amp;TEXT($HC85,"0.0")&amp;"; Compound="&amp;TEXT($HD85,"0.0")&amp;"; Risk Score="&amp;IF($HE85="","n/a",TEXT($HE85,"0.0"))&amp;"; Base="&amp;IF($HF85="","n/a",$HF85)&amp;"; G0="&amp;$HG85&amp;"; Final="&amp;$HH85&amp;". Cota, EV si lineup sunt informative si nu intra in recomandare.")</x:f>
      </x:c>
      <x:c r="HK85" s="174" t="str">
        <x:f t="shared" si="167">IF($A85="","",$HI85)</x:f>
      </x:c>
    </x:row>
    <x:row r="86" ht="24" customHeight="1">
      <x:c r="A86" s="58"/>
      <x:c r="B86" s="24"/>
      <x:c r="C86" s="59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18"/>
      <x:c r="O86" s="18"/>
      <x:c r="P86" s="24"/>
      <x:c r="Q86" s="24"/>
      <x:c r="R86" s="24"/>
      <x:c r="S86" s="24"/>
      <x:c r="T86" s="24"/>
      <x:c r="U86" s="18"/>
      <x:c r="V86" s="18"/>
      <x:c r="W86" s="24"/>
      <x:c r="X86" s="24"/>
      <x:c r="Y86" s="24"/>
      <x:c r="Z86" s="24"/>
      <x:c r="AA86" s="24"/>
      <x:c r="AB86" s="24"/>
      <x:c r="AC86" s="24"/>
      <x:c r="AD86" s="24"/>
      <x:c r="AE86" s="24"/>
      <x:c r="AF86" s="24"/>
      <x:c r="AG86" s="24"/>
      <x:c r="AH86" s="24"/>
      <x:c r="AI86" s="18"/>
      <x:c r="AJ86" s="24"/>
      <x:c r="AK86" s="24"/>
      <x:c r="AL86" s="24"/>
      <x:c r="AM86" s="18"/>
      <x:c r="AN86" s="24"/>
      <x:c r="AO86" s="60"/>
      <x:c r="AP86" s="60"/>
      <x:c r="AQ86" s="60"/>
      <x:c r="AR86" s="60"/>
      <x:c r="AS86" s="60"/>
      <x:c r="AT86" s="24"/>
      <x:c r="AU86" s="24"/>
      <x:c r="AV86" s="24"/>
      <x:c r="AW86" s="24"/>
      <x:c r="AX86" s="24"/>
      <x:c r="AY86" s="24"/>
      <x:c r="AZ86" s="24"/>
      <x:c r="BA86" s="24"/>
      <x:c r="BB86" s="24"/>
      <x:c r="BC86" s="24"/>
      <x:c r="BD86" s="24"/>
      <x:c r="BE86" s="24"/>
      <x:c r="BF86" s="24"/>
      <x:c r="BG86" s="24"/>
      <x:c r="BH86" s="61"/>
      <x:c r="BI86" s="61"/>
      <x:c r="BJ86" s="62" t="str">
        <x:f>IF($A86="","",SQRT((($I86*IF($J86="",$AJ86,$J86)+'Setari model'!$B$30*$AJ86)/($I86+'Setari model'!$B$30))*(($P86*IF($R86="",$AJ86,$R86)+'Setari model'!$B$30*$AJ86)/($P86+'Setari model'!$B$30)))+SQRT((($P86*IF($Q86="",$AK86,$Q86)+'Setari model'!$B$30*$AK86)/($P86+'Setari model'!$B$30))*(($I86*IF($K86="",$AK86,$K86)+'Setari model'!$B$30*$AK86)/($I86+'Setari model'!$B$30))))</x:f>
      </x:c>
      <x:c r="BK86" s="62" t="str">
        <x:f>IF($A86="","",SQRT((($I86*IF($L86="",IF($J86="",$AJ86,$J86),$L86)+'Setari model'!$B$30*$AJ86)/($I86+'Setari model'!$B$30))*(($P86*IF($T86="",IF($R86="",$AJ86,$R86),$T86)+'Setari model'!$B$30*$AJ86)/($P86+'Setari model'!$B$30)))+SQRT((($P86*IF($S86="",IF($Q86="",$AK86,$Q86),$S86)+'Setari model'!$B$30*$AK86)/($P86+'Setari model'!$B$30))*(($I86*IF($M86="",IF($K86="",$AK86,$K86),$M86)+'Setari model'!$B$30*$AK86)/($I86+'Setari model'!$B$30))))</x:f>
      </x:c>
      <x:c r="BL86" s="62" t="str">
        <x:f>IF($A86="","",SQRT((($W86*IF($X86="",$AL86/2,$X86)+'Setari model'!$B$31*$AL86/2)/($W86+'Setari model'!$B$31))*(($AB86*IF($AD86="",$AL86/2,$AD86)+'Setari model'!$B$31*$AL86/2)/($AB86+'Setari model'!$B$31)))+SQRT((($AB86*IF($AC86="",$AL86/2,$AC86)+'Setari model'!$B$31*$AL86/2)/($AB86+'Setari model'!$B$31))*(($W86*IF($Y86="",$AL86/2,$Y86)+'Setari model'!$B$31*$AL86/2)/($W86+'Setari model'!$B$31))))</x:f>
      </x:c>
      <x:c r="BM86" s="62" t="str">
        <x:f>IF($A86="","",SQRT((($W86*IF($Z86="",IF($X86="",$AL86/2,$X86),$Z86)+'Setari model'!$B$31*$AL86/2)/($W86+'Setari model'!$B$31))*(($AB86*IF($AF86="",IF($AD86="",$AL86/2,$AD86),$AF86)+'Setari model'!$B$31*$AL86/2)/($AB86+'Setari model'!$B$31)))+SQRT((($AB86*IF($AE86="",IF($AC86="",$AL86/2,$AC86),$AE86)+'Setari model'!$B$31*$AL86/2)/($AB86+'Setari model'!$B$31))*(($W86*IF($AA86="",IF($Y86="",$AL86/2,$Y86),$AA86)+'Setari model'!$B$31*$AL86/2)/($W86+'Setari model'!$B$31))))</x:f>
      </x:c>
      <x:c r="BN86" s="62" t="str">
        <x:f t="shared" si="112">IF($A86="","",IF($AG86&gt;0,($AG86*IF($AH86="",$AL86,$AH86)+5*$AL86)/($AG86+5),$AL86))</x:f>
      </x:c>
      <x:c r="BO86" s="63" t="str">
        <x:f>IF($A86="","",IF($AR86&gt;1,IF($AS86&gt;1,(1/$AR86)/((1/$AR86+1/$AS86)),MIN(0.995,(1/$AR86)/(1+'Setari model'!$B$32))),1-EXP(-$AL86)))</x:f>
      </x:c>
      <x:c r="BP86" s="62" t="str">
        <x:f t="shared" si="113">IF($A86="","",-LN(1-$BO86))</x:f>
      </x:c>
      <x:c r="BQ86" s="62" t="str">
        <x:f>IF($A86="","",$BJ86*INDEX('Setari model'!$B$5:$B$11,MATCH($E86,'Setari model'!$A$5:$A$11,0))+$BK86*INDEX('Setari model'!$C$5:$C$11,MATCH($E86,'Setari model'!$A$5:$A$11,0))+$BL86*INDEX('Setari model'!$D$5:$D$11,MATCH($E86,'Setari model'!$A$5:$A$11,0))+$BM86*INDEX('Setari model'!$E$5:$E$11,MATCH($E86,'Setari model'!$A$5:$A$11,0))+$BN86*INDEX('Setari model'!$F$5:$F$11,MATCH($E86,'Setari model'!$A$5:$A$11,0))+$BP86*INDEX('Setari model'!$G$5:$G$11,MATCH($E86,'Setari model'!$A$5:$A$11,0)))</x:f>
      </x:c>
      <x:c r="BR86" s="64" t="str">
        <x:f>IF($A86="","",MAX('Setari model'!$B$53,MIN('Setari model'!$B$54,1+($AV86*'Setari model'!$B$15+$AW86*'Setari model'!$B$16+$AX86*'Setari model'!$B$17+$AY86*'Setari model'!$B$18+$AZ86*'Setari model'!$B$19+$BA86*'Setari model'!$B$20+$BB86*'Setari model'!$B$21+$BC86*'Setari model'!$B$22+$BD86*'Setari model'!$B$23+$BE86*'Setari model'!$B$24+$BF86*'Setari model'!$B$25)*INDEX('Setari model'!$H$5:$H$11,MATCH($E86,'Setari model'!$A$5:$A$11,0)))))</x:f>
      </x:c>
      <x:c r="BS86" s="62" t="str">
        <x:f t="shared" si="114">IF($A86="","",$BQ86*$BR86)</x:f>
      </x:c>
      <x:c r="BT86" s="63" t="str">
        <x:f t="shared" si="115">IF($A86="","",EXP(-$BS86))</x:f>
      </x:c>
      <x:c r="BU86" s="65" t="str">
        <x:f>IF($A86="","",IF(OR($AM86="",$AN86=""),1,1+MIN('Setari model'!$B$33,$AN86/100*'Setari model'!$B$33)*($AM86/EXP(-$AL86)-1)))</x:f>
      </x:c>
      <x:c r="BV86" s="63" t="str">
        <x:f>IF($A86="","",MIN(0.45,MAX(0.005,(1-'Setari model'!$B$34*MIN(1,($I86+$P86)/20))*MIN(0.45,$BT86*$BU86)+'Setari model'!$B$34*MIN(1,($I86+$P86)/20)*IF(COUNT($N86,$U86)=2,SQRT(MAX(0,1-$N86)*MAX(0,1-$U86)),IF($AM86="",EXP(-$AL86),$AM86)))))</x:f>
      </x:c>
      <x:c r="BW86" s="63" t="str">
        <x:f t="shared" si="116">IF($A86="","",1-$BV86)</x:f>
      </x:c>
      <x:c r="BX86" s="62" t="str">
        <x:f t="shared" si="117">IF($A86="","",1/$BW86)</x:f>
      </x:c>
      <x:c r="BY86" s="63" t="str">
        <x:f t="shared" si="118">IF($A86="","",$BO86)</x:f>
      </x:c>
      <x:c r="BZ86" s="63" t="str">
        <x:f t="shared" si="119">IF($A86="","",$BW86-$BY86)</x:f>
      </x:c>
      <x:c r="CA86" s="63" t="str">
        <x:f t="shared" si="120">IF($A86="","",IF($AR86&gt;1,$BW86*$AR86-1,""))</x:f>
      </x:c>
      <x:c r="CB86" s="63" t="str">
        <x:f>IF($A86="","",MIN(1,COUNT($I86:$AN86,$AR86:$BG86)/'Setari model'!$B$46))</x:f>
      </x:c>
      <x:c r="CC86" s="63" t="str">
        <x:f t="shared" si="121">IF($A86="","",0.25*MIN(1,$I86/10)+0.25*MIN(1,$P86/10)+0.15*MIN(1,$W86/5)+0.15*MIN(1,$AB86/5)+0.1*MIN(1,$AG86/5)+0.1*MIN(1,$AN86/100))</x:f>
      </x:c>
      <x:c r="CD86" s="63" t="str">
        <x:f>IF($A86="","",MAX(0,1-(MAX($BJ86:$BN86,$BP86)-MIN($BJ86:$BN86,$BP86))/(AVERAGE($BJ86:$BN86,$BP86)*'Setari model'!$B$45)))</x:f>
      </x:c>
      <x:c r="CE86" s="66" t="str">
        <x:f>IF($A86="","",MAX(0,MIN(100,100*INDEX('Setari model'!$I$5:$I$11,MATCH($E86,'Setari model'!$A$5:$A$11,0))*('Setari model'!$B$47*$CB86+'Setari model'!$B$48*$CC86+'Setari model'!$B$49*$CD86+'Setari model'!$B$50*$AT86/5+'Setari model'!$B$51*$AU86)-100*'Setari model'!$B$52*$BG86)))</x:f>
      </x:c>
      <x:c r="CF86" s="65" t="str">
        <x:f t="shared" si="122">IF($A86="","",IF(OR($AT86&lt;3,$BG86&gt;=2,$CB86&lt;0.55,$CC86&lt;0.4),"RIDICAT",IF(OR($AU86=0,$CD86&lt;0.45,$BR86&lt;0.9),"MEDIU","SCĂZUT")))</x:f>
      </x:c>
      <x:c r="CG86" s="65" t="str">
        <x:f>IF($A86="","",IF($AR86&gt;1,IF(AND($BW86&gt;= 'Setari model'!$B$35,$CE86&gt;=100*'Setari model'!$B$36,$BZ86&gt;= 'Setari model'!$B$37,$CA86&gt;= 'Setari model'!$B$38,$CF86&lt;&gt;"RIDICAT"),"PARIU RECOMANDAT",IF(AND($BW86&gt;= 'Setari model'!$B$39,$CE86&gt;=100*'Setari model'!$B$40,$BZ86&gt;= 'Setari model'!$B$41,$CA86&gt;=0,$CF86&lt;&gt;"RIDICAT"),"RECOMANDAT CU PRUDENȚĂ",IF(AND($BW86&gt;= 'Setari model'!$B$42,$CE86&gt;=100*'Setari model'!$B$43),"ANALIZĂ NECONCLUDENTĂ","PARIU EVITAT"))),IF(AND($BW86&gt;= 'Setari model'!$B$35,$CE86&gt;=100*'Setari model'!$B$36,$CF86&lt;&gt;"RIDICAT"),"FAVORABIL STATISTIC – VERIFICĂ COTA",IF(AND($BW86&gt;= 'Setari model'!$B$42,$CE86&gt;=100*'Setari model'!$B$43),"ANALIZĂ NECONCLUDENTĂ","PARIU EVITAT"))))</x:f>
      </x:c>
      <x:c r="CH86" s="67" t="str">
        <x:f t="shared" si="123">IF($A86="","","P(O0,5)="&amp;TEXT($BW86,"0.0%")&amp;"; λ ajustat="&amp;TEXT($BS86,"0.00")&amp;"; Confidence="&amp;TEXT($CE86,"0")&amp;"/100; Edge="&amp;TEXT($BZ86,"0.0%")&amp;"; risc="&amp;$CF86&amp;". "&amp;$BH86)</x:f>
      </x:c>
      <x:c r="CI86" s="68" t="str">
        <x:f t="shared" si="124">IF($A86="","",$BI86)</x:f>
      </x:c>
      <x:c r="CJ86" s="112"/>
      <x:c r="CK86" s="112"/>
      <x:c r="CL86" s="112"/>
      <x:c r="CM86" s="112"/>
      <x:c r="CN86" s="112"/>
      <x:c r="CO86" s="112"/>
      <x:c r="CP86" s="112"/>
      <x:c r="CQ86" s="112"/>
      <x:c r="CR86" s="112"/>
      <x:c r="CS86" s="112"/>
      <x:c r="CT86" s="112"/>
      <x:c r="CU86" s="112"/>
      <x:c r="CV86" s="112"/>
      <x:c r="CW86" s="112"/>
      <x:c r="CX86" s="112"/>
      <x:c r="CY86" s="112"/>
      <x:c r="CZ86" s="112"/>
      <x:c r="DA86" s="112"/>
      <x:c r="DB86" s="112"/>
      <x:c r="DC86" s="114"/>
      <x:c r="DD86" s="114"/>
      <x:c r="DE86" s="112" t="s">
        <x:v>266</x:v>
      </x:c>
      <x:c r="DF86" s="112"/>
      <x:c r="DG86" s="112"/>
      <x:c r="DH86" s="112"/>
      <x:c r="DI86" s="112"/>
      <x:c r="DJ86" s="112"/>
      <x:c r="DK86" s="112"/>
      <x:c r="DL86" s="112"/>
      <x:c r="DM86" s="112"/>
      <x:c r="DN86" s="112"/>
      <x:c r="DO86" s="112"/>
      <x:c r="DP86" s="112"/>
      <x:c r="DQ86" s="114"/>
      <x:c r="DR86" s="112">
        <x:v>1</x:v>
      </x:c>
      <x:c r="DS86" s="116">
        <x:v>0</x:v>
      </x:c>
      <x:c r="DT86" s="120"/>
      <x:c r="DU86" s="116">
        <x:v>0.02</x:v>
      </x:c>
      <x:c r="DV86" s="116">
        <x:v>0.25</x:v>
      </x:c>
      <x:c r="DW86" s="118" t="str">
        <x:f>IF($A86="","",MAX('Setari model'!$B$71,MIN('Setari model'!$B$72,1+0.08*(IFERROR(AVERAGE($CM86:$CN86)/'Setari model'!$B$66,1)-1)+0.08*(IFERROR(AVERAGE($CO86:$CP86)/'Setari model'!$B$67,1)-1)+0.06*(IFERROR(AVERAGE($CQ86:$CR86)/'Setari model'!$B$68,1)-1)+0.04*(IFERROR(AVERAGE($CS86:$CT86)/'Setari model'!$B$69,1)-1)+0.04*(IFERROR(AVERAGE($CU86:$CV86)/'Setari model'!$B$70,1)-1)-'Setari model'!$B$73*IFERROR(AVERAGE($CW86:$CX86),0))))</x:f>
      </x:c>
      <x:c r="DX86" s="118" t="str">
        <x:f>IF($A86="","",1+'Setari model'!$B$62*MAX(IF(OR($CK86=1,$CL86=1),1,0),IF(AND($CJ86&lt;&gt;"",$CJ86&lt;=1),1,0))+'Setari model'!$B$63*IF(AND($CJ86&gt;1,$CJ86&lt;=3),1,0))</x:f>
      </x:c>
      <x:c r="DY86" s="118" t="str">
        <x:f>IF($A86="","",1+'Setari model'!$B$74*(IF($CY86="",0,IF($CY86=0,1,0))+IF($CZ86="",0,IF($CZ86=0,1,0)))+'Setari model'!$B$75*(IF($DA86="",0,IF($DA86=0,1,0))+IF($DB86="",0,IF($DB86=0,1,0))))</x:f>
      </x:c>
      <x:c r="DZ86" s="117" t="str">
        <x:f>IF($A86="","",MIN(0.6,MAX(0.002,(((1-'Setari model'!$B$34*MIN(1,($I86+$P86)/20))*$BT86+'Setari model'!$B$34*MIN(1,($I86+$P86)/20)*IF(COUNT($N86,$U86)=2,SQRT(MAX(0,1-$N86)*MAX(0,1-$U86)),$BT86))*(1-'Setari model'!$B$65*MIN(1,IF($AN86="",0,$AN86/'Setari model'!$B$64)))+'Setari model'!$B$65*MIN(1,IF($AN86="",0,$AN86/'Setari model'!$B$64))*IF($AM86="",$BT86,$AM86))*$DX86*$DY86/$DW86)))</x:f>
      </x:c>
      <x:c r="EA86" s="117" t="str">
        <x:f>IF($A86="","",MIN(1-$DZ86,IF(OR(MIN($I86,$P86)&lt;'Setari model'!$B$58,$CK86=1,$CL86=1,AND($CJ86&lt;&gt;"",$CJ86&lt;=1)),'Setari model'!$B$59,IF(AND($AU86=1,$AR86&gt;1,COUNT($CY86:$DB86)=4),'Setari model'!$B$61,'Setari model'!$B$60))))</x:f>
      </x:c>
      <x:c r="EB86" s="115" t="str">
        <x:f t="shared" si="125">IF($A86="","",1/$EA86)</x:f>
      </x:c>
      <x:c r="EC86" s="117" t="str">
        <x:f t="shared" si="126">IF($A86="","",IF($AR86&gt;1,IF($AS86&gt;1,(1/$AR86)/((1/$AR86)+(1/$AS86)),1/$AR86),""))</x:f>
      </x:c>
      <x:c r="ED86" s="117" t="str">
        <x:f t="shared" si="127">IF($A86="","",IF($EC86="","",$EA86-$EC86))</x:f>
      </x:c>
      <x:c r="EE86" s="117" t="str">
        <x:f t="shared" si="128">""</x:f>
      </x:c>
      <x:c r="EF86" s="119" t="str">
        <x:f>IF($A86="","",MAX(0,MIN(100,$CE86-200*MAX(0,$EG86-'Setari model'!$B$77)-IF($AU86&lt;&gt;1,10,0)-IF(COUNT($CY86:$DB86)&lt;4,4,0))))</x:f>
      </x:c>
      <x:c r="EG86" s="117" t="str">
        <x:f>IF($A86="","",'Setari model'!$B$77+IF(MIN($I86,$P86)&lt;'Setari model'!$B$58,0.03,0)+IF(OR($CK86=1,$CL86=1,AND($CJ86&lt;&gt;"",$CJ86&lt;=1)),0.03,0)+IF($AG86=0,0.02,0)+0.03*(1-MIN(1,COUNT($CM86:$CV86)/10))+0.03*(1-MIN(1,IF($AN86="",0,$AN86/'Setari model'!$B$64)))+IF($AR86&lt;=1,0.02,0))</x:f>
      </x:c>
      <x:c r="EH86" s="113" t="str">
        <x:f>IF($A86="","",IF(OR(MIN($I86,$P86)&lt;'Setari model'!$B$58,$CK86=1,$CL86=1,AND($CJ86&lt;&gt;"",$CJ86&lt;=1)),"92% – early/regim",IF(AND($AU86=1,$AR86&gt;1,COUNT($CY86:$DB86)=4),"94% – confirmat","93% – standard")))</x:f>
      </x:c>
      <x:c r="EI86" s="113" t="str">
        <x:f t="shared" si="129">IF($A86="","",IF(AND($EA86&gt;0.9,$AU86&lt;&gt;1),"WAIT XI – HIGH P",IF(AND($EA86&gt;0.9,COUNT($CY86:$DB86)&lt;4),"WAIT DATE CHEIE – HIGH P",IF($EP86&lt;&gt;"DA","NU – PORTOFOLIU","DA"))))</x:f>
      </x:c>
      <x:c r="EJ86" s="117" t="str">
        <x:f t="shared" si="130">IF($A86="","",IF($DE86&lt;&gt;"Live 20-30","",IF(SUM($DG86:$DH86)&gt;0,1,IF($EU86="","",1-MIN(0.95,MAX(0.001,EXP(-$EU86)*$DX86*$DY86/$DW86))))))</x:f>
      </x:c>
      <x:c r="EK86" s="117" t="str">
        <x:f t="shared" si="131">""</x:f>
      </x:c>
      <x:c r="EL86" s="113" t="str">
        <x:f>IF($A86="","",IF($DE86="Live 20-30",IF(SUM($DG86:$DH86)&gt;0,"EVENIMENT ÎNDEPLINIT",IF(OR($DF86="",COUNT($DI86:$DN86)&lt;4),"LIVE – WATCH",IF($EJ86&gt;=0.75,"LIVE – FEZABIL TEHNIC","LIVE – NO BET"))),IF($EI86&lt;&gt;"DA","WATCH / NO BET",IF(AND($EA86&gt;=INDEX('Setari model'!$B$35:$B$40,1),$EF86&gt;=100*'Setari model'!$B$76),"PARIU RECOMANDAT",IF(AND($EA86&gt;=INDEX('Setari model'!$B$35:$B$40,5),$EF86&gt;=100*'Setari model'!$B$40),"WATCH – APROAPE DE PRAG","PARIU EVITAT")))))</x:f>
      </x:c>
      <x:c r="EM86" s="113" t="str">
        <x:f t="shared" si="132">IF($A86="","",IF($DE86="Live 20-30",IF(SUM($DG86:$DH86)&gt;0,"Gol deja marcat.",IF($DF86="","Minut live lipsă.",IF(COUNT($DI86:$DN86)&lt;4,"Lipsesc xG/SOT/big chances live.",IF($EJ86&lt;0.75,"P live sub prag.","Semnal live tehnic complet; EV ignorat.")))),IF($EI86&lt;&gt;"DA",$EI86,IF($EF86&lt;75,"Confidence sub 75.",IF($EA86&lt;0.92,"P sub 92%.","G0/Zero-Mass + confidence trecute; EV ignorat.")))))</x:f>
      </x:c>
      <x:c r="EN86" s="117" t="str">
        <x:f>IF($A86="","",IF(OR($EL86="PARIU RECOMANDAT",$EL86="LIVE – FEZABIL"),MIN(IF($DU86&gt;0,$DU86,'Setari model'!$B$81)/MAX(1,$DR86),IF($DV86&gt;0,$DV86,'Setari model'!$B$80)*MAX(0,((IF($DE86="Live 20-30",$EJ86,$EA86)*IF($DE86="Live 20-30",$DQ86,$AR86)-1)/(IF($DE86="Live 20-30",$DQ86,$AR86)-1)))),0))</x:f>
      </x:c>
      <x:c r="EO86" s="121" t="str">
        <x:f t="shared" si="133">IF($A86="","",IF(AND($EN86&gt;0,$DT86&gt;0),$EN86*$DT86,""))</x:f>
      </x:c>
      <x:c r="EP86" s="113" t="str">
        <x:f>IF($A86="","",IF(OR($DR86&lt;1,$DR86&gt;'Setari model'!$B$78),"NU – 1–5 selecții",IF($DS86&gt;'Setari model'!$B$79,"NU – corelație", "DA")))</x:f>
      </x:c>
      <x:c r="EQ86" s="117" t="str">
        <x:f t="shared" si="134">IF($A86="","",IF(AND($DC86&gt;1,$DD86&gt;1),$DC86/$DD86-1,""))</x:f>
      </x:c>
      <x:c r="ER86" s="113" t="str">
        <x:f t="shared" si="135">IF($A86="","","P v2="&amp;TEXT($EA86,"0.0%")&amp;" ±"&amp;TEXT($EG86,"0.0%")&amp;"; P0 ZIP="&amp;TEXT($DZ86,"0.0%")&amp;"; Confidence="&amp;TEXT($EF86,"0")&amp;"/100; piață reală="&amp;IF($EC86="","NU","DA")&amp;"; EV="&amp;IF($EE86="","n/a",TEXT($EE86,"0.0%"))&amp;"; gate="&amp;$EI86&amp;"; verdict="&amp;$EL86&amp;". "&amp;$EM86)</x:f>
      </x:c>
      <x:c r="ES86" s="119" t="str">
        <x:f>IF($A86="","",'Setari model'!$B$82)</x:f>
      </x:c>
      <x:c r="ET86" s="118" t="str">
        <x:f>IF($A86="","",'Setari model'!$B$83)</x:f>
      </x:c>
      <x:c r="EU86" s="115" t="str">
        <x:f t="shared" si="136">IF(OR($A86="",$DE86&lt;&gt;"Live 20-30",$DF86="",$DF86&lt;$ES86,$DF86&gt;=90),"",MAX(0.05,MIN($BS86*$ET86,$BS86*(90-$DF86)/90+0.35*($DI86+$DJ86)+0.06*($DK86+$DL86)+0.15*($DM86+$DN86)+0.1*(MAX($DO86,$DP86)-MIN($DO86,$DP86)))))</x:f>
      </x:c>
      <x:c r="EV86" s="132"/>
      <x:c r="EW86" s="132"/>
      <x:c r="EX86" s="132"/>
      <x:c r="EY86" s="132"/>
      <x:c r="EZ86" s="132"/>
      <x:c r="FA86" s="132"/>
      <x:c r="FB86" s="247"/>
      <x:c r="FC86" s="134" t="str">
        <x:f t="shared" si="137">IF($A86="","",IF(OR($J86="",$L86="",$L86&lt;=0),"",MAX(0.5,MIN(1.5,$J86/$L86))))</x:f>
      </x:c>
      <x:c r="FD86" s="134" t="str">
        <x:f t="shared" si="138">IF($A86="","",IF(OR($Q86="",$S86="",$S86&lt;=0),"",MAX(0.5,MIN(1.5,$Q86/$S86))))</x:f>
      </x:c>
      <x:c r="FE86" s="134" t="str">
        <x:f>IF($A86="","",IF(COUNT($EV86:$EW86)&lt;2,"",SQRT($EV86*$EW86)/'Setari model'!$B$87))</x:f>
      </x:c>
      <x:c r="FF86" s="134" t="str">
        <x:f>IF($A86="","",IF(COUNT($O86,$V86,$EX86,$EY86)&lt;4,"",AVERAGE(SQRT($O86*$EY86),SQRT($V86*$EX86))/'Setari model'!$B$88))</x:f>
      </x:c>
      <x:c r="FG86" s="134" t="str">
        <x:f t="shared" si="139">IF($A86="","",IF(COUNT($FC86:$FD86)&lt;2,"",MAX(0,1-AVERAGE($FC86:$FD86))))</x:f>
      </x:c>
      <x:c r="FH86" s="134" t="str">
        <x:f>IF($A86="","",IF(COUNT($EZ86:$FA86)&lt;2,"",'Setari model'!$B$94*AVERAGE($EZ86:$FA86)/'Setari model'!$B$89))</x:f>
      </x:c>
      <x:c r="FI86" s="134" t="str">
        <x:f>IF($A86="","",IF(COUNT($FE86:$FH86)&lt;4,"",MAX('Setari model'!$B$97,MIN('Setari model'!$B$98,1+'Setari model'!$B$90*($FE86-1)+'Setari model'!$B$91*($FF86-1)+'Setari model'!$B$92*$FG86+'Setari model'!$B$93*($FH86-1)))))</x:f>
      </x:c>
      <x:c r="FJ86" s="133" t="str">
        <x:f>IF($A86="","",IF($FI86="","",MIN('Setari model'!$B$101,MAX(0.002,$DZ86*$FI86))))</x:f>
      </x:c>
      <x:c r="FK86" s="131" t="str">
        <x:f t="shared" si="140">IF($A86="","",IF(AND(COUNT($EV86:$FA86)=6,COUNT($O86,$V86,$FC86,$FD86)=4),"DA","NU"))</x:f>
      </x:c>
      <x:c r="FL86" s="131" t="str">
        <x:f>IF($A86="","",IF($FK86&lt;&gt;"DA","NEDETERMINAT",IF($FI86&lt;='Setari model'!$B$99,"SCĂZUT",IF($FI86&lt;='Setari model'!$B$100,"MEDIU","RIDICAT"))))</x:f>
      </x:c>
      <x:c r="FM86" s="131" t="str">
        <x:f>IF($A86="","",IF(AND($AR86&gt;1,$EC86&gt;='Setari model'!$B$106),"DA","NU"))</x:f>
      </x:c>
      <x:c r="FN86" s="131" t="str">
        <x:f t="shared" si="141">IF($A86="","",IF(AND($AU86=1,COUNT($CY86:$DB86)=4),"DA","NU"))</x:f>
      </x:c>
      <x:c r="FO86" s="133" t="str">
        <x:f>IF($A86="","",IF(OR($FK86&lt;&gt;"DA",$FL86="RIDICAT"),'Setari model'!$B$102,IF($FL86="MEDIU",'Setari model'!$B$103,IF(AND($FM86="DA",$FN86="DA"),'Setari model'!$B$105,'Setari model'!$B$104))))</x:f>
      </x:c>
      <x:c r="FP86" s="133" t="str">
        <x:f t="shared" si="142">IF($A86="","",IF($FJ86="","",MIN(1-$FJ86,$FO86)))</x:f>
      </x:c>
      <x:c r="FQ86" s="135" t="str">
        <x:f t="shared" si="143">IF($A86="","",IF($FP86="","",IF($FP86&gt;0,1/$FP86,"")))</x:f>
      </x:c>
      <x:c r="FR86" s="133" t="str">
        <x:f t="shared" si="144">IF($A86="","",IF($EC86="","",$FP86-$EC86))</x:f>
      </x:c>
      <x:c r="FS86" s="133" t="str">
        <x:f t="shared" si="145">IF($A86="","",IF($AR86&gt;1,$FP86*$AR86-1,""))</x:f>
      </x:c>
      <x:c r="FT86" s="136" t="str">
        <x:f>IF($A86="","",MAX(0,MIN(100,$EF86-IF($FK86&lt;&gt;"DA",'Setari model'!$B$107,0)-IF($FL86="MEDIU",'Setari model'!$B$108,0)-IF($FL86="RIDICAT",'Setari model'!$B$109,0))))</x:f>
      </x:c>
      <x:c r="FU86" s="131" t="str">
        <x:f t="shared" si="146">IF($A86="","",IF($AR86&lt;=1,"NU – LIPSEȘTE COTA REALĂ",IF($FK86&lt;&gt;"DA","NU – ZERO-RISK INCOMPLET",IF($FL86&lt;&gt;"SCĂZUT","NU – RISC 0-0 "&amp;$FL86,IF($FN86&lt;&gt;"DA","NU – LINEUP NECONFIRMAT",IF($FM86&lt;&gt;"DA","NU – PIAȚĂ NECONFIRMATĂ",IF($EP86&lt;&gt;"DA","NU – PORTOFOLIU","DA")))))))</x:f>
      </x:c>
      <x:c r="FV86" s="131" t="str">
        <x:f>IF($A86="","",IF($FU86&lt;&gt;"DA","WATCH / NO BET",IF(AND($FP86&gt;='Setari model'!$B$35,$FT86&gt;=100*'Setari model'!$B$76,$FS86&gt;0),"PARIU RECOMANDAT",IF(AND($FP86&gt;='Setari model'!$B$39,$FT86&gt;=100*'Setari model'!$B$40,$FS86&gt;0),"WATCH – APROAPE DE PRAG","PARIU EVITAT"))))</x:f>
      </x:c>
      <x:c r="FW86" s="131" t="str">
        <x:f t="shared" si="147">IF($A86="","",IF($FU86&lt;&gt;"DA",$FU86,IF($FT86&lt;75,"Confidence v3 sub 75.",IF($FP86&lt;0.92,"P v3 sub 92%.",IF($FS86&lt;=0,"EV v3 nepozitiv.","P0 v3, lineup și piață confirmate.")))))</x:f>
      </x:c>
      <x:c r="FX86" s="131" t="str">
        <x:f t="shared" si="148">IF($A86="","","P v3="&amp;TEXT($FP86,"0.0%")&amp;"; P0 v3="&amp;TEXT($FJ86,"0.0%")&amp;"; factor zero="&amp;IF($FI86="","n/a",TEXT($FI86,"0.00x"))&amp;" ("&amp;$FL86&amp;"); cap="&amp;TEXT($FO86,"0.0%")&amp;"; Confidence="&amp;TEXT($FT86,"0")&amp;"/100; lineup="&amp;$FN86&amp;"; piață="&amp;$FM86&amp;"; EV="&amp;IF($FS86="","n/a",TEXT($FS86,"0.0%"))&amp;"; gate="&amp;$FU86&amp;"; verdict="&amp;$FV86&amp;". "&amp;$FW86)</x:f>
      </x:c>
      <x:c r="FY86" s="159"/>
      <x:c r="FZ86" s="159"/>
      <x:c r="GA86" s="157"/>
      <x:c r="GB86" s="157"/>
      <x:c r="GC86" s="161" t="str">
        <x:f t="shared" si="149">IF($A86="","",IF(OR($X86="",$Z86="",$Z86&lt;=0),"",MAX(0.5,MIN(1.5,$X86/$Z86))))</x:f>
      </x:c>
      <x:c r="GD86" s="161" t="str">
        <x:f t="shared" si="150">IF($A86="","",IF(OR($AC86="",$AE86="",$AE86&lt;=0),"",MAX(0.5,MIN(1.5,$AC86/$AE86))))</x:f>
      </x:c>
      <x:c r="GE86" s="162" t="str">
        <x:f t="shared" si="151">IF($A86="","",IF(COUNT($Z86,$AE86)&lt;2,"",AVERAGE($Z86,$AE86)))</x:f>
      </x:c>
      <x:c r="GF86" s="158" t="str">
        <x:f>IF($A86="","",IF(COUNT($FY86:$FZ86)&lt;2,"NEDETERMINAT",IF(AND($FY86&gt;='Setari model'!$B$113,$FZ86&gt;='Setari model'!$B$113),"DA","NU")))</x:f>
      </x:c>
      <x:c r="GG86" s="158" t="str">
        <x:f>IF($A86="","",IF(COUNT($FY86:$FZ86,$EX86:$EY86)&lt;4,"NEDETERMINAT",IF(OR(AND($FY86&gt;='Setari model'!$B$113,$EY86&gt;='Setari model'!$B$114),AND($FZ86&gt;='Setari model'!$B$113,$EX86&gt;='Setari model'!$B$114)),"DA","NU")))</x:f>
      </x:c>
      <x:c r="GH86" s="158" t="str">
        <x:f>IF($A86="","",IF(COUNT($BJ86:$BN86,$GC86:$GE86)&lt;8,"NEDETERMINAT",IF(AND((($BJ86*INDEX('Setari model'!$B$5:$B$11,MATCH($E86,'Setari model'!$A$5:$A$11,0))+$BK86*INDEX('Setari model'!$C$5:$C$11,MATCH($E86,'Setari model'!$A$5:$A$11,0))+$BL86*INDEX('Setari model'!$D$5:$D$11,MATCH($E86,'Setari model'!$A$5:$A$11,0))+$BM86*INDEX('Setari model'!$E$5:$E$11,MATCH($E86,'Setari model'!$A$5:$A$11,0))+$BN86*INDEX('Setari model'!$F$5:$F$11,MATCH($E86,'Setari model'!$A$5:$A$11,0)))/(INDEX('Setari model'!$B$5:$B$11,MATCH($E86,'Setari model'!$A$5:$A$11,0))+INDEX('Setari model'!$C$5:$C$11,MATCH($E86,'Setari model'!$A$5:$A$11,0))+INDEX('Setari model'!$D$5:$D$11,MATCH($E86,'Setari model'!$A$5:$A$11,0))+INDEX('Setari model'!$E$5:$E$11,MATCH($E86,'Setari model'!$A$5:$A$11,0))+INDEX('Setari model'!$F$5:$F$11,MATCH($E86,'Setari model'!$A$5:$A$11,0))))*$BR86&gt;='Setari model'!$B$115,(($BJ86*INDEX('Setari model'!$B$5:$B$11,MATCH($E86,'Setari model'!$A$5:$A$11,0))+$BK86*INDEX('Setari model'!$C$5:$C$11,MATCH($E86,'Setari model'!$A$5:$A$11,0))+$BL86*INDEX('Setari model'!$D$5:$D$11,MATCH($E86,'Setari model'!$A$5:$A$11,0))+$BM86*INDEX('Setari model'!$E$5:$E$11,MATCH($E86,'Setari model'!$A$5:$A$11,0))+$BN86*INDEX('Setari model'!$F$5:$F$11,MATCH($E86,'Setari model'!$A$5:$A$11,0)))/(INDEX('Setari model'!$B$5:$B$11,MATCH($E86,'Setari model'!$A$5:$A$11,0))+INDEX('Setari model'!$C$5:$C$11,MATCH($E86,'Setari model'!$A$5:$A$11,0))+INDEX('Setari model'!$D$5:$D$11,MATCH($E86,'Setari model'!$A$5:$A$11,0))+INDEX('Setari model'!$E$5:$E$11,MATCH($E86,'Setari model'!$A$5:$A$11,0))+INDEX('Setari model'!$F$5:$F$11,MATCH($E86,'Setari model'!$A$5:$A$11,0))))*$BR86&lt;='Setari model'!$B$116,AVERAGE($GC86:$GD86)&lt;='Setari model'!$B$117,$GE86&gt;='Setari model'!$B$118),"DA","NU")))</x:f>
      </x:c>
      <x:c r="GI86" s="158" t="str">
        <x:f>IF($A86="","",IF(COUNT($W86,$AB86,$GA86:$GB86)&lt;4,"NEDETERMINAT",IF(AND($W86&gt;='Setari model'!$B$120,$AB86&gt;='Setari model'!$B$120,OR(IFERROR($GA86/$W86,0)&gt;='Setari model'!$B$119,IFERROR($GB86/$AB86,0)&gt;='Setari model'!$B$119)),"DA","NU")))</x:f>
      </x:c>
      <x:c r="GJ86" s="160" t="str">
        <x:f>IF($A86="","",IF(COUNT($FY86:$GB86)&lt;4,"",IF($GH86&lt;&gt;"DA",0,'Setari model'!$B$121*IF($GF86="DA",1,0)+'Setari model'!$B$122*IF($GG86="DA",1,0)+'Setari model'!$B$123+'Setari model'!$B$124*IF($GI86="DA",1,0))))</x:f>
      </x:c>
      <x:c r="GK86" s="161" t="str">
        <x:f>IF($A86="","",IF(COUNT($GJ86)=0,"",1+'Setari model'!$B$125*$GJ86))</x:f>
      </x:c>
      <x:c r="GL86" s="160" t="str">
        <x:f>IF($A86="","",IF($GM86&lt;&gt;"DA",$FJ86,MIN('Setari model'!$B$101,MAX(0.002,$FJ86*$GK86))))</x:f>
      </x:c>
      <x:c r="GM86" s="158" t="str">
        <x:f>IF($A86="","",IF(AND($FK86="DA",COUNT($FY86:$GB86)=4,COUNT($I86,$P86,$W86,$AB86,$Z86,$AE86,$EX86,$EY86,$GC86,$GD86)=10,COUNT($BJ86:$BN86)=5),"DA","NU"))</x:f>
      </x:c>
      <x:c r="GN86" s="158" t="str">
        <x:f>IF($A86="","",IF($GM86&lt;&gt;"DA","NEDETERMINAT",IF($FI86*$GK86&lt;='Setari model'!$B$99,"SCĂZUT",IF($FI86*$GK86&lt;='Setari model'!$B$100,"MEDIU","RIDICAT"))))</x:f>
      </x:c>
      <x:c r="GO86" s="160" t="str">
        <x:f>IF($A86="","",IF(OR($GM86&lt;&gt;"DA",$GN86="RIDICAT"),'Setari model'!$B$102,IF($GN86="MEDIU",'Setari model'!$B$103,IF(AND($FM86="DA",$FN86="DA"),'Setari model'!$B$105,'Setari model'!$B$104))))</x:f>
      </x:c>
      <x:c r="GP86" s="160" t="str">
        <x:f t="shared" si="152">IF($A86="","",IF($GL86="","",MIN(1-$GL86,$GO86)))</x:f>
      </x:c>
      <x:c r="GQ86" s="162" t="str">
        <x:f t="shared" si="153">IF($A86="","",IF($GP86="","",IF($GP86&gt;0,1/$GP86,"")))</x:f>
      </x:c>
      <x:c r="GR86" s="160" t="str">
        <x:f t="shared" si="154">IF($A86="","",IF($EC86="","",$GP86-$EC86))</x:f>
      </x:c>
      <x:c r="GS86" s="160" t="str">
        <x:f t="shared" si="155">IF($A86="","",IF($AR86&gt;1,$GP86*$AR86-1,""))</x:f>
      </x:c>
      <x:c r="GT86" s="163" t="str">
        <x:f>IF($A86="","",MAX(0,MIN(100,$FT86-IF(AND($GM86&lt;&gt;"DA",$FK86="DA"),'Setari model'!$B$107,0)-'Setari model'!$B$126*IF($GJ86="",0,$GJ86))))</x:f>
      </x:c>
      <x:c r="GU86" s="158" t="str">
        <x:f t="shared" si="156">IF($A86="","",IF($AR86&lt;=1,"NU – LIPSEȘTE COTA REALĂ",IF($GM86&lt;&gt;"DA","NU – DATE LOW-CONVERSION INCOMPLETE",IF($GN86&lt;&gt;"SCĂZUT","NU – RISC 0-0 "&amp;$GN86,IF($FN86&lt;&gt;"DA","NU – LINEUP NECONFIRMAT",IF($FM86&lt;&gt;"DA","NU – PIAȚĂ NECONFIRMATĂ",IF($EP86&lt;&gt;"DA","NU – PORTOFOLIU","DA")))))))</x:f>
      </x:c>
      <x:c r="GV86" s="158" t="str">
        <x:f>IF($A86="","",IF($GU86&lt;&gt;"DA","WATCH / NO BET",IF(AND($GP86&gt;='Setari model'!$B$35,$GT86&gt;=100*'Setari model'!$B$76,$GS86&gt;0),"PARIU RECOMANDAT",IF(AND($GP86&gt;='Setari model'!$B$39,$GT86&gt;=100*'Setari model'!$B$40,$GS86&gt;0),"WATCH – APROAPE DE PRAG","PARIU EVITAT"))))</x:f>
      </x:c>
      <x:c r="GW86" s="158" t="str">
        <x:f t="shared" si="157">IF($A86="","",IF($GU86&lt;&gt;"DA",$GU86,IF($GT86&lt;75,"Confidence v5 sub 75.",IF($GP86&lt;0.92,"P v5 sub 92%.",IF($GS86&lt;=0,"EV v5 nepozitiv.",IF($GJ86&gt;0,"Low-conversion absorbit în P0; toate porțile rămân trecute.","Toate porțile v5 sunt trecute."))))))</x:f>
      </x:c>
      <x:c r="GX86" s="158" t="str">
        <x:f t="shared" si="158">IF($A86="","","P v5="&amp;TEXT($GP86,"0.0%")&amp;"; P0 v5="&amp;TEXT($GL86,"0.0%")&amp;"; low-conv="&amp;IF(COUNT($GJ86)=0,"n/a",TEXT($GJ86,"0%"))&amp;"; mult.P0="&amp;IF(COUNT($GK86)=0,"n/a",TEXT($GK86,"0.00"))&amp;"; clasă="&amp;$GN86&amp;"; cap="&amp;TEXT($GO86,"0.0%")&amp;"; Confidence="&amp;TEXT($GT86,"0")&amp;"/100; lineup="&amp;$FN86&amp;"; piață="&amp;$FM86&amp;"; EV="&amp;IF($GS86="","n/a",TEXT($GS86,"0.0%"))&amp;"; gate="&amp;$GU86&amp;"; verdict="&amp;$GV86&amp;". "&amp;$GW86)</x:f>
      </x:c>
      <x:c r="GY86" s="174" t="str">
        <x:f>IF($A86="","",IF($GM86&lt;&gt;"DA","SOURCING INCOMPLETE – REVIEW REQUIRED",IF(MIN($I86,$P86,$W86,$AB86)&lt;'Setari model'!$B$58,"SMALL SAMPLE + PRIOR / SHRINKAGE","VERIFIED / PRIOR / SHRINKAGE")))</x:f>
      </x:c>
      <x:c r="GZ86" s="175" t="str">
        <x:f t="shared" si="159">IF($A86="","",MAX(0,MIN(100,100*(1-AVERAGE(IF($GM86="DA",1,0),MIN(1,$AT86/5))))))</x:f>
      </x:c>
      <x:c r="HA86" s="175" t="str">
        <x:f>IF($A86="","",IF($GM86&lt;&gt;"DA","",MAX(0,MIN(100,100*(($FI86*$GK86)-'Setari model'!$B$97)/('Setari model'!$B$98-'Setari model'!$B$97)))))</x:f>
      </x:c>
      <x:c r="HB86" s="175" t="str">
        <x:f>IF($A86="","",MAX(0,MIN(100,100*(ABS($BR86-1)/MAX(1-'Setari model'!$B$53,'Setari model'!$B$54-1)+MIN(1,$BG86/2))/2)))</x:f>
      </x:c>
      <x:c r="HC86" s="175" t="str">
        <x:f t="shared" si="160">IF($A86="","",MAX(0,MIN(100,100*(1-AVERAGE($CC86,MAX(0,1-(MAX($BJ86:$BN86)-MIN($BJ86:$BN86))/(AVERAGE($BJ86:$BN86)*'Setari model'!$B$45)))))))</x:f>
      </x:c>
      <x:c r="HD86" s="175" t="str">
        <x:f t="shared" si="161">IF($A86="","",MAX(0,MIN(100,100*MAX(IF($GJ86="",0,$GJ86),MIN(1,$BG86/2)))))</x:f>
      </x:c>
      <x:c r="HE86" s="175" t="str">
        <x:f>IF($A86="","",IF(COUNT($GZ86:$HD86)&lt;5,"",$GZ86*Risk_Classification!$E$28+$HA86*Risk_Classification!$E$29+$HB86*Risk_Classification!$E$30+$HC86*Risk_Classification!$E$31+$HD86*Risk_Classification!$E$32))</x:f>
      </x:c>
      <x:c r="HF86" s="176" t="str">
        <x:f t="shared" si="162">IF($A86="","",IF($HE86="","",IF($HE86&lt;=20,1,IF($HE86&lt;=40,2,IF($HE86&lt;=60,3,IF($HE86&lt;=80,4,5))))))</x:f>
      </x:c>
      <x:c r="HG86" s="176" t="str">
        <x:f t="shared" si="163">IF($A86="","",IF($GM86="DA","PASS","FAIL – DATE CRITICE ZERO-MASS INCOMPLETE"))</x:f>
      </x:c>
      <x:c r="HH86" s="176" t="str">
        <x:f t="shared" si="164">IF($A86="","",IF($HG86&lt;&gt;"PASS",5,$HF86))</x:f>
      </x:c>
      <x:c r="HI86" s="174" t="str">
        <x:f t="shared" si="165">IF($A86="","",IF($HH86="","N/A",IF($HH86=1,"DEFENSIV",IF($HH86=2,"PRUDENT",IF($HH86=3,"MODERAT",IF($HH86=4,"RIDICAT","WATCH / NO BET"))))))</x:f>
      </x:c>
      <x:c r="HJ86" s="177" t="str">
        <x:f t="shared" si="166">IF($A86="","","Data="&amp;$GY86&amp;"; DQ="&amp;TEXT($GZ86,"0.0")&amp;"; ZM="&amp;IF($HA86="","n/a",TEXT($HA86,"0.0"))&amp;"; Context="&amp;TEXT($HB86,"0.0")&amp;"; Uncertainty="&amp;TEXT($HC86,"0.0")&amp;"; Compound="&amp;TEXT($HD86,"0.0")&amp;"; Risk Score="&amp;IF($HE86="","n/a",TEXT($HE86,"0.0"))&amp;"; Base="&amp;IF($HF86="","n/a",$HF86)&amp;"; G0="&amp;$HG86&amp;"; Final="&amp;$HH86&amp;". Cota, EV si lineup sunt informative si nu intra in recomandare.")</x:f>
      </x:c>
      <x:c r="HK86" s="174" t="str">
        <x:f t="shared" si="167">IF($A86="","",$HI86)</x:f>
      </x:c>
    </x:row>
    <x:row r="87" ht="24" customHeight="1">
      <x:c r="A87" s="58"/>
      <x:c r="B87" s="24"/>
      <x:c r="C87" s="59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18"/>
      <x:c r="O87" s="18"/>
      <x:c r="P87" s="24"/>
      <x:c r="Q87" s="24"/>
      <x:c r="R87" s="24"/>
      <x:c r="S87" s="24"/>
      <x:c r="T87" s="24"/>
      <x:c r="U87" s="18"/>
      <x:c r="V87" s="18"/>
      <x:c r="W87" s="24"/>
      <x:c r="X87" s="24"/>
      <x:c r="Y87" s="24"/>
      <x:c r="Z87" s="24"/>
      <x:c r="AA87" s="24"/>
      <x:c r="AB87" s="24"/>
      <x:c r="AC87" s="24"/>
      <x:c r="AD87" s="24"/>
      <x:c r="AE87" s="24"/>
      <x:c r="AF87" s="24"/>
      <x:c r="AG87" s="24"/>
      <x:c r="AH87" s="24"/>
      <x:c r="AI87" s="18"/>
      <x:c r="AJ87" s="24"/>
      <x:c r="AK87" s="24"/>
      <x:c r="AL87" s="24"/>
      <x:c r="AM87" s="18"/>
      <x:c r="AN87" s="24"/>
      <x:c r="AO87" s="60"/>
      <x:c r="AP87" s="60"/>
      <x:c r="AQ87" s="60"/>
      <x:c r="AR87" s="60"/>
      <x:c r="AS87" s="60"/>
      <x:c r="AT87" s="24"/>
      <x:c r="AU87" s="24"/>
      <x:c r="AV87" s="24"/>
      <x:c r="AW87" s="24"/>
      <x:c r="AX87" s="24"/>
      <x:c r="AY87" s="24"/>
      <x:c r="AZ87" s="24"/>
      <x:c r="BA87" s="24"/>
      <x:c r="BB87" s="24"/>
      <x:c r="BC87" s="24"/>
      <x:c r="BD87" s="24"/>
      <x:c r="BE87" s="24"/>
      <x:c r="BF87" s="24"/>
      <x:c r="BG87" s="24"/>
      <x:c r="BH87" s="61"/>
      <x:c r="BI87" s="61"/>
      <x:c r="BJ87" s="62" t="str">
        <x:f>IF($A87="","",SQRT((($I87*IF($J87="",$AJ87,$J87)+'Setari model'!$B$30*$AJ87)/($I87+'Setari model'!$B$30))*(($P87*IF($R87="",$AJ87,$R87)+'Setari model'!$B$30*$AJ87)/($P87+'Setari model'!$B$30)))+SQRT((($P87*IF($Q87="",$AK87,$Q87)+'Setari model'!$B$30*$AK87)/($P87+'Setari model'!$B$30))*(($I87*IF($K87="",$AK87,$K87)+'Setari model'!$B$30*$AK87)/($I87+'Setari model'!$B$30))))</x:f>
      </x:c>
      <x:c r="BK87" s="62" t="str">
        <x:f>IF($A87="","",SQRT((($I87*IF($L87="",IF($J87="",$AJ87,$J87),$L87)+'Setari model'!$B$30*$AJ87)/($I87+'Setari model'!$B$30))*(($P87*IF($T87="",IF($R87="",$AJ87,$R87),$T87)+'Setari model'!$B$30*$AJ87)/($P87+'Setari model'!$B$30)))+SQRT((($P87*IF($S87="",IF($Q87="",$AK87,$Q87),$S87)+'Setari model'!$B$30*$AK87)/($P87+'Setari model'!$B$30))*(($I87*IF($M87="",IF($K87="",$AK87,$K87),$M87)+'Setari model'!$B$30*$AK87)/($I87+'Setari model'!$B$30))))</x:f>
      </x:c>
      <x:c r="BL87" s="62" t="str">
        <x:f>IF($A87="","",SQRT((($W87*IF($X87="",$AL87/2,$X87)+'Setari model'!$B$31*$AL87/2)/($W87+'Setari model'!$B$31))*(($AB87*IF($AD87="",$AL87/2,$AD87)+'Setari model'!$B$31*$AL87/2)/($AB87+'Setari model'!$B$31)))+SQRT((($AB87*IF($AC87="",$AL87/2,$AC87)+'Setari model'!$B$31*$AL87/2)/($AB87+'Setari model'!$B$31))*(($W87*IF($Y87="",$AL87/2,$Y87)+'Setari model'!$B$31*$AL87/2)/($W87+'Setari model'!$B$31))))</x:f>
      </x:c>
      <x:c r="BM87" s="62" t="str">
        <x:f>IF($A87="","",SQRT((($W87*IF($Z87="",IF($X87="",$AL87/2,$X87),$Z87)+'Setari model'!$B$31*$AL87/2)/($W87+'Setari model'!$B$31))*(($AB87*IF($AF87="",IF($AD87="",$AL87/2,$AD87),$AF87)+'Setari model'!$B$31*$AL87/2)/($AB87+'Setari model'!$B$31)))+SQRT((($AB87*IF($AE87="",IF($AC87="",$AL87/2,$AC87),$AE87)+'Setari model'!$B$31*$AL87/2)/($AB87+'Setari model'!$B$31))*(($W87*IF($AA87="",IF($Y87="",$AL87/2,$Y87),$AA87)+'Setari model'!$B$31*$AL87/2)/($W87+'Setari model'!$B$31))))</x:f>
      </x:c>
      <x:c r="BN87" s="62" t="str">
        <x:f t="shared" si="112">IF($A87="","",IF($AG87&gt;0,($AG87*IF($AH87="",$AL87,$AH87)+5*$AL87)/($AG87+5),$AL87))</x:f>
      </x:c>
      <x:c r="BO87" s="63" t="str">
        <x:f>IF($A87="","",IF($AR87&gt;1,IF($AS87&gt;1,(1/$AR87)/((1/$AR87+1/$AS87)),MIN(0.995,(1/$AR87)/(1+'Setari model'!$B$32))),1-EXP(-$AL87)))</x:f>
      </x:c>
      <x:c r="BP87" s="62" t="str">
        <x:f t="shared" si="113">IF($A87="","",-LN(1-$BO87))</x:f>
      </x:c>
      <x:c r="BQ87" s="62" t="str">
        <x:f>IF($A87="","",$BJ87*INDEX('Setari model'!$B$5:$B$11,MATCH($E87,'Setari model'!$A$5:$A$11,0))+$BK87*INDEX('Setari model'!$C$5:$C$11,MATCH($E87,'Setari model'!$A$5:$A$11,0))+$BL87*INDEX('Setari model'!$D$5:$D$11,MATCH($E87,'Setari model'!$A$5:$A$11,0))+$BM87*INDEX('Setari model'!$E$5:$E$11,MATCH($E87,'Setari model'!$A$5:$A$11,0))+$BN87*INDEX('Setari model'!$F$5:$F$11,MATCH($E87,'Setari model'!$A$5:$A$11,0))+$BP87*INDEX('Setari model'!$G$5:$G$11,MATCH($E87,'Setari model'!$A$5:$A$11,0)))</x:f>
      </x:c>
      <x:c r="BR87" s="64" t="str">
        <x:f>IF($A87="","",MAX('Setari model'!$B$53,MIN('Setari model'!$B$54,1+($AV87*'Setari model'!$B$15+$AW87*'Setari model'!$B$16+$AX87*'Setari model'!$B$17+$AY87*'Setari model'!$B$18+$AZ87*'Setari model'!$B$19+$BA87*'Setari model'!$B$20+$BB87*'Setari model'!$B$21+$BC87*'Setari model'!$B$22+$BD87*'Setari model'!$B$23+$BE87*'Setari model'!$B$24+$BF87*'Setari model'!$B$25)*INDEX('Setari model'!$H$5:$H$11,MATCH($E87,'Setari model'!$A$5:$A$11,0)))))</x:f>
      </x:c>
      <x:c r="BS87" s="62" t="str">
        <x:f t="shared" si="114">IF($A87="","",$BQ87*$BR87)</x:f>
      </x:c>
      <x:c r="BT87" s="63" t="str">
        <x:f t="shared" si="115">IF($A87="","",EXP(-$BS87))</x:f>
      </x:c>
      <x:c r="BU87" s="65" t="str">
        <x:f>IF($A87="","",IF(OR($AM87="",$AN87=""),1,1+MIN('Setari model'!$B$33,$AN87/100*'Setari model'!$B$33)*($AM87/EXP(-$AL87)-1)))</x:f>
      </x:c>
      <x:c r="BV87" s="63" t="str">
        <x:f>IF($A87="","",MIN(0.45,MAX(0.005,(1-'Setari model'!$B$34*MIN(1,($I87+$P87)/20))*MIN(0.45,$BT87*$BU87)+'Setari model'!$B$34*MIN(1,($I87+$P87)/20)*IF(COUNT($N87,$U87)=2,SQRT(MAX(0,1-$N87)*MAX(0,1-$U87)),IF($AM87="",EXP(-$AL87),$AM87)))))</x:f>
      </x:c>
      <x:c r="BW87" s="63" t="str">
        <x:f t="shared" si="116">IF($A87="","",1-$BV87)</x:f>
      </x:c>
      <x:c r="BX87" s="62" t="str">
        <x:f t="shared" si="117">IF($A87="","",1/$BW87)</x:f>
      </x:c>
      <x:c r="BY87" s="63" t="str">
        <x:f t="shared" si="118">IF($A87="","",$BO87)</x:f>
      </x:c>
      <x:c r="BZ87" s="63" t="str">
        <x:f t="shared" si="119">IF($A87="","",$BW87-$BY87)</x:f>
      </x:c>
      <x:c r="CA87" s="63" t="str">
        <x:f t="shared" si="120">IF($A87="","",IF($AR87&gt;1,$BW87*$AR87-1,""))</x:f>
      </x:c>
      <x:c r="CB87" s="63" t="str">
        <x:f>IF($A87="","",MIN(1,COUNT($I87:$AN87,$AR87:$BG87)/'Setari model'!$B$46))</x:f>
      </x:c>
      <x:c r="CC87" s="63" t="str">
        <x:f t="shared" si="121">IF($A87="","",0.25*MIN(1,$I87/10)+0.25*MIN(1,$P87/10)+0.15*MIN(1,$W87/5)+0.15*MIN(1,$AB87/5)+0.1*MIN(1,$AG87/5)+0.1*MIN(1,$AN87/100))</x:f>
      </x:c>
      <x:c r="CD87" s="63" t="str">
        <x:f>IF($A87="","",MAX(0,1-(MAX($BJ87:$BN87,$BP87)-MIN($BJ87:$BN87,$BP87))/(AVERAGE($BJ87:$BN87,$BP87)*'Setari model'!$B$45)))</x:f>
      </x:c>
      <x:c r="CE87" s="66" t="str">
        <x:f>IF($A87="","",MAX(0,MIN(100,100*INDEX('Setari model'!$I$5:$I$11,MATCH($E87,'Setari model'!$A$5:$A$11,0))*('Setari model'!$B$47*$CB87+'Setari model'!$B$48*$CC87+'Setari model'!$B$49*$CD87+'Setari model'!$B$50*$AT87/5+'Setari model'!$B$51*$AU87)-100*'Setari model'!$B$52*$BG87)))</x:f>
      </x:c>
      <x:c r="CF87" s="65" t="str">
        <x:f t="shared" si="122">IF($A87="","",IF(OR($AT87&lt;3,$BG87&gt;=2,$CB87&lt;0.55,$CC87&lt;0.4),"RIDICAT",IF(OR($AU87=0,$CD87&lt;0.45,$BR87&lt;0.9),"MEDIU","SCĂZUT")))</x:f>
      </x:c>
      <x:c r="CG87" s="65" t="str">
        <x:f>IF($A87="","",IF($AR87&gt;1,IF(AND($BW87&gt;= 'Setari model'!$B$35,$CE87&gt;=100*'Setari model'!$B$36,$BZ87&gt;= 'Setari model'!$B$37,$CA87&gt;= 'Setari model'!$B$38,$CF87&lt;&gt;"RIDICAT"),"PARIU RECOMANDAT",IF(AND($BW87&gt;= 'Setari model'!$B$39,$CE87&gt;=100*'Setari model'!$B$40,$BZ87&gt;= 'Setari model'!$B$41,$CA87&gt;=0,$CF87&lt;&gt;"RIDICAT"),"RECOMANDAT CU PRUDENȚĂ",IF(AND($BW87&gt;= 'Setari model'!$B$42,$CE87&gt;=100*'Setari model'!$B$43),"ANALIZĂ NECONCLUDENTĂ","PARIU EVITAT"))),IF(AND($BW87&gt;= 'Setari model'!$B$35,$CE87&gt;=100*'Setari model'!$B$36,$CF87&lt;&gt;"RIDICAT"),"FAVORABIL STATISTIC – VERIFICĂ COTA",IF(AND($BW87&gt;= 'Setari model'!$B$42,$CE87&gt;=100*'Setari model'!$B$43),"ANALIZĂ NECONCLUDENTĂ","PARIU EVITAT"))))</x:f>
      </x:c>
      <x:c r="CH87" s="67" t="str">
        <x:f t="shared" si="123">IF($A87="","","P(O0,5)="&amp;TEXT($BW87,"0.0%")&amp;"; λ ajustat="&amp;TEXT($BS87,"0.00")&amp;"; Confidence="&amp;TEXT($CE87,"0")&amp;"/100; Edge="&amp;TEXT($BZ87,"0.0%")&amp;"; risc="&amp;$CF87&amp;". "&amp;$BH87)</x:f>
      </x:c>
      <x:c r="CI87" s="68" t="str">
        <x:f t="shared" si="124">IF($A87="","",$BI87)</x:f>
      </x:c>
      <x:c r="CJ87" s="112"/>
      <x:c r="CK87" s="112"/>
      <x:c r="CL87" s="112"/>
      <x:c r="CM87" s="112"/>
      <x:c r="CN87" s="112"/>
      <x:c r="CO87" s="112"/>
      <x:c r="CP87" s="112"/>
      <x:c r="CQ87" s="112"/>
      <x:c r="CR87" s="112"/>
      <x:c r="CS87" s="112"/>
      <x:c r="CT87" s="112"/>
      <x:c r="CU87" s="112"/>
      <x:c r="CV87" s="112"/>
      <x:c r="CW87" s="112"/>
      <x:c r="CX87" s="112"/>
      <x:c r="CY87" s="112"/>
      <x:c r="CZ87" s="112"/>
      <x:c r="DA87" s="112"/>
      <x:c r="DB87" s="112"/>
      <x:c r="DC87" s="114"/>
      <x:c r="DD87" s="114"/>
      <x:c r="DE87" s="112" t="s">
        <x:v>266</x:v>
      </x:c>
      <x:c r="DF87" s="112"/>
      <x:c r="DG87" s="112"/>
      <x:c r="DH87" s="112"/>
      <x:c r="DI87" s="112"/>
      <x:c r="DJ87" s="112"/>
      <x:c r="DK87" s="112"/>
      <x:c r="DL87" s="112"/>
      <x:c r="DM87" s="112"/>
      <x:c r="DN87" s="112"/>
      <x:c r="DO87" s="112"/>
      <x:c r="DP87" s="112"/>
      <x:c r="DQ87" s="114"/>
      <x:c r="DR87" s="112">
        <x:v>1</x:v>
      </x:c>
      <x:c r="DS87" s="116">
        <x:v>0</x:v>
      </x:c>
      <x:c r="DT87" s="120"/>
      <x:c r="DU87" s="116">
        <x:v>0.02</x:v>
      </x:c>
      <x:c r="DV87" s="116">
        <x:v>0.25</x:v>
      </x:c>
      <x:c r="DW87" s="118" t="str">
        <x:f>IF($A87="","",MAX('Setari model'!$B$71,MIN('Setari model'!$B$72,1+0.08*(IFERROR(AVERAGE($CM87:$CN87)/'Setari model'!$B$66,1)-1)+0.08*(IFERROR(AVERAGE($CO87:$CP87)/'Setari model'!$B$67,1)-1)+0.06*(IFERROR(AVERAGE($CQ87:$CR87)/'Setari model'!$B$68,1)-1)+0.04*(IFERROR(AVERAGE($CS87:$CT87)/'Setari model'!$B$69,1)-1)+0.04*(IFERROR(AVERAGE($CU87:$CV87)/'Setari model'!$B$70,1)-1)-'Setari model'!$B$73*IFERROR(AVERAGE($CW87:$CX87),0))))</x:f>
      </x:c>
      <x:c r="DX87" s="118" t="str">
        <x:f>IF($A87="","",1+'Setari model'!$B$62*MAX(IF(OR($CK87=1,$CL87=1),1,0),IF(AND($CJ87&lt;&gt;"",$CJ87&lt;=1),1,0))+'Setari model'!$B$63*IF(AND($CJ87&gt;1,$CJ87&lt;=3),1,0))</x:f>
      </x:c>
      <x:c r="DY87" s="118" t="str">
        <x:f>IF($A87="","",1+'Setari model'!$B$74*(IF($CY87="",0,IF($CY87=0,1,0))+IF($CZ87="",0,IF($CZ87=0,1,0)))+'Setari model'!$B$75*(IF($DA87="",0,IF($DA87=0,1,0))+IF($DB87="",0,IF($DB87=0,1,0))))</x:f>
      </x:c>
      <x:c r="DZ87" s="117" t="str">
        <x:f>IF($A87="","",MIN(0.6,MAX(0.002,(((1-'Setari model'!$B$34*MIN(1,($I87+$P87)/20))*$BT87+'Setari model'!$B$34*MIN(1,($I87+$P87)/20)*IF(COUNT($N87,$U87)=2,SQRT(MAX(0,1-$N87)*MAX(0,1-$U87)),$BT87))*(1-'Setari model'!$B$65*MIN(1,IF($AN87="",0,$AN87/'Setari model'!$B$64)))+'Setari model'!$B$65*MIN(1,IF($AN87="",0,$AN87/'Setari model'!$B$64))*IF($AM87="",$BT87,$AM87))*$DX87*$DY87/$DW87)))</x:f>
      </x:c>
      <x:c r="EA87" s="117" t="str">
        <x:f>IF($A87="","",MIN(1-$DZ87,IF(OR(MIN($I87,$P87)&lt;'Setari model'!$B$58,$CK87=1,$CL87=1,AND($CJ87&lt;&gt;"",$CJ87&lt;=1)),'Setari model'!$B$59,IF(AND($AU87=1,$AR87&gt;1,COUNT($CY87:$DB87)=4),'Setari model'!$B$61,'Setari model'!$B$60))))</x:f>
      </x:c>
      <x:c r="EB87" s="115" t="str">
        <x:f t="shared" si="125">IF($A87="","",1/$EA87)</x:f>
      </x:c>
      <x:c r="EC87" s="117" t="str">
        <x:f t="shared" si="126">IF($A87="","",IF($AR87&gt;1,IF($AS87&gt;1,(1/$AR87)/((1/$AR87)+(1/$AS87)),1/$AR87),""))</x:f>
      </x:c>
      <x:c r="ED87" s="117" t="str">
        <x:f t="shared" si="127">IF($A87="","",IF($EC87="","",$EA87-$EC87))</x:f>
      </x:c>
      <x:c r="EE87" s="117" t="str">
        <x:f t="shared" si="128">""</x:f>
      </x:c>
      <x:c r="EF87" s="119" t="str">
        <x:f>IF($A87="","",MAX(0,MIN(100,$CE87-200*MAX(0,$EG87-'Setari model'!$B$77)-IF($AU87&lt;&gt;1,10,0)-IF(COUNT($CY87:$DB87)&lt;4,4,0))))</x:f>
      </x:c>
      <x:c r="EG87" s="117" t="str">
        <x:f>IF($A87="","",'Setari model'!$B$77+IF(MIN($I87,$P87)&lt;'Setari model'!$B$58,0.03,0)+IF(OR($CK87=1,$CL87=1,AND($CJ87&lt;&gt;"",$CJ87&lt;=1)),0.03,0)+IF($AG87=0,0.02,0)+0.03*(1-MIN(1,COUNT($CM87:$CV87)/10))+0.03*(1-MIN(1,IF($AN87="",0,$AN87/'Setari model'!$B$64)))+IF($AR87&lt;=1,0.02,0))</x:f>
      </x:c>
      <x:c r="EH87" s="113" t="str">
        <x:f>IF($A87="","",IF(OR(MIN($I87,$P87)&lt;'Setari model'!$B$58,$CK87=1,$CL87=1,AND($CJ87&lt;&gt;"",$CJ87&lt;=1)),"92% – early/regim",IF(AND($AU87=1,$AR87&gt;1,COUNT($CY87:$DB87)=4),"94% – confirmat","93% – standard")))</x:f>
      </x:c>
      <x:c r="EI87" s="113" t="str">
        <x:f t="shared" si="129">IF($A87="","",IF(AND($EA87&gt;0.9,$AU87&lt;&gt;1),"WAIT XI – HIGH P",IF(AND($EA87&gt;0.9,COUNT($CY87:$DB87)&lt;4),"WAIT DATE CHEIE – HIGH P",IF($EP87&lt;&gt;"DA","NU – PORTOFOLIU","DA"))))</x:f>
      </x:c>
      <x:c r="EJ87" s="117" t="str">
        <x:f t="shared" si="130">IF($A87="","",IF($DE87&lt;&gt;"Live 20-30","",IF(SUM($DG87:$DH87)&gt;0,1,IF($EU87="","",1-MIN(0.95,MAX(0.001,EXP(-$EU87)*$DX87*$DY87/$DW87))))))</x:f>
      </x:c>
      <x:c r="EK87" s="117" t="str">
        <x:f t="shared" si="131">""</x:f>
      </x:c>
      <x:c r="EL87" s="113" t="str">
        <x:f>IF($A87="","",IF($DE87="Live 20-30",IF(SUM($DG87:$DH87)&gt;0,"EVENIMENT ÎNDEPLINIT",IF(OR($DF87="",COUNT($DI87:$DN87)&lt;4),"LIVE – WATCH",IF($EJ87&gt;=0.75,"LIVE – FEZABIL TEHNIC","LIVE – NO BET"))),IF($EI87&lt;&gt;"DA","WATCH / NO BET",IF(AND($EA87&gt;=INDEX('Setari model'!$B$35:$B$40,1),$EF87&gt;=100*'Setari model'!$B$76),"PARIU RECOMANDAT",IF(AND($EA87&gt;=INDEX('Setari model'!$B$35:$B$40,5),$EF87&gt;=100*'Setari model'!$B$40),"WATCH – APROAPE DE PRAG","PARIU EVITAT")))))</x:f>
      </x:c>
      <x:c r="EM87" s="113" t="str">
        <x:f t="shared" si="132">IF($A87="","",IF($DE87="Live 20-30",IF(SUM($DG87:$DH87)&gt;0,"Gol deja marcat.",IF($DF87="","Minut live lipsă.",IF(COUNT($DI87:$DN87)&lt;4,"Lipsesc xG/SOT/big chances live.",IF($EJ87&lt;0.75,"P live sub prag.","Semnal live tehnic complet; EV ignorat.")))),IF($EI87&lt;&gt;"DA",$EI87,IF($EF87&lt;75,"Confidence sub 75.",IF($EA87&lt;0.92,"P sub 92%.","G0/Zero-Mass + confidence trecute; EV ignorat.")))))</x:f>
      </x:c>
      <x:c r="EN87" s="117" t="str">
        <x:f>IF($A87="","",IF(OR($EL87="PARIU RECOMANDAT",$EL87="LIVE – FEZABIL"),MIN(IF($DU87&gt;0,$DU87,'Setari model'!$B$81)/MAX(1,$DR87),IF($DV87&gt;0,$DV87,'Setari model'!$B$80)*MAX(0,((IF($DE87="Live 20-30",$EJ87,$EA87)*IF($DE87="Live 20-30",$DQ87,$AR87)-1)/(IF($DE87="Live 20-30",$DQ87,$AR87)-1)))),0))</x:f>
      </x:c>
      <x:c r="EO87" s="121" t="str">
        <x:f t="shared" si="133">IF($A87="","",IF(AND($EN87&gt;0,$DT87&gt;0),$EN87*$DT87,""))</x:f>
      </x:c>
      <x:c r="EP87" s="113" t="str">
        <x:f>IF($A87="","",IF(OR($DR87&lt;1,$DR87&gt;'Setari model'!$B$78),"NU – 1–5 selecții",IF($DS87&gt;'Setari model'!$B$79,"NU – corelație", "DA")))</x:f>
      </x:c>
      <x:c r="EQ87" s="117" t="str">
        <x:f t="shared" si="134">IF($A87="","",IF(AND($DC87&gt;1,$DD87&gt;1),$DC87/$DD87-1,""))</x:f>
      </x:c>
      <x:c r="ER87" s="113" t="str">
        <x:f t="shared" si="135">IF($A87="","","P v2="&amp;TEXT($EA87,"0.0%")&amp;" ±"&amp;TEXT($EG87,"0.0%")&amp;"; P0 ZIP="&amp;TEXT($DZ87,"0.0%")&amp;"; Confidence="&amp;TEXT($EF87,"0")&amp;"/100; piață reală="&amp;IF($EC87="","NU","DA")&amp;"; EV="&amp;IF($EE87="","n/a",TEXT($EE87,"0.0%"))&amp;"; gate="&amp;$EI87&amp;"; verdict="&amp;$EL87&amp;". "&amp;$EM87)</x:f>
      </x:c>
      <x:c r="ES87" s="119" t="str">
        <x:f>IF($A87="","",'Setari model'!$B$82)</x:f>
      </x:c>
      <x:c r="ET87" s="118" t="str">
        <x:f>IF($A87="","",'Setari model'!$B$83)</x:f>
      </x:c>
      <x:c r="EU87" s="115" t="str">
        <x:f t="shared" si="136">IF(OR($A87="",$DE87&lt;&gt;"Live 20-30",$DF87="",$DF87&lt;$ES87,$DF87&gt;=90),"",MAX(0.05,MIN($BS87*$ET87,$BS87*(90-$DF87)/90+0.35*($DI87+$DJ87)+0.06*($DK87+$DL87)+0.15*($DM87+$DN87)+0.1*(MAX($DO87,$DP87)-MIN($DO87,$DP87)))))</x:f>
      </x:c>
      <x:c r="EV87" s="132"/>
      <x:c r="EW87" s="132"/>
      <x:c r="EX87" s="132"/>
      <x:c r="EY87" s="132"/>
      <x:c r="EZ87" s="132"/>
      <x:c r="FA87" s="132"/>
      <x:c r="FB87" s="247"/>
      <x:c r="FC87" s="134" t="str">
        <x:f t="shared" si="137">IF($A87="","",IF(OR($J87="",$L87="",$L87&lt;=0),"",MAX(0.5,MIN(1.5,$J87/$L87))))</x:f>
      </x:c>
      <x:c r="FD87" s="134" t="str">
        <x:f t="shared" si="138">IF($A87="","",IF(OR($Q87="",$S87="",$S87&lt;=0),"",MAX(0.5,MIN(1.5,$Q87/$S87))))</x:f>
      </x:c>
      <x:c r="FE87" s="134" t="str">
        <x:f>IF($A87="","",IF(COUNT($EV87:$EW87)&lt;2,"",SQRT($EV87*$EW87)/'Setari model'!$B$87))</x:f>
      </x:c>
      <x:c r="FF87" s="134" t="str">
        <x:f>IF($A87="","",IF(COUNT($O87,$V87,$EX87,$EY87)&lt;4,"",AVERAGE(SQRT($O87*$EY87),SQRT($V87*$EX87))/'Setari model'!$B$88))</x:f>
      </x:c>
      <x:c r="FG87" s="134" t="str">
        <x:f t="shared" si="139">IF($A87="","",IF(COUNT($FC87:$FD87)&lt;2,"",MAX(0,1-AVERAGE($FC87:$FD87))))</x:f>
      </x:c>
      <x:c r="FH87" s="134" t="str">
        <x:f>IF($A87="","",IF(COUNT($EZ87:$FA87)&lt;2,"",'Setari model'!$B$94*AVERAGE($EZ87:$FA87)/'Setari model'!$B$89))</x:f>
      </x:c>
      <x:c r="FI87" s="134" t="str">
        <x:f>IF($A87="","",IF(COUNT($FE87:$FH87)&lt;4,"",MAX('Setari model'!$B$97,MIN('Setari model'!$B$98,1+'Setari model'!$B$90*($FE87-1)+'Setari model'!$B$91*($FF87-1)+'Setari model'!$B$92*$FG87+'Setari model'!$B$93*($FH87-1)))))</x:f>
      </x:c>
      <x:c r="FJ87" s="133" t="str">
        <x:f>IF($A87="","",IF($FI87="","",MIN('Setari model'!$B$101,MAX(0.002,$DZ87*$FI87))))</x:f>
      </x:c>
      <x:c r="FK87" s="131" t="str">
        <x:f t="shared" si="140">IF($A87="","",IF(AND(COUNT($EV87:$FA87)=6,COUNT($O87,$V87,$FC87,$FD87)=4),"DA","NU"))</x:f>
      </x:c>
      <x:c r="FL87" s="131" t="str">
        <x:f>IF($A87="","",IF($FK87&lt;&gt;"DA","NEDETERMINAT",IF($FI87&lt;='Setari model'!$B$99,"SCĂZUT",IF($FI87&lt;='Setari model'!$B$100,"MEDIU","RIDICAT"))))</x:f>
      </x:c>
      <x:c r="FM87" s="131" t="str">
        <x:f>IF($A87="","",IF(AND($AR87&gt;1,$EC87&gt;='Setari model'!$B$106),"DA","NU"))</x:f>
      </x:c>
      <x:c r="FN87" s="131" t="str">
        <x:f t="shared" si="141">IF($A87="","",IF(AND($AU87=1,COUNT($CY87:$DB87)=4),"DA","NU"))</x:f>
      </x:c>
      <x:c r="FO87" s="133" t="str">
        <x:f>IF($A87="","",IF(OR($FK87&lt;&gt;"DA",$FL87="RIDICAT"),'Setari model'!$B$102,IF($FL87="MEDIU",'Setari model'!$B$103,IF(AND($FM87="DA",$FN87="DA"),'Setari model'!$B$105,'Setari model'!$B$104))))</x:f>
      </x:c>
      <x:c r="FP87" s="133" t="str">
        <x:f t="shared" si="142">IF($A87="","",IF($FJ87="","",MIN(1-$FJ87,$FO87)))</x:f>
      </x:c>
      <x:c r="FQ87" s="135" t="str">
        <x:f t="shared" si="143">IF($A87="","",IF($FP87="","",IF($FP87&gt;0,1/$FP87,"")))</x:f>
      </x:c>
      <x:c r="FR87" s="133" t="str">
        <x:f t="shared" si="144">IF($A87="","",IF($EC87="","",$FP87-$EC87))</x:f>
      </x:c>
      <x:c r="FS87" s="133" t="str">
        <x:f t="shared" si="145">IF($A87="","",IF($AR87&gt;1,$FP87*$AR87-1,""))</x:f>
      </x:c>
      <x:c r="FT87" s="136" t="str">
        <x:f>IF($A87="","",MAX(0,MIN(100,$EF87-IF($FK87&lt;&gt;"DA",'Setari model'!$B$107,0)-IF($FL87="MEDIU",'Setari model'!$B$108,0)-IF($FL87="RIDICAT",'Setari model'!$B$109,0))))</x:f>
      </x:c>
      <x:c r="FU87" s="131" t="str">
        <x:f t="shared" si="146">IF($A87="","",IF($AR87&lt;=1,"NU – LIPSEȘTE COTA REALĂ",IF($FK87&lt;&gt;"DA","NU – ZERO-RISK INCOMPLET",IF($FL87&lt;&gt;"SCĂZUT","NU – RISC 0-0 "&amp;$FL87,IF($FN87&lt;&gt;"DA","NU – LINEUP NECONFIRMAT",IF($FM87&lt;&gt;"DA","NU – PIAȚĂ NECONFIRMATĂ",IF($EP87&lt;&gt;"DA","NU – PORTOFOLIU","DA")))))))</x:f>
      </x:c>
      <x:c r="FV87" s="131" t="str">
        <x:f>IF($A87="","",IF($FU87&lt;&gt;"DA","WATCH / NO BET",IF(AND($FP87&gt;='Setari model'!$B$35,$FT87&gt;=100*'Setari model'!$B$76,$FS87&gt;0),"PARIU RECOMANDAT",IF(AND($FP87&gt;='Setari model'!$B$39,$FT87&gt;=100*'Setari model'!$B$40,$FS87&gt;0),"WATCH – APROAPE DE PRAG","PARIU EVITAT"))))</x:f>
      </x:c>
      <x:c r="FW87" s="131" t="str">
        <x:f t="shared" si="147">IF($A87="","",IF($FU87&lt;&gt;"DA",$FU87,IF($FT87&lt;75,"Confidence v3 sub 75.",IF($FP87&lt;0.92,"P v3 sub 92%.",IF($FS87&lt;=0,"EV v3 nepozitiv.","P0 v3, lineup și piață confirmate.")))))</x:f>
      </x:c>
      <x:c r="FX87" s="131" t="str">
        <x:f t="shared" si="148">IF($A87="","","P v3="&amp;TEXT($FP87,"0.0%")&amp;"; P0 v3="&amp;TEXT($FJ87,"0.0%")&amp;"; factor zero="&amp;IF($FI87="","n/a",TEXT($FI87,"0.00x"))&amp;" ("&amp;$FL87&amp;"); cap="&amp;TEXT($FO87,"0.0%")&amp;"; Confidence="&amp;TEXT($FT87,"0")&amp;"/100; lineup="&amp;$FN87&amp;"; piață="&amp;$FM87&amp;"; EV="&amp;IF($FS87="","n/a",TEXT($FS87,"0.0%"))&amp;"; gate="&amp;$FU87&amp;"; verdict="&amp;$FV87&amp;". "&amp;$FW87)</x:f>
      </x:c>
      <x:c r="FY87" s="159"/>
      <x:c r="FZ87" s="159"/>
      <x:c r="GA87" s="157"/>
      <x:c r="GB87" s="157"/>
      <x:c r="GC87" s="161" t="str">
        <x:f t="shared" si="149">IF($A87="","",IF(OR($X87="",$Z87="",$Z87&lt;=0),"",MAX(0.5,MIN(1.5,$X87/$Z87))))</x:f>
      </x:c>
      <x:c r="GD87" s="161" t="str">
        <x:f t="shared" si="150">IF($A87="","",IF(OR($AC87="",$AE87="",$AE87&lt;=0),"",MAX(0.5,MIN(1.5,$AC87/$AE87))))</x:f>
      </x:c>
      <x:c r="GE87" s="162" t="str">
        <x:f t="shared" si="151">IF($A87="","",IF(COUNT($Z87,$AE87)&lt;2,"",AVERAGE($Z87,$AE87)))</x:f>
      </x:c>
      <x:c r="GF87" s="158" t="str">
        <x:f>IF($A87="","",IF(COUNT($FY87:$FZ87)&lt;2,"NEDETERMINAT",IF(AND($FY87&gt;='Setari model'!$B$113,$FZ87&gt;='Setari model'!$B$113),"DA","NU")))</x:f>
      </x:c>
      <x:c r="GG87" s="158" t="str">
        <x:f>IF($A87="","",IF(COUNT($FY87:$FZ87,$EX87:$EY87)&lt;4,"NEDETERMINAT",IF(OR(AND($FY87&gt;='Setari model'!$B$113,$EY87&gt;='Setari model'!$B$114),AND($FZ87&gt;='Setari model'!$B$113,$EX87&gt;='Setari model'!$B$114)),"DA","NU")))</x:f>
      </x:c>
      <x:c r="GH87" s="158" t="str">
        <x:f>IF($A87="","",IF(COUNT($BJ87:$BN87,$GC87:$GE87)&lt;8,"NEDETERMINAT",IF(AND((($BJ87*INDEX('Setari model'!$B$5:$B$11,MATCH($E87,'Setari model'!$A$5:$A$11,0))+$BK87*INDEX('Setari model'!$C$5:$C$11,MATCH($E87,'Setari model'!$A$5:$A$11,0))+$BL87*INDEX('Setari model'!$D$5:$D$11,MATCH($E87,'Setari model'!$A$5:$A$11,0))+$BM87*INDEX('Setari model'!$E$5:$E$11,MATCH($E87,'Setari model'!$A$5:$A$11,0))+$BN87*INDEX('Setari model'!$F$5:$F$11,MATCH($E87,'Setari model'!$A$5:$A$11,0)))/(INDEX('Setari model'!$B$5:$B$11,MATCH($E87,'Setari model'!$A$5:$A$11,0))+INDEX('Setari model'!$C$5:$C$11,MATCH($E87,'Setari model'!$A$5:$A$11,0))+INDEX('Setari model'!$D$5:$D$11,MATCH($E87,'Setari model'!$A$5:$A$11,0))+INDEX('Setari model'!$E$5:$E$11,MATCH($E87,'Setari model'!$A$5:$A$11,0))+INDEX('Setari model'!$F$5:$F$11,MATCH($E87,'Setari model'!$A$5:$A$11,0))))*$BR87&gt;='Setari model'!$B$115,(($BJ87*INDEX('Setari model'!$B$5:$B$11,MATCH($E87,'Setari model'!$A$5:$A$11,0))+$BK87*INDEX('Setari model'!$C$5:$C$11,MATCH($E87,'Setari model'!$A$5:$A$11,0))+$BL87*INDEX('Setari model'!$D$5:$D$11,MATCH($E87,'Setari model'!$A$5:$A$11,0))+$BM87*INDEX('Setari model'!$E$5:$E$11,MATCH($E87,'Setari model'!$A$5:$A$11,0))+$BN87*INDEX('Setari model'!$F$5:$F$11,MATCH($E87,'Setari model'!$A$5:$A$11,0)))/(INDEX('Setari model'!$B$5:$B$11,MATCH($E87,'Setari model'!$A$5:$A$11,0))+INDEX('Setari model'!$C$5:$C$11,MATCH($E87,'Setari model'!$A$5:$A$11,0))+INDEX('Setari model'!$D$5:$D$11,MATCH($E87,'Setari model'!$A$5:$A$11,0))+INDEX('Setari model'!$E$5:$E$11,MATCH($E87,'Setari model'!$A$5:$A$11,0))+INDEX('Setari model'!$F$5:$F$11,MATCH($E87,'Setari model'!$A$5:$A$11,0))))*$BR87&lt;='Setari model'!$B$116,AVERAGE($GC87:$GD87)&lt;='Setari model'!$B$117,$GE87&gt;='Setari model'!$B$118),"DA","NU")))</x:f>
      </x:c>
      <x:c r="GI87" s="158" t="str">
        <x:f>IF($A87="","",IF(COUNT($W87,$AB87,$GA87:$GB87)&lt;4,"NEDETERMINAT",IF(AND($W87&gt;='Setari model'!$B$120,$AB87&gt;='Setari model'!$B$120,OR(IFERROR($GA87/$W87,0)&gt;='Setari model'!$B$119,IFERROR($GB87/$AB87,0)&gt;='Setari model'!$B$119)),"DA","NU")))</x:f>
      </x:c>
      <x:c r="GJ87" s="160" t="str">
        <x:f>IF($A87="","",IF(COUNT($FY87:$GB87)&lt;4,"",IF($GH87&lt;&gt;"DA",0,'Setari model'!$B$121*IF($GF87="DA",1,0)+'Setari model'!$B$122*IF($GG87="DA",1,0)+'Setari model'!$B$123+'Setari model'!$B$124*IF($GI87="DA",1,0))))</x:f>
      </x:c>
      <x:c r="GK87" s="161" t="str">
        <x:f>IF($A87="","",IF(COUNT($GJ87)=0,"",1+'Setari model'!$B$125*$GJ87))</x:f>
      </x:c>
      <x:c r="GL87" s="160" t="str">
        <x:f>IF($A87="","",IF($GM87&lt;&gt;"DA",$FJ87,MIN('Setari model'!$B$101,MAX(0.002,$FJ87*$GK87))))</x:f>
      </x:c>
      <x:c r="GM87" s="158" t="str">
        <x:f>IF($A87="","",IF(AND($FK87="DA",COUNT($FY87:$GB87)=4,COUNT($I87,$P87,$W87,$AB87,$Z87,$AE87,$EX87,$EY87,$GC87,$GD87)=10,COUNT($BJ87:$BN87)=5),"DA","NU"))</x:f>
      </x:c>
      <x:c r="GN87" s="158" t="str">
        <x:f>IF($A87="","",IF($GM87&lt;&gt;"DA","NEDETERMINAT",IF($FI87*$GK87&lt;='Setari model'!$B$99,"SCĂZUT",IF($FI87*$GK87&lt;='Setari model'!$B$100,"MEDIU","RIDICAT"))))</x:f>
      </x:c>
      <x:c r="GO87" s="160" t="str">
        <x:f>IF($A87="","",IF(OR($GM87&lt;&gt;"DA",$GN87="RIDICAT"),'Setari model'!$B$102,IF($GN87="MEDIU",'Setari model'!$B$103,IF(AND($FM87="DA",$FN87="DA"),'Setari model'!$B$105,'Setari model'!$B$104))))</x:f>
      </x:c>
      <x:c r="GP87" s="160" t="str">
        <x:f t="shared" si="152">IF($A87="","",IF($GL87="","",MIN(1-$GL87,$GO87)))</x:f>
      </x:c>
      <x:c r="GQ87" s="162" t="str">
        <x:f t="shared" si="153">IF($A87="","",IF($GP87="","",IF($GP87&gt;0,1/$GP87,"")))</x:f>
      </x:c>
      <x:c r="GR87" s="160" t="str">
        <x:f t="shared" si="154">IF($A87="","",IF($EC87="","",$GP87-$EC87))</x:f>
      </x:c>
      <x:c r="GS87" s="160" t="str">
        <x:f t="shared" si="155">IF($A87="","",IF($AR87&gt;1,$GP87*$AR87-1,""))</x:f>
      </x:c>
      <x:c r="GT87" s="163" t="str">
        <x:f>IF($A87="","",MAX(0,MIN(100,$FT87-IF(AND($GM87&lt;&gt;"DA",$FK87="DA"),'Setari model'!$B$107,0)-'Setari model'!$B$126*IF($GJ87="",0,$GJ87))))</x:f>
      </x:c>
      <x:c r="GU87" s="158" t="str">
        <x:f t="shared" si="156">IF($A87="","",IF($AR87&lt;=1,"NU – LIPSEȘTE COTA REALĂ",IF($GM87&lt;&gt;"DA","NU – DATE LOW-CONVERSION INCOMPLETE",IF($GN87&lt;&gt;"SCĂZUT","NU – RISC 0-0 "&amp;$GN87,IF($FN87&lt;&gt;"DA","NU – LINEUP NECONFIRMAT",IF($FM87&lt;&gt;"DA","NU – PIAȚĂ NECONFIRMATĂ",IF($EP87&lt;&gt;"DA","NU – PORTOFOLIU","DA")))))))</x:f>
      </x:c>
      <x:c r="GV87" s="158" t="str">
        <x:f>IF($A87="","",IF($GU87&lt;&gt;"DA","WATCH / NO BET",IF(AND($GP87&gt;='Setari model'!$B$35,$GT87&gt;=100*'Setari model'!$B$76,$GS87&gt;0),"PARIU RECOMANDAT",IF(AND($GP87&gt;='Setari model'!$B$39,$GT87&gt;=100*'Setari model'!$B$40,$GS87&gt;0),"WATCH – APROAPE DE PRAG","PARIU EVITAT"))))</x:f>
      </x:c>
      <x:c r="GW87" s="158" t="str">
        <x:f t="shared" si="157">IF($A87="","",IF($GU87&lt;&gt;"DA",$GU87,IF($GT87&lt;75,"Confidence v5 sub 75.",IF($GP87&lt;0.92,"P v5 sub 92%.",IF($GS87&lt;=0,"EV v5 nepozitiv.",IF($GJ87&gt;0,"Low-conversion absorbit în P0; toate porțile rămân trecute.","Toate porțile v5 sunt trecute."))))))</x:f>
      </x:c>
      <x:c r="GX87" s="158" t="str">
        <x:f t="shared" si="158">IF($A87="","","P v5="&amp;TEXT($GP87,"0.0%")&amp;"; P0 v5="&amp;TEXT($GL87,"0.0%")&amp;"; low-conv="&amp;IF(COUNT($GJ87)=0,"n/a",TEXT($GJ87,"0%"))&amp;"; mult.P0="&amp;IF(COUNT($GK87)=0,"n/a",TEXT($GK87,"0.00"))&amp;"; clasă="&amp;$GN87&amp;"; cap="&amp;TEXT($GO87,"0.0%")&amp;"; Confidence="&amp;TEXT($GT87,"0")&amp;"/100; lineup="&amp;$FN87&amp;"; piață="&amp;$FM87&amp;"; EV="&amp;IF($GS87="","n/a",TEXT($GS87,"0.0%"))&amp;"; gate="&amp;$GU87&amp;"; verdict="&amp;$GV87&amp;". "&amp;$GW87)</x:f>
      </x:c>
      <x:c r="GY87" s="174" t="str">
        <x:f>IF($A87="","",IF($GM87&lt;&gt;"DA","SOURCING INCOMPLETE – REVIEW REQUIRED",IF(MIN($I87,$P87,$W87,$AB87)&lt;'Setari model'!$B$58,"SMALL SAMPLE + PRIOR / SHRINKAGE","VERIFIED / PRIOR / SHRINKAGE")))</x:f>
      </x:c>
      <x:c r="GZ87" s="175" t="str">
        <x:f t="shared" si="159">IF($A87="","",MAX(0,MIN(100,100*(1-AVERAGE(IF($GM87="DA",1,0),MIN(1,$AT87/5))))))</x:f>
      </x:c>
      <x:c r="HA87" s="175" t="str">
        <x:f>IF($A87="","",IF($GM87&lt;&gt;"DA","",MAX(0,MIN(100,100*(($FI87*$GK87)-'Setari model'!$B$97)/('Setari model'!$B$98-'Setari model'!$B$97)))))</x:f>
      </x:c>
      <x:c r="HB87" s="175" t="str">
        <x:f>IF($A87="","",MAX(0,MIN(100,100*(ABS($BR87-1)/MAX(1-'Setari model'!$B$53,'Setari model'!$B$54-1)+MIN(1,$BG87/2))/2)))</x:f>
      </x:c>
      <x:c r="HC87" s="175" t="str">
        <x:f t="shared" si="160">IF($A87="","",MAX(0,MIN(100,100*(1-AVERAGE($CC87,MAX(0,1-(MAX($BJ87:$BN87)-MIN($BJ87:$BN87))/(AVERAGE($BJ87:$BN87)*'Setari model'!$B$45)))))))</x:f>
      </x:c>
      <x:c r="HD87" s="175" t="str">
        <x:f t="shared" si="161">IF($A87="","",MAX(0,MIN(100,100*MAX(IF($GJ87="",0,$GJ87),MIN(1,$BG87/2)))))</x:f>
      </x:c>
      <x:c r="HE87" s="175" t="str">
        <x:f>IF($A87="","",IF(COUNT($GZ87:$HD87)&lt;5,"",$GZ87*Risk_Classification!$E$28+$HA87*Risk_Classification!$E$29+$HB87*Risk_Classification!$E$30+$HC87*Risk_Classification!$E$31+$HD87*Risk_Classification!$E$32))</x:f>
      </x:c>
      <x:c r="HF87" s="176" t="str">
        <x:f t="shared" si="162">IF($A87="","",IF($HE87="","",IF($HE87&lt;=20,1,IF($HE87&lt;=40,2,IF($HE87&lt;=60,3,IF($HE87&lt;=80,4,5))))))</x:f>
      </x:c>
      <x:c r="HG87" s="176" t="str">
        <x:f t="shared" si="163">IF($A87="","",IF($GM87="DA","PASS","FAIL – DATE CRITICE ZERO-MASS INCOMPLETE"))</x:f>
      </x:c>
      <x:c r="HH87" s="176" t="str">
        <x:f t="shared" si="164">IF($A87="","",IF($HG87&lt;&gt;"PASS",5,$HF87))</x:f>
      </x:c>
      <x:c r="HI87" s="174" t="str">
        <x:f t="shared" si="165">IF($A87="","",IF($HH87="","N/A",IF($HH87=1,"DEFENSIV",IF($HH87=2,"PRUDENT",IF($HH87=3,"MODERAT",IF($HH87=4,"RIDICAT","WATCH / NO BET"))))))</x:f>
      </x:c>
      <x:c r="HJ87" s="177" t="str">
        <x:f t="shared" si="166">IF($A87="","","Data="&amp;$GY87&amp;"; DQ="&amp;TEXT($GZ87,"0.0")&amp;"; ZM="&amp;IF($HA87="","n/a",TEXT($HA87,"0.0"))&amp;"; Context="&amp;TEXT($HB87,"0.0")&amp;"; Uncertainty="&amp;TEXT($HC87,"0.0")&amp;"; Compound="&amp;TEXT($HD87,"0.0")&amp;"; Risk Score="&amp;IF($HE87="","n/a",TEXT($HE87,"0.0"))&amp;"; Base="&amp;IF($HF87="","n/a",$HF87)&amp;"; G0="&amp;$HG87&amp;"; Final="&amp;$HH87&amp;". Cota, EV si lineup sunt informative si nu intra in recomandare.")</x:f>
      </x:c>
      <x:c r="HK87" s="174" t="str">
        <x:f t="shared" si="167">IF($A87="","",$HI87)</x:f>
      </x:c>
    </x:row>
    <x:row r="88" ht="24" customHeight="1">
      <x:c r="A88" s="58"/>
      <x:c r="B88" s="24"/>
      <x:c r="C88" s="59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18"/>
      <x:c r="O88" s="18"/>
      <x:c r="P88" s="24"/>
      <x:c r="Q88" s="24"/>
      <x:c r="R88" s="24"/>
      <x:c r="S88" s="24"/>
      <x:c r="T88" s="24"/>
      <x:c r="U88" s="18"/>
      <x:c r="V88" s="18"/>
      <x:c r="W88" s="24"/>
      <x:c r="X88" s="24"/>
      <x:c r="Y88" s="24"/>
      <x:c r="Z88" s="24"/>
      <x:c r="AA88" s="24"/>
      <x:c r="AB88" s="24"/>
      <x:c r="AC88" s="24"/>
      <x:c r="AD88" s="24"/>
      <x:c r="AE88" s="24"/>
      <x:c r="AF88" s="24"/>
      <x:c r="AG88" s="24"/>
      <x:c r="AH88" s="24"/>
      <x:c r="AI88" s="18"/>
      <x:c r="AJ88" s="24"/>
      <x:c r="AK88" s="24"/>
      <x:c r="AL88" s="24"/>
      <x:c r="AM88" s="18"/>
      <x:c r="AN88" s="24"/>
      <x:c r="AO88" s="60"/>
      <x:c r="AP88" s="60"/>
      <x:c r="AQ88" s="60"/>
      <x:c r="AR88" s="60"/>
      <x:c r="AS88" s="60"/>
      <x:c r="AT88" s="24"/>
      <x:c r="AU88" s="24"/>
      <x:c r="AV88" s="24"/>
      <x:c r="AW88" s="24"/>
      <x:c r="AX88" s="24"/>
      <x:c r="AY88" s="24"/>
      <x:c r="AZ88" s="24"/>
      <x:c r="BA88" s="24"/>
      <x:c r="BB88" s="24"/>
      <x:c r="BC88" s="24"/>
      <x:c r="BD88" s="24"/>
      <x:c r="BE88" s="24"/>
      <x:c r="BF88" s="24"/>
      <x:c r="BG88" s="24"/>
      <x:c r="BH88" s="61"/>
      <x:c r="BI88" s="61"/>
      <x:c r="BJ88" s="62" t="str">
        <x:f>IF($A88="","",SQRT((($I88*IF($J88="",$AJ88,$J88)+'Setari model'!$B$30*$AJ88)/($I88+'Setari model'!$B$30))*(($P88*IF($R88="",$AJ88,$R88)+'Setari model'!$B$30*$AJ88)/($P88+'Setari model'!$B$30)))+SQRT((($P88*IF($Q88="",$AK88,$Q88)+'Setari model'!$B$30*$AK88)/($P88+'Setari model'!$B$30))*(($I88*IF($K88="",$AK88,$K88)+'Setari model'!$B$30*$AK88)/($I88+'Setari model'!$B$30))))</x:f>
      </x:c>
      <x:c r="BK88" s="62" t="str">
        <x:f>IF($A88="","",SQRT((($I88*IF($L88="",IF($J88="",$AJ88,$J88),$L88)+'Setari model'!$B$30*$AJ88)/($I88+'Setari model'!$B$30))*(($P88*IF($T88="",IF($R88="",$AJ88,$R88),$T88)+'Setari model'!$B$30*$AJ88)/($P88+'Setari model'!$B$30)))+SQRT((($P88*IF($S88="",IF($Q88="",$AK88,$Q88),$S88)+'Setari model'!$B$30*$AK88)/($P88+'Setari model'!$B$30))*(($I88*IF($M88="",IF($K88="",$AK88,$K88),$M88)+'Setari model'!$B$30*$AK88)/($I88+'Setari model'!$B$30))))</x:f>
      </x:c>
      <x:c r="BL88" s="62" t="str">
        <x:f>IF($A88="","",SQRT((($W88*IF($X88="",$AL88/2,$X88)+'Setari model'!$B$31*$AL88/2)/($W88+'Setari model'!$B$31))*(($AB88*IF($AD88="",$AL88/2,$AD88)+'Setari model'!$B$31*$AL88/2)/($AB88+'Setari model'!$B$31)))+SQRT((($AB88*IF($AC88="",$AL88/2,$AC88)+'Setari model'!$B$31*$AL88/2)/($AB88+'Setari model'!$B$31))*(($W88*IF($Y88="",$AL88/2,$Y88)+'Setari model'!$B$31*$AL88/2)/($W88+'Setari model'!$B$31))))</x:f>
      </x:c>
      <x:c r="BM88" s="62" t="str">
        <x:f>IF($A88="","",SQRT((($W88*IF($Z88="",IF($X88="",$AL88/2,$X88),$Z88)+'Setari model'!$B$31*$AL88/2)/($W88+'Setari model'!$B$31))*(($AB88*IF($AF88="",IF($AD88="",$AL88/2,$AD88),$AF88)+'Setari model'!$B$31*$AL88/2)/($AB88+'Setari model'!$B$31)))+SQRT((($AB88*IF($AE88="",IF($AC88="",$AL88/2,$AC88),$AE88)+'Setari model'!$B$31*$AL88/2)/($AB88+'Setari model'!$B$31))*(($W88*IF($AA88="",IF($Y88="",$AL88/2,$Y88),$AA88)+'Setari model'!$B$31*$AL88/2)/($W88+'Setari model'!$B$31))))</x:f>
      </x:c>
      <x:c r="BN88" s="62" t="str">
        <x:f t="shared" si="112">IF($A88="","",IF($AG88&gt;0,($AG88*IF($AH88="",$AL88,$AH88)+5*$AL88)/($AG88+5),$AL88))</x:f>
      </x:c>
      <x:c r="BO88" s="63" t="str">
        <x:f>IF($A88="","",IF($AR88&gt;1,IF($AS88&gt;1,(1/$AR88)/((1/$AR88+1/$AS88)),MIN(0.995,(1/$AR88)/(1+'Setari model'!$B$32))),1-EXP(-$AL88)))</x:f>
      </x:c>
      <x:c r="BP88" s="62" t="str">
        <x:f t="shared" si="113">IF($A88="","",-LN(1-$BO88))</x:f>
      </x:c>
      <x:c r="BQ88" s="62" t="str">
        <x:f>IF($A88="","",$BJ88*INDEX('Setari model'!$B$5:$B$11,MATCH($E88,'Setari model'!$A$5:$A$11,0))+$BK88*INDEX('Setari model'!$C$5:$C$11,MATCH($E88,'Setari model'!$A$5:$A$11,0))+$BL88*INDEX('Setari model'!$D$5:$D$11,MATCH($E88,'Setari model'!$A$5:$A$11,0))+$BM88*INDEX('Setari model'!$E$5:$E$11,MATCH($E88,'Setari model'!$A$5:$A$11,0))+$BN88*INDEX('Setari model'!$F$5:$F$11,MATCH($E88,'Setari model'!$A$5:$A$11,0))+$BP88*INDEX('Setari model'!$G$5:$G$11,MATCH($E88,'Setari model'!$A$5:$A$11,0)))</x:f>
      </x:c>
      <x:c r="BR88" s="64" t="str">
        <x:f>IF($A88="","",MAX('Setari model'!$B$53,MIN('Setari model'!$B$54,1+($AV88*'Setari model'!$B$15+$AW88*'Setari model'!$B$16+$AX88*'Setari model'!$B$17+$AY88*'Setari model'!$B$18+$AZ88*'Setari model'!$B$19+$BA88*'Setari model'!$B$20+$BB88*'Setari model'!$B$21+$BC88*'Setari model'!$B$22+$BD88*'Setari model'!$B$23+$BE88*'Setari model'!$B$24+$BF88*'Setari model'!$B$25)*INDEX('Setari model'!$H$5:$H$11,MATCH($E88,'Setari model'!$A$5:$A$11,0)))))</x:f>
      </x:c>
      <x:c r="BS88" s="62" t="str">
        <x:f t="shared" si="114">IF($A88="","",$BQ88*$BR88)</x:f>
      </x:c>
      <x:c r="BT88" s="63" t="str">
        <x:f t="shared" si="115">IF($A88="","",EXP(-$BS88))</x:f>
      </x:c>
      <x:c r="BU88" s="65" t="str">
        <x:f>IF($A88="","",IF(OR($AM88="",$AN88=""),1,1+MIN('Setari model'!$B$33,$AN88/100*'Setari model'!$B$33)*($AM88/EXP(-$AL88)-1)))</x:f>
      </x:c>
      <x:c r="BV88" s="63" t="str">
        <x:f>IF($A88="","",MIN(0.45,MAX(0.005,(1-'Setari model'!$B$34*MIN(1,($I88+$P88)/20))*MIN(0.45,$BT88*$BU88)+'Setari model'!$B$34*MIN(1,($I88+$P88)/20)*IF(COUNT($N88,$U88)=2,SQRT(MAX(0,1-$N88)*MAX(0,1-$U88)),IF($AM88="",EXP(-$AL88),$AM88)))))</x:f>
      </x:c>
      <x:c r="BW88" s="63" t="str">
        <x:f t="shared" si="116">IF($A88="","",1-$BV88)</x:f>
      </x:c>
      <x:c r="BX88" s="62" t="str">
        <x:f t="shared" si="117">IF($A88="","",1/$BW88)</x:f>
      </x:c>
      <x:c r="BY88" s="63" t="str">
        <x:f t="shared" si="118">IF($A88="","",$BO88)</x:f>
      </x:c>
      <x:c r="BZ88" s="63" t="str">
        <x:f t="shared" si="119">IF($A88="","",$BW88-$BY88)</x:f>
      </x:c>
      <x:c r="CA88" s="63" t="str">
        <x:f t="shared" si="120">IF($A88="","",IF($AR88&gt;1,$BW88*$AR88-1,""))</x:f>
      </x:c>
      <x:c r="CB88" s="63" t="str">
        <x:f>IF($A88="","",MIN(1,COUNT($I88:$AN88,$AR88:$BG88)/'Setari model'!$B$46))</x:f>
      </x:c>
      <x:c r="CC88" s="63" t="str">
        <x:f t="shared" si="121">IF($A88="","",0.25*MIN(1,$I88/10)+0.25*MIN(1,$P88/10)+0.15*MIN(1,$W88/5)+0.15*MIN(1,$AB88/5)+0.1*MIN(1,$AG88/5)+0.1*MIN(1,$AN88/100))</x:f>
      </x:c>
      <x:c r="CD88" s="63" t="str">
        <x:f>IF($A88="","",MAX(0,1-(MAX($BJ88:$BN88,$BP88)-MIN($BJ88:$BN88,$BP88))/(AVERAGE($BJ88:$BN88,$BP88)*'Setari model'!$B$45)))</x:f>
      </x:c>
      <x:c r="CE88" s="66" t="str">
        <x:f>IF($A88="","",MAX(0,MIN(100,100*INDEX('Setari model'!$I$5:$I$11,MATCH($E88,'Setari model'!$A$5:$A$11,0))*('Setari model'!$B$47*$CB88+'Setari model'!$B$48*$CC88+'Setari model'!$B$49*$CD88+'Setari model'!$B$50*$AT88/5+'Setari model'!$B$51*$AU88)-100*'Setari model'!$B$52*$BG88)))</x:f>
      </x:c>
      <x:c r="CF88" s="65" t="str">
        <x:f t="shared" si="122">IF($A88="","",IF(OR($AT88&lt;3,$BG88&gt;=2,$CB88&lt;0.55,$CC88&lt;0.4),"RIDICAT",IF(OR($AU88=0,$CD88&lt;0.45,$BR88&lt;0.9),"MEDIU","SCĂZUT")))</x:f>
      </x:c>
      <x:c r="CG88" s="65" t="str">
        <x:f>IF($A88="","",IF($AR88&gt;1,IF(AND($BW88&gt;= 'Setari model'!$B$35,$CE88&gt;=100*'Setari model'!$B$36,$BZ88&gt;= 'Setari model'!$B$37,$CA88&gt;= 'Setari model'!$B$38,$CF88&lt;&gt;"RIDICAT"),"PARIU RECOMANDAT",IF(AND($BW88&gt;= 'Setari model'!$B$39,$CE88&gt;=100*'Setari model'!$B$40,$BZ88&gt;= 'Setari model'!$B$41,$CA88&gt;=0,$CF88&lt;&gt;"RIDICAT"),"RECOMANDAT CU PRUDENȚĂ",IF(AND($BW88&gt;= 'Setari model'!$B$42,$CE88&gt;=100*'Setari model'!$B$43),"ANALIZĂ NECONCLUDENTĂ","PARIU EVITAT"))),IF(AND($BW88&gt;= 'Setari model'!$B$35,$CE88&gt;=100*'Setari model'!$B$36,$CF88&lt;&gt;"RIDICAT"),"FAVORABIL STATISTIC – VERIFICĂ COTA",IF(AND($BW88&gt;= 'Setari model'!$B$42,$CE88&gt;=100*'Setari model'!$B$43),"ANALIZĂ NECONCLUDENTĂ","PARIU EVITAT"))))</x:f>
      </x:c>
      <x:c r="CH88" s="67" t="str">
        <x:f t="shared" si="123">IF($A88="","","P(O0,5)="&amp;TEXT($BW88,"0.0%")&amp;"; λ ajustat="&amp;TEXT($BS88,"0.00")&amp;"; Confidence="&amp;TEXT($CE88,"0")&amp;"/100; Edge="&amp;TEXT($BZ88,"0.0%")&amp;"; risc="&amp;$CF88&amp;". "&amp;$BH88)</x:f>
      </x:c>
      <x:c r="CI88" s="68" t="str">
        <x:f t="shared" si="124">IF($A88="","",$BI88)</x:f>
      </x:c>
      <x:c r="CJ88" s="112"/>
      <x:c r="CK88" s="112"/>
      <x:c r="CL88" s="112"/>
      <x:c r="CM88" s="112"/>
      <x:c r="CN88" s="112"/>
      <x:c r="CO88" s="112"/>
      <x:c r="CP88" s="112"/>
      <x:c r="CQ88" s="112"/>
      <x:c r="CR88" s="112"/>
      <x:c r="CS88" s="112"/>
      <x:c r="CT88" s="112"/>
      <x:c r="CU88" s="112"/>
      <x:c r="CV88" s="112"/>
      <x:c r="CW88" s="112"/>
      <x:c r="CX88" s="112"/>
      <x:c r="CY88" s="112"/>
      <x:c r="CZ88" s="112"/>
      <x:c r="DA88" s="112"/>
      <x:c r="DB88" s="112"/>
      <x:c r="DC88" s="114"/>
      <x:c r="DD88" s="114"/>
      <x:c r="DE88" s="112" t="s">
        <x:v>266</x:v>
      </x:c>
      <x:c r="DF88" s="112"/>
      <x:c r="DG88" s="112"/>
      <x:c r="DH88" s="112"/>
      <x:c r="DI88" s="112"/>
      <x:c r="DJ88" s="112"/>
      <x:c r="DK88" s="112"/>
      <x:c r="DL88" s="112"/>
      <x:c r="DM88" s="112"/>
      <x:c r="DN88" s="112"/>
      <x:c r="DO88" s="112"/>
      <x:c r="DP88" s="112"/>
      <x:c r="DQ88" s="114"/>
      <x:c r="DR88" s="112">
        <x:v>1</x:v>
      </x:c>
      <x:c r="DS88" s="116">
        <x:v>0</x:v>
      </x:c>
      <x:c r="DT88" s="120"/>
      <x:c r="DU88" s="116">
        <x:v>0.02</x:v>
      </x:c>
      <x:c r="DV88" s="116">
        <x:v>0.25</x:v>
      </x:c>
      <x:c r="DW88" s="118" t="str">
        <x:f>IF($A88="","",MAX('Setari model'!$B$71,MIN('Setari model'!$B$72,1+0.08*(IFERROR(AVERAGE($CM88:$CN88)/'Setari model'!$B$66,1)-1)+0.08*(IFERROR(AVERAGE($CO88:$CP88)/'Setari model'!$B$67,1)-1)+0.06*(IFERROR(AVERAGE($CQ88:$CR88)/'Setari model'!$B$68,1)-1)+0.04*(IFERROR(AVERAGE($CS88:$CT88)/'Setari model'!$B$69,1)-1)+0.04*(IFERROR(AVERAGE($CU88:$CV88)/'Setari model'!$B$70,1)-1)-'Setari model'!$B$73*IFERROR(AVERAGE($CW88:$CX88),0))))</x:f>
      </x:c>
      <x:c r="DX88" s="118" t="str">
        <x:f>IF($A88="","",1+'Setari model'!$B$62*MAX(IF(OR($CK88=1,$CL88=1),1,0),IF(AND($CJ88&lt;&gt;"",$CJ88&lt;=1),1,0))+'Setari model'!$B$63*IF(AND($CJ88&gt;1,$CJ88&lt;=3),1,0))</x:f>
      </x:c>
      <x:c r="DY88" s="118" t="str">
        <x:f>IF($A88="","",1+'Setari model'!$B$74*(IF($CY88="",0,IF($CY88=0,1,0))+IF($CZ88="",0,IF($CZ88=0,1,0)))+'Setari model'!$B$75*(IF($DA88="",0,IF($DA88=0,1,0))+IF($DB88="",0,IF($DB88=0,1,0))))</x:f>
      </x:c>
      <x:c r="DZ88" s="117" t="str">
        <x:f>IF($A88="","",MIN(0.6,MAX(0.002,(((1-'Setari model'!$B$34*MIN(1,($I88+$P88)/20))*$BT88+'Setari model'!$B$34*MIN(1,($I88+$P88)/20)*IF(COUNT($N88,$U88)=2,SQRT(MAX(0,1-$N88)*MAX(0,1-$U88)),$BT88))*(1-'Setari model'!$B$65*MIN(1,IF($AN88="",0,$AN88/'Setari model'!$B$64)))+'Setari model'!$B$65*MIN(1,IF($AN88="",0,$AN88/'Setari model'!$B$64))*IF($AM88="",$BT88,$AM88))*$DX88*$DY88/$DW88)))</x:f>
      </x:c>
      <x:c r="EA88" s="117" t="str">
        <x:f>IF($A88="","",MIN(1-$DZ88,IF(OR(MIN($I88,$P88)&lt;'Setari model'!$B$58,$CK88=1,$CL88=1,AND($CJ88&lt;&gt;"",$CJ88&lt;=1)),'Setari model'!$B$59,IF(AND($AU88=1,$AR88&gt;1,COUNT($CY88:$DB88)=4),'Setari model'!$B$61,'Setari model'!$B$60))))</x:f>
      </x:c>
      <x:c r="EB88" s="115" t="str">
        <x:f t="shared" si="125">IF($A88="","",1/$EA88)</x:f>
      </x:c>
      <x:c r="EC88" s="117" t="str">
        <x:f t="shared" si="126">IF($A88="","",IF($AR88&gt;1,IF($AS88&gt;1,(1/$AR88)/((1/$AR88)+(1/$AS88)),1/$AR88),""))</x:f>
      </x:c>
      <x:c r="ED88" s="117" t="str">
        <x:f t="shared" si="127">IF($A88="","",IF($EC88="","",$EA88-$EC88))</x:f>
      </x:c>
      <x:c r="EE88" s="117" t="str">
        <x:f t="shared" si="128">""</x:f>
      </x:c>
      <x:c r="EF88" s="119" t="str">
        <x:f>IF($A88="","",MAX(0,MIN(100,$CE88-200*MAX(0,$EG88-'Setari model'!$B$77)-IF($AU88&lt;&gt;1,10,0)-IF(COUNT($CY88:$DB88)&lt;4,4,0))))</x:f>
      </x:c>
      <x:c r="EG88" s="117" t="str">
        <x:f>IF($A88="","",'Setari model'!$B$77+IF(MIN($I88,$P88)&lt;'Setari model'!$B$58,0.03,0)+IF(OR($CK88=1,$CL88=1,AND($CJ88&lt;&gt;"",$CJ88&lt;=1)),0.03,0)+IF($AG88=0,0.02,0)+0.03*(1-MIN(1,COUNT($CM88:$CV88)/10))+0.03*(1-MIN(1,IF($AN88="",0,$AN88/'Setari model'!$B$64)))+IF($AR88&lt;=1,0.02,0))</x:f>
      </x:c>
      <x:c r="EH88" s="113" t="str">
        <x:f>IF($A88="","",IF(OR(MIN($I88,$P88)&lt;'Setari model'!$B$58,$CK88=1,$CL88=1,AND($CJ88&lt;&gt;"",$CJ88&lt;=1)),"92% – early/regim",IF(AND($AU88=1,$AR88&gt;1,COUNT($CY88:$DB88)=4),"94% – confirmat","93% – standard")))</x:f>
      </x:c>
      <x:c r="EI88" s="113" t="str">
        <x:f t="shared" si="129">IF($A88="","",IF(AND($EA88&gt;0.9,$AU88&lt;&gt;1),"WAIT XI – HIGH P",IF(AND($EA88&gt;0.9,COUNT($CY88:$DB88)&lt;4),"WAIT DATE CHEIE – HIGH P",IF($EP88&lt;&gt;"DA","NU – PORTOFOLIU","DA"))))</x:f>
      </x:c>
      <x:c r="EJ88" s="117" t="str">
        <x:f t="shared" si="130">IF($A88="","",IF($DE88&lt;&gt;"Live 20-30","",IF(SUM($DG88:$DH88)&gt;0,1,IF($EU88="","",1-MIN(0.95,MAX(0.001,EXP(-$EU88)*$DX88*$DY88/$DW88))))))</x:f>
      </x:c>
      <x:c r="EK88" s="117" t="str">
        <x:f t="shared" si="131">""</x:f>
      </x:c>
      <x:c r="EL88" s="113" t="str">
        <x:f>IF($A88="","",IF($DE88="Live 20-30",IF(SUM($DG88:$DH88)&gt;0,"EVENIMENT ÎNDEPLINIT",IF(OR($DF88="",COUNT($DI88:$DN88)&lt;4),"LIVE – WATCH",IF($EJ88&gt;=0.75,"LIVE – FEZABIL TEHNIC","LIVE – NO BET"))),IF($EI88&lt;&gt;"DA","WATCH / NO BET",IF(AND($EA88&gt;=INDEX('Setari model'!$B$35:$B$40,1),$EF88&gt;=100*'Setari model'!$B$76),"PARIU RECOMANDAT",IF(AND($EA88&gt;=INDEX('Setari model'!$B$35:$B$40,5),$EF88&gt;=100*'Setari model'!$B$40),"WATCH – APROAPE DE PRAG","PARIU EVITAT")))))</x:f>
      </x:c>
      <x:c r="EM88" s="113" t="str">
        <x:f t="shared" si="132">IF($A88="","",IF($DE88="Live 20-30",IF(SUM($DG88:$DH88)&gt;0,"Gol deja marcat.",IF($DF88="","Minut live lipsă.",IF(COUNT($DI88:$DN88)&lt;4,"Lipsesc xG/SOT/big chances live.",IF($EJ88&lt;0.75,"P live sub prag.","Semnal live tehnic complet; EV ignorat.")))),IF($EI88&lt;&gt;"DA",$EI88,IF($EF88&lt;75,"Confidence sub 75.",IF($EA88&lt;0.92,"P sub 92%.","G0/Zero-Mass + confidence trecute; EV ignorat.")))))</x:f>
      </x:c>
      <x:c r="EN88" s="117" t="str">
        <x:f>IF($A88="","",IF(OR($EL88="PARIU RECOMANDAT",$EL88="LIVE – FEZABIL"),MIN(IF($DU88&gt;0,$DU88,'Setari model'!$B$81)/MAX(1,$DR88),IF($DV88&gt;0,$DV88,'Setari model'!$B$80)*MAX(0,((IF($DE88="Live 20-30",$EJ88,$EA88)*IF($DE88="Live 20-30",$DQ88,$AR88)-1)/(IF($DE88="Live 20-30",$DQ88,$AR88)-1)))),0))</x:f>
      </x:c>
      <x:c r="EO88" s="121" t="str">
        <x:f t="shared" si="133">IF($A88="","",IF(AND($EN88&gt;0,$DT88&gt;0),$EN88*$DT88,""))</x:f>
      </x:c>
      <x:c r="EP88" s="113" t="str">
        <x:f>IF($A88="","",IF(OR($DR88&lt;1,$DR88&gt;'Setari model'!$B$78),"NU – 1–5 selecții",IF($DS88&gt;'Setari model'!$B$79,"NU – corelație", "DA")))</x:f>
      </x:c>
      <x:c r="EQ88" s="117" t="str">
        <x:f t="shared" si="134">IF($A88="","",IF(AND($DC88&gt;1,$DD88&gt;1),$DC88/$DD88-1,""))</x:f>
      </x:c>
      <x:c r="ER88" s="113" t="str">
        <x:f t="shared" si="135">IF($A88="","","P v2="&amp;TEXT($EA88,"0.0%")&amp;" ±"&amp;TEXT($EG88,"0.0%")&amp;"; P0 ZIP="&amp;TEXT($DZ88,"0.0%")&amp;"; Confidence="&amp;TEXT($EF88,"0")&amp;"/100; piață reală="&amp;IF($EC88="","NU","DA")&amp;"; EV="&amp;IF($EE88="","n/a",TEXT($EE88,"0.0%"))&amp;"; gate="&amp;$EI88&amp;"; verdict="&amp;$EL88&amp;". "&amp;$EM88)</x:f>
      </x:c>
      <x:c r="ES88" s="119" t="str">
        <x:f>IF($A88="","",'Setari model'!$B$82)</x:f>
      </x:c>
      <x:c r="ET88" s="118" t="str">
        <x:f>IF($A88="","",'Setari model'!$B$83)</x:f>
      </x:c>
      <x:c r="EU88" s="115" t="str">
        <x:f t="shared" si="136">IF(OR($A88="",$DE88&lt;&gt;"Live 20-30",$DF88="",$DF88&lt;$ES88,$DF88&gt;=90),"",MAX(0.05,MIN($BS88*$ET88,$BS88*(90-$DF88)/90+0.35*($DI88+$DJ88)+0.06*($DK88+$DL88)+0.15*($DM88+$DN88)+0.1*(MAX($DO88,$DP88)-MIN($DO88,$DP88)))))</x:f>
      </x:c>
      <x:c r="EV88" s="132"/>
      <x:c r="EW88" s="132"/>
      <x:c r="EX88" s="132"/>
      <x:c r="EY88" s="132"/>
      <x:c r="EZ88" s="132"/>
      <x:c r="FA88" s="132"/>
      <x:c r="FB88" s="247"/>
      <x:c r="FC88" s="134" t="str">
        <x:f t="shared" si="137">IF($A88="","",IF(OR($J88="",$L88="",$L88&lt;=0),"",MAX(0.5,MIN(1.5,$J88/$L88))))</x:f>
      </x:c>
      <x:c r="FD88" s="134" t="str">
        <x:f t="shared" si="138">IF($A88="","",IF(OR($Q88="",$S88="",$S88&lt;=0),"",MAX(0.5,MIN(1.5,$Q88/$S88))))</x:f>
      </x:c>
      <x:c r="FE88" s="134" t="str">
        <x:f>IF($A88="","",IF(COUNT($EV88:$EW88)&lt;2,"",SQRT($EV88*$EW88)/'Setari model'!$B$87))</x:f>
      </x:c>
      <x:c r="FF88" s="134" t="str">
        <x:f>IF($A88="","",IF(COUNT($O88,$V88,$EX88,$EY88)&lt;4,"",AVERAGE(SQRT($O88*$EY88),SQRT($V88*$EX88))/'Setari model'!$B$88))</x:f>
      </x:c>
      <x:c r="FG88" s="134" t="str">
        <x:f t="shared" si="139">IF($A88="","",IF(COUNT($FC88:$FD88)&lt;2,"",MAX(0,1-AVERAGE($FC88:$FD88))))</x:f>
      </x:c>
      <x:c r="FH88" s="134" t="str">
        <x:f>IF($A88="","",IF(COUNT($EZ88:$FA88)&lt;2,"",'Setari model'!$B$94*AVERAGE($EZ88:$FA88)/'Setari model'!$B$89))</x:f>
      </x:c>
      <x:c r="FI88" s="134" t="str">
        <x:f>IF($A88="","",IF(COUNT($FE88:$FH88)&lt;4,"",MAX('Setari model'!$B$97,MIN('Setari model'!$B$98,1+'Setari model'!$B$90*($FE88-1)+'Setari model'!$B$91*($FF88-1)+'Setari model'!$B$92*$FG88+'Setari model'!$B$93*($FH88-1)))))</x:f>
      </x:c>
      <x:c r="FJ88" s="133" t="str">
        <x:f>IF($A88="","",IF($FI88="","",MIN('Setari model'!$B$101,MAX(0.002,$DZ88*$FI88))))</x:f>
      </x:c>
      <x:c r="FK88" s="131" t="str">
        <x:f t="shared" si="140">IF($A88="","",IF(AND(COUNT($EV88:$FA88)=6,COUNT($O88,$V88,$FC88,$FD88)=4),"DA","NU"))</x:f>
      </x:c>
      <x:c r="FL88" s="131" t="str">
        <x:f>IF($A88="","",IF($FK88&lt;&gt;"DA","NEDETERMINAT",IF($FI88&lt;='Setari model'!$B$99,"SCĂZUT",IF($FI88&lt;='Setari model'!$B$100,"MEDIU","RIDICAT"))))</x:f>
      </x:c>
      <x:c r="FM88" s="131" t="str">
        <x:f>IF($A88="","",IF(AND($AR88&gt;1,$EC88&gt;='Setari model'!$B$106),"DA","NU"))</x:f>
      </x:c>
      <x:c r="FN88" s="131" t="str">
        <x:f t="shared" si="141">IF($A88="","",IF(AND($AU88=1,COUNT($CY88:$DB88)=4),"DA","NU"))</x:f>
      </x:c>
      <x:c r="FO88" s="133" t="str">
        <x:f>IF($A88="","",IF(OR($FK88&lt;&gt;"DA",$FL88="RIDICAT"),'Setari model'!$B$102,IF($FL88="MEDIU",'Setari model'!$B$103,IF(AND($FM88="DA",$FN88="DA"),'Setari model'!$B$105,'Setari model'!$B$104))))</x:f>
      </x:c>
      <x:c r="FP88" s="133" t="str">
        <x:f t="shared" si="142">IF($A88="","",IF($FJ88="","",MIN(1-$FJ88,$FO88)))</x:f>
      </x:c>
      <x:c r="FQ88" s="135" t="str">
        <x:f t="shared" si="143">IF($A88="","",IF($FP88="","",IF($FP88&gt;0,1/$FP88,"")))</x:f>
      </x:c>
      <x:c r="FR88" s="133" t="str">
        <x:f t="shared" si="144">IF($A88="","",IF($EC88="","",$FP88-$EC88))</x:f>
      </x:c>
      <x:c r="FS88" s="133" t="str">
        <x:f t="shared" si="145">IF($A88="","",IF($AR88&gt;1,$FP88*$AR88-1,""))</x:f>
      </x:c>
      <x:c r="FT88" s="136" t="str">
        <x:f>IF($A88="","",MAX(0,MIN(100,$EF88-IF($FK88&lt;&gt;"DA",'Setari model'!$B$107,0)-IF($FL88="MEDIU",'Setari model'!$B$108,0)-IF($FL88="RIDICAT",'Setari model'!$B$109,0))))</x:f>
      </x:c>
      <x:c r="FU88" s="131" t="str">
        <x:f t="shared" si="146">IF($A88="","",IF($AR88&lt;=1,"NU – LIPSEȘTE COTA REALĂ",IF($FK88&lt;&gt;"DA","NU – ZERO-RISK INCOMPLET",IF($FL88&lt;&gt;"SCĂZUT","NU – RISC 0-0 "&amp;$FL88,IF($FN88&lt;&gt;"DA","NU – LINEUP NECONFIRMAT",IF($FM88&lt;&gt;"DA","NU – PIAȚĂ NECONFIRMATĂ",IF($EP88&lt;&gt;"DA","NU – PORTOFOLIU","DA")))))))</x:f>
      </x:c>
      <x:c r="FV88" s="131" t="str">
        <x:f>IF($A88="","",IF($FU88&lt;&gt;"DA","WATCH / NO BET",IF(AND($FP88&gt;='Setari model'!$B$35,$FT88&gt;=100*'Setari model'!$B$76,$FS88&gt;0),"PARIU RECOMANDAT",IF(AND($FP88&gt;='Setari model'!$B$39,$FT88&gt;=100*'Setari model'!$B$40,$FS88&gt;0),"WATCH – APROAPE DE PRAG","PARIU EVITAT"))))</x:f>
      </x:c>
      <x:c r="FW88" s="131" t="str">
        <x:f t="shared" si="147">IF($A88="","",IF($FU88&lt;&gt;"DA",$FU88,IF($FT88&lt;75,"Confidence v3 sub 75.",IF($FP88&lt;0.92,"P v3 sub 92%.",IF($FS88&lt;=0,"EV v3 nepozitiv.","P0 v3, lineup și piață confirmate.")))))</x:f>
      </x:c>
      <x:c r="FX88" s="131" t="str">
        <x:f t="shared" si="148">IF($A88="","","P v3="&amp;TEXT($FP88,"0.0%")&amp;"; P0 v3="&amp;TEXT($FJ88,"0.0%")&amp;"; factor zero="&amp;IF($FI88="","n/a",TEXT($FI88,"0.00x"))&amp;" ("&amp;$FL88&amp;"); cap="&amp;TEXT($FO88,"0.0%")&amp;"; Confidence="&amp;TEXT($FT88,"0")&amp;"/100; lineup="&amp;$FN88&amp;"; piață="&amp;$FM88&amp;"; EV="&amp;IF($FS88="","n/a",TEXT($FS88,"0.0%"))&amp;"; gate="&amp;$FU88&amp;"; verdict="&amp;$FV88&amp;". "&amp;$FW88)</x:f>
      </x:c>
      <x:c r="FY88" s="159"/>
      <x:c r="FZ88" s="159"/>
      <x:c r="GA88" s="157"/>
      <x:c r="GB88" s="157"/>
      <x:c r="GC88" s="161" t="str">
        <x:f t="shared" si="149">IF($A88="","",IF(OR($X88="",$Z88="",$Z88&lt;=0),"",MAX(0.5,MIN(1.5,$X88/$Z88))))</x:f>
      </x:c>
      <x:c r="GD88" s="161" t="str">
        <x:f t="shared" si="150">IF($A88="","",IF(OR($AC88="",$AE88="",$AE88&lt;=0),"",MAX(0.5,MIN(1.5,$AC88/$AE88))))</x:f>
      </x:c>
      <x:c r="GE88" s="162" t="str">
        <x:f t="shared" si="151">IF($A88="","",IF(COUNT($Z88,$AE88)&lt;2,"",AVERAGE($Z88,$AE88)))</x:f>
      </x:c>
      <x:c r="GF88" s="158" t="str">
        <x:f>IF($A88="","",IF(COUNT($FY88:$FZ88)&lt;2,"NEDETERMINAT",IF(AND($FY88&gt;='Setari model'!$B$113,$FZ88&gt;='Setari model'!$B$113),"DA","NU")))</x:f>
      </x:c>
      <x:c r="GG88" s="158" t="str">
        <x:f>IF($A88="","",IF(COUNT($FY88:$FZ88,$EX88:$EY88)&lt;4,"NEDETERMINAT",IF(OR(AND($FY88&gt;='Setari model'!$B$113,$EY88&gt;='Setari model'!$B$114),AND($FZ88&gt;='Setari model'!$B$113,$EX88&gt;='Setari model'!$B$114)),"DA","NU")))</x:f>
      </x:c>
      <x:c r="GH88" s="158" t="str">
        <x:f>IF($A88="","",IF(COUNT($BJ88:$BN88,$GC88:$GE88)&lt;8,"NEDETERMINAT",IF(AND((($BJ88*INDEX('Setari model'!$B$5:$B$11,MATCH($E88,'Setari model'!$A$5:$A$11,0))+$BK88*INDEX('Setari model'!$C$5:$C$11,MATCH($E88,'Setari model'!$A$5:$A$11,0))+$BL88*INDEX('Setari model'!$D$5:$D$11,MATCH($E88,'Setari model'!$A$5:$A$11,0))+$BM88*INDEX('Setari model'!$E$5:$E$11,MATCH($E88,'Setari model'!$A$5:$A$11,0))+$BN88*INDEX('Setari model'!$F$5:$F$11,MATCH($E88,'Setari model'!$A$5:$A$11,0)))/(INDEX('Setari model'!$B$5:$B$11,MATCH($E88,'Setari model'!$A$5:$A$11,0))+INDEX('Setari model'!$C$5:$C$11,MATCH($E88,'Setari model'!$A$5:$A$11,0))+INDEX('Setari model'!$D$5:$D$11,MATCH($E88,'Setari model'!$A$5:$A$11,0))+INDEX('Setari model'!$E$5:$E$11,MATCH($E88,'Setari model'!$A$5:$A$11,0))+INDEX('Setari model'!$F$5:$F$11,MATCH($E88,'Setari model'!$A$5:$A$11,0))))*$BR88&gt;='Setari model'!$B$115,(($BJ88*INDEX('Setari model'!$B$5:$B$11,MATCH($E88,'Setari model'!$A$5:$A$11,0))+$BK88*INDEX('Setari model'!$C$5:$C$11,MATCH($E88,'Setari model'!$A$5:$A$11,0))+$BL88*INDEX('Setari model'!$D$5:$D$11,MATCH($E88,'Setari model'!$A$5:$A$11,0))+$BM88*INDEX('Setari model'!$E$5:$E$11,MATCH($E88,'Setari model'!$A$5:$A$11,0))+$BN88*INDEX('Setari model'!$F$5:$F$11,MATCH($E88,'Setari model'!$A$5:$A$11,0)))/(INDEX('Setari model'!$B$5:$B$11,MATCH($E88,'Setari model'!$A$5:$A$11,0))+INDEX('Setari model'!$C$5:$C$11,MATCH($E88,'Setari model'!$A$5:$A$11,0))+INDEX('Setari model'!$D$5:$D$11,MATCH($E88,'Setari model'!$A$5:$A$11,0))+INDEX('Setari model'!$E$5:$E$11,MATCH($E88,'Setari model'!$A$5:$A$11,0))+INDEX('Setari model'!$F$5:$F$11,MATCH($E88,'Setari model'!$A$5:$A$11,0))))*$BR88&lt;='Setari model'!$B$116,AVERAGE($GC88:$GD88)&lt;='Setari model'!$B$117,$GE88&gt;='Setari model'!$B$118),"DA","NU")))</x:f>
      </x:c>
      <x:c r="GI88" s="158" t="str">
        <x:f>IF($A88="","",IF(COUNT($W88,$AB88,$GA88:$GB88)&lt;4,"NEDETERMINAT",IF(AND($W88&gt;='Setari model'!$B$120,$AB88&gt;='Setari model'!$B$120,OR(IFERROR($GA88/$W88,0)&gt;='Setari model'!$B$119,IFERROR($GB88/$AB88,0)&gt;='Setari model'!$B$119)),"DA","NU")))</x:f>
      </x:c>
      <x:c r="GJ88" s="160" t="str">
        <x:f>IF($A88="","",IF(COUNT($FY88:$GB88)&lt;4,"",IF($GH88&lt;&gt;"DA",0,'Setari model'!$B$121*IF($GF88="DA",1,0)+'Setari model'!$B$122*IF($GG88="DA",1,0)+'Setari model'!$B$123+'Setari model'!$B$124*IF($GI88="DA",1,0))))</x:f>
      </x:c>
      <x:c r="GK88" s="161" t="str">
        <x:f>IF($A88="","",IF(COUNT($GJ88)=0,"",1+'Setari model'!$B$125*$GJ88))</x:f>
      </x:c>
      <x:c r="GL88" s="160" t="str">
        <x:f>IF($A88="","",IF($GM88&lt;&gt;"DA",$FJ88,MIN('Setari model'!$B$101,MAX(0.002,$FJ88*$GK88))))</x:f>
      </x:c>
      <x:c r="GM88" s="158" t="str">
        <x:f>IF($A88="","",IF(AND($FK88="DA",COUNT($FY88:$GB88)=4,COUNT($I88,$P88,$W88,$AB88,$Z88,$AE88,$EX88,$EY88,$GC88,$GD88)=10,COUNT($BJ88:$BN88)=5),"DA","NU"))</x:f>
      </x:c>
      <x:c r="GN88" s="158" t="str">
        <x:f>IF($A88="","",IF($GM88&lt;&gt;"DA","NEDETERMINAT",IF($FI88*$GK88&lt;='Setari model'!$B$99,"SCĂZUT",IF($FI88*$GK88&lt;='Setari model'!$B$100,"MEDIU","RIDICAT"))))</x:f>
      </x:c>
      <x:c r="GO88" s="160" t="str">
        <x:f>IF($A88="","",IF(OR($GM88&lt;&gt;"DA",$GN88="RIDICAT"),'Setari model'!$B$102,IF($GN88="MEDIU",'Setari model'!$B$103,IF(AND($FM88="DA",$FN88="DA"),'Setari model'!$B$105,'Setari model'!$B$104))))</x:f>
      </x:c>
      <x:c r="GP88" s="160" t="str">
        <x:f t="shared" si="152">IF($A88="","",IF($GL88="","",MIN(1-$GL88,$GO88)))</x:f>
      </x:c>
      <x:c r="GQ88" s="162" t="str">
        <x:f t="shared" si="153">IF($A88="","",IF($GP88="","",IF($GP88&gt;0,1/$GP88,"")))</x:f>
      </x:c>
      <x:c r="GR88" s="160" t="str">
        <x:f t="shared" si="154">IF($A88="","",IF($EC88="","",$GP88-$EC88))</x:f>
      </x:c>
      <x:c r="GS88" s="160" t="str">
        <x:f t="shared" si="155">IF($A88="","",IF($AR88&gt;1,$GP88*$AR88-1,""))</x:f>
      </x:c>
      <x:c r="GT88" s="163" t="str">
        <x:f>IF($A88="","",MAX(0,MIN(100,$FT88-IF(AND($GM88&lt;&gt;"DA",$FK88="DA"),'Setari model'!$B$107,0)-'Setari model'!$B$126*IF($GJ88="",0,$GJ88))))</x:f>
      </x:c>
      <x:c r="GU88" s="158" t="str">
        <x:f t="shared" si="156">IF($A88="","",IF($AR88&lt;=1,"NU – LIPSEȘTE COTA REALĂ",IF($GM88&lt;&gt;"DA","NU – DATE LOW-CONVERSION INCOMPLETE",IF($GN88&lt;&gt;"SCĂZUT","NU – RISC 0-0 "&amp;$GN88,IF($FN88&lt;&gt;"DA","NU – LINEUP NECONFIRMAT",IF($FM88&lt;&gt;"DA","NU – PIAȚĂ NECONFIRMATĂ",IF($EP88&lt;&gt;"DA","NU – PORTOFOLIU","DA")))))))</x:f>
      </x:c>
      <x:c r="GV88" s="158" t="str">
        <x:f>IF($A88="","",IF($GU88&lt;&gt;"DA","WATCH / NO BET",IF(AND($GP88&gt;='Setari model'!$B$35,$GT88&gt;=100*'Setari model'!$B$76,$GS88&gt;0),"PARIU RECOMANDAT",IF(AND($GP88&gt;='Setari model'!$B$39,$GT88&gt;=100*'Setari model'!$B$40,$GS88&gt;0),"WATCH – APROAPE DE PRAG","PARIU EVITAT"))))</x:f>
      </x:c>
      <x:c r="GW88" s="158" t="str">
        <x:f t="shared" si="157">IF($A88="","",IF($GU88&lt;&gt;"DA",$GU88,IF($GT88&lt;75,"Confidence v5 sub 75.",IF($GP88&lt;0.92,"P v5 sub 92%.",IF($GS88&lt;=0,"EV v5 nepozitiv.",IF($GJ88&gt;0,"Low-conversion absorbit în P0; toate porțile rămân trecute.","Toate porțile v5 sunt trecute."))))))</x:f>
      </x:c>
      <x:c r="GX88" s="158" t="str">
        <x:f t="shared" si="158">IF($A88="","","P v5="&amp;TEXT($GP88,"0.0%")&amp;"; P0 v5="&amp;TEXT($GL88,"0.0%")&amp;"; low-conv="&amp;IF(COUNT($GJ88)=0,"n/a",TEXT($GJ88,"0%"))&amp;"; mult.P0="&amp;IF(COUNT($GK88)=0,"n/a",TEXT($GK88,"0.00"))&amp;"; clasă="&amp;$GN88&amp;"; cap="&amp;TEXT($GO88,"0.0%")&amp;"; Confidence="&amp;TEXT($GT88,"0")&amp;"/100; lineup="&amp;$FN88&amp;"; piață="&amp;$FM88&amp;"; EV="&amp;IF($GS88="","n/a",TEXT($GS88,"0.0%"))&amp;"; gate="&amp;$GU88&amp;"; verdict="&amp;$GV88&amp;". "&amp;$GW88)</x:f>
      </x:c>
      <x:c r="GY88" s="174" t="str">
        <x:f>IF($A88="","",IF($GM88&lt;&gt;"DA","SOURCING INCOMPLETE – REVIEW REQUIRED",IF(MIN($I88,$P88,$W88,$AB88)&lt;'Setari model'!$B$58,"SMALL SAMPLE + PRIOR / SHRINKAGE","VERIFIED / PRIOR / SHRINKAGE")))</x:f>
      </x:c>
      <x:c r="GZ88" s="175" t="str">
        <x:f t="shared" si="159">IF($A88="","",MAX(0,MIN(100,100*(1-AVERAGE(IF($GM88="DA",1,0),MIN(1,$AT88/5))))))</x:f>
      </x:c>
      <x:c r="HA88" s="175" t="str">
        <x:f>IF($A88="","",IF($GM88&lt;&gt;"DA","",MAX(0,MIN(100,100*(($FI88*$GK88)-'Setari model'!$B$97)/('Setari model'!$B$98-'Setari model'!$B$97)))))</x:f>
      </x:c>
      <x:c r="HB88" s="175" t="str">
        <x:f>IF($A88="","",MAX(0,MIN(100,100*(ABS($BR88-1)/MAX(1-'Setari model'!$B$53,'Setari model'!$B$54-1)+MIN(1,$BG88/2))/2)))</x:f>
      </x:c>
      <x:c r="HC88" s="175" t="str">
        <x:f t="shared" si="160">IF($A88="","",MAX(0,MIN(100,100*(1-AVERAGE($CC88,MAX(0,1-(MAX($BJ88:$BN88)-MIN($BJ88:$BN88))/(AVERAGE($BJ88:$BN88)*'Setari model'!$B$45)))))))</x:f>
      </x:c>
      <x:c r="HD88" s="175" t="str">
        <x:f t="shared" si="161">IF($A88="","",MAX(0,MIN(100,100*MAX(IF($GJ88="",0,$GJ88),MIN(1,$BG88/2)))))</x:f>
      </x:c>
      <x:c r="HE88" s="175" t="str">
        <x:f>IF($A88="","",IF(COUNT($GZ88:$HD88)&lt;5,"",$GZ88*Risk_Classification!$E$28+$HA88*Risk_Classification!$E$29+$HB88*Risk_Classification!$E$30+$HC88*Risk_Classification!$E$31+$HD88*Risk_Classification!$E$32))</x:f>
      </x:c>
      <x:c r="HF88" s="176" t="str">
        <x:f t="shared" si="162">IF($A88="","",IF($HE88="","",IF($HE88&lt;=20,1,IF($HE88&lt;=40,2,IF($HE88&lt;=60,3,IF($HE88&lt;=80,4,5))))))</x:f>
      </x:c>
      <x:c r="HG88" s="176" t="str">
        <x:f t="shared" si="163">IF($A88="","",IF($GM88="DA","PASS","FAIL – DATE CRITICE ZERO-MASS INCOMPLETE"))</x:f>
      </x:c>
      <x:c r="HH88" s="176" t="str">
        <x:f t="shared" si="164">IF($A88="","",IF($HG88&lt;&gt;"PASS",5,$HF88))</x:f>
      </x:c>
      <x:c r="HI88" s="174" t="str">
        <x:f t="shared" si="165">IF($A88="","",IF($HH88="","N/A",IF($HH88=1,"DEFENSIV",IF($HH88=2,"PRUDENT",IF($HH88=3,"MODERAT",IF($HH88=4,"RIDICAT","WATCH / NO BET"))))))</x:f>
      </x:c>
      <x:c r="HJ88" s="177" t="str">
        <x:f t="shared" si="166">IF($A88="","","Data="&amp;$GY88&amp;"; DQ="&amp;TEXT($GZ88,"0.0")&amp;"; ZM="&amp;IF($HA88="","n/a",TEXT($HA88,"0.0"))&amp;"; Context="&amp;TEXT($HB88,"0.0")&amp;"; Uncertainty="&amp;TEXT($HC88,"0.0")&amp;"; Compound="&amp;TEXT($HD88,"0.0")&amp;"; Risk Score="&amp;IF($HE88="","n/a",TEXT($HE88,"0.0"))&amp;"; Base="&amp;IF($HF88="","n/a",$HF88)&amp;"; G0="&amp;$HG88&amp;"; Final="&amp;$HH88&amp;". Cota, EV si lineup sunt informative si nu intra in recomandare.")</x:f>
      </x:c>
      <x:c r="HK88" s="174" t="str">
        <x:f t="shared" si="167">IF($A88="","",$HI88)</x:f>
      </x:c>
    </x:row>
    <x:row r="89" ht="24" customHeight="1">
      <x:c r="A89" s="58"/>
      <x:c r="B89" s="24"/>
      <x:c r="C89" s="59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18"/>
      <x:c r="O89" s="18"/>
      <x:c r="P89" s="24"/>
      <x:c r="Q89" s="24"/>
      <x:c r="R89" s="24"/>
      <x:c r="S89" s="24"/>
      <x:c r="T89" s="24"/>
      <x:c r="U89" s="18"/>
      <x:c r="V89" s="18"/>
      <x:c r="W89" s="24"/>
      <x:c r="X89" s="24"/>
      <x:c r="Y89" s="24"/>
      <x:c r="Z89" s="24"/>
      <x:c r="AA89" s="24"/>
      <x:c r="AB89" s="24"/>
      <x:c r="AC89" s="24"/>
      <x:c r="AD89" s="24"/>
      <x:c r="AE89" s="24"/>
      <x:c r="AF89" s="24"/>
      <x:c r="AG89" s="24"/>
      <x:c r="AH89" s="24"/>
      <x:c r="AI89" s="18"/>
      <x:c r="AJ89" s="24"/>
      <x:c r="AK89" s="24"/>
      <x:c r="AL89" s="24"/>
      <x:c r="AM89" s="18"/>
      <x:c r="AN89" s="24"/>
      <x:c r="AO89" s="60"/>
      <x:c r="AP89" s="60"/>
      <x:c r="AQ89" s="60"/>
      <x:c r="AR89" s="60"/>
      <x:c r="AS89" s="60"/>
      <x:c r="AT89" s="24"/>
      <x:c r="AU89" s="24"/>
      <x:c r="AV89" s="24"/>
      <x:c r="AW89" s="24"/>
      <x:c r="AX89" s="24"/>
      <x:c r="AY89" s="24"/>
      <x:c r="AZ89" s="24"/>
      <x:c r="BA89" s="24"/>
      <x:c r="BB89" s="24"/>
      <x:c r="BC89" s="24"/>
      <x:c r="BD89" s="24"/>
      <x:c r="BE89" s="24"/>
      <x:c r="BF89" s="24"/>
      <x:c r="BG89" s="24"/>
      <x:c r="BH89" s="61"/>
      <x:c r="BI89" s="61"/>
      <x:c r="BJ89" s="62" t="str">
        <x:f>IF($A89="","",SQRT((($I89*IF($J89="",$AJ89,$J89)+'Setari model'!$B$30*$AJ89)/($I89+'Setari model'!$B$30))*(($P89*IF($R89="",$AJ89,$R89)+'Setari model'!$B$30*$AJ89)/($P89+'Setari model'!$B$30)))+SQRT((($P89*IF($Q89="",$AK89,$Q89)+'Setari model'!$B$30*$AK89)/($P89+'Setari model'!$B$30))*(($I89*IF($K89="",$AK89,$K89)+'Setari model'!$B$30*$AK89)/($I89+'Setari model'!$B$30))))</x:f>
      </x:c>
      <x:c r="BK89" s="62" t="str">
        <x:f>IF($A89="","",SQRT((($I89*IF($L89="",IF($J89="",$AJ89,$J89),$L89)+'Setari model'!$B$30*$AJ89)/($I89+'Setari model'!$B$30))*(($P89*IF($T89="",IF($R89="",$AJ89,$R89),$T89)+'Setari model'!$B$30*$AJ89)/($P89+'Setari model'!$B$30)))+SQRT((($P89*IF($S89="",IF($Q89="",$AK89,$Q89),$S89)+'Setari model'!$B$30*$AK89)/($P89+'Setari model'!$B$30))*(($I89*IF($M89="",IF($K89="",$AK89,$K89),$M89)+'Setari model'!$B$30*$AK89)/($I89+'Setari model'!$B$30))))</x:f>
      </x:c>
      <x:c r="BL89" s="62" t="str">
        <x:f>IF($A89="","",SQRT((($W89*IF($X89="",$AL89/2,$X89)+'Setari model'!$B$31*$AL89/2)/($W89+'Setari model'!$B$31))*(($AB89*IF($AD89="",$AL89/2,$AD89)+'Setari model'!$B$31*$AL89/2)/($AB89+'Setari model'!$B$31)))+SQRT((($AB89*IF($AC89="",$AL89/2,$AC89)+'Setari model'!$B$31*$AL89/2)/($AB89+'Setari model'!$B$31))*(($W89*IF($Y89="",$AL89/2,$Y89)+'Setari model'!$B$31*$AL89/2)/($W89+'Setari model'!$B$31))))</x:f>
      </x:c>
      <x:c r="BM89" s="62" t="str">
        <x:f>IF($A89="","",SQRT((($W89*IF($Z89="",IF($X89="",$AL89/2,$X89),$Z89)+'Setari model'!$B$31*$AL89/2)/($W89+'Setari model'!$B$31))*(($AB89*IF($AF89="",IF($AD89="",$AL89/2,$AD89),$AF89)+'Setari model'!$B$31*$AL89/2)/($AB89+'Setari model'!$B$31)))+SQRT((($AB89*IF($AE89="",IF($AC89="",$AL89/2,$AC89),$AE89)+'Setari model'!$B$31*$AL89/2)/($AB89+'Setari model'!$B$31))*(($W89*IF($AA89="",IF($Y89="",$AL89/2,$Y89),$AA89)+'Setari model'!$B$31*$AL89/2)/($W89+'Setari model'!$B$31))))</x:f>
      </x:c>
      <x:c r="BN89" s="62" t="str">
        <x:f t="shared" si="112">IF($A89="","",IF($AG89&gt;0,($AG89*IF($AH89="",$AL89,$AH89)+5*$AL89)/($AG89+5),$AL89))</x:f>
      </x:c>
      <x:c r="BO89" s="63" t="str">
        <x:f>IF($A89="","",IF($AR89&gt;1,IF($AS89&gt;1,(1/$AR89)/((1/$AR89+1/$AS89)),MIN(0.995,(1/$AR89)/(1+'Setari model'!$B$32))),1-EXP(-$AL89)))</x:f>
      </x:c>
      <x:c r="BP89" s="62" t="str">
        <x:f t="shared" si="113">IF($A89="","",-LN(1-$BO89))</x:f>
      </x:c>
      <x:c r="BQ89" s="62" t="str">
        <x:f>IF($A89="","",$BJ89*INDEX('Setari model'!$B$5:$B$11,MATCH($E89,'Setari model'!$A$5:$A$11,0))+$BK89*INDEX('Setari model'!$C$5:$C$11,MATCH($E89,'Setari model'!$A$5:$A$11,0))+$BL89*INDEX('Setari model'!$D$5:$D$11,MATCH($E89,'Setari model'!$A$5:$A$11,0))+$BM89*INDEX('Setari model'!$E$5:$E$11,MATCH($E89,'Setari model'!$A$5:$A$11,0))+$BN89*INDEX('Setari model'!$F$5:$F$11,MATCH($E89,'Setari model'!$A$5:$A$11,0))+$BP89*INDEX('Setari model'!$G$5:$G$11,MATCH($E89,'Setari model'!$A$5:$A$11,0)))</x:f>
      </x:c>
      <x:c r="BR89" s="64" t="str">
        <x:f>IF($A89="","",MAX('Setari model'!$B$53,MIN('Setari model'!$B$54,1+($AV89*'Setari model'!$B$15+$AW89*'Setari model'!$B$16+$AX89*'Setari model'!$B$17+$AY89*'Setari model'!$B$18+$AZ89*'Setari model'!$B$19+$BA89*'Setari model'!$B$20+$BB89*'Setari model'!$B$21+$BC89*'Setari model'!$B$22+$BD89*'Setari model'!$B$23+$BE89*'Setari model'!$B$24+$BF89*'Setari model'!$B$25)*INDEX('Setari model'!$H$5:$H$11,MATCH($E89,'Setari model'!$A$5:$A$11,0)))))</x:f>
      </x:c>
      <x:c r="BS89" s="62" t="str">
        <x:f t="shared" si="114">IF($A89="","",$BQ89*$BR89)</x:f>
      </x:c>
      <x:c r="BT89" s="63" t="str">
        <x:f t="shared" si="115">IF($A89="","",EXP(-$BS89))</x:f>
      </x:c>
      <x:c r="BU89" s="65" t="str">
        <x:f>IF($A89="","",IF(OR($AM89="",$AN89=""),1,1+MIN('Setari model'!$B$33,$AN89/100*'Setari model'!$B$33)*($AM89/EXP(-$AL89)-1)))</x:f>
      </x:c>
      <x:c r="BV89" s="63" t="str">
        <x:f>IF($A89="","",MIN(0.45,MAX(0.005,(1-'Setari model'!$B$34*MIN(1,($I89+$P89)/20))*MIN(0.45,$BT89*$BU89)+'Setari model'!$B$34*MIN(1,($I89+$P89)/20)*IF(COUNT($N89,$U89)=2,SQRT(MAX(0,1-$N89)*MAX(0,1-$U89)),IF($AM89="",EXP(-$AL89),$AM89)))))</x:f>
      </x:c>
      <x:c r="BW89" s="63" t="str">
        <x:f t="shared" si="116">IF($A89="","",1-$BV89)</x:f>
      </x:c>
      <x:c r="BX89" s="62" t="str">
        <x:f t="shared" si="117">IF($A89="","",1/$BW89)</x:f>
      </x:c>
      <x:c r="BY89" s="63" t="str">
        <x:f t="shared" si="118">IF($A89="","",$BO89)</x:f>
      </x:c>
      <x:c r="BZ89" s="63" t="str">
        <x:f t="shared" si="119">IF($A89="","",$BW89-$BY89)</x:f>
      </x:c>
      <x:c r="CA89" s="63" t="str">
        <x:f t="shared" si="120">IF($A89="","",IF($AR89&gt;1,$BW89*$AR89-1,""))</x:f>
      </x:c>
      <x:c r="CB89" s="63" t="str">
        <x:f>IF($A89="","",MIN(1,COUNT($I89:$AN89,$AR89:$BG89)/'Setari model'!$B$46))</x:f>
      </x:c>
      <x:c r="CC89" s="63" t="str">
        <x:f t="shared" si="121">IF($A89="","",0.25*MIN(1,$I89/10)+0.25*MIN(1,$P89/10)+0.15*MIN(1,$W89/5)+0.15*MIN(1,$AB89/5)+0.1*MIN(1,$AG89/5)+0.1*MIN(1,$AN89/100))</x:f>
      </x:c>
      <x:c r="CD89" s="63" t="str">
        <x:f>IF($A89="","",MAX(0,1-(MAX($BJ89:$BN89,$BP89)-MIN($BJ89:$BN89,$BP89))/(AVERAGE($BJ89:$BN89,$BP89)*'Setari model'!$B$45)))</x:f>
      </x:c>
      <x:c r="CE89" s="66" t="str">
        <x:f>IF($A89="","",MAX(0,MIN(100,100*INDEX('Setari model'!$I$5:$I$11,MATCH($E89,'Setari model'!$A$5:$A$11,0))*('Setari model'!$B$47*$CB89+'Setari model'!$B$48*$CC89+'Setari model'!$B$49*$CD89+'Setari model'!$B$50*$AT89/5+'Setari model'!$B$51*$AU89)-100*'Setari model'!$B$52*$BG89)))</x:f>
      </x:c>
      <x:c r="CF89" s="65" t="str">
        <x:f t="shared" si="122">IF($A89="","",IF(OR($AT89&lt;3,$BG89&gt;=2,$CB89&lt;0.55,$CC89&lt;0.4),"RIDICAT",IF(OR($AU89=0,$CD89&lt;0.45,$BR89&lt;0.9),"MEDIU","SCĂZUT")))</x:f>
      </x:c>
      <x:c r="CG89" s="65" t="str">
        <x:f>IF($A89="","",IF($AR89&gt;1,IF(AND($BW89&gt;= 'Setari model'!$B$35,$CE89&gt;=100*'Setari model'!$B$36,$BZ89&gt;= 'Setari model'!$B$37,$CA89&gt;= 'Setari model'!$B$38,$CF89&lt;&gt;"RIDICAT"),"PARIU RECOMANDAT",IF(AND($BW89&gt;= 'Setari model'!$B$39,$CE89&gt;=100*'Setari model'!$B$40,$BZ89&gt;= 'Setari model'!$B$41,$CA89&gt;=0,$CF89&lt;&gt;"RIDICAT"),"RECOMANDAT CU PRUDENȚĂ",IF(AND($BW89&gt;= 'Setari model'!$B$42,$CE89&gt;=100*'Setari model'!$B$43),"ANALIZĂ NECONCLUDENTĂ","PARIU EVITAT"))),IF(AND($BW89&gt;= 'Setari model'!$B$35,$CE89&gt;=100*'Setari model'!$B$36,$CF89&lt;&gt;"RIDICAT"),"FAVORABIL STATISTIC – VERIFICĂ COTA",IF(AND($BW89&gt;= 'Setari model'!$B$42,$CE89&gt;=100*'Setari model'!$B$43),"ANALIZĂ NECONCLUDENTĂ","PARIU EVITAT"))))</x:f>
      </x:c>
      <x:c r="CH89" s="67" t="str">
        <x:f t="shared" si="123">IF($A89="","","P(O0,5)="&amp;TEXT($BW89,"0.0%")&amp;"; λ ajustat="&amp;TEXT($BS89,"0.00")&amp;"; Confidence="&amp;TEXT($CE89,"0")&amp;"/100; Edge="&amp;TEXT($BZ89,"0.0%")&amp;"; risc="&amp;$CF89&amp;". "&amp;$BH89)</x:f>
      </x:c>
      <x:c r="CI89" s="68" t="str">
        <x:f t="shared" si="124">IF($A89="","",$BI89)</x:f>
      </x:c>
      <x:c r="CJ89" s="112"/>
      <x:c r="CK89" s="112"/>
      <x:c r="CL89" s="112"/>
      <x:c r="CM89" s="112"/>
      <x:c r="CN89" s="112"/>
      <x:c r="CO89" s="112"/>
      <x:c r="CP89" s="112"/>
      <x:c r="CQ89" s="112"/>
      <x:c r="CR89" s="112"/>
      <x:c r="CS89" s="112"/>
      <x:c r="CT89" s="112"/>
      <x:c r="CU89" s="112"/>
      <x:c r="CV89" s="112"/>
      <x:c r="CW89" s="112"/>
      <x:c r="CX89" s="112"/>
      <x:c r="CY89" s="112"/>
      <x:c r="CZ89" s="112"/>
      <x:c r="DA89" s="112"/>
      <x:c r="DB89" s="112"/>
      <x:c r="DC89" s="114"/>
      <x:c r="DD89" s="114"/>
      <x:c r="DE89" s="112" t="s">
        <x:v>266</x:v>
      </x:c>
      <x:c r="DF89" s="112"/>
      <x:c r="DG89" s="112"/>
      <x:c r="DH89" s="112"/>
      <x:c r="DI89" s="112"/>
      <x:c r="DJ89" s="112"/>
      <x:c r="DK89" s="112"/>
      <x:c r="DL89" s="112"/>
      <x:c r="DM89" s="112"/>
      <x:c r="DN89" s="112"/>
      <x:c r="DO89" s="112"/>
      <x:c r="DP89" s="112"/>
      <x:c r="DQ89" s="114"/>
      <x:c r="DR89" s="112">
        <x:v>1</x:v>
      </x:c>
      <x:c r="DS89" s="116">
        <x:v>0</x:v>
      </x:c>
      <x:c r="DT89" s="120"/>
      <x:c r="DU89" s="116">
        <x:v>0.02</x:v>
      </x:c>
      <x:c r="DV89" s="116">
        <x:v>0.25</x:v>
      </x:c>
      <x:c r="DW89" s="118" t="str">
        <x:f>IF($A89="","",MAX('Setari model'!$B$71,MIN('Setari model'!$B$72,1+0.08*(IFERROR(AVERAGE($CM89:$CN89)/'Setari model'!$B$66,1)-1)+0.08*(IFERROR(AVERAGE($CO89:$CP89)/'Setari model'!$B$67,1)-1)+0.06*(IFERROR(AVERAGE($CQ89:$CR89)/'Setari model'!$B$68,1)-1)+0.04*(IFERROR(AVERAGE($CS89:$CT89)/'Setari model'!$B$69,1)-1)+0.04*(IFERROR(AVERAGE($CU89:$CV89)/'Setari model'!$B$70,1)-1)-'Setari model'!$B$73*IFERROR(AVERAGE($CW89:$CX89),0))))</x:f>
      </x:c>
      <x:c r="DX89" s="118" t="str">
        <x:f>IF($A89="","",1+'Setari model'!$B$62*MAX(IF(OR($CK89=1,$CL89=1),1,0),IF(AND($CJ89&lt;&gt;"",$CJ89&lt;=1),1,0))+'Setari model'!$B$63*IF(AND($CJ89&gt;1,$CJ89&lt;=3),1,0))</x:f>
      </x:c>
      <x:c r="DY89" s="118" t="str">
        <x:f>IF($A89="","",1+'Setari model'!$B$74*(IF($CY89="",0,IF($CY89=0,1,0))+IF($CZ89="",0,IF($CZ89=0,1,0)))+'Setari model'!$B$75*(IF($DA89="",0,IF($DA89=0,1,0))+IF($DB89="",0,IF($DB89=0,1,0))))</x:f>
      </x:c>
      <x:c r="DZ89" s="117" t="str">
        <x:f>IF($A89="","",MIN(0.6,MAX(0.002,(((1-'Setari model'!$B$34*MIN(1,($I89+$P89)/20))*$BT89+'Setari model'!$B$34*MIN(1,($I89+$P89)/20)*IF(COUNT($N89,$U89)=2,SQRT(MAX(0,1-$N89)*MAX(0,1-$U89)),$BT89))*(1-'Setari model'!$B$65*MIN(1,IF($AN89="",0,$AN89/'Setari model'!$B$64)))+'Setari model'!$B$65*MIN(1,IF($AN89="",0,$AN89/'Setari model'!$B$64))*IF($AM89="",$BT89,$AM89))*$DX89*$DY89/$DW89)))</x:f>
      </x:c>
      <x:c r="EA89" s="117" t="str">
        <x:f>IF($A89="","",MIN(1-$DZ89,IF(OR(MIN($I89,$P89)&lt;'Setari model'!$B$58,$CK89=1,$CL89=1,AND($CJ89&lt;&gt;"",$CJ89&lt;=1)),'Setari model'!$B$59,IF(AND($AU89=1,$AR89&gt;1,COUNT($CY89:$DB89)=4),'Setari model'!$B$61,'Setari model'!$B$60))))</x:f>
      </x:c>
      <x:c r="EB89" s="115" t="str">
        <x:f t="shared" si="125">IF($A89="","",1/$EA89)</x:f>
      </x:c>
      <x:c r="EC89" s="117" t="str">
        <x:f t="shared" si="126">IF($A89="","",IF($AR89&gt;1,IF($AS89&gt;1,(1/$AR89)/((1/$AR89)+(1/$AS89)),1/$AR89),""))</x:f>
      </x:c>
      <x:c r="ED89" s="117" t="str">
        <x:f t="shared" si="127">IF($A89="","",IF($EC89="","",$EA89-$EC89))</x:f>
      </x:c>
      <x:c r="EE89" s="117" t="str">
        <x:f t="shared" si="128">""</x:f>
      </x:c>
      <x:c r="EF89" s="119" t="str">
        <x:f>IF($A89="","",MAX(0,MIN(100,$CE89-200*MAX(0,$EG89-'Setari model'!$B$77)-IF($AU89&lt;&gt;1,10,0)-IF(COUNT($CY89:$DB89)&lt;4,4,0))))</x:f>
      </x:c>
      <x:c r="EG89" s="117" t="str">
        <x:f>IF($A89="","",'Setari model'!$B$77+IF(MIN($I89,$P89)&lt;'Setari model'!$B$58,0.03,0)+IF(OR($CK89=1,$CL89=1,AND($CJ89&lt;&gt;"",$CJ89&lt;=1)),0.03,0)+IF($AG89=0,0.02,0)+0.03*(1-MIN(1,COUNT($CM89:$CV89)/10))+0.03*(1-MIN(1,IF($AN89="",0,$AN89/'Setari model'!$B$64)))+IF($AR89&lt;=1,0.02,0))</x:f>
      </x:c>
      <x:c r="EH89" s="113" t="str">
        <x:f>IF($A89="","",IF(OR(MIN($I89,$P89)&lt;'Setari model'!$B$58,$CK89=1,$CL89=1,AND($CJ89&lt;&gt;"",$CJ89&lt;=1)),"92% – early/regim",IF(AND($AU89=1,$AR89&gt;1,COUNT($CY89:$DB89)=4),"94% – confirmat","93% – standard")))</x:f>
      </x:c>
      <x:c r="EI89" s="113" t="str">
        <x:f t="shared" si="129">IF($A89="","",IF(AND($EA89&gt;0.9,$AU89&lt;&gt;1),"WAIT XI – HIGH P",IF(AND($EA89&gt;0.9,COUNT($CY89:$DB89)&lt;4),"WAIT DATE CHEIE – HIGH P",IF($EP89&lt;&gt;"DA","NU – PORTOFOLIU","DA"))))</x:f>
      </x:c>
      <x:c r="EJ89" s="117" t="str">
        <x:f t="shared" si="130">IF($A89="","",IF($DE89&lt;&gt;"Live 20-30","",IF(SUM($DG89:$DH89)&gt;0,1,IF($EU89="","",1-MIN(0.95,MAX(0.001,EXP(-$EU89)*$DX89*$DY89/$DW89))))))</x:f>
      </x:c>
      <x:c r="EK89" s="117" t="str">
        <x:f t="shared" si="131">""</x:f>
      </x:c>
      <x:c r="EL89" s="113" t="str">
        <x:f>IF($A89="","",IF($DE89="Live 20-30",IF(SUM($DG89:$DH89)&gt;0,"EVENIMENT ÎNDEPLINIT",IF(OR($DF89="",COUNT($DI89:$DN89)&lt;4),"LIVE – WATCH",IF($EJ89&gt;=0.75,"LIVE – FEZABIL TEHNIC","LIVE – NO BET"))),IF($EI89&lt;&gt;"DA","WATCH / NO BET",IF(AND($EA89&gt;=INDEX('Setari model'!$B$35:$B$40,1),$EF89&gt;=100*'Setari model'!$B$76),"PARIU RECOMANDAT",IF(AND($EA89&gt;=INDEX('Setari model'!$B$35:$B$40,5),$EF89&gt;=100*'Setari model'!$B$40),"WATCH – APROAPE DE PRAG","PARIU EVITAT")))))</x:f>
      </x:c>
      <x:c r="EM89" s="113" t="str">
        <x:f t="shared" si="132">IF($A89="","",IF($DE89="Live 20-30",IF(SUM($DG89:$DH89)&gt;0,"Gol deja marcat.",IF($DF89="","Minut live lipsă.",IF(COUNT($DI89:$DN89)&lt;4,"Lipsesc xG/SOT/big chances live.",IF($EJ89&lt;0.75,"P live sub prag.","Semnal live tehnic complet; EV ignorat.")))),IF($EI89&lt;&gt;"DA",$EI89,IF($EF89&lt;75,"Confidence sub 75.",IF($EA89&lt;0.92,"P sub 92%.","G0/Zero-Mass + confidence trecute; EV ignorat.")))))</x:f>
      </x:c>
      <x:c r="EN89" s="117" t="str">
        <x:f>IF($A89="","",IF(OR($EL89="PARIU RECOMANDAT",$EL89="LIVE – FEZABIL"),MIN(IF($DU89&gt;0,$DU89,'Setari model'!$B$81)/MAX(1,$DR89),IF($DV89&gt;0,$DV89,'Setari model'!$B$80)*MAX(0,((IF($DE89="Live 20-30",$EJ89,$EA89)*IF($DE89="Live 20-30",$DQ89,$AR89)-1)/(IF($DE89="Live 20-30",$DQ89,$AR89)-1)))),0))</x:f>
      </x:c>
      <x:c r="EO89" s="121" t="str">
        <x:f t="shared" si="133">IF($A89="","",IF(AND($EN89&gt;0,$DT89&gt;0),$EN89*$DT89,""))</x:f>
      </x:c>
      <x:c r="EP89" s="113" t="str">
        <x:f>IF($A89="","",IF(OR($DR89&lt;1,$DR89&gt;'Setari model'!$B$78),"NU – 1–5 selecții",IF($DS89&gt;'Setari model'!$B$79,"NU – corelație", "DA")))</x:f>
      </x:c>
      <x:c r="EQ89" s="117" t="str">
        <x:f t="shared" si="134">IF($A89="","",IF(AND($DC89&gt;1,$DD89&gt;1),$DC89/$DD89-1,""))</x:f>
      </x:c>
      <x:c r="ER89" s="113" t="str">
        <x:f t="shared" si="135">IF($A89="","","P v2="&amp;TEXT($EA89,"0.0%")&amp;" ±"&amp;TEXT($EG89,"0.0%")&amp;"; P0 ZIP="&amp;TEXT($DZ89,"0.0%")&amp;"; Confidence="&amp;TEXT($EF89,"0")&amp;"/100; piață reală="&amp;IF($EC89="","NU","DA")&amp;"; EV="&amp;IF($EE89="","n/a",TEXT($EE89,"0.0%"))&amp;"; gate="&amp;$EI89&amp;"; verdict="&amp;$EL89&amp;". "&amp;$EM89)</x:f>
      </x:c>
      <x:c r="ES89" s="119" t="str">
        <x:f>IF($A89="","",'Setari model'!$B$82)</x:f>
      </x:c>
      <x:c r="ET89" s="118" t="str">
        <x:f>IF($A89="","",'Setari model'!$B$83)</x:f>
      </x:c>
      <x:c r="EU89" s="115" t="str">
        <x:f t="shared" si="136">IF(OR($A89="",$DE89&lt;&gt;"Live 20-30",$DF89="",$DF89&lt;$ES89,$DF89&gt;=90),"",MAX(0.05,MIN($BS89*$ET89,$BS89*(90-$DF89)/90+0.35*($DI89+$DJ89)+0.06*($DK89+$DL89)+0.15*($DM89+$DN89)+0.1*(MAX($DO89,$DP89)-MIN($DO89,$DP89)))))</x:f>
      </x:c>
      <x:c r="EV89" s="132"/>
      <x:c r="EW89" s="132"/>
      <x:c r="EX89" s="132"/>
      <x:c r="EY89" s="132"/>
      <x:c r="EZ89" s="132"/>
      <x:c r="FA89" s="132"/>
      <x:c r="FB89" s="247"/>
      <x:c r="FC89" s="134" t="str">
        <x:f t="shared" si="137">IF($A89="","",IF(OR($J89="",$L89="",$L89&lt;=0),"",MAX(0.5,MIN(1.5,$J89/$L89))))</x:f>
      </x:c>
      <x:c r="FD89" s="134" t="str">
        <x:f t="shared" si="138">IF($A89="","",IF(OR($Q89="",$S89="",$S89&lt;=0),"",MAX(0.5,MIN(1.5,$Q89/$S89))))</x:f>
      </x:c>
      <x:c r="FE89" s="134" t="str">
        <x:f>IF($A89="","",IF(COUNT($EV89:$EW89)&lt;2,"",SQRT($EV89*$EW89)/'Setari model'!$B$87))</x:f>
      </x:c>
      <x:c r="FF89" s="134" t="str">
        <x:f>IF($A89="","",IF(COUNT($O89,$V89,$EX89,$EY89)&lt;4,"",AVERAGE(SQRT($O89*$EY89),SQRT($V89*$EX89))/'Setari model'!$B$88))</x:f>
      </x:c>
      <x:c r="FG89" s="134" t="str">
        <x:f t="shared" si="139">IF($A89="","",IF(COUNT($FC89:$FD89)&lt;2,"",MAX(0,1-AVERAGE($FC89:$FD89))))</x:f>
      </x:c>
      <x:c r="FH89" s="134" t="str">
        <x:f>IF($A89="","",IF(COUNT($EZ89:$FA89)&lt;2,"",'Setari model'!$B$94*AVERAGE($EZ89:$FA89)/'Setari model'!$B$89))</x:f>
      </x:c>
      <x:c r="FI89" s="134" t="str">
        <x:f>IF($A89="","",IF(COUNT($FE89:$FH89)&lt;4,"",MAX('Setari model'!$B$97,MIN('Setari model'!$B$98,1+'Setari model'!$B$90*($FE89-1)+'Setari model'!$B$91*($FF89-1)+'Setari model'!$B$92*$FG89+'Setari model'!$B$93*($FH89-1)))))</x:f>
      </x:c>
      <x:c r="FJ89" s="133" t="str">
        <x:f>IF($A89="","",IF($FI89="","",MIN('Setari model'!$B$101,MAX(0.002,$DZ89*$FI89))))</x:f>
      </x:c>
      <x:c r="FK89" s="131" t="str">
        <x:f t="shared" si="140">IF($A89="","",IF(AND(COUNT($EV89:$FA89)=6,COUNT($O89,$V89,$FC89,$FD89)=4),"DA","NU"))</x:f>
      </x:c>
      <x:c r="FL89" s="131" t="str">
        <x:f>IF($A89="","",IF($FK89&lt;&gt;"DA","NEDETERMINAT",IF($FI89&lt;='Setari model'!$B$99,"SCĂZUT",IF($FI89&lt;='Setari model'!$B$100,"MEDIU","RIDICAT"))))</x:f>
      </x:c>
      <x:c r="FM89" s="131" t="str">
        <x:f>IF($A89="","",IF(AND($AR89&gt;1,$EC89&gt;='Setari model'!$B$106),"DA","NU"))</x:f>
      </x:c>
      <x:c r="FN89" s="131" t="str">
        <x:f t="shared" si="141">IF($A89="","",IF(AND($AU89=1,COUNT($CY89:$DB89)=4),"DA","NU"))</x:f>
      </x:c>
      <x:c r="FO89" s="133" t="str">
        <x:f>IF($A89="","",IF(OR($FK89&lt;&gt;"DA",$FL89="RIDICAT"),'Setari model'!$B$102,IF($FL89="MEDIU",'Setari model'!$B$103,IF(AND($FM89="DA",$FN89="DA"),'Setari model'!$B$105,'Setari model'!$B$104))))</x:f>
      </x:c>
      <x:c r="FP89" s="133" t="str">
        <x:f t="shared" si="142">IF($A89="","",IF($FJ89="","",MIN(1-$FJ89,$FO89)))</x:f>
      </x:c>
      <x:c r="FQ89" s="135" t="str">
        <x:f t="shared" si="143">IF($A89="","",IF($FP89="","",IF($FP89&gt;0,1/$FP89,"")))</x:f>
      </x:c>
      <x:c r="FR89" s="133" t="str">
        <x:f t="shared" si="144">IF($A89="","",IF($EC89="","",$FP89-$EC89))</x:f>
      </x:c>
      <x:c r="FS89" s="133" t="str">
        <x:f t="shared" si="145">IF($A89="","",IF($AR89&gt;1,$FP89*$AR89-1,""))</x:f>
      </x:c>
      <x:c r="FT89" s="136" t="str">
        <x:f>IF($A89="","",MAX(0,MIN(100,$EF89-IF($FK89&lt;&gt;"DA",'Setari model'!$B$107,0)-IF($FL89="MEDIU",'Setari model'!$B$108,0)-IF($FL89="RIDICAT",'Setari model'!$B$109,0))))</x:f>
      </x:c>
      <x:c r="FU89" s="131" t="str">
        <x:f t="shared" si="146">IF($A89="","",IF($AR89&lt;=1,"NU – LIPSEȘTE COTA REALĂ",IF($FK89&lt;&gt;"DA","NU – ZERO-RISK INCOMPLET",IF($FL89&lt;&gt;"SCĂZUT","NU – RISC 0-0 "&amp;$FL89,IF($FN89&lt;&gt;"DA","NU – LINEUP NECONFIRMAT",IF($FM89&lt;&gt;"DA","NU – PIAȚĂ NECONFIRMATĂ",IF($EP89&lt;&gt;"DA","NU – PORTOFOLIU","DA")))))))</x:f>
      </x:c>
      <x:c r="FV89" s="131" t="str">
        <x:f>IF($A89="","",IF($FU89&lt;&gt;"DA","WATCH / NO BET",IF(AND($FP89&gt;='Setari model'!$B$35,$FT89&gt;=100*'Setari model'!$B$76,$FS89&gt;0),"PARIU RECOMANDAT",IF(AND($FP89&gt;='Setari model'!$B$39,$FT89&gt;=100*'Setari model'!$B$40,$FS89&gt;0),"WATCH – APROAPE DE PRAG","PARIU EVITAT"))))</x:f>
      </x:c>
      <x:c r="FW89" s="131" t="str">
        <x:f t="shared" si="147">IF($A89="","",IF($FU89&lt;&gt;"DA",$FU89,IF($FT89&lt;75,"Confidence v3 sub 75.",IF($FP89&lt;0.92,"P v3 sub 92%.",IF($FS89&lt;=0,"EV v3 nepozitiv.","P0 v3, lineup și piață confirmate.")))))</x:f>
      </x:c>
      <x:c r="FX89" s="131" t="str">
        <x:f t="shared" si="148">IF($A89="","","P v3="&amp;TEXT($FP89,"0.0%")&amp;"; P0 v3="&amp;TEXT($FJ89,"0.0%")&amp;"; factor zero="&amp;IF($FI89="","n/a",TEXT($FI89,"0.00x"))&amp;" ("&amp;$FL89&amp;"); cap="&amp;TEXT($FO89,"0.0%")&amp;"; Confidence="&amp;TEXT($FT89,"0")&amp;"/100; lineup="&amp;$FN89&amp;"; piață="&amp;$FM89&amp;"; EV="&amp;IF($FS89="","n/a",TEXT($FS89,"0.0%"))&amp;"; gate="&amp;$FU89&amp;"; verdict="&amp;$FV89&amp;". "&amp;$FW89)</x:f>
      </x:c>
      <x:c r="FY89" s="159"/>
      <x:c r="FZ89" s="159"/>
      <x:c r="GA89" s="157"/>
      <x:c r="GB89" s="157"/>
      <x:c r="GC89" s="161" t="str">
        <x:f t="shared" si="149">IF($A89="","",IF(OR($X89="",$Z89="",$Z89&lt;=0),"",MAX(0.5,MIN(1.5,$X89/$Z89))))</x:f>
      </x:c>
      <x:c r="GD89" s="161" t="str">
        <x:f t="shared" si="150">IF($A89="","",IF(OR($AC89="",$AE89="",$AE89&lt;=0),"",MAX(0.5,MIN(1.5,$AC89/$AE89))))</x:f>
      </x:c>
      <x:c r="GE89" s="162" t="str">
        <x:f t="shared" si="151">IF($A89="","",IF(COUNT($Z89,$AE89)&lt;2,"",AVERAGE($Z89,$AE89)))</x:f>
      </x:c>
      <x:c r="GF89" s="158" t="str">
        <x:f>IF($A89="","",IF(COUNT($FY89:$FZ89)&lt;2,"NEDETERMINAT",IF(AND($FY89&gt;='Setari model'!$B$113,$FZ89&gt;='Setari model'!$B$113),"DA","NU")))</x:f>
      </x:c>
      <x:c r="GG89" s="158" t="str">
        <x:f>IF($A89="","",IF(COUNT($FY89:$FZ89,$EX89:$EY89)&lt;4,"NEDETERMINAT",IF(OR(AND($FY89&gt;='Setari model'!$B$113,$EY89&gt;='Setari model'!$B$114),AND($FZ89&gt;='Setari model'!$B$113,$EX89&gt;='Setari model'!$B$114)),"DA","NU")))</x:f>
      </x:c>
      <x:c r="GH89" s="158" t="str">
        <x:f>IF($A89="","",IF(COUNT($BJ89:$BN89,$GC89:$GE89)&lt;8,"NEDETERMINAT",IF(AND((($BJ89*INDEX('Setari model'!$B$5:$B$11,MATCH($E89,'Setari model'!$A$5:$A$11,0))+$BK89*INDEX('Setari model'!$C$5:$C$11,MATCH($E89,'Setari model'!$A$5:$A$11,0))+$BL89*INDEX('Setari model'!$D$5:$D$11,MATCH($E89,'Setari model'!$A$5:$A$11,0))+$BM89*INDEX('Setari model'!$E$5:$E$11,MATCH($E89,'Setari model'!$A$5:$A$11,0))+$BN89*INDEX('Setari model'!$F$5:$F$11,MATCH($E89,'Setari model'!$A$5:$A$11,0)))/(INDEX('Setari model'!$B$5:$B$11,MATCH($E89,'Setari model'!$A$5:$A$11,0))+INDEX('Setari model'!$C$5:$C$11,MATCH($E89,'Setari model'!$A$5:$A$11,0))+INDEX('Setari model'!$D$5:$D$11,MATCH($E89,'Setari model'!$A$5:$A$11,0))+INDEX('Setari model'!$E$5:$E$11,MATCH($E89,'Setari model'!$A$5:$A$11,0))+INDEX('Setari model'!$F$5:$F$11,MATCH($E89,'Setari model'!$A$5:$A$11,0))))*$BR89&gt;='Setari model'!$B$115,(($BJ89*INDEX('Setari model'!$B$5:$B$11,MATCH($E89,'Setari model'!$A$5:$A$11,0))+$BK89*INDEX('Setari model'!$C$5:$C$11,MATCH($E89,'Setari model'!$A$5:$A$11,0))+$BL89*INDEX('Setari model'!$D$5:$D$11,MATCH($E89,'Setari model'!$A$5:$A$11,0))+$BM89*INDEX('Setari model'!$E$5:$E$11,MATCH($E89,'Setari model'!$A$5:$A$11,0))+$BN89*INDEX('Setari model'!$F$5:$F$11,MATCH($E89,'Setari model'!$A$5:$A$11,0)))/(INDEX('Setari model'!$B$5:$B$11,MATCH($E89,'Setari model'!$A$5:$A$11,0))+INDEX('Setari model'!$C$5:$C$11,MATCH($E89,'Setari model'!$A$5:$A$11,0))+INDEX('Setari model'!$D$5:$D$11,MATCH($E89,'Setari model'!$A$5:$A$11,0))+INDEX('Setari model'!$E$5:$E$11,MATCH($E89,'Setari model'!$A$5:$A$11,0))+INDEX('Setari model'!$F$5:$F$11,MATCH($E89,'Setari model'!$A$5:$A$11,0))))*$BR89&lt;='Setari model'!$B$116,AVERAGE($GC89:$GD89)&lt;='Setari model'!$B$117,$GE89&gt;='Setari model'!$B$118),"DA","NU")))</x:f>
      </x:c>
      <x:c r="GI89" s="158" t="str">
        <x:f>IF($A89="","",IF(COUNT($W89,$AB89,$GA89:$GB89)&lt;4,"NEDETERMINAT",IF(AND($W89&gt;='Setari model'!$B$120,$AB89&gt;='Setari model'!$B$120,OR(IFERROR($GA89/$W89,0)&gt;='Setari model'!$B$119,IFERROR($GB89/$AB89,0)&gt;='Setari model'!$B$119)),"DA","NU")))</x:f>
      </x:c>
      <x:c r="GJ89" s="160" t="str">
        <x:f>IF($A89="","",IF(COUNT($FY89:$GB89)&lt;4,"",IF($GH89&lt;&gt;"DA",0,'Setari model'!$B$121*IF($GF89="DA",1,0)+'Setari model'!$B$122*IF($GG89="DA",1,0)+'Setari model'!$B$123+'Setari model'!$B$124*IF($GI89="DA",1,0))))</x:f>
      </x:c>
      <x:c r="GK89" s="161" t="str">
        <x:f>IF($A89="","",IF(COUNT($GJ89)=0,"",1+'Setari model'!$B$125*$GJ89))</x:f>
      </x:c>
      <x:c r="GL89" s="160" t="str">
        <x:f>IF($A89="","",IF($GM89&lt;&gt;"DA",$FJ89,MIN('Setari model'!$B$101,MAX(0.002,$FJ89*$GK89))))</x:f>
      </x:c>
      <x:c r="GM89" s="158" t="str">
        <x:f>IF($A89="","",IF(AND($FK89="DA",COUNT($FY89:$GB89)=4,COUNT($I89,$P89,$W89,$AB89,$Z89,$AE89,$EX89,$EY89,$GC89,$GD89)=10,COUNT($BJ89:$BN89)=5),"DA","NU"))</x:f>
      </x:c>
      <x:c r="GN89" s="158" t="str">
        <x:f>IF($A89="","",IF($GM89&lt;&gt;"DA","NEDETERMINAT",IF($FI89*$GK89&lt;='Setari model'!$B$99,"SCĂZUT",IF($FI89*$GK89&lt;='Setari model'!$B$100,"MEDIU","RIDICAT"))))</x:f>
      </x:c>
      <x:c r="GO89" s="160" t="str">
        <x:f>IF($A89="","",IF(OR($GM89&lt;&gt;"DA",$GN89="RIDICAT"),'Setari model'!$B$102,IF($GN89="MEDIU",'Setari model'!$B$103,IF(AND($FM89="DA",$FN89="DA"),'Setari model'!$B$105,'Setari model'!$B$104))))</x:f>
      </x:c>
      <x:c r="GP89" s="160" t="str">
        <x:f t="shared" si="152">IF($A89="","",IF($GL89="","",MIN(1-$GL89,$GO89)))</x:f>
      </x:c>
      <x:c r="GQ89" s="162" t="str">
        <x:f t="shared" si="153">IF($A89="","",IF($GP89="","",IF($GP89&gt;0,1/$GP89,"")))</x:f>
      </x:c>
      <x:c r="GR89" s="160" t="str">
        <x:f t="shared" si="154">IF($A89="","",IF($EC89="","",$GP89-$EC89))</x:f>
      </x:c>
      <x:c r="GS89" s="160" t="str">
        <x:f t="shared" si="155">IF($A89="","",IF($AR89&gt;1,$GP89*$AR89-1,""))</x:f>
      </x:c>
      <x:c r="GT89" s="163" t="str">
        <x:f>IF($A89="","",MAX(0,MIN(100,$FT89-IF(AND($GM89&lt;&gt;"DA",$FK89="DA"),'Setari model'!$B$107,0)-'Setari model'!$B$126*IF($GJ89="",0,$GJ89))))</x:f>
      </x:c>
      <x:c r="GU89" s="158" t="str">
        <x:f t="shared" si="156">IF($A89="","",IF($AR89&lt;=1,"NU – LIPSEȘTE COTA REALĂ",IF($GM89&lt;&gt;"DA","NU – DATE LOW-CONVERSION INCOMPLETE",IF($GN89&lt;&gt;"SCĂZUT","NU – RISC 0-0 "&amp;$GN89,IF($FN89&lt;&gt;"DA","NU – LINEUP NECONFIRMAT",IF($FM89&lt;&gt;"DA","NU – PIAȚĂ NECONFIRMATĂ",IF($EP89&lt;&gt;"DA","NU – PORTOFOLIU","DA")))))))</x:f>
      </x:c>
      <x:c r="GV89" s="158" t="str">
        <x:f>IF($A89="","",IF($GU89&lt;&gt;"DA","WATCH / NO BET",IF(AND($GP89&gt;='Setari model'!$B$35,$GT89&gt;=100*'Setari model'!$B$76,$GS89&gt;0),"PARIU RECOMANDAT",IF(AND($GP89&gt;='Setari model'!$B$39,$GT89&gt;=100*'Setari model'!$B$40,$GS89&gt;0),"WATCH – APROAPE DE PRAG","PARIU EVITAT"))))</x:f>
      </x:c>
      <x:c r="GW89" s="158" t="str">
        <x:f t="shared" si="157">IF($A89="","",IF($GU89&lt;&gt;"DA",$GU89,IF($GT89&lt;75,"Confidence v5 sub 75.",IF($GP89&lt;0.92,"P v5 sub 92%.",IF($GS89&lt;=0,"EV v5 nepozitiv.",IF($GJ89&gt;0,"Low-conversion absorbit în P0; toate porțile rămân trecute.","Toate porțile v5 sunt trecute."))))))</x:f>
      </x:c>
      <x:c r="GX89" s="158" t="str">
        <x:f t="shared" si="158">IF($A89="","","P v5="&amp;TEXT($GP89,"0.0%")&amp;"; P0 v5="&amp;TEXT($GL89,"0.0%")&amp;"; low-conv="&amp;IF(COUNT($GJ89)=0,"n/a",TEXT($GJ89,"0%"))&amp;"; mult.P0="&amp;IF(COUNT($GK89)=0,"n/a",TEXT($GK89,"0.00"))&amp;"; clasă="&amp;$GN89&amp;"; cap="&amp;TEXT($GO89,"0.0%")&amp;"; Confidence="&amp;TEXT($GT89,"0")&amp;"/100; lineup="&amp;$FN89&amp;"; piață="&amp;$FM89&amp;"; EV="&amp;IF($GS89="","n/a",TEXT($GS89,"0.0%"))&amp;"; gate="&amp;$GU89&amp;"; verdict="&amp;$GV89&amp;". "&amp;$GW89)</x:f>
      </x:c>
      <x:c r="GY89" s="174" t="str">
        <x:f>IF($A89="","",IF($GM89&lt;&gt;"DA","SOURCING INCOMPLETE – REVIEW REQUIRED",IF(MIN($I89,$P89,$W89,$AB89)&lt;'Setari model'!$B$58,"SMALL SAMPLE + PRIOR / SHRINKAGE","VERIFIED / PRIOR / SHRINKAGE")))</x:f>
      </x:c>
      <x:c r="GZ89" s="175" t="str">
        <x:f t="shared" si="159">IF($A89="","",MAX(0,MIN(100,100*(1-AVERAGE(IF($GM89="DA",1,0),MIN(1,$AT89/5))))))</x:f>
      </x:c>
      <x:c r="HA89" s="175" t="str">
        <x:f>IF($A89="","",IF($GM89&lt;&gt;"DA","",MAX(0,MIN(100,100*(($FI89*$GK89)-'Setari model'!$B$97)/('Setari model'!$B$98-'Setari model'!$B$97)))))</x:f>
      </x:c>
      <x:c r="HB89" s="175" t="str">
        <x:f>IF($A89="","",MAX(0,MIN(100,100*(ABS($BR89-1)/MAX(1-'Setari model'!$B$53,'Setari model'!$B$54-1)+MIN(1,$BG89/2))/2)))</x:f>
      </x:c>
      <x:c r="HC89" s="175" t="str">
        <x:f t="shared" si="160">IF($A89="","",MAX(0,MIN(100,100*(1-AVERAGE($CC89,MAX(0,1-(MAX($BJ89:$BN89)-MIN($BJ89:$BN89))/(AVERAGE($BJ89:$BN89)*'Setari model'!$B$45)))))))</x:f>
      </x:c>
      <x:c r="HD89" s="175" t="str">
        <x:f t="shared" si="161">IF($A89="","",MAX(0,MIN(100,100*MAX(IF($GJ89="",0,$GJ89),MIN(1,$BG89/2)))))</x:f>
      </x:c>
      <x:c r="HE89" s="175" t="str">
        <x:f>IF($A89="","",IF(COUNT($GZ89:$HD89)&lt;5,"",$GZ89*Risk_Classification!$E$28+$HA89*Risk_Classification!$E$29+$HB89*Risk_Classification!$E$30+$HC89*Risk_Classification!$E$31+$HD89*Risk_Classification!$E$32))</x:f>
      </x:c>
      <x:c r="HF89" s="176" t="str">
        <x:f t="shared" si="162">IF($A89="","",IF($HE89="","",IF($HE89&lt;=20,1,IF($HE89&lt;=40,2,IF($HE89&lt;=60,3,IF($HE89&lt;=80,4,5))))))</x:f>
      </x:c>
      <x:c r="HG89" s="176" t="str">
        <x:f t="shared" si="163">IF($A89="","",IF($GM89="DA","PASS","FAIL – DATE CRITICE ZERO-MASS INCOMPLETE"))</x:f>
      </x:c>
      <x:c r="HH89" s="176" t="str">
        <x:f t="shared" si="164">IF($A89="","",IF($HG89&lt;&gt;"PASS",5,$HF89))</x:f>
      </x:c>
      <x:c r="HI89" s="174" t="str">
        <x:f t="shared" si="165">IF($A89="","",IF($HH89="","N/A",IF($HH89=1,"DEFENSIV",IF($HH89=2,"PRUDENT",IF($HH89=3,"MODERAT",IF($HH89=4,"RIDICAT","WATCH / NO BET"))))))</x:f>
      </x:c>
      <x:c r="HJ89" s="177" t="str">
        <x:f t="shared" si="166">IF($A89="","","Data="&amp;$GY89&amp;"; DQ="&amp;TEXT($GZ89,"0.0")&amp;"; ZM="&amp;IF($HA89="","n/a",TEXT($HA89,"0.0"))&amp;"; Context="&amp;TEXT($HB89,"0.0")&amp;"; Uncertainty="&amp;TEXT($HC89,"0.0")&amp;"; Compound="&amp;TEXT($HD89,"0.0")&amp;"; Risk Score="&amp;IF($HE89="","n/a",TEXT($HE89,"0.0"))&amp;"; Base="&amp;IF($HF89="","n/a",$HF89)&amp;"; G0="&amp;$HG89&amp;"; Final="&amp;$HH89&amp;". Cota, EV si lineup sunt informative si nu intra in recomandare.")</x:f>
      </x:c>
      <x:c r="HK89" s="174" t="str">
        <x:f t="shared" si="167">IF($A89="","",$HI89)</x:f>
      </x:c>
    </x:row>
    <x:row r="90" ht="24" customHeight="1">
      <x:c r="A90" s="58"/>
      <x:c r="B90" s="24"/>
      <x:c r="C90" s="59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18"/>
      <x:c r="O90" s="18"/>
      <x:c r="P90" s="24"/>
      <x:c r="Q90" s="24"/>
      <x:c r="R90" s="24"/>
      <x:c r="S90" s="24"/>
      <x:c r="T90" s="24"/>
      <x:c r="U90" s="18"/>
      <x:c r="V90" s="18"/>
      <x:c r="W90" s="24"/>
      <x:c r="X90" s="24"/>
      <x:c r="Y90" s="24"/>
      <x:c r="Z90" s="24"/>
      <x:c r="AA90" s="24"/>
      <x:c r="AB90" s="24"/>
      <x:c r="AC90" s="24"/>
      <x:c r="AD90" s="24"/>
      <x:c r="AE90" s="24"/>
      <x:c r="AF90" s="24"/>
      <x:c r="AG90" s="24"/>
      <x:c r="AH90" s="24"/>
      <x:c r="AI90" s="18"/>
      <x:c r="AJ90" s="24"/>
      <x:c r="AK90" s="24"/>
      <x:c r="AL90" s="24"/>
      <x:c r="AM90" s="18"/>
      <x:c r="AN90" s="24"/>
      <x:c r="AO90" s="60"/>
      <x:c r="AP90" s="60"/>
      <x:c r="AQ90" s="60"/>
      <x:c r="AR90" s="60"/>
      <x:c r="AS90" s="60"/>
      <x:c r="AT90" s="24"/>
      <x:c r="AU90" s="24"/>
      <x:c r="AV90" s="24"/>
      <x:c r="AW90" s="24"/>
      <x:c r="AX90" s="24"/>
      <x:c r="AY90" s="24"/>
      <x:c r="AZ90" s="24"/>
      <x:c r="BA90" s="24"/>
      <x:c r="BB90" s="24"/>
      <x:c r="BC90" s="24"/>
      <x:c r="BD90" s="24"/>
      <x:c r="BE90" s="24"/>
      <x:c r="BF90" s="24"/>
      <x:c r="BG90" s="24"/>
      <x:c r="BH90" s="61"/>
      <x:c r="BI90" s="61"/>
      <x:c r="BJ90" s="62" t="str">
        <x:f>IF($A90="","",SQRT((($I90*IF($J90="",$AJ90,$J90)+'Setari model'!$B$30*$AJ90)/($I90+'Setari model'!$B$30))*(($P90*IF($R90="",$AJ90,$R90)+'Setari model'!$B$30*$AJ90)/($P90+'Setari model'!$B$30)))+SQRT((($P90*IF($Q90="",$AK90,$Q90)+'Setari model'!$B$30*$AK90)/($P90+'Setari model'!$B$30))*(($I90*IF($K90="",$AK90,$K90)+'Setari model'!$B$30*$AK90)/($I90+'Setari model'!$B$30))))</x:f>
      </x:c>
      <x:c r="BK90" s="62" t="str">
        <x:f>IF($A90="","",SQRT((($I90*IF($L90="",IF($J90="",$AJ90,$J90),$L90)+'Setari model'!$B$30*$AJ90)/($I90+'Setari model'!$B$30))*(($P90*IF($T90="",IF($R90="",$AJ90,$R90),$T90)+'Setari model'!$B$30*$AJ90)/($P90+'Setari model'!$B$30)))+SQRT((($P90*IF($S90="",IF($Q90="",$AK90,$Q90),$S90)+'Setari model'!$B$30*$AK90)/($P90+'Setari model'!$B$30))*(($I90*IF($M90="",IF($K90="",$AK90,$K90),$M90)+'Setari model'!$B$30*$AK90)/($I90+'Setari model'!$B$30))))</x:f>
      </x:c>
      <x:c r="BL90" s="62" t="str">
        <x:f>IF($A90="","",SQRT((($W90*IF($X90="",$AL90/2,$X90)+'Setari model'!$B$31*$AL90/2)/($W90+'Setari model'!$B$31))*(($AB90*IF($AD90="",$AL90/2,$AD90)+'Setari model'!$B$31*$AL90/2)/($AB90+'Setari model'!$B$31)))+SQRT((($AB90*IF($AC90="",$AL90/2,$AC90)+'Setari model'!$B$31*$AL90/2)/($AB90+'Setari model'!$B$31))*(($W90*IF($Y90="",$AL90/2,$Y90)+'Setari model'!$B$31*$AL90/2)/($W90+'Setari model'!$B$31))))</x:f>
      </x:c>
      <x:c r="BM90" s="62" t="str">
        <x:f>IF($A90="","",SQRT((($W90*IF($Z90="",IF($X90="",$AL90/2,$X90),$Z90)+'Setari model'!$B$31*$AL90/2)/($W90+'Setari model'!$B$31))*(($AB90*IF($AF90="",IF($AD90="",$AL90/2,$AD90),$AF90)+'Setari model'!$B$31*$AL90/2)/($AB90+'Setari model'!$B$31)))+SQRT((($AB90*IF($AE90="",IF($AC90="",$AL90/2,$AC90),$AE90)+'Setari model'!$B$31*$AL90/2)/($AB90+'Setari model'!$B$31))*(($W90*IF($AA90="",IF($Y90="",$AL90/2,$Y90),$AA90)+'Setari model'!$B$31*$AL90/2)/($W90+'Setari model'!$B$31))))</x:f>
      </x:c>
      <x:c r="BN90" s="62" t="str">
        <x:f t="shared" si="112">IF($A90="","",IF($AG90&gt;0,($AG90*IF($AH90="",$AL90,$AH90)+5*$AL90)/($AG90+5),$AL90))</x:f>
      </x:c>
      <x:c r="BO90" s="63" t="str">
        <x:f>IF($A90="","",IF($AR90&gt;1,IF($AS90&gt;1,(1/$AR90)/((1/$AR90+1/$AS90)),MIN(0.995,(1/$AR90)/(1+'Setari model'!$B$32))),1-EXP(-$AL90)))</x:f>
      </x:c>
      <x:c r="BP90" s="62" t="str">
        <x:f t="shared" si="113">IF($A90="","",-LN(1-$BO90))</x:f>
      </x:c>
      <x:c r="BQ90" s="62" t="str">
        <x:f>IF($A90="","",$BJ90*INDEX('Setari model'!$B$5:$B$11,MATCH($E90,'Setari model'!$A$5:$A$11,0))+$BK90*INDEX('Setari model'!$C$5:$C$11,MATCH($E90,'Setari model'!$A$5:$A$11,0))+$BL90*INDEX('Setari model'!$D$5:$D$11,MATCH($E90,'Setari model'!$A$5:$A$11,0))+$BM90*INDEX('Setari model'!$E$5:$E$11,MATCH($E90,'Setari model'!$A$5:$A$11,0))+$BN90*INDEX('Setari model'!$F$5:$F$11,MATCH($E90,'Setari model'!$A$5:$A$11,0))+$BP90*INDEX('Setari model'!$G$5:$G$11,MATCH($E90,'Setari model'!$A$5:$A$11,0)))</x:f>
      </x:c>
      <x:c r="BR90" s="64" t="str">
        <x:f>IF($A90="","",MAX('Setari model'!$B$53,MIN('Setari model'!$B$54,1+($AV90*'Setari model'!$B$15+$AW90*'Setari model'!$B$16+$AX90*'Setari model'!$B$17+$AY90*'Setari model'!$B$18+$AZ90*'Setari model'!$B$19+$BA90*'Setari model'!$B$20+$BB90*'Setari model'!$B$21+$BC90*'Setari model'!$B$22+$BD90*'Setari model'!$B$23+$BE90*'Setari model'!$B$24+$BF90*'Setari model'!$B$25)*INDEX('Setari model'!$H$5:$H$11,MATCH($E90,'Setari model'!$A$5:$A$11,0)))))</x:f>
      </x:c>
      <x:c r="BS90" s="62" t="str">
        <x:f t="shared" si="114">IF($A90="","",$BQ90*$BR90)</x:f>
      </x:c>
      <x:c r="BT90" s="63" t="str">
        <x:f t="shared" si="115">IF($A90="","",EXP(-$BS90))</x:f>
      </x:c>
      <x:c r="BU90" s="65" t="str">
        <x:f>IF($A90="","",IF(OR($AM90="",$AN90=""),1,1+MIN('Setari model'!$B$33,$AN90/100*'Setari model'!$B$33)*($AM90/EXP(-$AL90)-1)))</x:f>
      </x:c>
      <x:c r="BV90" s="63" t="str">
        <x:f>IF($A90="","",MIN(0.45,MAX(0.005,(1-'Setari model'!$B$34*MIN(1,($I90+$P90)/20))*MIN(0.45,$BT90*$BU90)+'Setari model'!$B$34*MIN(1,($I90+$P90)/20)*IF(COUNT($N90,$U90)=2,SQRT(MAX(0,1-$N90)*MAX(0,1-$U90)),IF($AM90="",EXP(-$AL90),$AM90)))))</x:f>
      </x:c>
      <x:c r="BW90" s="63" t="str">
        <x:f t="shared" si="116">IF($A90="","",1-$BV90)</x:f>
      </x:c>
      <x:c r="BX90" s="62" t="str">
        <x:f t="shared" si="117">IF($A90="","",1/$BW90)</x:f>
      </x:c>
      <x:c r="BY90" s="63" t="str">
        <x:f t="shared" si="118">IF($A90="","",$BO90)</x:f>
      </x:c>
      <x:c r="BZ90" s="63" t="str">
        <x:f t="shared" si="119">IF($A90="","",$BW90-$BY90)</x:f>
      </x:c>
      <x:c r="CA90" s="63" t="str">
        <x:f t="shared" si="120">IF($A90="","",IF($AR90&gt;1,$BW90*$AR90-1,""))</x:f>
      </x:c>
      <x:c r="CB90" s="63" t="str">
        <x:f>IF($A90="","",MIN(1,COUNT($I90:$AN90,$AR90:$BG90)/'Setari model'!$B$46))</x:f>
      </x:c>
      <x:c r="CC90" s="63" t="str">
        <x:f t="shared" si="121">IF($A90="","",0.25*MIN(1,$I90/10)+0.25*MIN(1,$P90/10)+0.15*MIN(1,$W90/5)+0.15*MIN(1,$AB90/5)+0.1*MIN(1,$AG90/5)+0.1*MIN(1,$AN90/100))</x:f>
      </x:c>
      <x:c r="CD90" s="63" t="str">
        <x:f>IF($A90="","",MAX(0,1-(MAX($BJ90:$BN90,$BP90)-MIN($BJ90:$BN90,$BP90))/(AVERAGE($BJ90:$BN90,$BP90)*'Setari model'!$B$45)))</x:f>
      </x:c>
      <x:c r="CE90" s="66" t="str">
        <x:f>IF($A90="","",MAX(0,MIN(100,100*INDEX('Setari model'!$I$5:$I$11,MATCH($E90,'Setari model'!$A$5:$A$11,0))*('Setari model'!$B$47*$CB90+'Setari model'!$B$48*$CC90+'Setari model'!$B$49*$CD90+'Setari model'!$B$50*$AT90/5+'Setari model'!$B$51*$AU90)-100*'Setari model'!$B$52*$BG90)))</x:f>
      </x:c>
      <x:c r="CF90" s="65" t="str">
        <x:f t="shared" si="122">IF($A90="","",IF(OR($AT90&lt;3,$BG90&gt;=2,$CB90&lt;0.55,$CC90&lt;0.4),"RIDICAT",IF(OR($AU90=0,$CD90&lt;0.45,$BR90&lt;0.9),"MEDIU","SCĂZUT")))</x:f>
      </x:c>
      <x:c r="CG90" s="65" t="str">
        <x:f>IF($A90="","",IF($AR90&gt;1,IF(AND($BW90&gt;= 'Setari model'!$B$35,$CE90&gt;=100*'Setari model'!$B$36,$BZ90&gt;= 'Setari model'!$B$37,$CA90&gt;= 'Setari model'!$B$38,$CF90&lt;&gt;"RIDICAT"),"PARIU RECOMANDAT",IF(AND($BW90&gt;= 'Setari model'!$B$39,$CE90&gt;=100*'Setari model'!$B$40,$BZ90&gt;= 'Setari model'!$B$41,$CA90&gt;=0,$CF90&lt;&gt;"RIDICAT"),"RECOMANDAT CU PRUDENȚĂ",IF(AND($BW90&gt;= 'Setari model'!$B$42,$CE90&gt;=100*'Setari model'!$B$43),"ANALIZĂ NECONCLUDENTĂ","PARIU EVITAT"))),IF(AND($BW90&gt;= 'Setari model'!$B$35,$CE90&gt;=100*'Setari model'!$B$36,$CF90&lt;&gt;"RIDICAT"),"FAVORABIL STATISTIC – VERIFICĂ COTA",IF(AND($BW90&gt;= 'Setari model'!$B$42,$CE90&gt;=100*'Setari model'!$B$43),"ANALIZĂ NECONCLUDENTĂ","PARIU EVITAT"))))</x:f>
      </x:c>
      <x:c r="CH90" s="67" t="str">
        <x:f t="shared" si="123">IF($A90="","","P(O0,5)="&amp;TEXT($BW90,"0.0%")&amp;"; λ ajustat="&amp;TEXT($BS90,"0.00")&amp;"; Confidence="&amp;TEXT($CE90,"0")&amp;"/100; Edge="&amp;TEXT($BZ90,"0.0%")&amp;"; risc="&amp;$CF90&amp;". "&amp;$BH90)</x:f>
      </x:c>
      <x:c r="CI90" s="68" t="str">
        <x:f t="shared" si="124">IF($A90="","",$BI90)</x:f>
      </x:c>
      <x:c r="CJ90" s="112"/>
      <x:c r="CK90" s="112"/>
      <x:c r="CL90" s="112"/>
      <x:c r="CM90" s="112"/>
      <x:c r="CN90" s="112"/>
      <x:c r="CO90" s="112"/>
      <x:c r="CP90" s="112"/>
      <x:c r="CQ90" s="112"/>
      <x:c r="CR90" s="112"/>
      <x:c r="CS90" s="112"/>
      <x:c r="CT90" s="112"/>
      <x:c r="CU90" s="112"/>
      <x:c r="CV90" s="112"/>
      <x:c r="CW90" s="112"/>
      <x:c r="CX90" s="112"/>
      <x:c r="CY90" s="112"/>
      <x:c r="CZ90" s="112"/>
      <x:c r="DA90" s="112"/>
      <x:c r="DB90" s="112"/>
      <x:c r="DC90" s="114"/>
      <x:c r="DD90" s="114"/>
      <x:c r="DE90" s="112" t="s">
        <x:v>266</x:v>
      </x:c>
      <x:c r="DF90" s="112"/>
      <x:c r="DG90" s="112"/>
      <x:c r="DH90" s="112"/>
      <x:c r="DI90" s="112"/>
      <x:c r="DJ90" s="112"/>
      <x:c r="DK90" s="112"/>
      <x:c r="DL90" s="112"/>
      <x:c r="DM90" s="112"/>
      <x:c r="DN90" s="112"/>
      <x:c r="DO90" s="112"/>
      <x:c r="DP90" s="112"/>
      <x:c r="DQ90" s="114"/>
      <x:c r="DR90" s="112">
        <x:v>1</x:v>
      </x:c>
      <x:c r="DS90" s="116">
        <x:v>0</x:v>
      </x:c>
      <x:c r="DT90" s="120"/>
      <x:c r="DU90" s="116">
        <x:v>0.02</x:v>
      </x:c>
      <x:c r="DV90" s="116">
        <x:v>0.25</x:v>
      </x:c>
      <x:c r="DW90" s="118" t="str">
        <x:f>IF($A90="","",MAX('Setari model'!$B$71,MIN('Setari model'!$B$72,1+0.08*(IFERROR(AVERAGE($CM90:$CN90)/'Setari model'!$B$66,1)-1)+0.08*(IFERROR(AVERAGE($CO90:$CP90)/'Setari model'!$B$67,1)-1)+0.06*(IFERROR(AVERAGE($CQ90:$CR90)/'Setari model'!$B$68,1)-1)+0.04*(IFERROR(AVERAGE($CS90:$CT90)/'Setari model'!$B$69,1)-1)+0.04*(IFERROR(AVERAGE($CU90:$CV90)/'Setari model'!$B$70,1)-1)-'Setari model'!$B$73*IFERROR(AVERAGE($CW90:$CX90),0))))</x:f>
      </x:c>
      <x:c r="DX90" s="118" t="str">
        <x:f>IF($A90="","",1+'Setari model'!$B$62*MAX(IF(OR($CK90=1,$CL90=1),1,0),IF(AND($CJ90&lt;&gt;"",$CJ90&lt;=1),1,0))+'Setari model'!$B$63*IF(AND($CJ90&gt;1,$CJ90&lt;=3),1,0))</x:f>
      </x:c>
      <x:c r="DY90" s="118" t="str">
        <x:f>IF($A90="","",1+'Setari model'!$B$74*(IF($CY90="",0,IF($CY90=0,1,0))+IF($CZ90="",0,IF($CZ90=0,1,0)))+'Setari model'!$B$75*(IF($DA90="",0,IF($DA90=0,1,0))+IF($DB90="",0,IF($DB90=0,1,0))))</x:f>
      </x:c>
      <x:c r="DZ90" s="117" t="str">
        <x:f>IF($A90="","",MIN(0.6,MAX(0.002,(((1-'Setari model'!$B$34*MIN(1,($I90+$P90)/20))*$BT90+'Setari model'!$B$34*MIN(1,($I90+$P90)/20)*IF(COUNT($N90,$U90)=2,SQRT(MAX(0,1-$N90)*MAX(0,1-$U90)),$BT90))*(1-'Setari model'!$B$65*MIN(1,IF($AN90="",0,$AN90/'Setari model'!$B$64)))+'Setari model'!$B$65*MIN(1,IF($AN90="",0,$AN90/'Setari model'!$B$64))*IF($AM90="",$BT90,$AM90))*$DX90*$DY90/$DW90)))</x:f>
      </x:c>
      <x:c r="EA90" s="117" t="str">
        <x:f>IF($A90="","",MIN(1-$DZ90,IF(OR(MIN($I90,$P90)&lt;'Setari model'!$B$58,$CK90=1,$CL90=1,AND($CJ90&lt;&gt;"",$CJ90&lt;=1)),'Setari model'!$B$59,IF(AND($AU90=1,$AR90&gt;1,COUNT($CY90:$DB90)=4),'Setari model'!$B$61,'Setari model'!$B$60))))</x:f>
      </x:c>
      <x:c r="EB90" s="115" t="str">
        <x:f t="shared" si="125">IF($A90="","",1/$EA90)</x:f>
      </x:c>
      <x:c r="EC90" s="117" t="str">
        <x:f t="shared" si="126">IF($A90="","",IF($AR90&gt;1,IF($AS90&gt;1,(1/$AR90)/((1/$AR90)+(1/$AS90)),1/$AR90),""))</x:f>
      </x:c>
      <x:c r="ED90" s="117" t="str">
        <x:f t="shared" si="127">IF($A90="","",IF($EC90="","",$EA90-$EC90))</x:f>
      </x:c>
      <x:c r="EE90" s="117" t="str">
        <x:f t="shared" si="128">""</x:f>
      </x:c>
      <x:c r="EF90" s="119" t="str">
        <x:f>IF($A90="","",MAX(0,MIN(100,$CE90-200*MAX(0,$EG90-'Setari model'!$B$77)-IF($AU90&lt;&gt;1,10,0)-IF(COUNT($CY90:$DB90)&lt;4,4,0))))</x:f>
      </x:c>
      <x:c r="EG90" s="117" t="str">
        <x:f>IF($A90="","",'Setari model'!$B$77+IF(MIN($I90,$P90)&lt;'Setari model'!$B$58,0.03,0)+IF(OR($CK90=1,$CL90=1,AND($CJ90&lt;&gt;"",$CJ90&lt;=1)),0.03,0)+IF($AG90=0,0.02,0)+0.03*(1-MIN(1,COUNT($CM90:$CV90)/10))+0.03*(1-MIN(1,IF($AN90="",0,$AN90/'Setari model'!$B$64)))+IF($AR90&lt;=1,0.02,0))</x:f>
      </x:c>
      <x:c r="EH90" s="113" t="str">
        <x:f>IF($A90="","",IF(OR(MIN($I90,$P90)&lt;'Setari model'!$B$58,$CK90=1,$CL90=1,AND($CJ90&lt;&gt;"",$CJ90&lt;=1)),"92% – early/regim",IF(AND($AU90=1,$AR90&gt;1,COUNT($CY90:$DB90)=4),"94% – confirmat","93% – standard")))</x:f>
      </x:c>
      <x:c r="EI90" s="113" t="str">
        <x:f t="shared" si="129">IF($A90="","",IF(AND($EA90&gt;0.9,$AU90&lt;&gt;1),"WAIT XI – HIGH P",IF(AND($EA90&gt;0.9,COUNT($CY90:$DB90)&lt;4),"WAIT DATE CHEIE – HIGH P",IF($EP90&lt;&gt;"DA","NU – PORTOFOLIU","DA"))))</x:f>
      </x:c>
      <x:c r="EJ90" s="117" t="str">
        <x:f t="shared" si="130">IF($A90="","",IF($DE90&lt;&gt;"Live 20-30","",IF(SUM($DG90:$DH90)&gt;0,1,IF($EU90="","",1-MIN(0.95,MAX(0.001,EXP(-$EU90)*$DX90*$DY90/$DW90))))))</x:f>
      </x:c>
      <x:c r="EK90" s="117" t="str">
        <x:f t="shared" si="131">""</x:f>
      </x:c>
      <x:c r="EL90" s="113" t="str">
        <x:f>IF($A90="","",IF($DE90="Live 20-30",IF(SUM($DG90:$DH90)&gt;0,"EVENIMENT ÎNDEPLINIT",IF(OR($DF90="",COUNT($DI90:$DN90)&lt;4),"LIVE – WATCH",IF($EJ90&gt;=0.75,"LIVE – FEZABIL TEHNIC","LIVE – NO BET"))),IF($EI90&lt;&gt;"DA","WATCH / NO BET",IF(AND($EA90&gt;=INDEX('Setari model'!$B$35:$B$40,1),$EF90&gt;=100*'Setari model'!$B$76),"PARIU RECOMANDAT",IF(AND($EA90&gt;=INDEX('Setari model'!$B$35:$B$40,5),$EF90&gt;=100*'Setari model'!$B$40),"WATCH – APROAPE DE PRAG","PARIU EVITAT")))))</x:f>
      </x:c>
      <x:c r="EM90" s="113" t="str">
        <x:f t="shared" si="132">IF($A90="","",IF($DE90="Live 20-30",IF(SUM($DG90:$DH90)&gt;0,"Gol deja marcat.",IF($DF90="","Minut live lipsă.",IF(COUNT($DI90:$DN90)&lt;4,"Lipsesc xG/SOT/big chances live.",IF($EJ90&lt;0.75,"P live sub prag.","Semnal live tehnic complet; EV ignorat.")))),IF($EI90&lt;&gt;"DA",$EI90,IF($EF90&lt;75,"Confidence sub 75.",IF($EA90&lt;0.92,"P sub 92%.","G0/Zero-Mass + confidence trecute; EV ignorat.")))))</x:f>
      </x:c>
      <x:c r="EN90" s="117" t="str">
        <x:f>IF($A90="","",IF(OR($EL90="PARIU RECOMANDAT",$EL90="LIVE – FEZABIL"),MIN(IF($DU90&gt;0,$DU90,'Setari model'!$B$81)/MAX(1,$DR90),IF($DV90&gt;0,$DV90,'Setari model'!$B$80)*MAX(0,((IF($DE90="Live 20-30",$EJ90,$EA90)*IF($DE90="Live 20-30",$DQ90,$AR90)-1)/(IF($DE90="Live 20-30",$DQ90,$AR90)-1)))),0))</x:f>
      </x:c>
      <x:c r="EO90" s="121" t="str">
        <x:f t="shared" si="133">IF($A90="","",IF(AND($EN90&gt;0,$DT90&gt;0),$EN90*$DT90,""))</x:f>
      </x:c>
      <x:c r="EP90" s="113" t="str">
        <x:f>IF($A90="","",IF(OR($DR90&lt;1,$DR90&gt;'Setari model'!$B$78),"NU – 1–5 selecții",IF($DS90&gt;'Setari model'!$B$79,"NU – corelație", "DA")))</x:f>
      </x:c>
      <x:c r="EQ90" s="117" t="str">
        <x:f t="shared" si="134">IF($A90="","",IF(AND($DC90&gt;1,$DD90&gt;1),$DC90/$DD90-1,""))</x:f>
      </x:c>
      <x:c r="ER90" s="113" t="str">
        <x:f t="shared" si="135">IF($A90="","","P v2="&amp;TEXT($EA90,"0.0%")&amp;" ±"&amp;TEXT($EG90,"0.0%")&amp;"; P0 ZIP="&amp;TEXT($DZ90,"0.0%")&amp;"; Confidence="&amp;TEXT($EF90,"0")&amp;"/100; piață reală="&amp;IF($EC90="","NU","DA")&amp;"; EV="&amp;IF($EE90="","n/a",TEXT($EE90,"0.0%"))&amp;"; gate="&amp;$EI90&amp;"; verdict="&amp;$EL90&amp;". "&amp;$EM90)</x:f>
      </x:c>
      <x:c r="ES90" s="119" t="str">
        <x:f>IF($A90="","",'Setari model'!$B$82)</x:f>
      </x:c>
      <x:c r="ET90" s="118" t="str">
        <x:f>IF($A90="","",'Setari model'!$B$83)</x:f>
      </x:c>
      <x:c r="EU90" s="115" t="str">
        <x:f t="shared" si="136">IF(OR($A90="",$DE90&lt;&gt;"Live 20-30",$DF90="",$DF90&lt;$ES90,$DF90&gt;=90),"",MAX(0.05,MIN($BS90*$ET90,$BS90*(90-$DF90)/90+0.35*($DI90+$DJ90)+0.06*($DK90+$DL90)+0.15*($DM90+$DN90)+0.1*(MAX($DO90,$DP90)-MIN($DO90,$DP90)))))</x:f>
      </x:c>
      <x:c r="EV90" s="132"/>
      <x:c r="EW90" s="132"/>
      <x:c r="EX90" s="132"/>
      <x:c r="EY90" s="132"/>
      <x:c r="EZ90" s="132"/>
      <x:c r="FA90" s="132"/>
      <x:c r="FB90" s="247"/>
      <x:c r="FC90" s="134" t="str">
        <x:f t="shared" si="137">IF($A90="","",IF(OR($J90="",$L90="",$L90&lt;=0),"",MAX(0.5,MIN(1.5,$J90/$L90))))</x:f>
      </x:c>
      <x:c r="FD90" s="134" t="str">
        <x:f t="shared" si="138">IF($A90="","",IF(OR($Q90="",$S90="",$S90&lt;=0),"",MAX(0.5,MIN(1.5,$Q90/$S90))))</x:f>
      </x:c>
      <x:c r="FE90" s="134" t="str">
        <x:f>IF($A90="","",IF(COUNT($EV90:$EW90)&lt;2,"",SQRT($EV90*$EW90)/'Setari model'!$B$87))</x:f>
      </x:c>
      <x:c r="FF90" s="134" t="str">
        <x:f>IF($A90="","",IF(COUNT($O90,$V90,$EX90,$EY90)&lt;4,"",AVERAGE(SQRT($O90*$EY90),SQRT($V90*$EX90))/'Setari model'!$B$88))</x:f>
      </x:c>
      <x:c r="FG90" s="134" t="str">
        <x:f t="shared" si="139">IF($A90="","",IF(COUNT($FC90:$FD90)&lt;2,"",MAX(0,1-AVERAGE($FC90:$FD90))))</x:f>
      </x:c>
      <x:c r="FH90" s="134" t="str">
        <x:f>IF($A90="","",IF(COUNT($EZ90:$FA90)&lt;2,"",'Setari model'!$B$94*AVERAGE($EZ90:$FA90)/'Setari model'!$B$89))</x:f>
      </x:c>
      <x:c r="FI90" s="134" t="str">
        <x:f>IF($A90="","",IF(COUNT($FE90:$FH90)&lt;4,"",MAX('Setari model'!$B$97,MIN('Setari model'!$B$98,1+'Setari model'!$B$90*($FE90-1)+'Setari model'!$B$91*($FF90-1)+'Setari model'!$B$92*$FG90+'Setari model'!$B$93*($FH90-1)))))</x:f>
      </x:c>
      <x:c r="FJ90" s="133" t="str">
        <x:f>IF($A90="","",IF($FI90="","",MIN('Setari model'!$B$101,MAX(0.002,$DZ90*$FI90))))</x:f>
      </x:c>
      <x:c r="FK90" s="131" t="str">
        <x:f t="shared" si="140">IF($A90="","",IF(AND(COUNT($EV90:$FA90)=6,COUNT($O90,$V90,$FC90,$FD90)=4),"DA","NU"))</x:f>
      </x:c>
      <x:c r="FL90" s="131" t="str">
        <x:f>IF($A90="","",IF($FK90&lt;&gt;"DA","NEDETERMINAT",IF($FI90&lt;='Setari model'!$B$99,"SCĂZUT",IF($FI90&lt;='Setari model'!$B$100,"MEDIU","RIDICAT"))))</x:f>
      </x:c>
      <x:c r="FM90" s="131" t="str">
        <x:f>IF($A90="","",IF(AND($AR90&gt;1,$EC90&gt;='Setari model'!$B$106),"DA","NU"))</x:f>
      </x:c>
      <x:c r="FN90" s="131" t="str">
        <x:f t="shared" si="141">IF($A90="","",IF(AND($AU90=1,COUNT($CY90:$DB90)=4),"DA","NU"))</x:f>
      </x:c>
      <x:c r="FO90" s="133" t="str">
        <x:f>IF($A90="","",IF(OR($FK90&lt;&gt;"DA",$FL90="RIDICAT"),'Setari model'!$B$102,IF($FL90="MEDIU",'Setari model'!$B$103,IF(AND($FM90="DA",$FN90="DA"),'Setari model'!$B$105,'Setari model'!$B$104))))</x:f>
      </x:c>
      <x:c r="FP90" s="133" t="str">
        <x:f t="shared" si="142">IF($A90="","",IF($FJ90="","",MIN(1-$FJ90,$FO90)))</x:f>
      </x:c>
      <x:c r="FQ90" s="135" t="str">
        <x:f t="shared" si="143">IF($A90="","",IF($FP90="","",IF($FP90&gt;0,1/$FP90,"")))</x:f>
      </x:c>
      <x:c r="FR90" s="133" t="str">
        <x:f t="shared" si="144">IF($A90="","",IF($EC90="","",$FP90-$EC90))</x:f>
      </x:c>
      <x:c r="FS90" s="133" t="str">
        <x:f t="shared" si="145">IF($A90="","",IF($AR90&gt;1,$FP90*$AR90-1,""))</x:f>
      </x:c>
      <x:c r="FT90" s="136" t="str">
        <x:f>IF($A90="","",MAX(0,MIN(100,$EF90-IF($FK90&lt;&gt;"DA",'Setari model'!$B$107,0)-IF($FL90="MEDIU",'Setari model'!$B$108,0)-IF($FL90="RIDICAT",'Setari model'!$B$109,0))))</x:f>
      </x:c>
      <x:c r="FU90" s="131" t="str">
        <x:f t="shared" si="146">IF($A90="","",IF($AR90&lt;=1,"NU – LIPSEȘTE COTA REALĂ",IF($FK90&lt;&gt;"DA","NU – ZERO-RISK INCOMPLET",IF($FL90&lt;&gt;"SCĂZUT","NU – RISC 0-0 "&amp;$FL90,IF($FN90&lt;&gt;"DA","NU – LINEUP NECONFIRMAT",IF($FM90&lt;&gt;"DA","NU – PIAȚĂ NECONFIRMATĂ",IF($EP90&lt;&gt;"DA","NU – PORTOFOLIU","DA")))))))</x:f>
      </x:c>
      <x:c r="FV90" s="131" t="str">
        <x:f>IF($A90="","",IF($FU90&lt;&gt;"DA","WATCH / NO BET",IF(AND($FP90&gt;='Setari model'!$B$35,$FT90&gt;=100*'Setari model'!$B$76,$FS90&gt;0),"PARIU RECOMANDAT",IF(AND($FP90&gt;='Setari model'!$B$39,$FT90&gt;=100*'Setari model'!$B$40,$FS90&gt;0),"WATCH – APROAPE DE PRAG","PARIU EVITAT"))))</x:f>
      </x:c>
      <x:c r="FW90" s="131" t="str">
        <x:f t="shared" si="147">IF($A90="","",IF($FU90&lt;&gt;"DA",$FU90,IF($FT90&lt;75,"Confidence v3 sub 75.",IF($FP90&lt;0.92,"P v3 sub 92%.",IF($FS90&lt;=0,"EV v3 nepozitiv.","P0 v3, lineup și piață confirmate.")))))</x:f>
      </x:c>
      <x:c r="FX90" s="131" t="str">
        <x:f t="shared" si="148">IF($A90="","","P v3="&amp;TEXT($FP90,"0.0%")&amp;"; P0 v3="&amp;TEXT($FJ90,"0.0%")&amp;"; factor zero="&amp;IF($FI90="","n/a",TEXT($FI90,"0.00x"))&amp;" ("&amp;$FL90&amp;"); cap="&amp;TEXT($FO90,"0.0%")&amp;"; Confidence="&amp;TEXT($FT90,"0")&amp;"/100; lineup="&amp;$FN90&amp;"; piață="&amp;$FM90&amp;"; EV="&amp;IF($FS90="","n/a",TEXT($FS90,"0.0%"))&amp;"; gate="&amp;$FU90&amp;"; verdict="&amp;$FV90&amp;". "&amp;$FW90)</x:f>
      </x:c>
      <x:c r="FY90" s="159"/>
      <x:c r="FZ90" s="159"/>
      <x:c r="GA90" s="157"/>
      <x:c r="GB90" s="157"/>
      <x:c r="GC90" s="161" t="str">
        <x:f t="shared" si="149">IF($A90="","",IF(OR($X90="",$Z90="",$Z90&lt;=0),"",MAX(0.5,MIN(1.5,$X90/$Z90))))</x:f>
      </x:c>
      <x:c r="GD90" s="161" t="str">
        <x:f t="shared" si="150">IF($A90="","",IF(OR($AC90="",$AE90="",$AE90&lt;=0),"",MAX(0.5,MIN(1.5,$AC90/$AE90))))</x:f>
      </x:c>
      <x:c r="GE90" s="162" t="str">
        <x:f t="shared" si="151">IF($A90="","",IF(COUNT($Z90,$AE90)&lt;2,"",AVERAGE($Z90,$AE90)))</x:f>
      </x:c>
      <x:c r="GF90" s="158" t="str">
        <x:f>IF($A90="","",IF(COUNT($FY90:$FZ90)&lt;2,"NEDETERMINAT",IF(AND($FY90&gt;='Setari model'!$B$113,$FZ90&gt;='Setari model'!$B$113),"DA","NU")))</x:f>
      </x:c>
      <x:c r="GG90" s="158" t="str">
        <x:f>IF($A90="","",IF(COUNT($FY90:$FZ90,$EX90:$EY90)&lt;4,"NEDETERMINAT",IF(OR(AND($FY90&gt;='Setari model'!$B$113,$EY90&gt;='Setari model'!$B$114),AND($FZ90&gt;='Setari model'!$B$113,$EX90&gt;='Setari model'!$B$114)),"DA","NU")))</x:f>
      </x:c>
      <x:c r="GH90" s="158" t="str">
        <x:f>IF($A90="","",IF(COUNT($BJ90:$BN90,$GC90:$GE90)&lt;8,"NEDETERMINAT",IF(AND((($BJ90*INDEX('Setari model'!$B$5:$B$11,MATCH($E90,'Setari model'!$A$5:$A$11,0))+$BK90*INDEX('Setari model'!$C$5:$C$11,MATCH($E90,'Setari model'!$A$5:$A$11,0))+$BL90*INDEX('Setari model'!$D$5:$D$11,MATCH($E90,'Setari model'!$A$5:$A$11,0))+$BM90*INDEX('Setari model'!$E$5:$E$11,MATCH($E90,'Setari model'!$A$5:$A$11,0))+$BN90*INDEX('Setari model'!$F$5:$F$11,MATCH($E90,'Setari model'!$A$5:$A$11,0)))/(INDEX('Setari model'!$B$5:$B$11,MATCH($E90,'Setari model'!$A$5:$A$11,0))+INDEX('Setari model'!$C$5:$C$11,MATCH($E90,'Setari model'!$A$5:$A$11,0))+INDEX('Setari model'!$D$5:$D$11,MATCH($E90,'Setari model'!$A$5:$A$11,0))+INDEX('Setari model'!$E$5:$E$11,MATCH($E90,'Setari model'!$A$5:$A$11,0))+INDEX('Setari model'!$F$5:$F$11,MATCH($E90,'Setari model'!$A$5:$A$11,0))))*$BR90&gt;='Setari model'!$B$115,(($BJ90*INDEX('Setari model'!$B$5:$B$11,MATCH($E90,'Setari model'!$A$5:$A$11,0))+$BK90*INDEX('Setari model'!$C$5:$C$11,MATCH($E90,'Setari model'!$A$5:$A$11,0))+$BL90*INDEX('Setari model'!$D$5:$D$11,MATCH($E90,'Setari model'!$A$5:$A$11,0))+$BM90*INDEX('Setari model'!$E$5:$E$11,MATCH($E90,'Setari model'!$A$5:$A$11,0))+$BN90*INDEX('Setari model'!$F$5:$F$11,MATCH($E90,'Setari model'!$A$5:$A$11,0)))/(INDEX('Setari model'!$B$5:$B$11,MATCH($E90,'Setari model'!$A$5:$A$11,0))+INDEX('Setari model'!$C$5:$C$11,MATCH($E90,'Setari model'!$A$5:$A$11,0))+INDEX('Setari model'!$D$5:$D$11,MATCH($E90,'Setari model'!$A$5:$A$11,0))+INDEX('Setari model'!$E$5:$E$11,MATCH($E90,'Setari model'!$A$5:$A$11,0))+INDEX('Setari model'!$F$5:$F$11,MATCH($E90,'Setari model'!$A$5:$A$11,0))))*$BR90&lt;='Setari model'!$B$116,AVERAGE($GC90:$GD90)&lt;='Setari model'!$B$117,$GE90&gt;='Setari model'!$B$118),"DA","NU")))</x:f>
      </x:c>
      <x:c r="GI90" s="158" t="str">
        <x:f>IF($A90="","",IF(COUNT($W90,$AB90,$GA90:$GB90)&lt;4,"NEDETERMINAT",IF(AND($W90&gt;='Setari model'!$B$120,$AB90&gt;='Setari model'!$B$120,OR(IFERROR($GA90/$W90,0)&gt;='Setari model'!$B$119,IFERROR($GB90/$AB90,0)&gt;='Setari model'!$B$119)),"DA","NU")))</x:f>
      </x:c>
      <x:c r="GJ90" s="160" t="str">
        <x:f>IF($A90="","",IF(COUNT($FY90:$GB90)&lt;4,"",IF($GH90&lt;&gt;"DA",0,'Setari model'!$B$121*IF($GF90="DA",1,0)+'Setari model'!$B$122*IF($GG90="DA",1,0)+'Setari model'!$B$123+'Setari model'!$B$124*IF($GI90="DA",1,0))))</x:f>
      </x:c>
      <x:c r="GK90" s="161" t="str">
        <x:f>IF($A90="","",IF(COUNT($GJ90)=0,"",1+'Setari model'!$B$125*$GJ90))</x:f>
      </x:c>
      <x:c r="GL90" s="160" t="str">
        <x:f>IF($A90="","",IF($GM90&lt;&gt;"DA",$FJ90,MIN('Setari model'!$B$101,MAX(0.002,$FJ90*$GK90))))</x:f>
      </x:c>
      <x:c r="GM90" s="158" t="str">
        <x:f>IF($A90="","",IF(AND($FK90="DA",COUNT($FY90:$GB90)=4,COUNT($I90,$P90,$W90,$AB90,$Z90,$AE90,$EX90,$EY90,$GC90,$GD90)=10,COUNT($BJ90:$BN90)=5),"DA","NU"))</x:f>
      </x:c>
      <x:c r="GN90" s="158" t="str">
        <x:f>IF($A90="","",IF($GM90&lt;&gt;"DA","NEDETERMINAT",IF($FI90*$GK90&lt;='Setari model'!$B$99,"SCĂZUT",IF($FI90*$GK90&lt;='Setari model'!$B$100,"MEDIU","RIDICAT"))))</x:f>
      </x:c>
      <x:c r="GO90" s="160" t="str">
        <x:f>IF($A90="","",IF(OR($GM90&lt;&gt;"DA",$GN90="RIDICAT"),'Setari model'!$B$102,IF($GN90="MEDIU",'Setari model'!$B$103,IF(AND($FM90="DA",$FN90="DA"),'Setari model'!$B$105,'Setari model'!$B$104))))</x:f>
      </x:c>
      <x:c r="GP90" s="160" t="str">
        <x:f t="shared" si="152">IF($A90="","",IF($GL90="","",MIN(1-$GL90,$GO90)))</x:f>
      </x:c>
      <x:c r="GQ90" s="162" t="str">
        <x:f t="shared" si="153">IF($A90="","",IF($GP90="","",IF($GP90&gt;0,1/$GP90,"")))</x:f>
      </x:c>
      <x:c r="GR90" s="160" t="str">
        <x:f t="shared" si="154">IF($A90="","",IF($EC90="","",$GP90-$EC90))</x:f>
      </x:c>
      <x:c r="GS90" s="160" t="str">
        <x:f t="shared" si="155">IF($A90="","",IF($AR90&gt;1,$GP90*$AR90-1,""))</x:f>
      </x:c>
      <x:c r="GT90" s="163" t="str">
        <x:f>IF($A90="","",MAX(0,MIN(100,$FT90-IF(AND($GM90&lt;&gt;"DA",$FK90="DA"),'Setari model'!$B$107,0)-'Setari model'!$B$126*IF($GJ90="",0,$GJ90))))</x:f>
      </x:c>
      <x:c r="GU90" s="158" t="str">
        <x:f t="shared" si="156">IF($A90="","",IF($AR90&lt;=1,"NU – LIPSEȘTE COTA REALĂ",IF($GM90&lt;&gt;"DA","NU – DATE LOW-CONVERSION INCOMPLETE",IF($GN90&lt;&gt;"SCĂZUT","NU – RISC 0-0 "&amp;$GN90,IF($FN90&lt;&gt;"DA","NU – LINEUP NECONFIRMAT",IF($FM90&lt;&gt;"DA","NU – PIAȚĂ NECONFIRMATĂ",IF($EP90&lt;&gt;"DA","NU – PORTOFOLIU","DA")))))))</x:f>
      </x:c>
      <x:c r="GV90" s="158" t="str">
        <x:f>IF($A90="","",IF($GU90&lt;&gt;"DA","WATCH / NO BET",IF(AND($GP90&gt;='Setari model'!$B$35,$GT90&gt;=100*'Setari model'!$B$76,$GS90&gt;0),"PARIU RECOMANDAT",IF(AND($GP90&gt;='Setari model'!$B$39,$GT90&gt;=100*'Setari model'!$B$40,$GS90&gt;0),"WATCH – APROAPE DE PRAG","PARIU EVITAT"))))</x:f>
      </x:c>
      <x:c r="GW90" s="158" t="str">
        <x:f t="shared" si="157">IF($A90="","",IF($GU90&lt;&gt;"DA",$GU90,IF($GT90&lt;75,"Confidence v5 sub 75.",IF($GP90&lt;0.92,"P v5 sub 92%.",IF($GS90&lt;=0,"EV v5 nepozitiv.",IF($GJ90&gt;0,"Low-conversion absorbit în P0; toate porțile rămân trecute.","Toate porțile v5 sunt trecute."))))))</x:f>
      </x:c>
      <x:c r="GX90" s="158" t="str">
        <x:f t="shared" si="158">IF($A90="","","P v5="&amp;TEXT($GP90,"0.0%")&amp;"; P0 v5="&amp;TEXT($GL90,"0.0%")&amp;"; low-conv="&amp;IF(COUNT($GJ90)=0,"n/a",TEXT($GJ90,"0%"))&amp;"; mult.P0="&amp;IF(COUNT($GK90)=0,"n/a",TEXT($GK90,"0.00"))&amp;"; clasă="&amp;$GN90&amp;"; cap="&amp;TEXT($GO90,"0.0%")&amp;"; Confidence="&amp;TEXT($GT90,"0")&amp;"/100; lineup="&amp;$FN90&amp;"; piață="&amp;$FM90&amp;"; EV="&amp;IF($GS90="","n/a",TEXT($GS90,"0.0%"))&amp;"; gate="&amp;$GU90&amp;"; verdict="&amp;$GV90&amp;". "&amp;$GW90)</x:f>
      </x:c>
      <x:c r="GY90" s="174" t="str">
        <x:f>IF($A90="","",IF($GM90&lt;&gt;"DA","SOURCING INCOMPLETE – REVIEW REQUIRED",IF(MIN($I90,$P90,$W90,$AB90)&lt;'Setari model'!$B$58,"SMALL SAMPLE + PRIOR / SHRINKAGE","VERIFIED / PRIOR / SHRINKAGE")))</x:f>
      </x:c>
      <x:c r="GZ90" s="175" t="str">
        <x:f t="shared" si="159">IF($A90="","",MAX(0,MIN(100,100*(1-AVERAGE(IF($GM90="DA",1,0),MIN(1,$AT90/5))))))</x:f>
      </x:c>
      <x:c r="HA90" s="175" t="str">
        <x:f>IF($A90="","",IF($GM90&lt;&gt;"DA","",MAX(0,MIN(100,100*(($FI90*$GK90)-'Setari model'!$B$97)/('Setari model'!$B$98-'Setari model'!$B$97)))))</x:f>
      </x:c>
      <x:c r="HB90" s="175" t="str">
        <x:f>IF($A90="","",MAX(0,MIN(100,100*(ABS($BR90-1)/MAX(1-'Setari model'!$B$53,'Setari model'!$B$54-1)+MIN(1,$BG90/2))/2)))</x:f>
      </x:c>
      <x:c r="HC90" s="175" t="str">
        <x:f t="shared" si="160">IF($A90="","",MAX(0,MIN(100,100*(1-AVERAGE($CC90,MAX(0,1-(MAX($BJ90:$BN90)-MIN($BJ90:$BN90))/(AVERAGE($BJ90:$BN90)*'Setari model'!$B$45)))))))</x:f>
      </x:c>
      <x:c r="HD90" s="175" t="str">
        <x:f t="shared" si="161">IF($A90="","",MAX(0,MIN(100,100*MAX(IF($GJ90="",0,$GJ90),MIN(1,$BG90/2)))))</x:f>
      </x:c>
      <x:c r="HE90" s="175" t="str">
        <x:f>IF($A90="","",IF(COUNT($GZ90:$HD90)&lt;5,"",$GZ90*Risk_Classification!$E$28+$HA90*Risk_Classification!$E$29+$HB90*Risk_Classification!$E$30+$HC90*Risk_Classification!$E$31+$HD90*Risk_Classification!$E$32))</x:f>
      </x:c>
      <x:c r="HF90" s="176" t="str">
        <x:f t="shared" si="162">IF($A90="","",IF($HE90="","",IF($HE90&lt;=20,1,IF($HE90&lt;=40,2,IF($HE90&lt;=60,3,IF($HE90&lt;=80,4,5))))))</x:f>
      </x:c>
      <x:c r="HG90" s="176" t="str">
        <x:f t="shared" si="163">IF($A90="","",IF($GM90="DA","PASS","FAIL – DATE CRITICE ZERO-MASS INCOMPLETE"))</x:f>
      </x:c>
      <x:c r="HH90" s="176" t="str">
        <x:f t="shared" si="164">IF($A90="","",IF($HG90&lt;&gt;"PASS",5,$HF90))</x:f>
      </x:c>
      <x:c r="HI90" s="174" t="str">
        <x:f t="shared" si="165">IF($A90="","",IF($HH90="","N/A",IF($HH90=1,"DEFENSIV",IF($HH90=2,"PRUDENT",IF($HH90=3,"MODERAT",IF($HH90=4,"RIDICAT","WATCH / NO BET"))))))</x:f>
      </x:c>
      <x:c r="HJ90" s="177" t="str">
        <x:f t="shared" si="166">IF($A90="","","Data="&amp;$GY90&amp;"; DQ="&amp;TEXT($GZ90,"0.0")&amp;"; ZM="&amp;IF($HA90="","n/a",TEXT($HA90,"0.0"))&amp;"; Context="&amp;TEXT($HB90,"0.0")&amp;"; Uncertainty="&amp;TEXT($HC90,"0.0")&amp;"; Compound="&amp;TEXT($HD90,"0.0")&amp;"; Risk Score="&amp;IF($HE90="","n/a",TEXT($HE90,"0.0"))&amp;"; Base="&amp;IF($HF90="","n/a",$HF90)&amp;"; G0="&amp;$HG90&amp;"; Final="&amp;$HH90&amp;". Cota, EV si lineup sunt informative si nu intra in recomandare.")</x:f>
      </x:c>
      <x:c r="HK90" s="174" t="str">
        <x:f t="shared" si="167">IF($A90="","",$HI90)</x:f>
      </x:c>
    </x:row>
    <x:row r="91" ht="24" customHeight="1">
      <x:c r="A91" s="58"/>
      <x:c r="B91" s="24"/>
      <x:c r="C91" s="59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18"/>
      <x:c r="O91" s="18"/>
      <x:c r="P91" s="24"/>
      <x:c r="Q91" s="24"/>
      <x:c r="R91" s="24"/>
      <x:c r="S91" s="24"/>
      <x:c r="T91" s="24"/>
      <x:c r="U91" s="18"/>
      <x:c r="V91" s="18"/>
      <x:c r="W91" s="24"/>
      <x:c r="X91" s="24"/>
      <x:c r="Y91" s="24"/>
      <x:c r="Z91" s="24"/>
      <x:c r="AA91" s="24"/>
      <x:c r="AB91" s="24"/>
      <x:c r="AC91" s="24"/>
      <x:c r="AD91" s="24"/>
      <x:c r="AE91" s="24"/>
      <x:c r="AF91" s="24"/>
      <x:c r="AG91" s="24"/>
      <x:c r="AH91" s="24"/>
      <x:c r="AI91" s="18"/>
      <x:c r="AJ91" s="24"/>
      <x:c r="AK91" s="24"/>
      <x:c r="AL91" s="24"/>
      <x:c r="AM91" s="18"/>
      <x:c r="AN91" s="24"/>
      <x:c r="AO91" s="60"/>
      <x:c r="AP91" s="60"/>
      <x:c r="AQ91" s="60"/>
      <x:c r="AR91" s="60"/>
      <x:c r="AS91" s="60"/>
      <x:c r="AT91" s="24"/>
      <x:c r="AU91" s="24"/>
      <x:c r="AV91" s="24"/>
      <x:c r="AW91" s="24"/>
      <x:c r="AX91" s="24"/>
      <x:c r="AY91" s="24"/>
      <x:c r="AZ91" s="24"/>
      <x:c r="BA91" s="24"/>
      <x:c r="BB91" s="24"/>
      <x:c r="BC91" s="24"/>
      <x:c r="BD91" s="24"/>
      <x:c r="BE91" s="24"/>
      <x:c r="BF91" s="24"/>
      <x:c r="BG91" s="24"/>
      <x:c r="BH91" s="61"/>
      <x:c r="BI91" s="61"/>
      <x:c r="BJ91" s="62" t="str">
        <x:f>IF($A91="","",SQRT((($I91*IF($J91="",$AJ91,$J91)+'Setari model'!$B$30*$AJ91)/($I91+'Setari model'!$B$30))*(($P91*IF($R91="",$AJ91,$R91)+'Setari model'!$B$30*$AJ91)/($P91+'Setari model'!$B$30)))+SQRT((($P91*IF($Q91="",$AK91,$Q91)+'Setari model'!$B$30*$AK91)/($P91+'Setari model'!$B$30))*(($I91*IF($K91="",$AK91,$K91)+'Setari model'!$B$30*$AK91)/($I91+'Setari model'!$B$30))))</x:f>
      </x:c>
      <x:c r="BK91" s="62" t="str">
        <x:f>IF($A91="","",SQRT((($I91*IF($L91="",IF($J91="",$AJ91,$J91),$L91)+'Setari model'!$B$30*$AJ91)/($I91+'Setari model'!$B$30))*(($P91*IF($T91="",IF($R91="",$AJ91,$R91),$T91)+'Setari model'!$B$30*$AJ91)/($P91+'Setari model'!$B$30)))+SQRT((($P91*IF($S91="",IF($Q91="",$AK91,$Q91),$S91)+'Setari model'!$B$30*$AK91)/($P91+'Setari model'!$B$30))*(($I91*IF($M91="",IF($K91="",$AK91,$K91),$M91)+'Setari model'!$B$30*$AK91)/($I91+'Setari model'!$B$30))))</x:f>
      </x:c>
      <x:c r="BL91" s="62" t="str">
        <x:f>IF($A91="","",SQRT((($W91*IF($X91="",$AL91/2,$X91)+'Setari model'!$B$31*$AL91/2)/($W91+'Setari model'!$B$31))*(($AB91*IF($AD91="",$AL91/2,$AD91)+'Setari model'!$B$31*$AL91/2)/($AB91+'Setari model'!$B$31)))+SQRT((($AB91*IF($AC91="",$AL91/2,$AC91)+'Setari model'!$B$31*$AL91/2)/($AB91+'Setari model'!$B$31))*(($W91*IF($Y91="",$AL91/2,$Y91)+'Setari model'!$B$31*$AL91/2)/($W91+'Setari model'!$B$31))))</x:f>
      </x:c>
      <x:c r="BM91" s="62" t="str">
        <x:f>IF($A91="","",SQRT((($W91*IF($Z91="",IF($X91="",$AL91/2,$X91),$Z91)+'Setari model'!$B$31*$AL91/2)/($W91+'Setari model'!$B$31))*(($AB91*IF($AF91="",IF($AD91="",$AL91/2,$AD91),$AF91)+'Setari model'!$B$31*$AL91/2)/($AB91+'Setari model'!$B$31)))+SQRT((($AB91*IF($AE91="",IF($AC91="",$AL91/2,$AC91),$AE91)+'Setari model'!$B$31*$AL91/2)/($AB91+'Setari model'!$B$31))*(($W91*IF($AA91="",IF($Y91="",$AL91/2,$Y91),$AA91)+'Setari model'!$B$31*$AL91/2)/($W91+'Setari model'!$B$31))))</x:f>
      </x:c>
      <x:c r="BN91" s="62" t="str">
        <x:f t="shared" si="112">IF($A91="","",IF($AG91&gt;0,($AG91*IF($AH91="",$AL91,$AH91)+5*$AL91)/($AG91+5),$AL91))</x:f>
      </x:c>
      <x:c r="BO91" s="63" t="str">
        <x:f>IF($A91="","",IF($AR91&gt;1,IF($AS91&gt;1,(1/$AR91)/((1/$AR91+1/$AS91)),MIN(0.995,(1/$AR91)/(1+'Setari model'!$B$32))),1-EXP(-$AL91)))</x:f>
      </x:c>
      <x:c r="BP91" s="62" t="str">
        <x:f t="shared" si="113">IF($A91="","",-LN(1-$BO91))</x:f>
      </x:c>
      <x:c r="BQ91" s="62" t="str">
        <x:f>IF($A91="","",$BJ91*INDEX('Setari model'!$B$5:$B$11,MATCH($E91,'Setari model'!$A$5:$A$11,0))+$BK91*INDEX('Setari model'!$C$5:$C$11,MATCH($E91,'Setari model'!$A$5:$A$11,0))+$BL91*INDEX('Setari model'!$D$5:$D$11,MATCH($E91,'Setari model'!$A$5:$A$11,0))+$BM91*INDEX('Setari model'!$E$5:$E$11,MATCH($E91,'Setari model'!$A$5:$A$11,0))+$BN91*INDEX('Setari model'!$F$5:$F$11,MATCH($E91,'Setari model'!$A$5:$A$11,0))+$BP91*INDEX('Setari model'!$G$5:$G$11,MATCH($E91,'Setari model'!$A$5:$A$11,0)))</x:f>
      </x:c>
      <x:c r="BR91" s="64" t="str">
        <x:f>IF($A91="","",MAX('Setari model'!$B$53,MIN('Setari model'!$B$54,1+($AV91*'Setari model'!$B$15+$AW91*'Setari model'!$B$16+$AX91*'Setari model'!$B$17+$AY91*'Setari model'!$B$18+$AZ91*'Setari model'!$B$19+$BA91*'Setari model'!$B$20+$BB91*'Setari model'!$B$21+$BC91*'Setari model'!$B$22+$BD91*'Setari model'!$B$23+$BE91*'Setari model'!$B$24+$BF91*'Setari model'!$B$25)*INDEX('Setari model'!$H$5:$H$11,MATCH($E91,'Setari model'!$A$5:$A$11,0)))))</x:f>
      </x:c>
      <x:c r="BS91" s="62" t="str">
        <x:f t="shared" si="114">IF($A91="","",$BQ91*$BR91)</x:f>
      </x:c>
      <x:c r="BT91" s="63" t="str">
        <x:f t="shared" si="115">IF($A91="","",EXP(-$BS91))</x:f>
      </x:c>
      <x:c r="BU91" s="65" t="str">
        <x:f>IF($A91="","",IF(OR($AM91="",$AN91=""),1,1+MIN('Setari model'!$B$33,$AN91/100*'Setari model'!$B$33)*($AM91/EXP(-$AL91)-1)))</x:f>
      </x:c>
      <x:c r="BV91" s="63" t="str">
        <x:f>IF($A91="","",MIN(0.45,MAX(0.005,(1-'Setari model'!$B$34*MIN(1,($I91+$P91)/20))*MIN(0.45,$BT91*$BU91)+'Setari model'!$B$34*MIN(1,($I91+$P91)/20)*IF(COUNT($N91,$U91)=2,SQRT(MAX(0,1-$N91)*MAX(0,1-$U91)),IF($AM91="",EXP(-$AL91),$AM91)))))</x:f>
      </x:c>
      <x:c r="BW91" s="63" t="str">
        <x:f t="shared" si="116">IF($A91="","",1-$BV91)</x:f>
      </x:c>
      <x:c r="BX91" s="62" t="str">
        <x:f t="shared" si="117">IF($A91="","",1/$BW91)</x:f>
      </x:c>
      <x:c r="BY91" s="63" t="str">
        <x:f t="shared" si="118">IF($A91="","",$BO91)</x:f>
      </x:c>
      <x:c r="BZ91" s="63" t="str">
        <x:f t="shared" si="119">IF($A91="","",$BW91-$BY91)</x:f>
      </x:c>
      <x:c r="CA91" s="63" t="str">
        <x:f t="shared" si="120">IF($A91="","",IF($AR91&gt;1,$BW91*$AR91-1,""))</x:f>
      </x:c>
      <x:c r="CB91" s="63" t="str">
        <x:f>IF($A91="","",MIN(1,COUNT($I91:$AN91,$AR91:$BG91)/'Setari model'!$B$46))</x:f>
      </x:c>
      <x:c r="CC91" s="63" t="str">
        <x:f t="shared" si="121">IF($A91="","",0.25*MIN(1,$I91/10)+0.25*MIN(1,$P91/10)+0.15*MIN(1,$W91/5)+0.15*MIN(1,$AB91/5)+0.1*MIN(1,$AG91/5)+0.1*MIN(1,$AN91/100))</x:f>
      </x:c>
      <x:c r="CD91" s="63" t="str">
        <x:f>IF($A91="","",MAX(0,1-(MAX($BJ91:$BN91,$BP91)-MIN($BJ91:$BN91,$BP91))/(AVERAGE($BJ91:$BN91,$BP91)*'Setari model'!$B$45)))</x:f>
      </x:c>
      <x:c r="CE91" s="66" t="str">
        <x:f>IF($A91="","",MAX(0,MIN(100,100*INDEX('Setari model'!$I$5:$I$11,MATCH($E91,'Setari model'!$A$5:$A$11,0))*('Setari model'!$B$47*$CB91+'Setari model'!$B$48*$CC91+'Setari model'!$B$49*$CD91+'Setari model'!$B$50*$AT91/5+'Setari model'!$B$51*$AU91)-100*'Setari model'!$B$52*$BG91)))</x:f>
      </x:c>
      <x:c r="CF91" s="65" t="str">
        <x:f t="shared" si="122">IF($A91="","",IF(OR($AT91&lt;3,$BG91&gt;=2,$CB91&lt;0.55,$CC91&lt;0.4),"RIDICAT",IF(OR($AU91=0,$CD91&lt;0.45,$BR91&lt;0.9),"MEDIU","SCĂZUT")))</x:f>
      </x:c>
      <x:c r="CG91" s="65" t="str">
        <x:f>IF($A91="","",IF($AR91&gt;1,IF(AND($BW91&gt;= 'Setari model'!$B$35,$CE91&gt;=100*'Setari model'!$B$36,$BZ91&gt;= 'Setari model'!$B$37,$CA91&gt;= 'Setari model'!$B$38,$CF91&lt;&gt;"RIDICAT"),"PARIU RECOMANDAT",IF(AND($BW91&gt;= 'Setari model'!$B$39,$CE91&gt;=100*'Setari model'!$B$40,$BZ91&gt;= 'Setari model'!$B$41,$CA91&gt;=0,$CF91&lt;&gt;"RIDICAT"),"RECOMANDAT CU PRUDENȚĂ",IF(AND($BW91&gt;= 'Setari model'!$B$42,$CE91&gt;=100*'Setari model'!$B$43),"ANALIZĂ NECONCLUDENTĂ","PARIU EVITAT"))),IF(AND($BW91&gt;= 'Setari model'!$B$35,$CE91&gt;=100*'Setari model'!$B$36,$CF91&lt;&gt;"RIDICAT"),"FAVORABIL STATISTIC – VERIFICĂ COTA",IF(AND($BW91&gt;= 'Setari model'!$B$42,$CE91&gt;=100*'Setari model'!$B$43),"ANALIZĂ NECONCLUDENTĂ","PARIU EVITAT"))))</x:f>
      </x:c>
      <x:c r="CH91" s="67" t="str">
        <x:f t="shared" si="123">IF($A91="","","P(O0,5)="&amp;TEXT($BW91,"0.0%")&amp;"; λ ajustat="&amp;TEXT($BS91,"0.00")&amp;"; Confidence="&amp;TEXT($CE91,"0")&amp;"/100; Edge="&amp;TEXT($BZ91,"0.0%")&amp;"; risc="&amp;$CF91&amp;". "&amp;$BH91)</x:f>
      </x:c>
      <x:c r="CI91" s="68" t="str">
        <x:f t="shared" si="124">IF($A91="","",$BI91)</x:f>
      </x:c>
      <x:c r="CJ91" s="112"/>
      <x:c r="CK91" s="112"/>
      <x:c r="CL91" s="112"/>
      <x:c r="CM91" s="112"/>
      <x:c r="CN91" s="112"/>
      <x:c r="CO91" s="112"/>
      <x:c r="CP91" s="112"/>
      <x:c r="CQ91" s="112"/>
      <x:c r="CR91" s="112"/>
      <x:c r="CS91" s="112"/>
      <x:c r="CT91" s="112"/>
      <x:c r="CU91" s="112"/>
      <x:c r="CV91" s="112"/>
      <x:c r="CW91" s="112"/>
      <x:c r="CX91" s="112"/>
      <x:c r="CY91" s="112"/>
      <x:c r="CZ91" s="112"/>
      <x:c r="DA91" s="112"/>
      <x:c r="DB91" s="112"/>
      <x:c r="DC91" s="114"/>
      <x:c r="DD91" s="114"/>
      <x:c r="DE91" s="112" t="s">
        <x:v>266</x:v>
      </x:c>
      <x:c r="DF91" s="112"/>
      <x:c r="DG91" s="112"/>
      <x:c r="DH91" s="112"/>
      <x:c r="DI91" s="112"/>
      <x:c r="DJ91" s="112"/>
      <x:c r="DK91" s="112"/>
      <x:c r="DL91" s="112"/>
      <x:c r="DM91" s="112"/>
      <x:c r="DN91" s="112"/>
      <x:c r="DO91" s="112"/>
      <x:c r="DP91" s="112"/>
      <x:c r="DQ91" s="114"/>
      <x:c r="DR91" s="112">
        <x:v>1</x:v>
      </x:c>
      <x:c r="DS91" s="116">
        <x:v>0</x:v>
      </x:c>
      <x:c r="DT91" s="120"/>
      <x:c r="DU91" s="116">
        <x:v>0.02</x:v>
      </x:c>
      <x:c r="DV91" s="116">
        <x:v>0.25</x:v>
      </x:c>
      <x:c r="DW91" s="118" t="str">
        <x:f>IF($A91="","",MAX('Setari model'!$B$71,MIN('Setari model'!$B$72,1+0.08*(IFERROR(AVERAGE($CM91:$CN91)/'Setari model'!$B$66,1)-1)+0.08*(IFERROR(AVERAGE($CO91:$CP91)/'Setari model'!$B$67,1)-1)+0.06*(IFERROR(AVERAGE($CQ91:$CR91)/'Setari model'!$B$68,1)-1)+0.04*(IFERROR(AVERAGE($CS91:$CT91)/'Setari model'!$B$69,1)-1)+0.04*(IFERROR(AVERAGE($CU91:$CV91)/'Setari model'!$B$70,1)-1)-'Setari model'!$B$73*IFERROR(AVERAGE($CW91:$CX91),0))))</x:f>
      </x:c>
      <x:c r="DX91" s="118" t="str">
        <x:f>IF($A91="","",1+'Setari model'!$B$62*MAX(IF(OR($CK91=1,$CL91=1),1,0),IF(AND($CJ91&lt;&gt;"",$CJ91&lt;=1),1,0))+'Setari model'!$B$63*IF(AND($CJ91&gt;1,$CJ91&lt;=3),1,0))</x:f>
      </x:c>
      <x:c r="DY91" s="118" t="str">
        <x:f>IF($A91="","",1+'Setari model'!$B$74*(IF($CY91="",0,IF($CY91=0,1,0))+IF($CZ91="",0,IF($CZ91=0,1,0)))+'Setari model'!$B$75*(IF($DA91="",0,IF($DA91=0,1,0))+IF($DB91="",0,IF($DB91=0,1,0))))</x:f>
      </x:c>
      <x:c r="DZ91" s="117" t="str">
        <x:f>IF($A91="","",MIN(0.6,MAX(0.002,(((1-'Setari model'!$B$34*MIN(1,($I91+$P91)/20))*$BT91+'Setari model'!$B$34*MIN(1,($I91+$P91)/20)*IF(COUNT($N91,$U91)=2,SQRT(MAX(0,1-$N91)*MAX(0,1-$U91)),$BT91))*(1-'Setari model'!$B$65*MIN(1,IF($AN91="",0,$AN91/'Setari model'!$B$64)))+'Setari model'!$B$65*MIN(1,IF($AN91="",0,$AN91/'Setari model'!$B$64))*IF($AM91="",$BT91,$AM91))*$DX91*$DY91/$DW91)))</x:f>
      </x:c>
      <x:c r="EA91" s="117" t="str">
        <x:f>IF($A91="","",MIN(1-$DZ91,IF(OR(MIN($I91,$P91)&lt;'Setari model'!$B$58,$CK91=1,$CL91=1,AND($CJ91&lt;&gt;"",$CJ91&lt;=1)),'Setari model'!$B$59,IF(AND($AU91=1,$AR91&gt;1,COUNT($CY91:$DB91)=4),'Setari model'!$B$61,'Setari model'!$B$60))))</x:f>
      </x:c>
      <x:c r="EB91" s="115" t="str">
        <x:f t="shared" si="125">IF($A91="","",1/$EA91)</x:f>
      </x:c>
      <x:c r="EC91" s="117" t="str">
        <x:f t="shared" si="126">IF($A91="","",IF($AR91&gt;1,IF($AS91&gt;1,(1/$AR91)/((1/$AR91)+(1/$AS91)),1/$AR91),""))</x:f>
      </x:c>
      <x:c r="ED91" s="117" t="str">
        <x:f t="shared" si="127">IF($A91="","",IF($EC91="","",$EA91-$EC91))</x:f>
      </x:c>
      <x:c r="EE91" s="117" t="str">
        <x:f t="shared" si="128">""</x:f>
      </x:c>
      <x:c r="EF91" s="119" t="str">
        <x:f>IF($A91="","",MAX(0,MIN(100,$CE91-200*MAX(0,$EG91-'Setari model'!$B$77)-IF($AU91&lt;&gt;1,10,0)-IF(COUNT($CY91:$DB91)&lt;4,4,0))))</x:f>
      </x:c>
      <x:c r="EG91" s="117" t="str">
        <x:f>IF($A91="","",'Setari model'!$B$77+IF(MIN($I91,$P91)&lt;'Setari model'!$B$58,0.03,0)+IF(OR($CK91=1,$CL91=1,AND($CJ91&lt;&gt;"",$CJ91&lt;=1)),0.03,0)+IF($AG91=0,0.02,0)+0.03*(1-MIN(1,COUNT($CM91:$CV91)/10))+0.03*(1-MIN(1,IF($AN91="",0,$AN91/'Setari model'!$B$64)))+IF($AR91&lt;=1,0.02,0))</x:f>
      </x:c>
      <x:c r="EH91" s="113" t="str">
        <x:f>IF($A91="","",IF(OR(MIN($I91,$P91)&lt;'Setari model'!$B$58,$CK91=1,$CL91=1,AND($CJ91&lt;&gt;"",$CJ91&lt;=1)),"92% – early/regim",IF(AND($AU91=1,$AR91&gt;1,COUNT($CY91:$DB91)=4),"94% – confirmat","93% – standard")))</x:f>
      </x:c>
      <x:c r="EI91" s="113" t="str">
        <x:f t="shared" si="129">IF($A91="","",IF(AND($EA91&gt;0.9,$AU91&lt;&gt;1),"WAIT XI – HIGH P",IF(AND($EA91&gt;0.9,COUNT($CY91:$DB91)&lt;4),"WAIT DATE CHEIE – HIGH P",IF($EP91&lt;&gt;"DA","NU – PORTOFOLIU","DA"))))</x:f>
      </x:c>
      <x:c r="EJ91" s="117" t="str">
        <x:f t="shared" si="130">IF($A91="","",IF($DE91&lt;&gt;"Live 20-30","",IF(SUM($DG91:$DH91)&gt;0,1,IF($EU91="","",1-MIN(0.95,MAX(0.001,EXP(-$EU91)*$DX91*$DY91/$DW91))))))</x:f>
      </x:c>
      <x:c r="EK91" s="117" t="str">
        <x:f t="shared" si="131">""</x:f>
      </x:c>
      <x:c r="EL91" s="113" t="str">
        <x:f>IF($A91="","",IF($DE91="Live 20-30",IF(SUM($DG91:$DH91)&gt;0,"EVENIMENT ÎNDEPLINIT",IF(OR($DF91="",COUNT($DI91:$DN91)&lt;4),"LIVE – WATCH",IF($EJ91&gt;=0.75,"LIVE – FEZABIL TEHNIC","LIVE – NO BET"))),IF($EI91&lt;&gt;"DA","WATCH / NO BET",IF(AND($EA91&gt;=INDEX('Setari model'!$B$35:$B$40,1),$EF91&gt;=100*'Setari model'!$B$76),"PARIU RECOMANDAT",IF(AND($EA91&gt;=INDEX('Setari model'!$B$35:$B$40,5),$EF91&gt;=100*'Setari model'!$B$40),"WATCH – APROAPE DE PRAG","PARIU EVITAT")))))</x:f>
      </x:c>
      <x:c r="EM91" s="113" t="str">
        <x:f t="shared" si="132">IF($A91="","",IF($DE91="Live 20-30",IF(SUM($DG91:$DH91)&gt;0,"Gol deja marcat.",IF($DF91="","Minut live lipsă.",IF(COUNT($DI91:$DN91)&lt;4,"Lipsesc xG/SOT/big chances live.",IF($EJ91&lt;0.75,"P live sub prag.","Semnal live tehnic complet; EV ignorat.")))),IF($EI91&lt;&gt;"DA",$EI91,IF($EF91&lt;75,"Confidence sub 75.",IF($EA91&lt;0.92,"P sub 92%.","G0/Zero-Mass + confidence trecute; EV ignorat.")))))</x:f>
      </x:c>
      <x:c r="EN91" s="117" t="str">
        <x:f>IF($A91="","",IF(OR($EL91="PARIU RECOMANDAT",$EL91="LIVE – FEZABIL"),MIN(IF($DU91&gt;0,$DU91,'Setari model'!$B$81)/MAX(1,$DR91),IF($DV91&gt;0,$DV91,'Setari model'!$B$80)*MAX(0,((IF($DE91="Live 20-30",$EJ91,$EA91)*IF($DE91="Live 20-30",$DQ91,$AR91)-1)/(IF($DE91="Live 20-30",$DQ91,$AR91)-1)))),0))</x:f>
      </x:c>
      <x:c r="EO91" s="121" t="str">
        <x:f t="shared" si="133">IF($A91="","",IF(AND($EN91&gt;0,$DT91&gt;0),$EN91*$DT91,""))</x:f>
      </x:c>
      <x:c r="EP91" s="113" t="str">
        <x:f>IF($A91="","",IF(OR($DR91&lt;1,$DR91&gt;'Setari model'!$B$78),"NU – 1–5 selecții",IF($DS91&gt;'Setari model'!$B$79,"NU – corelație", "DA")))</x:f>
      </x:c>
      <x:c r="EQ91" s="117" t="str">
        <x:f t="shared" si="134">IF($A91="","",IF(AND($DC91&gt;1,$DD91&gt;1),$DC91/$DD91-1,""))</x:f>
      </x:c>
      <x:c r="ER91" s="113" t="str">
        <x:f t="shared" si="135">IF($A91="","","P v2="&amp;TEXT($EA91,"0.0%")&amp;" ±"&amp;TEXT($EG91,"0.0%")&amp;"; P0 ZIP="&amp;TEXT($DZ91,"0.0%")&amp;"; Confidence="&amp;TEXT($EF91,"0")&amp;"/100; piață reală="&amp;IF($EC91="","NU","DA")&amp;"; EV="&amp;IF($EE91="","n/a",TEXT($EE91,"0.0%"))&amp;"; gate="&amp;$EI91&amp;"; verdict="&amp;$EL91&amp;". "&amp;$EM91)</x:f>
      </x:c>
      <x:c r="ES91" s="119" t="str">
        <x:f>IF($A91="","",'Setari model'!$B$82)</x:f>
      </x:c>
      <x:c r="ET91" s="118" t="str">
        <x:f>IF($A91="","",'Setari model'!$B$83)</x:f>
      </x:c>
      <x:c r="EU91" s="115" t="str">
        <x:f t="shared" si="136">IF(OR($A91="",$DE91&lt;&gt;"Live 20-30",$DF91="",$DF91&lt;$ES91,$DF91&gt;=90),"",MAX(0.05,MIN($BS91*$ET91,$BS91*(90-$DF91)/90+0.35*($DI91+$DJ91)+0.06*($DK91+$DL91)+0.15*($DM91+$DN91)+0.1*(MAX($DO91,$DP91)-MIN($DO91,$DP91)))))</x:f>
      </x:c>
      <x:c r="EV91" s="132"/>
      <x:c r="EW91" s="132"/>
      <x:c r="EX91" s="132"/>
      <x:c r="EY91" s="132"/>
      <x:c r="EZ91" s="132"/>
      <x:c r="FA91" s="132"/>
      <x:c r="FB91" s="247"/>
      <x:c r="FC91" s="134" t="str">
        <x:f t="shared" si="137">IF($A91="","",IF(OR($J91="",$L91="",$L91&lt;=0),"",MAX(0.5,MIN(1.5,$J91/$L91))))</x:f>
      </x:c>
      <x:c r="FD91" s="134" t="str">
        <x:f t="shared" si="138">IF($A91="","",IF(OR($Q91="",$S91="",$S91&lt;=0),"",MAX(0.5,MIN(1.5,$Q91/$S91))))</x:f>
      </x:c>
      <x:c r="FE91" s="134" t="str">
        <x:f>IF($A91="","",IF(COUNT($EV91:$EW91)&lt;2,"",SQRT($EV91*$EW91)/'Setari model'!$B$87))</x:f>
      </x:c>
      <x:c r="FF91" s="134" t="str">
        <x:f>IF($A91="","",IF(COUNT($O91,$V91,$EX91,$EY91)&lt;4,"",AVERAGE(SQRT($O91*$EY91),SQRT($V91*$EX91))/'Setari model'!$B$88))</x:f>
      </x:c>
      <x:c r="FG91" s="134" t="str">
        <x:f t="shared" si="139">IF($A91="","",IF(COUNT($FC91:$FD91)&lt;2,"",MAX(0,1-AVERAGE($FC91:$FD91))))</x:f>
      </x:c>
      <x:c r="FH91" s="134" t="str">
        <x:f>IF($A91="","",IF(COUNT($EZ91:$FA91)&lt;2,"",'Setari model'!$B$94*AVERAGE($EZ91:$FA91)/'Setari model'!$B$89))</x:f>
      </x:c>
      <x:c r="FI91" s="134" t="str">
        <x:f>IF($A91="","",IF(COUNT($FE91:$FH91)&lt;4,"",MAX('Setari model'!$B$97,MIN('Setari model'!$B$98,1+'Setari model'!$B$90*($FE91-1)+'Setari model'!$B$91*($FF91-1)+'Setari model'!$B$92*$FG91+'Setari model'!$B$93*($FH91-1)))))</x:f>
      </x:c>
      <x:c r="FJ91" s="133" t="str">
        <x:f>IF($A91="","",IF($FI91="","",MIN('Setari model'!$B$101,MAX(0.002,$DZ91*$FI91))))</x:f>
      </x:c>
      <x:c r="FK91" s="131" t="str">
        <x:f t="shared" si="140">IF($A91="","",IF(AND(COUNT($EV91:$FA91)=6,COUNT($O91,$V91,$FC91,$FD91)=4),"DA","NU"))</x:f>
      </x:c>
      <x:c r="FL91" s="131" t="str">
        <x:f>IF($A91="","",IF($FK91&lt;&gt;"DA","NEDETERMINAT",IF($FI91&lt;='Setari model'!$B$99,"SCĂZUT",IF($FI91&lt;='Setari model'!$B$100,"MEDIU","RIDICAT"))))</x:f>
      </x:c>
      <x:c r="FM91" s="131" t="str">
        <x:f>IF($A91="","",IF(AND($AR91&gt;1,$EC91&gt;='Setari model'!$B$106),"DA","NU"))</x:f>
      </x:c>
      <x:c r="FN91" s="131" t="str">
        <x:f t="shared" si="141">IF($A91="","",IF(AND($AU91=1,COUNT($CY91:$DB91)=4),"DA","NU"))</x:f>
      </x:c>
      <x:c r="FO91" s="133" t="str">
        <x:f>IF($A91="","",IF(OR($FK91&lt;&gt;"DA",$FL91="RIDICAT"),'Setari model'!$B$102,IF($FL91="MEDIU",'Setari model'!$B$103,IF(AND($FM91="DA",$FN91="DA"),'Setari model'!$B$105,'Setari model'!$B$104))))</x:f>
      </x:c>
      <x:c r="FP91" s="133" t="str">
        <x:f t="shared" si="142">IF($A91="","",IF($FJ91="","",MIN(1-$FJ91,$FO91)))</x:f>
      </x:c>
      <x:c r="FQ91" s="135" t="str">
        <x:f t="shared" si="143">IF($A91="","",IF($FP91="","",IF($FP91&gt;0,1/$FP91,"")))</x:f>
      </x:c>
      <x:c r="FR91" s="133" t="str">
        <x:f t="shared" si="144">IF($A91="","",IF($EC91="","",$FP91-$EC91))</x:f>
      </x:c>
      <x:c r="FS91" s="133" t="str">
        <x:f t="shared" si="145">IF($A91="","",IF($AR91&gt;1,$FP91*$AR91-1,""))</x:f>
      </x:c>
      <x:c r="FT91" s="136" t="str">
        <x:f>IF($A91="","",MAX(0,MIN(100,$EF91-IF($FK91&lt;&gt;"DA",'Setari model'!$B$107,0)-IF($FL91="MEDIU",'Setari model'!$B$108,0)-IF($FL91="RIDICAT",'Setari model'!$B$109,0))))</x:f>
      </x:c>
      <x:c r="FU91" s="131" t="str">
        <x:f t="shared" si="146">IF($A91="","",IF($AR91&lt;=1,"NU – LIPSEȘTE COTA REALĂ",IF($FK91&lt;&gt;"DA","NU – ZERO-RISK INCOMPLET",IF($FL91&lt;&gt;"SCĂZUT","NU – RISC 0-0 "&amp;$FL91,IF($FN91&lt;&gt;"DA","NU – LINEUP NECONFIRMAT",IF($FM91&lt;&gt;"DA","NU – PIAȚĂ NECONFIRMATĂ",IF($EP91&lt;&gt;"DA","NU – PORTOFOLIU","DA")))))))</x:f>
      </x:c>
      <x:c r="FV91" s="131" t="str">
        <x:f>IF($A91="","",IF($FU91&lt;&gt;"DA","WATCH / NO BET",IF(AND($FP91&gt;='Setari model'!$B$35,$FT91&gt;=100*'Setari model'!$B$76,$FS91&gt;0),"PARIU RECOMANDAT",IF(AND($FP91&gt;='Setari model'!$B$39,$FT91&gt;=100*'Setari model'!$B$40,$FS91&gt;0),"WATCH – APROAPE DE PRAG","PARIU EVITAT"))))</x:f>
      </x:c>
      <x:c r="FW91" s="131" t="str">
        <x:f t="shared" si="147">IF($A91="","",IF($FU91&lt;&gt;"DA",$FU91,IF($FT91&lt;75,"Confidence v3 sub 75.",IF($FP91&lt;0.92,"P v3 sub 92%.",IF($FS91&lt;=0,"EV v3 nepozitiv.","P0 v3, lineup și piață confirmate.")))))</x:f>
      </x:c>
      <x:c r="FX91" s="131" t="str">
        <x:f t="shared" si="148">IF($A91="","","P v3="&amp;TEXT($FP91,"0.0%")&amp;"; P0 v3="&amp;TEXT($FJ91,"0.0%")&amp;"; factor zero="&amp;IF($FI91="","n/a",TEXT($FI91,"0.00x"))&amp;" ("&amp;$FL91&amp;"); cap="&amp;TEXT($FO91,"0.0%")&amp;"; Confidence="&amp;TEXT($FT91,"0")&amp;"/100; lineup="&amp;$FN91&amp;"; piață="&amp;$FM91&amp;"; EV="&amp;IF($FS91="","n/a",TEXT($FS91,"0.0%"))&amp;"; gate="&amp;$FU91&amp;"; verdict="&amp;$FV91&amp;". "&amp;$FW91)</x:f>
      </x:c>
      <x:c r="FY91" s="159"/>
      <x:c r="FZ91" s="159"/>
      <x:c r="GA91" s="157"/>
      <x:c r="GB91" s="157"/>
      <x:c r="GC91" s="161" t="str">
        <x:f t="shared" si="149">IF($A91="","",IF(OR($X91="",$Z91="",$Z91&lt;=0),"",MAX(0.5,MIN(1.5,$X91/$Z91))))</x:f>
      </x:c>
      <x:c r="GD91" s="161" t="str">
        <x:f t="shared" si="150">IF($A91="","",IF(OR($AC91="",$AE91="",$AE91&lt;=0),"",MAX(0.5,MIN(1.5,$AC91/$AE91))))</x:f>
      </x:c>
      <x:c r="GE91" s="162" t="str">
        <x:f t="shared" si="151">IF($A91="","",IF(COUNT($Z91,$AE91)&lt;2,"",AVERAGE($Z91,$AE91)))</x:f>
      </x:c>
      <x:c r="GF91" s="158" t="str">
        <x:f>IF($A91="","",IF(COUNT($FY91:$FZ91)&lt;2,"NEDETERMINAT",IF(AND($FY91&gt;='Setari model'!$B$113,$FZ91&gt;='Setari model'!$B$113),"DA","NU")))</x:f>
      </x:c>
      <x:c r="GG91" s="158" t="str">
        <x:f>IF($A91="","",IF(COUNT($FY91:$FZ91,$EX91:$EY91)&lt;4,"NEDETERMINAT",IF(OR(AND($FY91&gt;='Setari model'!$B$113,$EY91&gt;='Setari model'!$B$114),AND($FZ91&gt;='Setari model'!$B$113,$EX91&gt;='Setari model'!$B$114)),"DA","NU")))</x:f>
      </x:c>
      <x:c r="GH91" s="158" t="str">
        <x:f>IF($A91="","",IF(COUNT($BJ91:$BN91,$GC91:$GE91)&lt;8,"NEDETERMINAT",IF(AND((($BJ91*INDEX('Setari model'!$B$5:$B$11,MATCH($E91,'Setari model'!$A$5:$A$11,0))+$BK91*INDEX('Setari model'!$C$5:$C$11,MATCH($E91,'Setari model'!$A$5:$A$11,0))+$BL91*INDEX('Setari model'!$D$5:$D$11,MATCH($E91,'Setari model'!$A$5:$A$11,0))+$BM91*INDEX('Setari model'!$E$5:$E$11,MATCH($E91,'Setari model'!$A$5:$A$11,0))+$BN91*INDEX('Setari model'!$F$5:$F$11,MATCH($E91,'Setari model'!$A$5:$A$11,0)))/(INDEX('Setari model'!$B$5:$B$11,MATCH($E91,'Setari model'!$A$5:$A$11,0))+INDEX('Setari model'!$C$5:$C$11,MATCH($E91,'Setari model'!$A$5:$A$11,0))+INDEX('Setari model'!$D$5:$D$11,MATCH($E91,'Setari model'!$A$5:$A$11,0))+INDEX('Setari model'!$E$5:$E$11,MATCH($E91,'Setari model'!$A$5:$A$11,0))+INDEX('Setari model'!$F$5:$F$11,MATCH($E91,'Setari model'!$A$5:$A$11,0))))*$BR91&gt;='Setari model'!$B$115,(($BJ91*INDEX('Setari model'!$B$5:$B$11,MATCH($E91,'Setari model'!$A$5:$A$11,0))+$BK91*INDEX('Setari model'!$C$5:$C$11,MATCH($E91,'Setari model'!$A$5:$A$11,0))+$BL91*INDEX('Setari model'!$D$5:$D$11,MATCH($E91,'Setari model'!$A$5:$A$11,0))+$BM91*INDEX('Setari model'!$E$5:$E$11,MATCH($E91,'Setari model'!$A$5:$A$11,0))+$BN91*INDEX('Setari model'!$F$5:$F$11,MATCH($E91,'Setari model'!$A$5:$A$11,0)))/(INDEX('Setari model'!$B$5:$B$11,MATCH($E91,'Setari model'!$A$5:$A$11,0))+INDEX('Setari model'!$C$5:$C$11,MATCH($E91,'Setari model'!$A$5:$A$11,0))+INDEX('Setari model'!$D$5:$D$11,MATCH($E91,'Setari model'!$A$5:$A$11,0))+INDEX('Setari model'!$E$5:$E$11,MATCH($E91,'Setari model'!$A$5:$A$11,0))+INDEX('Setari model'!$F$5:$F$11,MATCH($E91,'Setari model'!$A$5:$A$11,0))))*$BR91&lt;='Setari model'!$B$116,AVERAGE($GC91:$GD91)&lt;='Setari model'!$B$117,$GE91&gt;='Setari model'!$B$118),"DA","NU")))</x:f>
      </x:c>
      <x:c r="GI91" s="158" t="str">
        <x:f>IF($A91="","",IF(COUNT($W91,$AB91,$GA91:$GB91)&lt;4,"NEDETERMINAT",IF(AND($W91&gt;='Setari model'!$B$120,$AB91&gt;='Setari model'!$B$120,OR(IFERROR($GA91/$W91,0)&gt;='Setari model'!$B$119,IFERROR($GB91/$AB91,0)&gt;='Setari model'!$B$119)),"DA","NU")))</x:f>
      </x:c>
      <x:c r="GJ91" s="160" t="str">
        <x:f>IF($A91="","",IF(COUNT($FY91:$GB91)&lt;4,"",IF($GH91&lt;&gt;"DA",0,'Setari model'!$B$121*IF($GF91="DA",1,0)+'Setari model'!$B$122*IF($GG91="DA",1,0)+'Setari model'!$B$123+'Setari model'!$B$124*IF($GI91="DA",1,0))))</x:f>
      </x:c>
      <x:c r="GK91" s="161" t="str">
        <x:f>IF($A91="","",IF(COUNT($GJ91)=0,"",1+'Setari model'!$B$125*$GJ91))</x:f>
      </x:c>
      <x:c r="GL91" s="160" t="str">
        <x:f>IF($A91="","",IF($GM91&lt;&gt;"DA",$FJ91,MIN('Setari model'!$B$101,MAX(0.002,$FJ91*$GK91))))</x:f>
      </x:c>
      <x:c r="GM91" s="158" t="str">
        <x:f>IF($A91="","",IF(AND($FK91="DA",COUNT($FY91:$GB91)=4,COUNT($I91,$P91,$W91,$AB91,$Z91,$AE91,$EX91,$EY91,$GC91,$GD91)=10,COUNT($BJ91:$BN91)=5),"DA","NU"))</x:f>
      </x:c>
      <x:c r="GN91" s="158" t="str">
        <x:f>IF($A91="","",IF($GM91&lt;&gt;"DA","NEDETERMINAT",IF($FI91*$GK91&lt;='Setari model'!$B$99,"SCĂZUT",IF($FI91*$GK91&lt;='Setari model'!$B$100,"MEDIU","RIDICAT"))))</x:f>
      </x:c>
      <x:c r="GO91" s="160" t="str">
        <x:f>IF($A91="","",IF(OR($GM91&lt;&gt;"DA",$GN91="RIDICAT"),'Setari model'!$B$102,IF($GN91="MEDIU",'Setari model'!$B$103,IF(AND($FM91="DA",$FN91="DA"),'Setari model'!$B$105,'Setari model'!$B$104))))</x:f>
      </x:c>
      <x:c r="GP91" s="160" t="str">
        <x:f t="shared" si="152">IF($A91="","",IF($GL91="","",MIN(1-$GL91,$GO91)))</x:f>
      </x:c>
      <x:c r="GQ91" s="162" t="str">
        <x:f t="shared" si="153">IF($A91="","",IF($GP91="","",IF($GP91&gt;0,1/$GP91,"")))</x:f>
      </x:c>
      <x:c r="GR91" s="160" t="str">
        <x:f t="shared" si="154">IF($A91="","",IF($EC91="","",$GP91-$EC91))</x:f>
      </x:c>
      <x:c r="GS91" s="160" t="str">
        <x:f t="shared" si="155">IF($A91="","",IF($AR91&gt;1,$GP91*$AR91-1,""))</x:f>
      </x:c>
      <x:c r="GT91" s="163" t="str">
        <x:f>IF($A91="","",MAX(0,MIN(100,$FT91-IF(AND($GM91&lt;&gt;"DA",$FK91="DA"),'Setari model'!$B$107,0)-'Setari model'!$B$126*IF($GJ91="",0,$GJ91))))</x:f>
      </x:c>
      <x:c r="GU91" s="158" t="str">
        <x:f t="shared" si="156">IF($A91="","",IF($AR91&lt;=1,"NU – LIPSEȘTE COTA REALĂ",IF($GM91&lt;&gt;"DA","NU – DATE LOW-CONVERSION INCOMPLETE",IF($GN91&lt;&gt;"SCĂZUT","NU – RISC 0-0 "&amp;$GN91,IF($FN91&lt;&gt;"DA","NU – LINEUP NECONFIRMAT",IF($FM91&lt;&gt;"DA","NU – PIAȚĂ NECONFIRMATĂ",IF($EP91&lt;&gt;"DA","NU – PORTOFOLIU","DA")))))))</x:f>
      </x:c>
      <x:c r="GV91" s="158" t="str">
        <x:f>IF($A91="","",IF($GU91&lt;&gt;"DA","WATCH / NO BET",IF(AND($GP91&gt;='Setari model'!$B$35,$GT91&gt;=100*'Setari model'!$B$76,$GS91&gt;0),"PARIU RECOMANDAT",IF(AND($GP91&gt;='Setari model'!$B$39,$GT91&gt;=100*'Setari model'!$B$40,$GS91&gt;0),"WATCH – APROAPE DE PRAG","PARIU EVITAT"))))</x:f>
      </x:c>
      <x:c r="GW91" s="158" t="str">
        <x:f t="shared" si="157">IF($A91="","",IF($GU91&lt;&gt;"DA",$GU91,IF($GT91&lt;75,"Confidence v5 sub 75.",IF($GP91&lt;0.92,"P v5 sub 92%.",IF($GS91&lt;=0,"EV v5 nepozitiv.",IF($GJ91&gt;0,"Low-conversion absorbit în P0; toate porțile rămân trecute.","Toate porțile v5 sunt trecute."))))))</x:f>
      </x:c>
      <x:c r="GX91" s="158" t="str">
        <x:f t="shared" si="158">IF($A91="","","P v5="&amp;TEXT($GP91,"0.0%")&amp;"; P0 v5="&amp;TEXT($GL91,"0.0%")&amp;"; low-conv="&amp;IF(COUNT($GJ91)=0,"n/a",TEXT($GJ91,"0%"))&amp;"; mult.P0="&amp;IF(COUNT($GK91)=0,"n/a",TEXT($GK91,"0.00"))&amp;"; clasă="&amp;$GN91&amp;"; cap="&amp;TEXT($GO91,"0.0%")&amp;"; Confidence="&amp;TEXT($GT91,"0")&amp;"/100; lineup="&amp;$FN91&amp;"; piață="&amp;$FM91&amp;"; EV="&amp;IF($GS91="","n/a",TEXT($GS91,"0.0%"))&amp;"; gate="&amp;$GU91&amp;"; verdict="&amp;$GV91&amp;". "&amp;$GW91)</x:f>
      </x:c>
      <x:c r="GY91" s="174" t="str">
        <x:f>IF($A91="","",IF($GM91&lt;&gt;"DA","SOURCING INCOMPLETE – REVIEW REQUIRED",IF(MIN($I91,$P91,$W91,$AB91)&lt;'Setari model'!$B$58,"SMALL SAMPLE + PRIOR / SHRINKAGE","VERIFIED / PRIOR / SHRINKAGE")))</x:f>
      </x:c>
      <x:c r="GZ91" s="175" t="str">
        <x:f t="shared" si="159">IF($A91="","",MAX(0,MIN(100,100*(1-AVERAGE(IF($GM91="DA",1,0),MIN(1,$AT91/5))))))</x:f>
      </x:c>
      <x:c r="HA91" s="175" t="str">
        <x:f>IF($A91="","",IF($GM91&lt;&gt;"DA","",MAX(0,MIN(100,100*(($FI91*$GK91)-'Setari model'!$B$97)/('Setari model'!$B$98-'Setari model'!$B$97)))))</x:f>
      </x:c>
      <x:c r="HB91" s="175" t="str">
        <x:f>IF($A91="","",MAX(0,MIN(100,100*(ABS($BR91-1)/MAX(1-'Setari model'!$B$53,'Setari model'!$B$54-1)+MIN(1,$BG91/2))/2)))</x:f>
      </x:c>
      <x:c r="HC91" s="175" t="str">
        <x:f t="shared" si="160">IF($A91="","",MAX(0,MIN(100,100*(1-AVERAGE($CC91,MAX(0,1-(MAX($BJ91:$BN91)-MIN($BJ91:$BN91))/(AVERAGE($BJ91:$BN91)*'Setari model'!$B$45)))))))</x:f>
      </x:c>
      <x:c r="HD91" s="175" t="str">
        <x:f t="shared" si="161">IF($A91="","",MAX(0,MIN(100,100*MAX(IF($GJ91="",0,$GJ91),MIN(1,$BG91/2)))))</x:f>
      </x:c>
      <x:c r="HE91" s="175" t="str">
        <x:f>IF($A91="","",IF(COUNT($GZ91:$HD91)&lt;5,"",$GZ91*Risk_Classification!$E$28+$HA91*Risk_Classification!$E$29+$HB91*Risk_Classification!$E$30+$HC91*Risk_Classification!$E$31+$HD91*Risk_Classification!$E$32))</x:f>
      </x:c>
      <x:c r="HF91" s="176" t="str">
        <x:f t="shared" si="162">IF($A91="","",IF($HE91="","",IF($HE91&lt;=20,1,IF($HE91&lt;=40,2,IF($HE91&lt;=60,3,IF($HE91&lt;=80,4,5))))))</x:f>
      </x:c>
      <x:c r="HG91" s="176" t="str">
        <x:f t="shared" si="163">IF($A91="","",IF($GM91="DA","PASS","FAIL – DATE CRITICE ZERO-MASS INCOMPLETE"))</x:f>
      </x:c>
      <x:c r="HH91" s="176" t="str">
        <x:f t="shared" si="164">IF($A91="","",IF($HG91&lt;&gt;"PASS",5,$HF91))</x:f>
      </x:c>
      <x:c r="HI91" s="174" t="str">
        <x:f t="shared" si="165">IF($A91="","",IF($HH91="","N/A",IF($HH91=1,"DEFENSIV",IF($HH91=2,"PRUDENT",IF($HH91=3,"MODERAT",IF($HH91=4,"RIDICAT","WATCH / NO BET"))))))</x:f>
      </x:c>
      <x:c r="HJ91" s="177" t="str">
        <x:f t="shared" si="166">IF($A91="","","Data="&amp;$GY91&amp;"; DQ="&amp;TEXT($GZ91,"0.0")&amp;"; ZM="&amp;IF($HA91="","n/a",TEXT($HA91,"0.0"))&amp;"; Context="&amp;TEXT($HB91,"0.0")&amp;"; Uncertainty="&amp;TEXT($HC91,"0.0")&amp;"; Compound="&amp;TEXT($HD91,"0.0")&amp;"; Risk Score="&amp;IF($HE91="","n/a",TEXT($HE91,"0.0"))&amp;"; Base="&amp;IF($HF91="","n/a",$HF91)&amp;"; G0="&amp;$HG91&amp;"; Final="&amp;$HH91&amp;". Cota, EV si lineup sunt informative si nu intra in recomandare.")</x:f>
      </x:c>
      <x:c r="HK91" s="174" t="str">
        <x:f t="shared" si="167">IF($A91="","",$HI91)</x:f>
      </x:c>
    </x:row>
    <x:row r="92" ht="24" customHeight="1">
      <x:c r="A92" s="58"/>
      <x:c r="B92" s="24"/>
      <x:c r="C92" s="59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18"/>
      <x:c r="O92" s="18"/>
      <x:c r="P92" s="24"/>
      <x:c r="Q92" s="24"/>
      <x:c r="R92" s="24"/>
      <x:c r="S92" s="24"/>
      <x:c r="T92" s="24"/>
      <x:c r="U92" s="18"/>
      <x:c r="V92" s="18"/>
      <x:c r="W92" s="24"/>
      <x:c r="X92" s="24"/>
      <x:c r="Y92" s="24"/>
      <x:c r="Z92" s="24"/>
      <x:c r="AA92" s="24"/>
      <x:c r="AB92" s="24"/>
      <x:c r="AC92" s="24"/>
      <x:c r="AD92" s="24"/>
      <x:c r="AE92" s="24"/>
      <x:c r="AF92" s="24"/>
      <x:c r="AG92" s="24"/>
      <x:c r="AH92" s="24"/>
      <x:c r="AI92" s="18"/>
      <x:c r="AJ92" s="24"/>
      <x:c r="AK92" s="24"/>
      <x:c r="AL92" s="24"/>
      <x:c r="AM92" s="18"/>
      <x:c r="AN92" s="24"/>
      <x:c r="AO92" s="60"/>
      <x:c r="AP92" s="60"/>
      <x:c r="AQ92" s="60"/>
      <x:c r="AR92" s="60"/>
      <x:c r="AS92" s="60"/>
      <x:c r="AT92" s="24"/>
      <x:c r="AU92" s="24"/>
      <x:c r="AV92" s="24"/>
      <x:c r="AW92" s="24"/>
      <x:c r="AX92" s="24"/>
      <x:c r="AY92" s="24"/>
      <x:c r="AZ92" s="24"/>
      <x:c r="BA92" s="24"/>
      <x:c r="BB92" s="24"/>
      <x:c r="BC92" s="24"/>
      <x:c r="BD92" s="24"/>
      <x:c r="BE92" s="24"/>
      <x:c r="BF92" s="24"/>
      <x:c r="BG92" s="24"/>
      <x:c r="BH92" s="61"/>
      <x:c r="BI92" s="61"/>
      <x:c r="BJ92" s="62" t="str">
        <x:f>IF($A92="","",SQRT((($I92*IF($J92="",$AJ92,$J92)+'Setari model'!$B$30*$AJ92)/($I92+'Setari model'!$B$30))*(($P92*IF($R92="",$AJ92,$R92)+'Setari model'!$B$30*$AJ92)/($P92+'Setari model'!$B$30)))+SQRT((($P92*IF($Q92="",$AK92,$Q92)+'Setari model'!$B$30*$AK92)/($P92+'Setari model'!$B$30))*(($I92*IF($K92="",$AK92,$K92)+'Setari model'!$B$30*$AK92)/($I92+'Setari model'!$B$30))))</x:f>
      </x:c>
      <x:c r="BK92" s="62" t="str">
        <x:f>IF($A92="","",SQRT((($I92*IF($L92="",IF($J92="",$AJ92,$J92),$L92)+'Setari model'!$B$30*$AJ92)/($I92+'Setari model'!$B$30))*(($P92*IF($T92="",IF($R92="",$AJ92,$R92),$T92)+'Setari model'!$B$30*$AJ92)/($P92+'Setari model'!$B$30)))+SQRT((($P92*IF($S92="",IF($Q92="",$AK92,$Q92),$S92)+'Setari model'!$B$30*$AK92)/($P92+'Setari model'!$B$30))*(($I92*IF($M92="",IF($K92="",$AK92,$K92),$M92)+'Setari model'!$B$30*$AK92)/($I92+'Setari model'!$B$30))))</x:f>
      </x:c>
      <x:c r="BL92" s="62" t="str">
        <x:f>IF($A92="","",SQRT((($W92*IF($X92="",$AL92/2,$X92)+'Setari model'!$B$31*$AL92/2)/($W92+'Setari model'!$B$31))*(($AB92*IF($AD92="",$AL92/2,$AD92)+'Setari model'!$B$31*$AL92/2)/($AB92+'Setari model'!$B$31)))+SQRT((($AB92*IF($AC92="",$AL92/2,$AC92)+'Setari model'!$B$31*$AL92/2)/($AB92+'Setari model'!$B$31))*(($W92*IF($Y92="",$AL92/2,$Y92)+'Setari model'!$B$31*$AL92/2)/($W92+'Setari model'!$B$31))))</x:f>
      </x:c>
      <x:c r="BM92" s="62" t="str">
        <x:f>IF($A92="","",SQRT((($W92*IF($Z92="",IF($X92="",$AL92/2,$X92),$Z92)+'Setari model'!$B$31*$AL92/2)/($W92+'Setari model'!$B$31))*(($AB92*IF($AF92="",IF($AD92="",$AL92/2,$AD92),$AF92)+'Setari model'!$B$31*$AL92/2)/($AB92+'Setari model'!$B$31)))+SQRT((($AB92*IF($AE92="",IF($AC92="",$AL92/2,$AC92),$AE92)+'Setari model'!$B$31*$AL92/2)/($AB92+'Setari model'!$B$31))*(($W92*IF($AA92="",IF($Y92="",$AL92/2,$Y92),$AA92)+'Setari model'!$B$31*$AL92/2)/($W92+'Setari model'!$B$31))))</x:f>
      </x:c>
      <x:c r="BN92" s="62" t="str">
        <x:f t="shared" si="112">IF($A92="","",IF($AG92&gt;0,($AG92*IF($AH92="",$AL92,$AH92)+5*$AL92)/($AG92+5),$AL92))</x:f>
      </x:c>
      <x:c r="BO92" s="63" t="str">
        <x:f>IF($A92="","",IF($AR92&gt;1,IF($AS92&gt;1,(1/$AR92)/((1/$AR92+1/$AS92)),MIN(0.995,(1/$AR92)/(1+'Setari model'!$B$32))),1-EXP(-$AL92)))</x:f>
      </x:c>
      <x:c r="BP92" s="62" t="str">
        <x:f t="shared" si="113">IF($A92="","",-LN(1-$BO92))</x:f>
      </x:c>
      <x:c r="BQ92" s="62" t="str">
        <x:f>IF($A92="","",$BJ92*INDEX('Setari model'!$B$5:$B$11,MATCH($E92,'Setari model'!$A$5:$A$11,0))+$BK92*INDEX('Setari model'!$C$5:$C$11,MATCH($E92,'Setari model'!$A$5:$A$11,0))+$BL92*INDEX('Setari model'!$D$5:$D$11,MATCH($E92,'Setari model'!$A$5:$A$11,0))+$BM92*INDEX('Setari model'!$E$5:$E$11,MATCH($E92,'Setari model'!$A$5:$A$11,0))+$BN92*INDEX('Setari model'!$F$5:$F$11,MATCH($E92,'Setari model'!$A$5:$A$11,0))+$BP92*INDEX('Setari model'!$G$5:$G$11,MATCH($E92,'Setari model'!$A$5:$A$11,0)))</x:f>
      </x:c>
      <x:c r="BR92" s="64" t="str">
        <x:f>IF($A92="","",MAX('Setari model'!$B$53,MIN('Setari model'!$B$54,1+($AV92*'Setari model'!$B$15+$AW92*'Setari model'!$B$16+$AX92*'Setari model'!$B$17+$AY92*'Setari model'!$B$18+$AZ92*'Setari model'!$B$19+$BA92*'Setari model'!$B$20+$BB92*'Setari model'!$B$21+$BC92*'Setari model'!$B$22+$BD92*'Setari model'!$B$23+$BE92*'Setari model'!$B$24+$BF92*'Setari model'!$B$25)*INDEX('Setari model'!$H$5:$H$11,MATCH($E92,'Setari model'!$A$5:$A$11,0)))))</x:f>
      </x:c>
      <x:c r="BS92" s="62" t="str">
        <x:f t="shared" si="114">IF($A92="","",$BQ92*$BR92)</x:f>
      </x:c>
      <x:c r="BT92" s="63" t="str">
        <x:f t="shared" si="115">IF($A92="","",EXP(-$BS92))</x:f>
      </x:c>
      <x:c r="BU92" s="65" t="str">
        <x:f>IF($A92="","",IF(OR($AM92="",$AN92=""),1,1+MIN('Setari model'!$B$33,$AN92/100*'Setari model'!$B$33)*($AM92/EXP(-$AL92)-1)))</x:f>
      </x:c>
      <x:c r="BV92" s="63" t="str">
        <x:f>IF($A92="","",MIN(0.45,MAX(0.005,(1-'Setari model'!$B$34*MIN(1,($I92+$P92)/20))*MIN(0.45,$BT92*$BU92)+'Setari model'!$B$34*MIN(1,($I92+$P92)/20)*IF(COUNT($N92,$U92)=2,SQRT(MAX(0,1-$N92)*MAX(0,1-$U92)),IF($AM92="",EXP(-$AL92),$AM92)))))</x:f>
      </x:c>
      <x:c r="BW92" s="63" t="str">
        <x:f t="shared" si="116">IF($A92="","",1-$BV92)</x:f>
      </x:c>
      <x:c r="BX92" s="62" t="str">
        <x:f t="shared" si="117">IF($A92="","",1/$BW92)</x:f>
      </x:c>
      <x:c r="BY92" s="63" t="str">
        <x:f t="shared" si="118">IF($A92="","",$BO92)</x:f>
      </x:c>
      <x:c r="BZ92" s="63" t="str">
        <x:f t="shared" si="119">IF($A92="","",$BW92-$BY92)</x:f>
      </x:c>
      <x:c r="CA92" s="63" t="str">
        <x:f t="shared" si="120">IF($A92="","",IF($AR92&gt;1,$BW92*$AR92-1,""))</x:f>
      </x:c>
      <x:c r="CB92" s="63" t="str">
        <x:f>IF($A92="","",MIN(1,COUNT($I92:$AN92,$AR92:$BG92)/'Setari model'!$B$46))</x:f>
      </x:c>
      <x:c r="CC92" s="63" t="str">
        <x:f t="shared" si="121">IF($A92="","",0.25*MIN(1,$I92/10)+0.25*MIN(1,$P92/10)+0.15*MIN(1,$W92/5)+0.15*MIN(1,$AB92/5)+0.1*MIN(1,$AG92/5)+0.1*MIN(1,$AN92/100))</x:f>
      </x:c>
      <x:c r="CD92" s="63" t="str">
        <x:f>IF($A92="","",MAX(0,1-(MAX($BJ92:$BN92,$BP92)-MIN($BJ92:$BN92,$BP92))/(AVERAGE($BJ92:$BN92,$BP92)*'Setari model'!$B$45)))</x:f>
      </x:c>
      <x:c r="CE92" s="66" t="str">
        <x:f>IF($A92="","",MAX(0,MIN(100,100*INDEX('Setari model'!$I$5:$I$11,MATCH($E92,'Setari model'!$A$5:$A$11,0))*('Setari model'!$B$47*$CB92+'Setari model'!$B$48*$CC92+'Setari model'!$B$49*$CD92+'Setari model'!$B$50*$AT92/5+'Setari model'!$B$51*$AU92)-100*'Setari model'!$B$52*$BG92)))</x:f>
      </x:c>
      <x:c r="CF92" s="65" t="str">
        <x:f t="shared" si="122">IF($A92="","",IF(OR($AT92&lt;3,$BG92&gt;=2,$CB92&lt;0.55,$CC92&lt;0.4),"RIDICAT",IF(OR($AU92=0,$CD92&lt;0.45,$BR92&lt;0.9),"MEDIU","SCĂZUT")))</x:f>
      </x:c>
      <x:c r="CG92" s="65" t="str">
        <x:f>IF($A92="","",IF($AR92&gt;1,IF(AND($BW92&gt;= 'Setari model'!$B$35,$CE92&gt;=100*'Setari model'!$B$36,$BZ92&gt;= 'Setari model'!$B$37,$CA92&gt;= 'Setari model'!$B$38,$CF92&lt;&gt;"RIDICAT"),"PARIU RECOMANDAT",IF(AND($BW92&gt;= 'Setari model'!$B$39,$CE92&gt;=100*'Setari model'!$B$40,$BZ92&gt;= 'Setari model'!$B$41,$CA92&gt;=0,$CF92&lt;&gt;"RIDICAT"),"RECOMANDAT CU PRUDENȚĂ",IF(AND($BW92&gt;= 'Setari model'!$B$42,$CE92&gt;=100*'Setari model'!$B$43),"ANALIZĂ NECONCLUDENTĂ","PARIU EVITAT"))),IF(AND($BW92&gt;= 'Setari model'!$B$35,$CE92&gt;=100*'Setari model'!$B$36,$CF92&lt;&gt;"RIDICAT"),"FAVORABIL STATISTIC – VERIFICĂ COTA",IF(AND($BW92&gt;= 'Setari model'!$B$42,$CE92&gt;=100*'Setari model'!$B$43),"ANALIZĂ NECONCLUDENTĂ","PARIU EVITAT"))))</x:f>
      </x:c>
      <x:c r="CH92" s="67" t="str">
        <x:f t="shared" si="123">IF($A92="","","P(O0,5)="&amp;TEXT($BW92,"0.0%")&amp;"; λ ajustat="&amp;TEXT($BS92,"0.00")&amp;"; Confidence="&amp;TEXT($CE92,"0")&amp;"/100; Edge="&amp;TEXT($BZ92,"0.0%")&amp;"; risc="&amp;$CF92&amp;". "&amp;$BH92)</x:f>
      </x:c>
      <x:c r="CI92" s="68" t="str">
        <x:f t="shared" si="124">IF($A92="","",$BI92)</x:f>
      </x:c>
      <x:c r="CJ92" s="112"/>
      <x:c r="CK92" s="112"/>
      <x:c r="CL92" s="112"/>
      <x:c r="CM92" s="112"/>
      <x:c r="CN92" s="112"/>
      <x:c r="CO92" s="112"/>
      <x:c r="CP92" s="112"/>
      <x:c r="CQ92" s="112"/>
      <x:c r="CR92" s="112"/>
      <x:c r="CS92" s="112"/>
      <x:c r="CT92" s="112"/>
      <x:c r="CU92" s="112"/>
      <x:c r="CV92" s="112"/>
      <x:c r="CW92" s="112"/>
      <x:c r="CX92" s="112"/>
      <x:c r="CY92" s="112"/>
      <x:c r="CZ92" s="112"/>
      <x:c r="DA92" s="112"/>
      <x:c r="DB92" s="112"/>
      <x:c r="DC92" s="114"/>
      <x:c r="DD92" s="114"/>
      <x:c r="DE92" s="112" t="s">
        <x:v>266</x:v>
      </x:c>
      <x:c r="DF92" s="112"/>
      <x:c r="DG92" s="112"/>
      <x:c r="DH92" s="112"/>
      <x:c r="DI92" s="112"/>
      <x:c r="DJ92" s="112"/>
      <x:c r="DK92" s="112"/>
      <x:c r="DL92" s="112"/>
      <x:c r="DM92" s="112"/>
      <x:c r="DN92" s="112"/>
      <x:c r="DO92" s="112"/>
      <x:c r="DP92" s="112"/>
      <x:c r="DQ92" s="114"/>
      <x:c r="DR92" s="112">
        <x:v>1</x:v>
      </x:c>
      <x:c r="DS92" s="116">
        <x:v>0</x:v>
      </x:c>
      <x:c r="DT92" s="120"/>
      <x:c r="DU92" s="116">
        <x:v>0.02</x:v>
      </x:c>
      <x:c r="DV92" s="116">
        <x:v>0.25</x:v>
      </x:c>
      <x:c r="DW92" s="118" t="str">
        <x:f>IF($A92="","",MAX('Setari model'!$B$71,MIN('Setari model'!$B$72,1+0.08*(IFERROR(AVERAGE($CM92:$CN92)/'Setari model'!$B$66,1)-1)+0.08*(IFERROR(AVERAGE($CO92:$CP92)/'Setari model'!$B$67,1)-1)+0.06*(IFERROR(AVERAGE($CQ92:$CR92)/'Setari model'!$B$68,1)-1)+0.04*(IFERROR(AVERAGE($CS92:$CT92)/'Setari model'!$B$69,1)-1)+0.04*(IFERROR(AVERAGE($CU92:$CV92)/'Setari model'!$B$70,1)-1)-'Setari model'!$B$73*IFERROR(AVERAGE($CW92:$CX92),0))))</x:f>
      </x:c>
      <x:c r="DX92" s="118" t="str">
        <x:f>IF($A92="","",1+'Setari model'!$B$62*MAX(IF(OR($CK92=1,$CL92=1),1,0),IF(AND($CJ92&lt;&gt;"",$CJ92&lt;=1),1,0))+'Setari model'!$B$63*IF(AND($CJ92&gt;1,$CJ92&lt;=3),1,0))</x:f>
      </x:c>
      <x:c r="DY92" s="118" t="str">
        <x:f>IF($A92="","",1+'Setari model'!$B$74*(IF($CY92="",0,IF($CY92=0,1,0))+IF($CZ92="",0,IF($CZ92=0,1,0)))+'Setari model'!$B$75*(IF($DA92="",0,IF($DA92=0,1,0))+IF($DB92="",0,IF($DB92=0,1,0))))</x:f>
      </x:c>
      <x:c r="DZ92" s="117" t="str">
        <x:f>IF($A92="","",MIN(0.6,MAX(0.002,(((1-'Setari model'!$B$34*MIN(1,($I92+$P92)/20))*$BT92+'Setari model'!$B$34*MIN(1,($I92+$P92)/20)*IF(COUNT($N92,$U92)=2,SQRT(MAX(0,1-$N92)*MAX(0,1-$U92)),$BT92))*(1-'Setari model'!$B$65*MIN(1,IF($AN92="",0,$AN92/'Setari model'!$B$64)))+'Setari model'!$B$65*MIN(1,IF($AN92="",0,$AN92/'Setari model'!$B$64))*IF($AM92="",$BT92,$AM92))*$DX92*$DY92/$DW92)))</x:f>
      </x:c>
      <x:c r="EA92" s="117" t="str">
        <x:f>IF($A92="","",MIN(1-$DZ92,IF(OR(MIN($I92,$P92)&lt;'Setari model'!$B$58,$CK92=1,$CL92=1,AND($CJ92&lt;&gt;"",$CJ92&lt;=1)),'Setari model'!$B$59,IF(AND($AU92=1,$AR92&gt;1,COUNT($CY92:$DB92)=4),'Setari model'!$B$61,'Setari model'!$B$60))))</x:f>
      </x:c>
      <x:c r="EB92" s="115" t="str">
        <x:f t="shared" si="125">IF($A92="","",1/$EA92)</x:f>
      </x:c>
      <x:c r="EC92" s="117" t="str">
        <x:f t="shared" si="126">IF($A92="","",IF($AR92&gt;1,IF($AS92&gt;1,(1/$AR92)/((1/$AR92)+(1/$AS92)),1/$AR92),""))</x:f>
      </x:c>
      <x:c r="ED92" s="117" t="str">
        <x:f t="shared" si="127">IF($A92="","",IF($EC92="","",$EA92-$EC92))</x:f>
      </x:c>
      <x:c r="EE92" s="117" t="str">
        <x:f t="shared" si="128">""</x:f>
      </x:c>
      <x:c r="EF92" s="119" t="str">
        <x:f>IF($A92="","",MAX(0,MIN(100,$CE92-200*MAX(0,$EG92-'Setari model'!$B$77)-IF($AU92&lt;&gt;1,10,0)-IF(COUNT($CY92:$DB92)&lt;4,4,0))))</x:f>
      </x:c>
      <x:c r="EG92" s="117" t="str">
        <x:f>IF($A92="","",'Setari model'!$B$77+IF(MIN($I92,$P92)&lt;'Setari model'!$B$58,0.03,0)+IF(OR($CK92=1,$CL92=1,AND($CJ92&lt;&gt;"",$CJ92&lt;=1)),0.03,0)+IF($AG92=0,0.02,0)+0.03*(1-MIN(1,COUNT($CM92:$CV92)/10))+0.03*(1-MIN(1,IF($AN92="",0,$AN92/'Setari model'!$B$64)))+IF($AR92&lt;=1,0.02,0))</x:f>
      </x:c>
      <x:c r="EH92" s="113" t="str">
        <x:f>IF($A92="","",IF(OR(MIN($I92,$P92)&lt;'Setari model'!$B$58,$CK92=1,$CL92=1,AND($CJ92&lt;&gt;"",$CJ92&lt;=1)),"92% – early/regim",IF(AND($AU92=1,$AR92&gt;1,COUNT($CY92:$DB92)=4),"94% – confirmat","93% – standard")))</x:f>
      </x:c>
      <x:c r="EI92" s="113" t="str">
        <x:f t="shared" si="129">IF($A92="","",IF(AND($EA92&gt;0.9,$AU92&lt;&gt;1),"WAIT XI – HIGH P",IF(AND($EA92&gt;0.9,COUNT($CY92:$DB92)&lt;4),"WAIT DATE CHEIE – HIGH P",IF($EP92&lt;&gt;"DA","NU – PORTOFOLIU","DA"))))</x:f>
      </x:c>
      <x:c r="EJ92" s="117" t="str">
        <x:f t="shared" si="130">IF($A92="","",IF($DE92&lt;&gt;"Live 20-30","",IF(SUM($DG92:$DH92)&gt;0,1,IF($EU92="","",1-MIN(0.95,MAX(0.001,EXP(-$EU92)*$DX92*$DY92/$DW92))))))</x:f>
      </x:c>
      <x:c r="EK92" s="117" t="str">
        <x:f t="shared" si="131">""</x:f>
      </x:c>
      <x:c r="EL92" s="113" t="str">
        <x:f>IF($A92="","",IF($DE92="Live 20-30",IF(SUM($DG92:$DH92)&gt;0,"EVENIMENT ÎNDEPLINIT",IF(OR($DF92="",COUNT($DI92:$DN92)&lt;4),"LIVE – WATCH",IF($EJ92&gt;=0.75,"LIVE – FEZABIL TEHNIC","LIVE – NO BET"))),IF($EI92&lt;&gt;"DA","WATCH / NO BET",IF(AND($EA92&gt;=INDEX('Setari model'!$B$35:$B$40,1),$EF92&gt;=100*'Setari model'!$B$76),"PARIU RECOMANDAT",IF(AND($EA92&gt;=INDEX('Setari model'!$B$35:$B$40,5),$EF92&gt;=100*'Setari model'!$B$40),"WATCH – APROAPE DE PRAG","PARIU EVITAT")))))</x:f>
      </x:c>
      <x:c r="EM92" s="113" t="str">
        <x:f t="shared" si="132">IF($A92="","",IF($DE92="Live 20-30",IF(SUM($DG92:$DH92)&gt;0,"Gol deja marcat.",IF($DF92="","Minut live lipsă.",IF(COUNT($DI92:$DN92)&lt;4,"Lipsesc xG/SOT/big chances live.",IF($EJ92&lt;0.75,"P live sub prag.","Semnal live tehnic complet; EV ignorat.")))),IF($EI92&lt;&gt;"DA",$EI92,IF($EF92&lt;75,"Confidence sub 75.",IF($EA92&lt;0.92,"P sub 92%.","G0/Zero-Mass + confidence trecute; EV ignorat.")))))</x:f>
      </x:c>
      <x:c r="EN92" s="117" t="str">
        <x:f>IF($A92="","",IF(OR($EL92="PARIU RECOMANDAT",$EL92="LIVE – FEZABIL"),MIN(IF($DU92&gt;0,$DU92,'Setari model'!$B$81)/MAX(1,$DR92),IF($DV92&gt;0,$DV92,'Setari model'!$B$80)*MAX(0,((IF($DE92="Live 20-30",$EJ92,$EA92)*IF($DE92="Live 20-30",$DQ92,$AR92)-1)/(IF($DE92="Live 20-30",$DQ92,$AR92)-1)))),0))</x:f>
      </x:c>
      <x:c r="EO92" s="121" t="str">
        <x:f t="shared" si="133">IF($A92="","",IF(AND($EN92&gt;0,$DT92&gt;0),$EN92*$DT92,""))</x:f>
      </x:c>
      <x:c r="EP92" s="113" t="str">
        <x:f>IF($A92="","",IF(OR($DR92&lt;1,$DR92&gt;'Setari model'!$B$78),"NU – 1–5 selecții",IF($DS92&gt;'Setari model'!$B$79,"NU – corelație", "DA")))</x:f>
      </x:c>
      <x:c r="EQ92" s="117" t="str">
        <x:f t="shared" si="134">IF($A92="","",IF(AND($DC92&gt;1,$DD92&gt;1),$DC92/$DD92-1,""))</x:f>
      </x:c>
      <x:c r="ER92" s="113" t="str">
        <x:f t="shared" si="135">IF($A92="","","P v2="&amp;TEXT($EA92,"0.0%")&amp;" ±"&amp;TEXT($EG92,"0.0%")&amp;"; P0 ZIP="&amp;TEXT($DZ92,"0.0%")&amp;"; Confidence="&amp;TEXT($EF92,"0")&amp;"/100; piață reală="&amp;IF($EC92="","NU","DA")&amp;"; EV="&amp;IF($EE92="","n/a",TEXT($EE92,"0.0%"))&amp;"; gate="&amp;$EI92&amp;"; verdict="&amp;$EL92&amp;". "&amp;$EM92)</x:f>
      </x:c>
      <x:c r="ES92" s="119" t="str">
        <x:f>IF($A92="","",'Setari model'!$B$82)</x:f>
      </x:c>
      <x:c r="ET92" s="118" t="str">
        <x:f>IF($A92="","",'Setari model'!$B$83)</x:f>
      </x:c>
      <x:c r="EU92" s="115" t="str">
        <x:f t="shared" si="136">IF(OR($A92="",$DE92&lt;&gt;"Live 20-30",$DF92="",$DF92&lt;$ES92,$DF92&gt;=90),"",MAX(0.05,MIN($BS92*$ET92,$BS92*(90-$DF92)/90+0.35*($DI92+$DJ92)+0.06*($DK92+$DL92)+0.15*($DM92+$DN92)+0.1*(MAX($DO92,$DP92)-MIN($DO92,$DP92)))))</x:f>
      </x:c>
      <x:c r="EV92" s="132"/>
      <x:c r="EW92" s="132"/>
      <x:c r="EX92" s="132"/>
      <x:c r="EY92" s="132"/>
      <x:c r="EZ92" s="132"/>
      <x:c r="FA92" s="132"/>
      <x:c r="FB92" s="247"/>
      <x:c r="FC92" s="134" t="str">
        <x:f t="shared" si="137">IF($A92="","",IF(OR($J92="",$L92="",$L92&lt;=0),"",MAX(0.5,MIN(1.5,$J92/$L92))))</x:f>
      </x:c>
      <x:c r="FD92" s="134" t="str">
        <x:f t="shared" si="138">IF($A92="","",IF(OR($Q92="",$S92="",$S92&lt;=0),"",MAX(0.5,MIN(1.5,$Q92/$S92))))</x:f>
      </x:c>
      <x:c r="FE92" s="134" t="str">
        <x:f>IF($A92="","",IF(COUNT($EV92:$EW92)&lt;2,"",SQRT($EV92*$EW92)/'Setari model'!$B$87))</x:f>
      </x:c>
      <x:c r="FF92" s="134" t="str">
        <x:f>IF($A92="","",IF(COUNT($O92,$V92,$EX92,$EY92)&lt;4,"",AVERAGE(SQRT($O92*$EY92),SQRT($V92*$EX92))/'Setari model'!$B$88))</x:f>
      </x:c>
      <x:c r="FG92" s="134" t="str">
        <x:f t="shared" si="139">IF($A92="","",IF(COUNT($FC92:$FD92)&lt;2,"",MAX(0,1-AVERAGE($FC92:$FD92))))</x:f>
      </x:c>
      <x:c r="FH92" s="134" t="str">
        <x:f>IF($A92="","",IF(COUNT($EZ92:$FA92)&lt;2,"",'Setari model'!$B$94*AVERAGE($EZ92:$FA92)/'Setari model'!$B$89))</x:f>
      </x:c>
      <x:c r="FI92" s="134" t="str">
        <x:f>IF($A92="","",IF(COUNT($FE92:$FH92)&lt;4,"",MAX('Setari model'!$B$97,MIN('Setari model'!$B$98,1+'Setari model'!$B$90*($FE92-1)+'Setari model'!$B$91*($FF92-1)+'Setari model'!$B$92*$FG92+'Setari model'!$B$93*($FH92-1)))))</x:f>
      </x:c>
      <x:c r="FJ92" s="133" t="str">
        <x:f>IF($A92="","",IF($FI92="","",MIN('Setari model'!$B$101,MAX(0.002,$DZ92*$FI92))))</x:f>
      </x:c>
      <x:c r="FK92" s="131" t="str">
        <x:f t="shared" si="140">IF($A92="","",IF(AND(COUNT($EV92:$FA92)=6,COUNT($O92,$V92,$FC92,$FD92)=4),"DA","NU"))</x:f>
      </x:c>
      <x:c r="FL92" s="131" t="str">
        <x:f>IF($A92="","",IF($FK92&lt;&gt;"DA","NEDETERMINAT",IF($FI92&lt;='Setari model'!$B$99,"SCĂZUT",IF($FI92&lt;='Setari model'!$B$100,"MEDIU","RIDICAT"))))</x:f>
      </x:c>
      <x:c r="FM92" s="131" t="str">
        <x:f>IF($A92="","",IF(AND($AR92&gt;1,$EC92&gt;='Setari model'!$B$106),"DA","NU"))</x:f>
      </x:c>
      <x:c r="FN92" s="131" t="str">
        <x:f t="shared" si="141">IF($A92="","",IF(AND($AU92=1,COUNT($CY92:$DB92)=4),"DA","NU"))</x:f>
      </x:c>
      <x:c r="FO92" s="133" t="str">
        <x:f>IF($A92="","",IF(OR($FK92&lt;&gt;"DA",$FL92="RIDICAT"),'Setari model'!$B$102,IF($FL92="MEDIU",'Setari model'!$B$103,IF(AND($FM92="DA",$FN92="DA"),'Setari model'!$B$105,'Setari model'!$B$104))))</x:f>
      </x:c>
      <x:c r="FP92" s="133" t="str">
        <x:f t="shared" si="142">IF($A92="","",IF($FJ92="","",MIN(1-$FJ92,$FO92)))</x:f>
      </x:c>
      <x:c r="FQ92" s="135" t="str">
        <x:f t="shared" si="143">IF($A92="","",IF($FP92="","",IF($FP92&gt;0,1/$FP92,"")))</x:f>
      </x:c>
      <x:c r="FR92" s="133" t="str">
        <x:f t="shared" si="144">IF($A92="","",IF($EC92="","",$FP92-$EC92))</x:f>
      </x:c>
      <x:c r="FS92" s="133" t="str">
        <x:f t="shared" si="145">IF($A92="","",IF($AR92&gt;1,$FP92*$AR92-1,""))</x:f>
      </x:c>
      <x:c r="FT92" s="136" t="str">
        <x:f>IF($A92="","",MAX(0,MIN(100,$EF92-IF($FK92&lt;&gt;"DA",'Setari model'!$B$107,0)-IF($FL92="MEDIU",'Setari model'!$B$108,0)-IF($FL92="RIDICAT",'Setari model'!$B$109,0))))</x:f>
      </x:c>
      <x:c r="FU92" s="131" t="str">
        <x:f t="shared" si="146">IF($A92="","",IF($AR92&lt;=1,"NU – LIPSEȘTE COTA REALĂ",IF($FK92&lt;&gt;"DA","NU – ZERO-RISK INCOMPLET",IF($FL92&lt;&gt;"SCĂZUT","NU – RISC 0-0 "&amp;$FL92,IF($FN92&lt;&gt;"DA","NU – LINEUP NECONFIRMAT",IF($FM92&lt;&gt;"DA","NU – PIAȚĂ NECONFIRMATĂ",IF($EP92&lt;&gt;"DA","NU – PORTOFOLIU","DA")))))))</x:f>
      </x:c>
      <x:c r="FV92" s="131" t="str">
        <x:f>IF($A92="","",IF($FU92&lt;&gt;"DA","WATCH / NO BET",IF(AND($FP92&gt;='Setari model'!$B$35,$FT92&gt;=100*'Setari model'!$B$76,$FS92&gt;0),"PARIU RECOMANDAT",IF(AND($FP92&gt;='Setari model'!$B$39,$FT92&gt;=100*'Setari model'!$B$40,$FS92&gt;0),"WATCH – APROAPE DE PRAG","PARIU EVITAT"))))</x:f>
      </x:c>
      <x:c r="FW92" s="131" t="str">
        <x:f t="shared" si="147">IF($A92="","",IF($FU92&lt;&gt;"DA",$FU92,IF($FT92&lt;75,"Confidence v3 sub 75.",IF($FP92&lt;0.92,"P v3 sub 92%.",IF($FS92&lt;=0,"EV v3 nepozitiv.","P0 v3, lineup și piață confirmate.")))))</x:f>
      </x:c>
      <x:c r="FX92" s="131" t="str">
        <x:f t="shared" si="148">IF($A92="","","P v3="&amp;TEXT($FP92,"0.0%")&amp;"; P0 v3="&amp;TEXT($FJ92,"0.0%")&amp;"; factor zero="&amp;IF($FI92="","n/a",TEXT($FI92,"0.00x"))&amp;" ("&amp;$FL92&amp;"); cap="&amp;TEXT($FO92,"0.0%")&amp;"; Confidence="&amp;TEXT($FT92,"0")&amp;"/100; lineup="&amp;$FN92&amp;"; piață="&amp;$FM92&amp;"; EV="&amp;IF($FS92="","n/a",TEXT($FS92,"0.0%"))&amp;"; gate="&amp;$FU92&amp;"; verdict="&amp;$FV92&amp;". "&amp;$FW92)</x:f>
      </x:c>
      <x:c r="FY92" s="159"/>
      <x:c r="FZ92" s="159"/>
      <x:c r="GA92" s="157"/>
      <x:c r="GB92" s="157"/>
      <x:c r="GC92" s="161" t="str">
        <x:f t="shared" si="149">IF($A92="","",IF(OR($X92="",$Z92="",$Z92&lt;=0),"",MAX(0.5,MIN(1.5,$X92/$Z92))))</x:f>
      </x:c>
      <x:c r="GD92" s="161" t="str">
        <x:f t="shared" si="150">IF($A92="","",IF(OR($AC92="",$AE92="",$AE92&lt;=0),"",MAX(0.5,MIN(1.5,$AC92/$AE92))))</x:f>
      </x:c>
      <x:c r="GE92" s="162" t="str">
        <x:f t="shared" si="151">IF($A92="","",IF(COUNT($Z92,$AE92)&lt;2,"",AVERAGE($Z92,$AE92)))</x:f>
      </x:c>
      <x:c r="GF92" s="158" t="str">
        <x:f>IF($A92="","",IF(COUNT($FY92:$FZ92)&lt;2,"NEDETERMINAT",IF(AND($FY92&gt;='Setari model'!$B$113,$FZ92&gt;='Setari model'!$B$113),"DA","NU")))</x:f>
      </x:c>
      <x:c r="GG92" s="158" t="str">
        <x:f>IF($A92="","",IF(COUNT($FY92:$FZ92,$EX92:$EY92)&lt;4,"NEDETERMINAT",IF(OR(AND($FY92&gt;='Setari model'!$B$113,$EY92&gt;='Setari model'!$B$114),AND($FZ92&gt;='Setari model'!$B$113,$EX92&gt;='Setari model'!$B$114)),"DA","NU")))</x:f>
      </x:c>
      <x:c r="GH92" s="158" t="str">
        <x:f>IF($A92="","",IF(COUNT($BJ92:$BN92,$GC92:$GE92)&lt;8,"NEDETERMINAT",IF(AND((($BJ92*INDEX('Setari model'!$B$5:$B$11,MATCH($E92,'Setari model'!$A$5:$A$11,0))+$BK92*INDEX('Setari model'!$C$5:$C$11,MATCH($E92,'Setari model'!$A$5:$A$11,0))+$BL92*INDEX('Setari model'!$D$5:$D$11,MATCH($E92,'Setari model'!$A$5:$A$11,0))+$BM92*INDEX('Setari model'!$E$5:$E$11,MATCH($E92,'Setari model'!$A$5:$A$11,0))+$BN92*INDEX('Setari model'!$F$5:$F$11,MATCH($E92,'Setari model'!$A$5:$A$11,0)))/(INDEX('Setari model'!$B$5:$B$11,MATCH($E92,'Setari model'!$A$5:$A$11,0))+INDEX('Setari model'!$C$5:$C$11,MATCH($E92,'Setari model'!$A$5:$A$11,0))+INDEX('Setari model'!$D$5:$D$11,MATCH($E92,'Setari model'!$A$5:$A$11,0))+INDEX('Setari model'!$E$5:$E$11,MATCH($E92,'Setari model'!$A$5:$A$11,0))+INDEX('Setari model'!$F$5:$F$11,MATCH($E92,'Setari model'!$A$5:$A$11,0))))*$BR92&gt;='Setari model'!$B$115,(($BJ92*INDEX('Setari model'!$B$5:$B$11,MATCH($E92,'Setari model'!$A$5:$A$11,0))+$BK92*INDEX('Setari model'!$C$5:$C$11,MATCH($E92,'Setari model'!$A$5:$A$11,0))+$BL92*INDEX('Setari model'!$D$5:$D$11,MATCH($E92,'Setari model'!$A$5:$A$11,0))+$BM92*INDEX('Setari model'!$E$5:$E$11,MATCH($E92,'Setari model'!$A$5:$A$11,0))+$BN92*INDEX('Setari model'!$F$5:$F$11,MATCH($E92,'Setari model'!$A$5:$A$11,0)))/(INDEX('Setari model'!$B$5:$B$11,MATCH($E92,'Setari model'!$A$5:$A$11,0))+INDEX('Setari model'!$C$5:$C$11,MATCH($E92,'Setari model'!$A$5:$A$11,0))+INDEX('Setari model'!$D$5:$D$11,MATCH($E92,'Setari model'!$A$5:$A$11,0))+INDEX('Setari model'!$E$5:$E$11,MATCH($E92,'Setari model'!$A$5:$A$11,0))+INDEX('Setari model'!$F$5:$F$11,MATCH($E92,'Setari model'!$A$5:$A$11,0))))*$BR92&lt;='Setari model'!$B$116,AVERAGE($GC92:$GD92)&lt;='Setari model'!$B$117,$GE92&gt;='Setari model'!$B$118),"DA","NU")))</x:f>
      </x:c>
      <x:c r="GI92" s="158" t="str">
        <x:f>IF($A92="","",IF(COUNT($W92,$AB92,$GA92:$GB92)&lt;4,"NEDETERMINAT",IF(AND($W92&gt;='Setari model'!$B$120,$AB92&gt;='Setari model'!$B$120,OR(IFERROR($GA92/$W92,0)&gt;='Setari model'!$B$119,IFERROR($GB92/$AB92,0)&gt;='Setari model'!$B$119)),"DA","NU")))</x:f>
      </x:c>
      <x:c r="GJ92" s="160" t="str">
        <x:f>IF($A92="","",IF(COUNT($FY92:$GB92)&lt;4,"",IF($GH92&lt;&gt;"DA",0,'Setari model'!$B$121*IF($GF92="DA",1,0)+'Setari model'!$B$122*IF($GG92="DA",1,0)+'Setari model'!$B$123+'Setari model'!$B$124*IF($GI92="DA",1,0))))</x:f>
      </x:c>
      <x:c r="GK92" s="161" t="str">
        <x:f>IF($A92="","",IF(COUNT($GJ92)=0,"",1+'Setari model'!$B$125*$GJ92))</x:f>
      </x:c>
      <x:c r="GL92" s="160" t="str">
        <x:f>IF($A92="","",IF($GM92&lt;&gt;"DA",$FJ92,MIN('Setari model'!$B$101,MAX(0.002,$FJ92*$GK92))))</x:f>
      </x:c>
      <x:c r="GM92" s="158" t="str">
        <x:f>IF($A92="","",IF(AND($FK92="DA",COUNT($FY92:$GB92)=4,COUNT($I92,$P92,$W92,$AB92,$Z92,$AE92,$EX92,$EY92,$GC92,$GD92)=10,COUNT($BJ92:$BN92)=5),"DA","NU"))</x:f>
      </x:c>
      <x:c r="GN92" s="158" t="str">
        <x:f>IF($A92="","",IF($GM92&lt;&gt;"DA","NEDETERMINAT",IF($FI92*$GK92&lt;='Setari model'!$B$99,"SCĂZUT",IF($FI92*$GK92&lt;='Setari model'!$B$100,"MEDIU","RIDICAT"))))</x:f>
      </x:c>
      <x:c r="GO92" s="160" t="str">
        <x:f>IF($A92="","",IF(OR($GM92&lt;&gt;"DA",$GN92="RIDICAT"),'Setari model'!$B$102,IF($GN92="MEDIU",'Setari model'!$B$103,IF(AND($FM92="DA",$FN92="DA"),'Setari model'!$B$105,'Setari model'!$B$104))))</x:f>
      </x:c>
      <x:c r="GP92" s="160" t="str">
        <x:f t="shared" si="152">IF($A92="","",IF($GL92="","",MIN(1-$GL92,$GO92)))</x:f>
      </x:c>
      <x:c r="GQ92" s="162" t="str">
        <x:f t="shared" si="153">IF($A92="","",IF($GP92="","",IF($GP92&gt;0,1/$GP92,"")))</x:f>
      </x:c>
      <x:c r="GR92" s="160" t="str">
        <x:f t="shared" si="154">IF($A92="","",IF($EC92="","",$GP92-$EC92))</x:f>
      </x:c>
      <x:c r="GS92" s="160" t="str">
        <x:f t="shared" si="155">IF($A92="","",IF($AR92&gt;1,$GP92*$AR92-1,""))</x:f>
      </x:c>
      <x:c r="GT92" s="163" t="str">
        <x:f>IF($A92="","",MAX(0,MIN(100,$FT92-IF(AND($GM92&lt;&gt;"DA",$FK92="DA"),'Setari model'!$B$107,0)-'Setari model'!$B$126*IF($GJ92="",0,$GJ92))))</x:f>
      </x:c>
      <x:c r="GU92" s="158" t="str">
        <x:f t="shared" si="156">IF($A92="","",IF($AR92&lt;=1,"NU – LIPSEȘTE COTA REALĂ",IF($GM92&lt;&gt;"DA","NU – DATE LOW-CONVERSION INCOMPLETE",IF($GN92&lt;&gt;"SCĂZUT","NU – RISC 0-0 "&amp;$GN92,IF($FN92&lt;&gt;"DA","NU – LINEUP NECONFIRMAT",IF($FM92&lt;&gt;"DA","NU – PIAȚĂ NECONFIRMATĂ",IF($EP92&lt;&gt;"DA","NU – PORTOFOLIU","DA")))))))</x:f>
      </x:c>
      <x:c r="GV92" s="158" t="str">
        <x:f>IF($A92="","",IF($GU92&lt;&gt;"DA","WATCH / NO BET",IF(AND($GP92&gt;='Setari model'!$B$35,$GT92&gt;=100*'Setari model'!$B$76,$GS92&gt;0),"PARIU RECOMANDAT",IF(AND($GP92&gt;='Setari model'!$B$39,$GT92&gt;=100*'Setari model'!$B$40,$GS92&gt;0),"WATCH – APROAPE DE PRAG","PARIU EVITAT"))))</x:f>
      </x:c>
      <x:c r="GW92" s="158" t="str">
        <x:f t="shared" si="157">IF($A92="","",IF($GU92&lt;&gt;"DA",$GU92,IF($GT92&lt;75,"Confidence v5 sub 75.",IF($GP92&lt;0.92,"P v5 sub 92%.",IF($GS92&lt;=0,"EV v5 nepozitiv.",IF($GJ92&gt;0,"Low-conversion absorbit în P0; toate porțile rămân trecute.","Toate porțile v5 sunt trecute."))))))</x:f>
      </x:c>
      <x:c r="GX92" s="158" t="str">
        <x:f t="shared" si="158">IF($A92="","","P v5="&amp;TEXT($GP92,"0.0%")&amp;"; P0 v5="&amp;TEXT($GL92,"0.0%")&amp;"; low-conv="&amp;IF(COUNT($GJ92)=0,"n/a",TEXT($GJ92,"0%"))&amp;"; mult.P0="&amp;IF(COUNT($GK92)=0,"n/a",TEXT($GK92,"0.00"))&amp;"; clasă="&amp;$GN92&amp;"; cap="&amp;TEXT($GO92,"0.0%")&amp;"; Confidence="&amp;TEXT($GT92,"0")&amp;"/100; lineup="&amp;$FN92&amp;"; piață="&amp;$FM92&amp;"; EV="&amp;IF($GS92="","n/a",TEXT($GS92,"0.0%"))&amp;"; gate="&amp;$GU92&amp;"; verdict="&amp;$GV92&amp;". "&amp;$GW92)</x:f>
      </x:c>
      <x:c r="GY92" s="174" t="str">
        <x:f>IF($A92="","",IF($GM92&lt;&gt;"DA","SOURCING INCOMPLETE – REVIEW REQUIRED",IF(MIN($I92,$P92,$W92,$AB92)&lt;'Setari model'!$B$58,"SMALL SAMPLE + PRIOR / SHRINKAGE","VERIFIED / PRIOR / SHRINKAGE")))</x:f>
      </x:c>
      <x:c r="GZ92" s="175" t="str">
        <x:f t="shared" si="159">IF($A92="","",MAX(0,MIN(100,100*(1-AVERAGE(IF($GM92="DA",1,0),MIN(1,$AT92/5))))))</x:f>
      </x:c>
      <x:c r="HA92" s="175" t="str">
        <x:f>IF($A92="","",IF($GM92&lt;&gt;"DA","",MAX(0,MIN(100,100*(($FI92*$GK92)-'Setari model'!$B$97)/('Setari model'!$B$98-'Setari model'!$B$97)))))</x:f>
      </x:c>
      <x:c r="HB92" s="175" t="str">
        <x:f>IF($A92="","",MAX(0,MIN(100,100*(ABS($BR92-1)/MAX(1-'Setari model'!$B$53,'Setari model'!$B$54-1)+MIN(1,$BG92/2))/2)))</x:f>
      </x:c>
      <x:c r="HC92" s="175" t="str">
        <x:f t="shared" si="160">IF($A92="","",MAX(0,MIN(100,100*(1-AVERAGE($CC92,MAX(0,1-(MAX($BJ92:$BN92)-MIN($BJ92:$BN92))/(AVERAGE($BJ92:$BN92)*'Setari model'!$B$45)))))))</x:f>
      </x:c>
      <x:c r="HD92" s="175" t="str">
        <x:f t="shared" si="161">IF($A92="","",MAX(0,MIN(100,100*MAX(IF($GJ92="",0,$GJ92),MIN(1,$BG92/2)))))</x:f>
      </x:c>
      <x:c r="HE92" s="175" t="str">
        <x:f>IF($A92="","",IF(COUNT($GZ92:$HD92)&lt;5,"",$GZ92*Risk_Classification!$E$28+$HA92*Risk_Classification!$E$29+$HB92*Risk_Classification!$E$30+$HC92*Risk_Classification!$E$31+$HD92*Risk_Classification!$E$32))</x:f>
      </x:c>
      <x:c r="HF92" s="176" t="str">
        <x:f t="shared" si="162">IF($A92="","",IF($HE92="","",IF($HE92&lt;=20,1,IF($HE92&lt;=40,2,IF($HE92&lt;=60,3,IF($HE92&lt;=80,4,5))))))</x:f>
      </x:c>
      <x:c r="HG92" s="176" t="str">
        <x:f t="shared" si="163">IF($A92="","",IF($GM92="DA","PASS","FAIL – DATE CRITICE ZERO-MASS INCOMPLETE"))</x:f>
      </x:c>
      <x:c r="HH92" s="176" t="str">
        <x:f t="shared" si="164">IF($A92="","",IF($HG92&lt;&gt;"PASS",5,$HF92))</x:f>
      </x:c>
      <x:c r="HI92" s="174" t="str">
        <x:f t="shared" si="165">IF($A92="","",IF($HH92="","N/A",IF($HH92=1,"DEFENSIV",IF($HH92=2,"PRUDENT",IF($HH92=3,"MODERAT",IF($HH92=4,"RIDICAT","WATCH / NO BET"))))))</x:f>
      </x:c>
      <x:c r="HJ92" s="177" t="str">
        <x:f t="shared" si="166">IF($A92="","","Data="&amp;$GY92&amp;"; DQ="&amp;TEXT($GZ92,"0.0")&amp;"; ZM="&amp;IF($HA92="","n/a",TEXT($HA92,"0.0"))&amp;"; Context="&amp;TEXT($HB92,"0.0")&amp;"; Uncertainty="&amp;TEXT($HC92,"0.0")&amp;"; Compound="&amp;TEXT($HD92,"0.0")&amp;"; Risk Score="&amp;IF($HE92="","n/a",TEXT($HE92,"0.0"))&amp;"; Base="&amp;IF($HF92="","n/a",$HF92)&amp;"; G0="&amp;$HG92&amp;"; Final="&amp;$HH92&amp;". Cota, EV si lineup sunt informative si nu intra in recomandare.")</x:f>
      </x:c>
      <x:c r="HK92" s="174" t="str">
        <x:f t="shared" si="167">IF($A92="","",$HI92)</x:f>
      </x:c>
    </x:row>
    <x:row r="93" ht="24" customHeight="1">
      <x:c r="A93" s="58"/>
      <x:c r="B93" s="24"/>
      <x:c r="C93" s="59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18"/>
      <x:c r="O93" s="18"/>
      <x:c r="P93" s="24"/>
      <x:c r="Q93" s="24"/>
      <x:c r="R93" s="24"/>
      <x:c r="S93" s="24"/>
      <x:c r="T93" s="24"/>
      <x:c r="U93" s="18"/>
      <x:c r="V93" s="18"/>
      <x:c r="W93" s="24"/>
      <x:c r="X93" s="24"/>
      <x:c r="Y93" s="24"/>
      <x:c r="Z93" s="24"/>
      <x:c r="AA93" s="24"/>
      <x:c r="AB93" s="24"/>
      <x:c r="AC93" s="24"/>
      <x:c r="AD93" s="24"/>
      <x:c r="AE93" s="24"/>
      <x:c r="AF93" s="24"/>
      <x:c r="AG93" s="24"/>
      <x:c r="AH93" s="24"/>
      <x:c r="AI93" s="18"/>
      <x:c r="AJ93" s="24"/>
      <x:c r="AK93" s="24"/>
      <x:c r="AL93" s="24"/>
      <x:c r="AM93" s="18"/>
      <x:c r="AN93" s="24"/>
      <x:c r="AO93" s="60"/>
      <x:c r="AP93" s="60"/>
      <x:c r="AQ93" s="60"/>
      <x:c r="AR93" s="60"/>
      <x:c r="AS93" s="60"/>
      <x:c r="AT93" s="24"/>
      <x:c r="AU93" s="24"/>
      <x:c r="AV93" s="24"/>
      <x:c r="AW93" s="24"/>
      <x:c r="AX93" s="24"/>
      <x:c r="AY93" s="24"/>
      <x:c r="AZ93" s="24"/>
      <x:c r="BA93" s="24"/>
      <x:c r="BB93" s="24"/>
      <x:c r="BC93" s="24"/>
      <x:c r="BD93" s="24"/>
      <x:c r="BE93" s="24"/>
      <x:c r="BF93" s="24"/>
      <x:c r="BG93" s="24"/>
      <x:c r="BH93" s="61"/>
      <x:c r="BI93" s="61"/>
      <x:c r="BJ93" s="62" t="str">
        <x:f>IF($A93="","",SQRT((($I93*IF($J93="",$AJ93,$J93)+'Setari model'!$B$30*$AJ93)/($I93+'Setari model'!$B$30))*(($P93*IF($R93="",$AJ93,$R93)+'Setari model'!$B$30*$AJ93)/($P93+'Setari model'!$B$30)))+SQRT((($P93*IF($Q93="",$AK93,$Q93)+'Setari model'!$B$30*$AK93)/($P93+'Setari model'!$B$30))*(($I93*IF($K93="",$AK93,$K93)+'Setari model'!$B$30*$AK93)/($I93+'Setari model'!$B$30))))</x:f>
      </x:c>
      <x:c r="BK93" s="62" t="str">
        <x:f>IF($A93="","",SQRT((($I93*IF($L93="",IF($J93="",$AJ93,$J93),$L93)+'Setari model'!$B$30*$AJ93)/($I93+'Setari model'!$B$30))*(($P93*IF($T93="",IF($R93="",$AJ93,$R93),$T93)+'Setari model'!$B$30*$AJ93)/($P93+'Setari model'!$B$30)))+SQRT((($P93*IF($S93="",IF($Q93="",$AK93,$Q93),$S93)+'Setari model'!$B$30*$AK93)/($P93+'Setari model'!$B$30))*(($I93*IF($M93="",IF($K93="",$AK93,$K93),$M93)+'Setari model'!$B$30*$AK93)/($I93+'Setari model'!$B$30))))</x:f>
      </x:c>
      <x:c r="BL93" s="62" t="str">
        <x:f>IF($A93="","",SQRT((($W93*IF($X93="",$AL93/2,$X93)+'Setari model'!$B$31*$AL93/2)/($W93+'Setari model'!$B$31))*(($AB93*IF($AD93="",$AL93/2,$AD93)+'Setari model'!$B$31*$AL93/2)/($AB93+'Setari model'!$B$31)))+SQRT((($AB93*IF($AC93="",$AL93/2,$AC93)+'Setari model'!$B$31*$AL93/2)/($AB93+'Setari model'!$B$31))*(($W93*IF($Y93="",$AL93/2,$Y93)+'Setari model'!$B$31*$AL93/2)/($W93+'Setari model'!$B$31))))</x:f>
      </x:c>
      <x:c r="BM93" s="62" t="str">
        <x:f>IF($A93="","",SQRT((($W93*IF($Z93="",IF($X93="",$AL93/2,$X93),$Z93)+'Setari model'!$B$31*$AL93/2)/($W93+'Setari model'!$B$31))*(($AB93*IF($AF93="",IF($AD93="",$AL93/2,$AD93),$AF93)+'Setari model'!$B$31*$AL93/2)/($AB93+'Setari model'!$B$31)))+SQRT((($AB93*IF($AE93="",IF($AC93="",$AL93/2,$AC93),$AE93)+'Setari model'!$B$31*$AL93/2)/($AB93+'Setari model'!$B$31))*(($W93*IF($AA93="",IF($Y93="",$AL93/2,$Y93),$AA93)+'Setari model'!$B$31*$AL93/2)/($W93+'Setari model'!$B$31))))</x:f>
      </x:c>
      <x:c r="BN93" s="62" t="str">
        <x:f t="shared" si="112">IF($A93="","",IF($AG93&gt;0,($AG93*IF($AH93="",$AL93,$AH93)+5*$AL93)/($AG93+5),$AL93))</x:f>
      </x:c>
      <x:c r="BO93" s="63" t="str">
        <x:f>IF($A93="","",IF($AR93&gt;1,IF($AS93&gt;1,(1/$AR93)/((1/$AR93+1/$AS93)),MIN(0.995,(1/$AR93)/(1+'Setari model'!$B$32))),1-EXP(-$AL93)))</x:f>
      </x:c>
      <x:c r="BP93" s="62" t="str">
        <x:f t="shared" si="113">IF($A93="","",-LN(1-$BO93))</x:f>
      </x:c>
      <x:c r="BQ93" s="62" t="str">
        <x:f>IF($A93="","",$BJ93*INDEX('Setari model'!$B$5:$B$11,MATCH($E93,'Setari model'!$A$5:$A$11,0))+$BK93*INDEX('Setari model'!$C$5:$C$11,MATCH($E93,'Setari model'!$A$5:$A$11,0))+$BL93*INDEX('Setari model'!$D$5:$D$11,MATCH($E93,'Setari model'!$A$5:$A$11,0))+$BM93*INDEX('Setari model'!$E$5:$E$11,MATCH($E93,'Setari model'!$A$5:$A$11,0))+$BN93*INDEX('Setari model'!$F$5:$F$11,MATCH($E93,'Setari model'!$A$5:$A$11,0))+$BP93*INDEX('Setari model'!$G$5:$G$11,MATCH($E93,'Setari model'!$A$5:$A$11,0)))</x:f>
      </x:c>
      <x:c r="BR93" s="64" t="str">
        <x:f>IF($A93="","",MAX('Setari model'!$B$53,MIN('Setari model'!$B$54,1+($AV93*'Setari model'!$B$15+$AW93*'Setari model'!$B$16+$AX93*'Setari model'!$B$17+$AY93*'Setari model'!$B$18+$AZ93*'Setari model'!$B$19+$BA93*'Setari model'!$B$20+$BB93*'Setari model'!$B$21+$BC93*'Setari model'!$B$22+$BD93*'Setari model'!$B$23+$BE93*'Setari model'!$B$24+$BF93*'Setari model'!$B$25)*INDEX('Setari model'!$H$5:$H$11,MATCH($E93,'Setari model'!$A$5:$A$11,0)))))</x:f>
      </x:c>
      <x:c r="BS93" s="62" t="str">
        <x:f t="shared" si="114">IF($A93="","",$BQ93*$BR93)</x:f>
      </x:c>
      <x:c r="BT93" s="63" t="str">
        <x:f t="shared" si="115">IF($A93="","",EXP(-$BS93))</x:f>
      </x:c>
      <x:c r="BU93" s="65" t="str">
        <x:f>IF($A93="","",IF(OR($AM93="",$AN93=""),1,1+MIN('Setari model'!$B$33,$AN93/100*'Setari model'!$B$33)*($AM93/EXP(-$AL93)-1)))</x:f>
      </x:c>
      <x:c r="BV93" s="63" t="str">
        <x:f>IF($A93="","",MIN(0.45,MAX(0.005,(1-'Setari model'!$B$34*MIN(1,($I93+$P93)/20))*MIN(0.45,$BT93*$BU93)+'Setari model'!$B$34*MIN(1,($I93+$P93)/20)*IF(COUNT($N93,$U93)=2,SQRT(MAX(0,1-$N93)*MAX(0,1-$U93)),IF($AM93="",EXP(-$AL93),$AM93)))))</x:f>
      </x:c>
      <x:c r="BW93" s="63" t="str">
        <x:f t="shared" si="116">IF($A93="","",1-$BV93)</x:f>
      </x:c>
      <x:c r="BX93" s="62" t="str">
        <x:f t="shared" si="117">IF($A93="","",1/$BW93)</x:f>
      </x:c>
      <x:c r="BY93" s="63" t="str">
        <x:f t="shared" si="118">IF($A93="","",$BO93)</x:f>
      </x:c>
      <x:c r="BZ93" s="63" t="str">
        <x:f t="shared" si="119">IF($A93="","",$BW93-$BY93)</x:f>
      </x:c>
      <x:c r="CA93" s="63" t="str">
        <x:f t="shared" si="120">IF($A93="","",IF($AR93&gt;1,$BW93*$AR93-1,""))</x:f>
      </x:c>
      <x:c r="CB93" s="63" t="str">
        <x:f>IF($A93="","",MIN(1,COUNT($I93:$AN93,$AR93:$BG93)/'Setari model'!$B$46))</x:f>
      </x:c>
      <x:c r="CC93" s="63" t="str">
        <x:f t="shared" si="121">IF($A93="","",0.25*MIN(1,$I93/10)+0.25*MIN(1,$P93/10)+0.15*MIN(1,$W93/5)+0.15*MIN(1,$AB93/5)+0.1*MIN(1,$AG93/5)+0.1*MIN(1,$AN93/100))</x:f>
      </x:c>
      <x:c r="CD93" s="63" t="str">
        <x:f>IF($A93="","",MAX(0,1-(MAX($BJ93:$BN93,$BP93)-MIN($BJ93:$BN93,$BP93))/(AVERAGE($BJ93:$BN93,$BP93)*'Setari model'!$B$45)))</x:f>
      </x:c>
      <x:c r="CE93" s="66" t="str">
        <x:f>IF($A93="","",MAX(0,MIN(100,100*INDEX('Setari model'!$I$5:$I$11,MATCH($E93,'Setari model'!$A$5:$A$11,0))*('Setari model'!$B$47*$CB93+'Setari model'!$B$48*$CC93+'Setari model'!$B$49*$CD93+'Setari model'!$B$50*$AT93/5+'Setari model'!$B$51*$AU93)-100*'Setari model'!$B$52*$BG93)))</x:f>
      </x:c>
      <x:c r="CF93" s="65" t="str">
        <x:f t="shared" si="122">IF($A93="","",IF(OR($AT93&lt;3,$BG93&gt;=2,$CB93&lt;0.55,$CC93&lt;0.4),"RIDICAT",IF(OR($AU93=0,$CD93&lt;0.45,$BR93&lt;0.9),"MEDIU","SCĂZUT")))</x:f>
      </x:c>
      <x:c r="CG93" s="65" t="str">
        <x:f>IF($A93="","",IF($AR93&gt;1,IF(AND($BW93&gt;= 'Setari model'!$B$35,$CE93&gt;=100*'Setari model'!$B$36,$BZ93&gt;= 'Setari model'!$B$37,$CA93&gt;= 'Setari model'!$B$38,$CF93&lt;&gt;"RIDICAT"),"PARIU RECOMANDAT",IF(AND($BW93&gt;= 'Setari model'!$B$39,$CE93&gt;=100*'Setari model'!$B$40,$BZ93&gt;= 'Setari model'!$B$41,$CA93&gt;=0,$CF93&lt;&gt;"RIDICAT"),"RECOMANDAT CU PRUDENȚĂ",IF(AND($BW93&gt;= 'Setari model'!$B$42,$CE93&gt;=100*'Setari model'!$B$43),"ANALIZĂ NECONCLUDENTĂ","PARIU EVITAT"))),IF(AND($BW93&gt;= 'Setari model'!$B$35,$CE93&gt;=100*'Setari model'!$B$36,$CF93&lt;&gt;"RIDICAT"),"FAVORABIL STATISTIC – VERIFICĂ COTA",IF(AND($BW93&gt;= 'Setari model'!$B$42,$CE93&gt;=100*'Setari model'!$B$43),"ANALIZĂ NECONCLUDENTĂ","PARIU EVITAT"))))</x:f>
      </x:c>
      <x:c r="CH93" s="67" t="str">
        <x:f t="shared" si="123">IF($A93="","","P(O0,5)="&amp;TEXT($BW93,"0.0%")&amp;"; λ ajustat="&amp;TEXT($BS93,"0.00")&amp;"; Confidence="&amp;TEXT($CE93,"0")&amp;"/100; Edge="&amp;TEXT($BZ93,"0.0%")&amp;"; risc="&amp;$CF93&amp;". "&amp;$BH93)</x:f>
      </x:c>
      <x:c r="CI93" s="68" t="str">
        <x:f t="shared" si="124">IF($A93="","",$BI93)</x:f>
      </x:c>
      <x:c r="CJ93" s="112"/>
      <x:c r="CK93" s="112"/>
      <x:c r="CL93" s="112"/>
      <x:c r="CM93" s="112"/>
      <x:c r="CN93" s="112"/>
      <x:c r="CO93" s="112"/>
      <x:c r="CP93" s="112"/>
      <x:c r="CQ93" s="112"/>
      <x:c r="CR93" s="112"/>
      <x:c r="CS93" s="112"/>
      <x:c r="CT93" s="112"/>
      <x:c r="CU93" s="112"/>
      <x:c r="CV93" s="112"/>
      <x:c r="CW93" s="112"/>
      <x:c r="CX93" s="112"/>
      <x:c r="CY93" s="112"/>
      <x:c r="CZ93" s="112"/>
      <x:c r="DA93" s="112"/>
      <x:c r="DB93" s="112"/>
      <x:c r="DC93" s="114"/>
      <x:c r="DD93" s="114"/>
      <x:c r="DE93" s="112" t="s">
        <x:v>266</x:v>
      </x:c>
      <x:c r="DF93" s="112"/>
      <x:c r="DG93" s="112"/>
      <x:c r="DH93" s="112"/>
      <x:c r="DI93" s="112"/>
      <x:c r="DJ93" s="112"/>
      <x:c r="DK93" s="112"/>
      <x:c r="DL93" s="112"/>
      <x:c r="DM93" s="112"/>
      <x:c r="DN93" s="112"/>
      <x:c r="DO93" s="112"/>
      <x:c r="DP93" s="112"/>
      <x:c r="DQ93" s="114"/>
      <x:c r="DR93" s="112">
        <x:v>1</x:v>
      </x:c>
      <x:c r="DS93" s="116">
        <x:v>0</x:v>
      </x:c>
      <x:c r="DT93" s="120"/>
      <x:c r="DU93" s="116">
        <x:v>0.02</x:v>
      </x:c>
      <x:c r="DV93" s="116">
        <x:v>0.25</x:v>
      </x:c>
      <x:c r="DW93" s="118" t="str">
        <x:f>IF($A93="","",MAX('Setari model'!$B$71,MIN('Setari model'!$B$72,1+0.08*(IFERROR(AVERAGE($CM93:$CN93)/'Setari model'!$B$66,1)-1)+0.08*(IFERROR(AVERAGE($CO93:$CP93)/'Setari model'!$B$67,1)-1)+0.06*(IFERROR(AVERAGE($CQ93:$CR93)/'Setari model'!$B$68,1)-1)+0.04*(IFERROR(AVERAGE($CS93:$CT93)/'Setari model'!$B$69,1)-1)+0.04*(IFERROR(AVERAGE($CU93:$CV93)/'Setari model'!$B$70,1)-1)-'Setari model'!$B$73*IFERROR(AVERAGE($CW93:$CX93),0))))</x:f>
      </x:c>
      <x:c r="DX93" s="118" t="str">
        <x:f>IF($A93="","",1+'Setari model'!$B$62*MAX(IF(OR($CK93=1,$CL93=1),1,0),IF(AND($CJ93&lt;&gt;"",$CJ93&lt;=1),1,0))+'Setari model'!$B$63*IF(AND($CJ93&gt;1,$CJ93&lt;=3),1,0))</x:f>
      </x:c>
      <x:c r="DY93" s="118" t="str">
        <x:f>IF($A93="","",1+'Setari model'!$B$74*(IF($CY93="",0,IF($CY93=0,1,0))+IF($CZ93="",0,IF($CZ93=0,1,0)))+'Setari model'!$B$75*(IF($DA93="",0,IF($DA93=0,1,0))+IF($DB93="",0,IF($DB93=0,1,0))))</x:f>
      </x:c>
      <x:c r="DZ93" s="117" t="str">
        <x:f>IF($A93="","",MIN(0.6,MAX(0.002,(((1-'Setari model'!$B$34*MIN(1,($I93+$P93)/20))*$BT93+'Setari model'!$B$34*MIN(1,($I93+$P93)/20)*IF(COUNT($N93,$U93)=2,SQRT(MAX(0,1-$N93)*MAX(0,1-$U93)),$BT93))*(1-'Setari model'!$B$65*MIN(1,IF($AN93="",0,$AN93/'Setari model'!$B$64)))+'Setari model'!$B$65*MIN(1,IF($AN93="",0,$AN93/'Setari model'!$B$64))*IF($AM93="",$BT93,$AM93))*$DX93*$DY93/$DW93)))</x:f>
      </x:c>
      <x:c r="EA93" s="117" t="str">
        <x:f>IF($A93="","",MIN(1-$DZ93,IF(OR(MIN($I93,$P93)&lt;'Setari model'!$B$58,$CK93=1,$CL93=1,AND($CJ93&lt;&gt;"",$CJ93&lt;=1)),'Setari model'!$B$59,IF(AND($AU93=1,$AR93&gt;1,COUNT($CY93:$DB93)=4),'Setari model'!$B$61,'Setari model'!$B$60))))</x:f>
      </x:c>
      <x:c r="EB93" s="115" t="str">
        <x:f t="shared" si="125">IF($A93="","",1/$EA93)</x:f>
      </x:c>
      <x:c r="EC93" s="117" t="str">
        <x:f t="shared" si="126">IF($A93="","",IF($AR93&gt;1,IF($AS93&gt;1,(1/$AR93)/((1/$AR93)+(1/$AS93)),1/$AR93),""))</x:f>
      </x:c>
      <x:c r="ED93" s="117" t="str">
        <x:f t="shared" si="127">IF($A93="","",IF($EC93="","",$EA93-$EC93))</x:f>
      </x:c>
      <x:c r="EE93" s="117" t="str">
        <x:f t="shared" si="128">""</x:f>
      </x:c>
      <x:c r="EF93" s="119" t="str">
        <x:f>IF($A93="","",MAX(0,MIN(100,$CE93-200*MAX(0,$EG93-'Setari model'!$B$77)-IF($AU93&lt;&gt;1,10,0)-IF(COUNT($CY93:$DB93)&lt;4,4,0))))</x:f>
      </x:c>
      <x:c r="EG93" s="117" t="str">
        <x:f>IF($A93="","",'Setari model'!$B$77+IF(MIN($I93,$P93)&lt;'Setari model'!$B$58,0.03,0)+IF(OR($CK93=1,$CL93=1,AND($CJ93&lt;&gt;"",$CJ93&lt;=1)),0.03,0)+IF($AG93=0,0.02,0)+0.03*(1-MIN(1,COUNT($CM93:$CV93)/10))+0.03*(1-MIN(1,IF($AN93="",0,$AN93/'Setari model'!$B$64)))+IF($AR93&lt;=1,0.02,0))</x:f>
      </x:c>
      <x:c r="EH93" s="113" t="str">
        <x:f>IF($A93="","",IF(OR(MIN($I93,$P93)&lt;'Setari model'!$B$58,$CK93=1,$CL93=1,AND($CJ93&lt;&gt;"",$CJ93&lt;=1)),"92% – early/regim",IF(AND($AU93=1,$AR93&gt;1,COUNT($CY93:$DB93)=4),"94% – confirmat","93% – standard")))</x:f>
      </x:c>
      <x:c r="EI93" s="113" t="str">
        <x:f t="shared" si="129">IF($A93="","",IF(AND($EA93&gt;0.9,$AU93&lt;&gt;1),"WAIT XI – HIGH P",IF(AND($EA93&gt;0.9,COUNT($CY93:$DB93)&lt;4),"WAIT DATE CHEIE – HIGH P",IF($EP93&lt;&gt;"DA","NU – PORTOFOLIU","DA"))))</x:f>
      </x:c>
      <x:c r="EJ93" s="117" t="str">
        <x:f t="shared" si="130">IF($A93="","",IF($DE93&lt;&gt;"Live 20-30","",IF(SUM($DG93:$DH93)&gt;0,1,IF($EU93="","",1-MIN(0.95,MAX(0.001,EXP(-$EU93)*$DX93*$DY93/$DW93))))))</x:f>
      </x:c>
      <x:c r="EK93" s="117" t="str">
        <x:f t="shared" si="131">""</x:f>
      </x:c>
      <x:c r="EL93" s="113" t="str">
        <x:f>IF($A93="","",IF($DE93="Live 20-30",IF(SUM($DG93:$DH93)&gt;0,"EVENIMENT ÎNDEPLINIT",IF(OR($DF93="",COUNT($DI93:$DN93)&lt;4),"LIVE – WATCH",IF($EJ93&gt;=0.75,"LIVE – FEZABIL TEHNIC","LIVE – NO BET"))),IF($EI93&lt;&gt;"DA","WATCH / NO BET",IF(AND($EA93&gt;=INDEX('Setari model'!$B$35:$B$40,1),$EF93&gt;=100*'Setari model'!$B$76),"PARIU RECOMANDAT",IF(AND($EA93&gt;=INDEX('Setari model'!$B$35:$B$40,5),$EF93&gt;=100*'Setari model'!$B$40),"WATCH – APROAPE DE PRAG","PARIU EVITAT")))))</x:f>
      </x:c>
      <x:c r="EM93" s="113" t="str">
        <x:f t="shared" si="132">IF($A93="","",IF($DE93="Live 20-30",IF(SUM($DG93:$DH93)&gt;0,"Gol deja marcat.",IF($DF93="","Minut live lipsă.",IF(COUNT($DI93:$DN93)&lt;4,"Lipsesc xG/SOT/big chances live.",IF($EJ93&lt;0.75,"P live sub prag.","Semnal live tehnic complet; EV ignorat.")))),IF($EI93&lt;&gt;"DA",$EI93,IF($EF93&lt;75,"Confidence sub 75.",IF($EA93&lt;0.92,"P sub 92%.","G0/Zero-Mass + confidence trecute; EV ignorat.")))))</x:f>
      </x:c>
      <x:c r="EN93" s="117" t="str">
        <x:f>IF($A93="","",IF(OR($EL93="PARIU RECOMANDAT",$EL93="LIVE – FEZABIL"),MIN(IF($DU93&gt;0,$DU93,'Setari model'!$B$81)/MAX(1,$DR93),IF($DV93&gt;0,$DV93,'Setari model'!$B$80)*MAX(0,((IF($DE93="Live 20-30",$EJ93,$EA93)*IF($DE93="Live 20-30",$DQ93,$AR93)-1)/(IF($DE93="Live 20-30",$DQ93,$AR93)-1)))),0))</x:f>
      </x:c>
      <x:c r="EO93" s="121" t="str">
        <x:f t="shared" si="133">IF($A93="","",IF(AND($EN93&gt;0,$DT93&gt;0),$EN93*$DT93,""))</x:f>
      </x:c>
      <x:c r="EP93" s="113" t="str">
        <x:f>IF($A93="","",IF(OR($DR93&lt;1,$DR93&gt;'Setari model'!$B$78),"NU – 1–5 selecții",IF($DS93&gt;'Setari model'!$B$79,"NU – corelație", "DA")))</x:f>
      </x:c>
      <x:c r="EQ93" s="117" t="str">
        <x:f t="shared" si="134">IF($A93="","",IF(AND($DC93&gt;1,$DD93&gt;1),$DC93/$DD93-1,""))</x:f>
      </x:c>
      <x:c r="ER93" s="113" t="str">
        <x:f t="shared" si="135">IF($A93="","","P v2="&amp;TEXT($EA93,"0.0%")&amp;" ±"&amp;TEXT($EG93,"0.0%")&amp;"; P0 ZIP="&amp;TEXT($DZ93,"0.0%")&amp;"; Confidence="&amp;TEXT($EF93,"0")&amp;"/100; piață reală="&amp;IF($EC93="","NU","DA")&amp;"; EV="&amp;IF($EE93="","n/a",TEXT($EE93,"0.0%"))&amp;"; gate="&amp;$EI93&amp;"; verdict="&amp;$EL93&amp;". "&amp;$EM93)</x:f>
      </x:c>
      <x:c r="ES93" s="119" t="str">
        <x:f>IF($A93="","",'Setari model'!$B$82)</x:f>
      </x:c>
      <x:c r="ET93" s="118" t="str">
        <x:f>IF($A93="","",'Setari model'!$B$83)</x:f>
      </x:c>
      <x:c r="EU93" s="115" t="str">
        <x:f t="shared" si="136">IF(OR($A93="",$DE93&lt;&gt;"Live 20-30",$DF93="",$DF93&lt;$ES93,$DF93&gt;=90),"",MAX(0.05,MIN($BS93*$ET93,$BS93*(90-$DF93)/90+0.35*($DI93+$DJ93)+0.06*($DK93+$DL93)+0.15*($DM93+$DN93)+0.1*(MAX($DO93,$DP93)-MIN($DO93,$DP93)))))</x:f>
      </x:c>
      <x:c r="EV93" s="132"/>
      <x:c r="EW93" s="132"/>
      <x:c r="EX93" s="132"/>
      <x:c r="EY93" s="132"/>
      <x:c r="EZ93" s="132"/>
      <x:c r="FA93" s="132"/>
      <x:c r="FB93" s="247"/>
      <x:c r="FC93" s="134" t="str">
        <x:f t="shared" si="137">IF($A93="","",IF(OR($J93="",$L93="",$L93&lt;=0),"",MAX(0.5,MIN(1.5,$J93/$L93))))</x:f>
      </x:c>
      <x:c r="FD93" s="134" t="str">
        <x:f t="shared" si="138">IF($A93="","",IF(OR($Q93="",$S93="",$S93&lt;=0),"",MAX(0.5,MIN(1.5,$Q93/$S93))))</x:f>
      </x:c>
      <x:c r="FE93" s="134" t="str">
        <x:f>IF($A93="","",IF(COUNT($EV93:$EW93)&lt;2,"",SQRT($EV93*$EW93)/'Setari model'!$B$87))</x:f>
      </x:c>
      <x:c r="FF93" s="134" t="str">
        <x:f>IF($A93="","",IF(COUNT($O93,$V93,$EX93,$EY93)&lt;4,"",AVERAGE(SQRT($O93*$EY93),SQRT($V93*$EX93))/'Setari model'!$B$88))</x:f>
      </x:c>
      <x:c r="FG93" s="134" t="str">
        <x:f t="shared" si="139">IF($A93="","",IF(COUNT($FC93:$FD93)&lt;2,"",MAX(0,1-AVERAGE($FC93:$FD93))))</x:f>
      </x:c>
      <x:c r="FH93" s="134" t="str">
        <x:f>IF($A93="","",IF(COUNT($EZ93:$FA93)&lt;2,"",'Setari model'!$B$94*AVERAGE($EZ93:$FA93)/'Setari model'!$B$89))</x:f>
      </x:c>
      <x:c r="FI93" s="134" t="str">
        <x:f>IF($A93="","",IF(COUNT($FE93:$FH93)&lt;4,"",MAX('Setari model'!$B$97,MIN('Setari model'!$B$98,1+'Setari model'!$B$90*($FE93-1)+'Setari model'!$B$91*($FF93-1)+'Setari model'!$B$92*$FG93+'Setari model'!$B$93*($FH93-1)))))</x:f>
      </x:c>
      <x:c r="FJ93" s="133" t="str">
        <x:f>IF($A93="","",IF($FI93="","",MIN('Setari model'!$B$101,MAX(0.002,$DZ93*$FI93))))</x:f>
      </x:c>
      <x:c r="FK93" s="131" t="str">
        <x:f t="shared" si="140">IF($A93="","",IF(AND(COUNT($EV93:$FA93)=6,COUNT($O93,$V93,$FC93,$FD93)=4),"DA","NU"))</x:f>
      </x:c>
      <x:c r="FL93" s="131" t="str">
        <x:f>IF($A93="","",IF($FK93&lt;&gt;"DA","NEDETERMINAT",IF($FI93&lt;='Setari model'!$B$99,"SCĂZUT",IF($FI93&lt;='Setari model'!$B$100,"MEDIU","RIDICAT"))))</x:f>
      </x:c>
      <x:c r="FM93" s="131" t="str">
        <x:f>IF($A93="","",IF(AND($AR93&gt;1,$EC93&gt;='Setari model'!$B$106),"DA","NU"))</x:f>
      </x:c>
      <x:c r="FN93" s="131" t="str">
        <x:f t="shared" si="141">IF($A93="","",IF(AND($AU93=1,COUNT($CY93:$DB93)=4),"DA","NU"))</x:f>
      </x:c>
      <x:c r="FO93" s="133" t="str">
        <x:f>IF($A93="","",IF(OR($FK93&lt;&gt;"DA",$FL93="RIDICAT"),'Setari model'!$B$102,IF($FL93="MEDIU",'Setari model'!$B$103,IF(AND($FM93="DA",$FN93="DA"),'Setari model'!$B$105,'Setari model'!$B$104))))</x:f>
      </x:c>
      <x:c r="FP93" s="133" t="str">
        <x:f t="shared" si="142">IF($A93="","",IF($FJ93="","",MIN(1-$FJ93,$FO93)))</x:f>
      </x:c>
      <x:c r="FQ93" s="135" t="str">
        <x:f t="shared" si="143">IF($A93="","",IF($FP93="","",IF($FP93&gt;0,1/$FP93,"")))</x:f>
      </x:c>
      <x:c r="FR93" s="133" t="str">
        <x:f t="shared" si="144">IF($A93="","",IF($EC93="","",$FP93-$EC93))</x:f>
      </x:c>
      <x:c r="FS93" s="133" t="str">
        <x:f t="shared" si="145">IF($A93="","",IF($AR93&gt;1,$FP93*$AR93-1,""))</x:f>
      </x:c>
      <x:c r="FT93" s="136" t="str">
        <x:f>IF($A93="","",MAX(0,MIN(100,$EF93-IF($FK93&lt;&gt;"DA",'Setari model'!$B$107,0)-IF($FL93="MEDIU",'Setari model'!$B$108,0)-IF($FL93="RIDICAT",'Setari model'!$B$109,0))))</x:f>
      </x:c>
      <x:c r="FU93" s="131" t="str">
        <x:f t="shared" si="146">IF($A93="","",IF($AR93&lt;=1,"NU – LIPSEȘTE COTA REALĂ",IF($FK93&lt;&gt;"DA","NU – ZERO-RISK INCOMPLET",IF($FL93&lt;&gt;"SCĂZUT","NU – RISC 0-0 "&amp;$FL93,IF($FN93&lt;&gt;"DA","NU – LINEUP NECONFIRMAT",IF($FM93&lt;&gt;"DA","NU – PIAȚĂ NECONFIRMATĂ",IF($EP93&lt;&gt;"DA","NU – PORTOFOLIU","DA")))))))</x:f>
      </x:c>
      <x:c r="FV93" s="131" t="str">
        <x:f>IF($A93="","",IF($FU93&lt;&gt;"DA","WATCH / NO BET",IF(AND($FP93&gt;='Setari model'!$B$35,$FT93&gt;=100*'Setari model'!$B$76,$FS93&gt;0),"PARIU RECOMANDAT",IF(AND($FP93&gt;='Setari model'!$B$39,$FT93&gt;=100*'Setari model'!$B$40,$FS93&gt;0),"WATCH – APROAPE DE PRAG","PARIU EVITAT"))))</x:f>
      </x:c>
      <x:c r="FW93" s="131" t="str">
        <x:f t="shared" si="147">IF($A93="","",IF($FU93&lt;&gt;"DA",$FU93,IF($FT93&lt;75,"Confidence v3 sub 75.",IF($FP93&lt;0.92,"P v3 sub 92%.",IF($FS93&lt;=0,"EV v3 nepozitiv.","P0 v3, lineup și piață confirmate.")))))</x:f>
      </x:c>
      <x:c r="FX93" s="131" t="str">
        <x:f t="shared" si="148">IF($A93="","","P v3="&amp;TEXT($FP93,"0.0%")&amp;"; P0 v3="&amp;TEXT($FJ93,"0.0%")&amp;"; factor zero="&amp;IF($FI93="","n/a",TEXT($FI93,"0.00x"))&amp;" ("&amp;$FL93&amp;"); cap="&amp;TEXT($FO93,"0.0%")&amp;"; Confidence="&amp;TEXT($FT93,"0")&amp;"/100; lineup="&amp;$FN93&amp;"; piață="&amp;$FM93&amp;"; EV="&amp;IF($FS93="","n/a",TEXT($FS93,"0.0%"))&amp;"; gate="&amp;$FU93&amp;"; verdict="&amp;$FV93&amp;". "&amp;$FW93)</x:f>
      </x:c>
      <x:c r="FY93" s="159"/>
      <x:c r="FZ93" s="159"/>
      <x:c r="GA93" s="157"/>
      <x:c r="GB93" s="157"/>
      <x:c r="GC93" s="161" t="str">
        <x:f t="shared" si="149">IF($A93="","",IF(OR($X93="",$Z93="",$Z93&lt;=0),"",MAX(0.5,MIN(1.5,$X93/$Z93))))</x:f>
      </x:c>
      <x:c r="GD93" s="161" t="str">
        <x:f t="shared" si="150">IF($A93="","",IF(OR($AC93="",$AE93="",$AE93&lt;=0),"",MAX(0.5,MIN(1.5,$AC93/$AE93))))</x:f>
      </x:c>
      <x:c r="GE93" s="162" t="str">
        <x:f t="shared" si="151">IF($A93="","",IF(COUNT($Z93,$AE93)&lt;2,"",AVERAGE($Z93,$AE93)))</x:f>
      </x:c>
      <x:c r="GF93" s="158" t="str">
        <x:f>IF($A93="","",IF(COUNT($FY93:$FZ93)&lt;2,"NEDETERMINAT",IF(AND($FY93&gt;='Setari model'!$B$113,$FZ93&gt;='Setari model'!$B$113),"DA","NU")))</x:f>
      </x:c>
      <x:c r="GG93" s="158" t="str">
        <x:f>IF($A93="","",IF(COUNT($FY93:$FZ93,$EX93:$EY93)&lt;4,"NEDETERMINAT",IF(OR(AND($FY93&gt;='Setari model'!$B$113,$EY93&gt;='Setari model'!$B$114),AND($FZ93&gt;='Setari model'!$B$113,$EX93&gt;='Setari model'!$B$114)),"DA","NU")))</x:f>
      </x:c>
      <x:c r="GH93" s="158" t="str">
        <x:f>IF($A93="","",IF(COUNT($BJ93:$BN93,$GC93:$GE93)&lt;8,"NEDETERMINAT",IF(AND((($BJ93*INDEX('Setari model'!$B$5:$B$11,MATCH($E93,'Setari model'!$A$5:$A$11,0))+$BK93*INDEX('Setari model'!$C$5:$C$11,MATCH($E93,'Setari model'!$A$5:$A$11,0))+$BL93*INDEX('Setari model'!$D$5:$D$11,MATCH($E93,'Setari model'!$A$5:$A$11,0))+$BM93*INDEX('Setari model'!$E$5:$E$11,MATCH($E93,'Setari model'!$A$5:$A$11,0))+$BN93*INDEX('Setari model'!$F$5:$F$11,MATCH($E93,'Setari model'!$A$5:$A$11,0)))/(INDEX('Setari model'!$B$5:$B$11,MATCH($E93,'Setari model'!$A$5:$A$11,0))+INDEX('Setari model'!$C$5:$C$11,MATCH($E93,'Setari model'!$A$5:$A$11,0))+INDEX('Setari model'!$D$5:$D$11,MATCH($E93,'Setari model'!$A$5:$A$11,0))+INDEX('Setari model'!$E$5:$E$11,MATCH($E93,'Setari model'!$A$5:$A$11,0))+INDEX('Setari model'!$F$5:$F$11,MATCH($E93,'Setari model'!$A$5:$A$11,0))))*$BR93&gt;='Setari model'!$B$115,(($BJ93*INDEX('Setari model'!$B$5:$B$11,MATCH($E93,'Setari model'!$A$5:$A$11,0))+$BK93*INDEX('Setari model'!$C$5:$C$11,MATCH($E93,'Setari model'!$A$5:$A$11,0))+$BL93*INDEX('Setari model'!$D$5:$D$11,MATCH($E93,'Setari model'!$A$5:$A$11,0))+$BM93*INDEX('Setari model'!$E$5:$E$11,MATCH($E93,'Setari model'!$A$5:$A$11,0))+$BN93*INDEX('Setari model'!$F$5:$F$11,MATCH($E93,'Setari model'!$A$5:$A$11,0)))/(INDEX('Setari model'!$B$5:$B$11,MATCH($E93,'Setari model'!$A$5:$A$11,0))+INDEX('Setari model'!$C$5:$C$11,MATCH($E93,'Setari model'!$A$5:$A$11,0))+INDEX('Setari model'!$D$5:$D$11,MATCH($E93,'Setari model'!$A$5:$A$11,0))+INDEX('Setari model'!$E$5:$E$11,MATCH($E93,'Setari model'!$A$5:$A$11,0))+INDEX('Setari model'!$F$5:$F$11,MATCH($E93,'Setari model'!$A$5:$A$11,0))))*$BR93&lt;='Setari model'!$B$116,AVERAGE($GC93:$GD93)&lt;='Setari model'!$B$117,$GE93&gt;='Setari model'!$B$118),"DA","NU")))</x:f>
      </x:c>
      <x:c r="GI93" s="158" t="str">
        <x:f>IF($A93="","",IF(COUNT($W93,$AB93,$GA93:$GB93)&lt;4,"NEDETERMINAT",IF(AND($W93&gt;='Setari model'!$B$120,$AB93&gt;='Setari model'!$B$120,OR(IFERROR($GA93/$W93,0)&gt;='Setari model'!$B$119,IFERROR($GB93/$AB93,0)&gt;='Setari model'!$B$119)),"DA","NU")))</x:f>
      </x:c>
      <x:c r="GJ93" s="160" t="str">
        <x:f>IF($A93="","",IF(COUNT($FY93:$GB93)&lt;4,"",IF($GH93&lt;&gt;"DA",0,'Setari model'!$B$121*IF($GF93="DA",1,0)+'Setari model'!$B$122*IF($GG93="DA",1,0)+'Setari model'!$B$123+'Setari model'!$B$124*IF($GI93="DA",1,0))))</x:f>
      </x:c>
      <x:c r="GK93" s="161" t="str">
        <x:f>IF($A93="","",IF(COUNT($GJ93)=0,"",1+'Setari model'!$B$125*$GJ93))</x:f>
      </x:c>
      <x:c r="GL93" s="160" t="str">
        <x:f>IF($A93="","",IF($GM93&lt;&gt;"DA",$FJ93,MIN('Setari model'!$B$101,MAX(0.002,$FJ93*$GK93))))</x:f>
      </x:c>
      <x:c r="GM93" s="158" t="str">
        <x:f>IF($A93="","",IF(AND($FK93="DA",COUNT($FY93:$GB93)=4,COUNT($I93,$P93,$W93,$AB93,$Z93,$AE93,$EX93,$EY93,$GC93,$GD93)=10,COUNT($BJ93:$BN93)=5),"DA","NU"))</x:f>
      </x:c>
      <x:c r="GN93" s="158" t="str">
        <x:f>IF($A93="","",IF($GM93&lt;&gt;"DA","NEDETERMINAT",IF($FI93*$GK93&lt;='Setari model'!$B$99,"SCĂZUT",IF($FI93*$GK93&lt;='Setari model'!$B$100,"MEDIU","RIDICAT"))))</x:f>
      </x:c>
      <x:c r="GO93" s="160" t="str">
        <x:f>IF($A93="","",IF(OR($GM93&lt;&gt;"DA",$GN93="RIDICAT"),'Setari model'!$B$102,IF($GN93="MEDIU",'Setari model'!$B$103,IF(AND($FM93="DA",$FN93="DA"),'Setari model'!$B$105,'Setari model'!$B$104))))</x:f>
      </x:c>
      <x:c r="GP93" s="160" t="str">
        <x:f t="shared" si="152">IF($A93="","",IF($GL93="","",MIN(1-$GL93,$GO93)))</x:f>
      </x:c>
      <x:c r="GQ93" s="162" t="str">
        <x:f t="shared" si="153">IF($A93="","",IF($GP93="","",IF($GP93&gt;0,1/$GP93,"")))</x:f>
      </x:c>
      <x:c r="GR93" s="160" t="str">
        <x:f t="shared" si="154">IF($A93="","",IF($EC93="","",$GP93-$EC93))</x:f>
      </x:c>
      <x:c r="GS93" s="160" t="str">
        <x:f t="shared" si="155">IF($A93="","",IF($AR93&gt;1,$GP93*$AR93-1,""))</x:f>
      </x:c>
      <x:c r="GT93" s="163" t="str">
        <x:f>IF($A93="","",MAX(0,MIN(100,$FT93-IF(AND($GM93&lt;&gt;"DA",$FK93="DA"),'Setari model'!$B$107,0)-'Setari model'!$B$126*IF($GJ93="",0,$GJ93))))</x:f>
      </x:c>
      <x:c r="GU93" s="158" t="str">
        <x:f t="shared" si="156">IF($A93="","",IF($AR93&lt;=1,"NU – LIPSEȘTE COTA REALĂ",IF($GM93&lt;&gt;"DA","NU – DATE LOW-CONVERSION INCOMPLETE",IF($GN93&lt;&gt;"SCĂZUT","NU – RISC 0-0 "&amp;$GN93,IF($FN93&lt;&gt;"DA","NU – LINEUP NECONFIRMAT",IF($FM93&lt;&gt;"DA","NU – PIAȚĂ NECONFIRMATĂ",IF($EP93&lt;&gt;"DA","NU – PORTOFOLIU","DA")))))))</x:f>
      </x:c>
      <x:c r="GV93" s="158" t="str">
        <x:f>IF($A93="","",IF($GU93&lt;&gt;"DA","WATCH / NO BET",IF(AND($GP93&gt;='Setari model'!$B$35,$GT93&gt;=100*'Setari model'!$B$76,$GS93&gt;0),"PARIU RECOMANDAT",IF(AND($GP93&gt;='Setari model'!$B$39,$GT93&gt;=100*'Setari model'!$B$40,$GS93&gt;0),"WATCH – APROAPE DE PRAG","PARIU EVITAT"))))</x:f>
      </x:c>
      <x:c r="GW93" s="158" t="str">
        <x:f t="shared" si="157">IF($A93="","",IF($GU93&lt;&gt;"DA",$GU93,IF($GT93&lt;75,"Confidence v5 sub 75.",IF($GP93&lt;0.92,"P v5 sub 92%.",IF($GS93&lt;=0,"EV v5 nepozitiv.",IF($GJ93&gt;0,"Low-conversion absorbit în P0; toate porțile rămân trecute.","Toate porțile v5 sunt trecute."))))))</x:f>
      </x:c>
      <x:c r="GX93" s="158" t="str">
        <x:f t="shared" si="158">IF($A93="","","P v5="&amp;TEXT($GP93,"0.0%")&amp;"; P0 v5="&amp;TEXT($GL93,"0.0%")&amp;"; low-conv="&amp;IF(COUNT($GJ93)=0,"n/a",TEXT($GJ93,"0%"))&amp;"; mult.P0="&amp;IF(COUNT($GK93)=0,"n/a",TEXT($GK93,"0.00"))&amp;"; clasă="&amp;$GN93&amp;"; cap="&amp;TEXT($GO93,"0.0%")&amp;"; Confidence="&amp;TEXT($GT93,"0")&amp;"/100; lineup="&amp;$FN93&amp;"; piață="&amp;$FM93&amp;"; EV="&amp;IF($GS93="","n/a",TEXT($GS93,"0.0%"))&amp;"; gate="&amp;$GU93&amp;"; verdict="&amp;$GV93&amp;". "&amp;$GW93)</x:f>
      </x:c>
      <x:c r="GY93" s="174" t="str">
        <x:f>IF($A93="","",IF($GM93&lt;&gt;"DA","SOURCING INCOMPLETE – REVIEW REQUIRED",IF(MIN($I93,$P93,$W93,$AB93)&lt;'Setari model'!$B$58,"SMALL SAMPLE + PRIOR / SHRINKAGE","VERIFIED / PRIOR / SHRINKAGE")))</x:f>
      </x:c>
      <x:c r="GZ93" s="175" t="str">
        <x:f t="shared" si="159">IF($A93="","",MAX(0,MIN(100,100*(1-AVERAGE(IF($GM93="DA",1,0),MIN(1,$AT93/5))))))</x:f>
      </x:c>
      <x:c r="HA93" s="175" t="str">
        <x:f>IF($A93="","",IF($GM93&lt;&gt;"DA","",MAX(0,MIN(100,100*(($FI93*$GK93)-'Setari model'!$B$97)/('Setari model'!$B$98-'Setari model'!$B$97)))))</x:f>
      </x:c>
      <x:c r="HB93" s="175" t="str">
        <x:f>IF($A93="","",MAX(0,MIN(100,100*(ABS($BR93-1)/MAX(1-'Setari model'!$B$53,'Setari model'!$B$54-1)+MIN(1,$BG93/2))/2)))</x:f>
      </x:c>
      <x:c r="HC93" s="175" t="str">
        <x:f t="shared" si="160">IF($A93="","",MAX(0,MIN(100,100*(1-AVERAGE($CC93,MAX(0,1-(MAX($BJ93:$BN93)-MIN($BJ93:$BN93))/(AVERAGE($BJ93:$BN93)*'Setari model'!$B$45)))))))</x:f>
      </x:c>
      <x:c r="HD93" s="175" t="str">
        <x:f t="shared" si="161">IF($A93="","",MAX(0,MIN(100,100*MAX(IF($GJ93="",0,$GJ93),MIN(1,$BG93/2)))))</x:f>
      </x:c>
      <x:c r="HE93" s="175" t="str">
        <x:f>IF($A93="","",IF(COUNT($GZ93:$HD93)&lt;5,"",$GZ93*Risk_Classification!$E$28+$HA93*Risk_Classification!$E$29+$HB93*Risk_Classification!$E$30+$HC93*Risk_Classification!$E$31+$HD93*Risk_Classification!$E$32))</x:f>
      </x:c>
      <x:c r="HF93" s="176" t="str">
        <x:f t="shared" si="162">IF($A93="","",IF($HE93="","",IF($HE93&lt;=20,1,IF($HE93&lt;=40,2,IF($HE93&lt;=60,3,IF($HE93&lt;=80,4,5))))))</x:f>
      </x:c>
      <x:c r="HG93" s="176" t="str">
        <x:f t="shared" si="163">IF($A93="","",IF($GM93="DA","PASS","FAIL – DATE CRITICE ZERO-MASS INCOMPLETE"))</x:f>
      </x:c>
      <x:c r="HH93" s="176" t="str">
        <x:f t="shared" si="164">IF($A93="","",IF($HG93&lt;&gt;"PASS",5,$HF93))</x:f>
      </x:c>
      <x:c r="HI93" s="174" t="str">
        <x:f t="shared" si="165">IF($A93="","",IF($HH93="","N/A",IF($HH93=1,"DEFENSIV",IF($HH93=2,"PRUDENT",IF($HH93=3,"MODERAT",IF($HH93=4,"RIDICAT","WATCH / NO BET"))))))</x:f>
      </x:c>
      <x:c r="HJ93" s="177" t="str">
        <x:f t="shared" si="166">IF($A93="","","Data="&amp;$GY93&amp;"; DQ="&amp;TEXT($GZ93,"0.0")&amp;"; ZM="&amp;IF($HA93="","n/a",TEXT($HA93,"0.0"))&amp;"; Context="&amp;TEXT($HB93,"0.0")&amp;"; Uncertainty="&amp;TEXT($HC93,"0.0")&amp;"; Compound="&amp;TEXT($HD93,"0.0")&amp;"; Risk Score="&amp;IF($HE93="","n/a",TEXT($HE93,"0.0"))&amp;"; Base="&amp;IF($HF93="","n/a",$HF93)&amp;"; G0="&amp;$HG93&amp;"; Final="&amp;$HH93&amp;". Cota, EV si lineup sunt informative si nu intra in recomandare.")</x:f>
      </x:c>
      <x:c r="HK93" s="174" t="str">
        <x:f t="shared" si="167">IF($A93="","",$HI93)</x:f>
      </x:c>
    </x:row>
    <x:row r="94" ht="24" customHeight="1">
      <x:c r="A94" s="58"/>
      <x:c r="B94" s="24"/>
      <x:c r="C94" s="59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18"/>
      <x:c r="O94" s="18"/>
      <x:c r="P94" s="24"/>
      <x:c r="Q94" s="24"/>
      <x:c r="R94" s="24"/>
      <x:c r="S94" s="24"/>
      <x:c r="T94" s="24"/>
      <x:c r="U94" s="18"/>
      <x:c r="V94" s="18"/>
      <x:c r="W94" s="24"/>
      <x:c r="X94" s="24"/>
      <x:c r="Y94" s="24"/>
      <x:c r="Z94" s="24"/>
      <x:c r="AA94" s="24"/>
      <x:c r="AB94" s="24"/>
      <x:c r="AC94" s="24"/>
      <x:c r="AD94" s="24"/>
      <x:c r="AE94" s="24"/>
      <x:c r="AF94" s="24"/>
      <x:c r="AG94" s="24"/>
      <x:c r="AH94" s="24"/>
      <x:c r="AI94" s="18"/>
      <x:c r="AJ94" s="24"/>
      <x:c r="AK94" s="24"/>
      <x:c r="AL94" s="24"/>
      <x:c r="AM94" s="18"/>
      <x:c r="AN94" s="24"/>
      <x:c r="AO94" s="60"/>
      <x:c r="AP94" s="60"/>
      <x:c r="AQ94" s="60"/>
      <x:c r="AR94" s="60"/>
      <x:c r="AS94" s="60"/>
      <x:c r="AT94" s="24"/>
      <x:c r="AU94" s="24"/>
      <x:c r="AV94" s="24"/>
      <x:c r="AW94" s="24"/>
      <x:c r="AX94" s="24"/>
      <x:c r="AY94" s="24"/>
      <x:c r="AZ94" s="24"/>
      <x:c r="BA94" s="24"/>
      <x:c r="BB94" s="24"/>
      <x:c r="BC94" s="24"/>
      <x:c r="BD94" s="24"/>
      <x:c r="BE94" s="24"/>
      <x:c r="BF94" s="24"/>
      <x:c r="BG94" s="24"/>
      <x:c r="BH94" s="61"/>
      <x:c r="BI94" s="61"/>
      <x:c r="BJ94" s="62" t="str">
        <x:f>IF($A94="","",SQRT((($I94*IF($J94="",$AJ94,$J94)+'Setari model'!$B$30*$AJ94)/($I94+'Setari model'!$B$30))*(($P94*IF($R94="",$AJ94,$R94)+'Setari model'!$B$30*$AJ94)/($P94+'Setari model'!$B$30)))+SQRT((($P94*IF($Q94="",$AK94,$Q94)+'Setari model'!$B$30*$AK94)/($P94+'Setari model'!$B$30))*(($I94*IF($K94="",$AK94,$K94)+'Setari model'!$B$30*$AK94)/($I94+'Setari model'!$B$30))))</x:f>
      </x:c>
      <x:c r="BK94" s="62" t="str">
        <x:f>IF($A94="","",SQRT((($I94*IF($L94="",IF($J94="",$AJ94,$J94),$L94)+'Setari model'!$B$30*$AJ94)/($I94+'Setari model'!$B$30))*(($P94*IF($T94="",IF($R94="",$AJ94,$R94),$T94)+'Setari model'!$B$30*$AJ94)/($P94+'Setari model'!$B$30)))+SQRT((($P94*IF($S94="",IF($Q94="",$AK94,$Q94),$S94)+'Setari model'!$B$30*$AK94)/($P94+'Setari model'!$B$30))*(($I94*IF($M94="",IF($K94="",$AK94,$K94),$M94)+'Setari model'!$B$30*$AK94)/($I94+'Setari model'!$B$30))))</x:f>
      </x:c>
      <x:c r="BL94" s="62" t="str">
        <x:f>IF($A94="","",SQRT((($W94*IF($X94="",$AL94/2,$X94)+'Setari model'!$B$31*$AL94/2)/($W94+'Setari model'!$B$31))*(($AB94*IF($AD94="",$AL94/2,$AD94)+'Setari model'!$B$31*$AL94/2)/($AB94+'Setari model'!$B$31)))+SQRT((($AB94*IF($AC94="",$AL94/2,$AC94)+'Setari model'!$B$31*$AL94/2)/($AB94+'Setari model'!$B$31))*(($W94*IF($Y94="",$AL94/2,$Y94)+'Setari model'!$B$31*$AL94/2)/($W94+'Setari model'!$B$31))))</x:f>
      </x:c>
      <x:c r="BM94" s="62" t="str">
        <x:f>IF($A94="","",SQRT((($W94*IF($Z94="",IF($X94="",$AL94/2,$X94),$Z94)+'Setari model'!$B$31*$AL94/2)/($W94+'Setari model'!$B$31))*(($AB94*IF($AF94="",IF($AD94="",$AL94/2,$AD94),$AF94)+'Setari model'!$B$31*$AL94/2)/($AB94+'Setari model'!$B$31)))+SQRT((($AB94*IF($AE94="",IF($AC94="",$AL94/2,$AC94),$AE94)+'Setari model'!$B$31*$AL94/2)/($AB94+'Setari model'!$B$31))*(($W94*IF($AA94="",IF($Y94="",$AL94/2,$Y94),$AA94)+'Setari model'!$B$31*$AL94/2)/($W94+'Setari model'!$B$31))))</x:f>
      </x:c>
      <x:c r="BN94" s="62" t="str">
        <x:f t="shared" si="112">IF($A94="","",IF($AG94&gt;0,($AG94*IF($AH94="",$AL94,$AH94)+5*$AL94)/($AG94+5),$AL94))</x:f>
      </x:c>
      <x:c r="BO94" s="63" t="str">
        <x:f>IF($A94="","",IF($AR94&gt;1,IF($AS94&gt;1,(1/$AR94)/((1/$AR94+1/$AS94)),MIN(0.995,(1/$AR94)/(1+'Setari model'!$B$32))),1-EXP(-$AL94)))</x:f>
      </x:c>
      <x:c r="BP94" s="62" t="str">
        <x:f t="shared" si="113">IF($A94="","",-LN(1-$BO94))</x:f>
      </x:c>
      <x:c r="BQ94" s="62" t="str">
        <x:f>IF($A94="","",$BJ94*INDEX('Setari model'!$B$5:$B$11,MATCH($E94,'Setari model'!$A$5:$A$11,0))+$BK94*INDEX('Setari model'!$C$5:$C$11,MATCH($E94,'Setari model'!$A$5:$A$11,0))+$BL94*INDEX('Setari model'!$D$5:$D$11,MATCH($E94,'Setari model'!$A$5:$A$11,0))+$BM94*INDEX('Setari model'!$E$5:$E$11,MATCH($E94,'Setari model'!$A$5:$A$11,0))+$BN94*INDEX('Setari model'!$F$5:$F$11,MATCH($E94,'Setari model'!$A$5:$A$11,0))+$BP94*INDEX('Setari model'!$G$5:$G$11,MATCH($E94,'Setari model'!$A$5:$A$11,0)))</x:f>
      </x:c>
      <x:c r="BR94" s="64" t="str">
        <x:f>IF($A94="","",MAX('Setari model'!$B$53,MIN('Setari model'!$B$54,1+($AV94*'Setari model'!$B$15+$AW94*'Setari model'!$B$16+$AX94*'Setari model'!$B$17+$AY94*'Setari model'!$B$18+$AZ94*'Setari model'!$B$19+$BA94*'Setari model'!$B$20+$BB94*'Setari model'!$B$21+$BC94*'Setari model'!$B$22+$BD94*'Setari model'!$B$23+$BE94*'Setari model'!$B$24+$BF94*'Setari model'!$B$25)*INDEX('Setari model'!$H$5:$H$11,MATCH($E94,'Setari model'!$A$5:$A$11,0)))))</x:f>
      </x:c>
      <x:c r="BS94" s="62" t="str">
        <x:f t="shared" si="114">IF($A94="","",$BQ94*$BR94)</x:f>
      </x:c>
      <x:c r="BT94" s="63" t="str">
        <x:f t="shared" si="115">IF($A94="","",EXP(-$BS94))</x:f>
      </x:c>
      <x:c r="BU94" s="65" t="str">
        <x:f>IF($A94="","",IF(OR($AM94="",$AN94=""),1,1+MIN('Setari model'!$B$33,$AN94/100*'Setari model'!$B$33)*($AM94/EXP(-$AL94)-1)))</x:f>
      </x:c>
      <x:c r="BV94" s="63" t="str">
        <x:f>IF($A94="","",MIN(0.45,MAX(0.005,(1-'Setari model'!$B$34*MIN(1,($I94+$P94)/20))*MIN(0.45,$BT94*$BU94)+'Setari model'!$B$34*MIN(1,($I94+$P94)/20)*IF(COUNT($N94,$U94)=2,SQRT(MAX(0,1-$N94)*MAX(0,1-$U94)),IF($AM94="",EXP(-$AL94),$AM94)))))</x:f>
      </x:c>
      <x:c r="BW94" s="63" t="str">
        <x:f t="shared" si="116">IF($A94="","",1-$BV94)</x:f>
      </x:c>
      <x:c r="BX94" s="62" t="str">
        <x:f t="shared" si="117">IF($A94="","",1/$BW94)</x:f>
      </x:c>
      <x:c r="BY94" s="63" t="str">
        <x:f t="shared" si="118">IF($A94="","",$BO94)</x:f>
      </x:c>
      <x:c r="BZ94" s="63" t="str">
        <x:f t="shared" si="119">IF($A94="","",$BW94-$BY94)</x:f>
      </x:c>
      <x:c r="CA94" s="63" t="str">
        <x:f t="shared" si="120">IF($A94="","",IF($AR94&gt;1,$BW94*$AR94-1,""))</x:f>
      </x:c>
      <x:c r="CB94" s="63" t="str">
        <x:f>IF($A94="","",MIN(1,COUNT($I94:$AN94,$AR94:$BG94)/'Setari model'!$B$46))</x:f>
      </x:c>
      <x:c r="CC94" s="63" t="str">
        <x:f t="shared" si="121">IF($A94="","",0.25*MIN(1,$I94/10)+0.25*MIN(1,$P94/10)+0.15*MIN(1,$W94/5)+0.15*MIN(1,$AB94/5)+0.1*MIN(1,$AG94/5)+0.1*MIN(1,$AN94/100))</x:f>
      </x:c>
      <x:c r="CD94" s="63" t="str">
        <x:f>IF($A94="","",MAX(0,1-(MAX($BJ94:$BN94,$BP94)-MIN($BJ94:$BN94,$BP94))/(AVERAGE($BJ94:$BN94,$BP94)*'Setari model'!$B$45)))</x:f>
      </x:c>
      <x:c r="CE94" s="66" t="str">
        <x:f>IF($A94="","",MAX(0,MIN(100,100*INDEX('Setari model'!$I$5:$I$11,MATCH($E94,'Setari model'!$A$5:$A$11,0))*('Setari model'!$B$47*$CB94+'Setari model'!$B$48*$CC94+'Setari model'!$B$49*$CD94+'Setari model'!$B$50*$AT94/5+'Setari model'!$B$51*$AU94)-100*'Setari model'!$B$52*$BG94)))</x:f>
      </x:c>
      <x:c r="CF94" s="65" t="str">
        <x:f t="shared" si="122">IF($A94="","",IF(OR($AT94&lt;3,$BG94&gt;=2,$CB94&lt;0.55,$CC94&lt;0.4),"RIDICAT",IF(OR($AU94=0,$CD94&lt;0.45,$BR94&lt;0.9),"MEDIU","SCĂZUT")))</x:f>
      </x:c>
      <x:c r="CG94" s="65" t="str">
        <x:f>IF($A94="","",IF($AR94&gt;1,IF(AND($BW94&gt;= 'Setari model'!$B$35,$CE94&gt;=100*'Setari model'!$B$36,$BZ94&gt;= 'Setari model'!$B$37,$CA94&gt;= 'Setari model'!$B$38,$CF94&lt;&gt;"RIDICAT"),"PARIU RECOMANDAT",IF(AND($BW94&gt;= 'Setari model'!$B$39,$CE94&gt;=100*'Setari model'!$B$40,$BZ94&gt;= 'Setari model'!$B$41,$CA94&gt;=0,$CF94&lt;&gt;"RIDICAT"),"RECOMANDAT CU PRUDENȚĂ",IF(AND($BW94&gt;= 'Setari model'!$B$42,$CE94&gt;=100*'Setari model'!$B$43),"ANALIZĂ NECONCLUDENTĂ","PARIU EVITAT"))),IF(AND($BW94&gt;= 'Setari model'!$B$35,$CE94&gt;=100*'Setari model'!$B$36,$CF94&lt;&gt;"RIDICAT"),"FAVORABIL STATISTIC – VERIFICĂ COTA",IF(AND($BW94&gt;= 'Setari model'!$B$42,$CE94&gt;=100*'Setari model'!$B$43),"ANALIZĂ NECONCLUDENTĂ","PARIU EVITAT"))))</x:f>
      </x:c>
      <x:c r="CH94" s="67" t="str">
        <x:f t="shared" si="123">IF($A94="","","P(O0,5)="&amp;TEXT($BW94,"0.0%")&amp;"; λ ajustat="&amp;TEXT($BS94,"0.00")&amp;"; Confidence="&amp;TEXT($CE94,"0")&amp;"/100; Edge="&amp;TEXT($BZ94,"0.0%")&amp;"; risc="&amp;$CF94&amp;". "&amp;$BH94)</x:f>
      </x:c>
      <x:c r="CI94" s="68" t="str">
        <x:f t="shared" si="124">IF($A94="","",$BI94)</x:f>
      </x:c>
      <x:c r="CJ94" s="112"/>
      <x:c r="CK94" s="112"/>
      <x:c r="CL94" s="112"/>
      <x:c r="CM94" s="112"/>
      <x:c r="CN94" s="112"/>
      <x:c r="CO94" s="112"/>
      <x:c r="CP94" s="112"/>
      <x:c r="CQ94" s="112"/>
      <x:c r="CR94" s="112"/>
      <x:c r="CS94" s="112"/>
      <x:c r="CT94" s="112"/>
      <x:c r="CU94" s="112"/>
      <x:c r="CV94" s="112"/>
      <x:c r="CW94" s="112"/>
      <x:c r="CX94" s="112"/>
      <x:c r="CY94" s="112"/>
      <x:c r="CZ94" s="112"/>
      <x:c r="DA94" s="112"/>
      <x:c r="DB94" s="112"/>
      <x:c r="DC94" s="114"/>
      <x:c r="DD94" s="114"/>
      <x:c r="DE94" s="112" t="s">
        <x:v>266</x:v>
      </x:c>
      <x:c r="DF94" s="112"/>
      <x:c r="DG94" s="112"/>
      <x:c r="DH94" s="112"/>
      <x:c r="DI94" s="112"/>
      <x:c r="DJ94" s="112"/>
      <x:c r="DK94" s="112"/>
      <x:c r="DL94" s="112"/>
      <x:c r="DM94" s="112"/>
      <x:c r="DN94" s="112"/>
      <x:c r="DO94" s="112"/>
      <x:c r="DP94" s="112"/>
      <x:c r="DQ94" s="114"/>
      <x:c r="DR94" s="112">
        <x:v>1</x:v>
      </x:c>
      <x:c r="DS94" s="116">
        <x:v>0</x:v>
      </x:c>
      <x:c r="DT94" s="120"/>
      <x:c r="DU94" s="116">
        <x:v>0.02</x:v>
      </x:c>
      <x:c r="DV94" s="116">
        <x:v>0.25</x:v>
      </x:c>
      <x:c r="DW94" s="118" t="str">
        <x:f>IF($A94="","",MAX('Setari model'!$B$71,MIN('Setari model'!$B$72,1+0.08*(IFERROR(AVERAGE($CM94:$CN94)/'Setari model'!$B$66,1)-1)+0.08*(IFERROR(AVERAGE($CO94:$CP94)/'Setari model'!$B$67,1)-1)+0.06*(IFERROR(AVERAGE($CQ94:$CR94)/'Setari model'!$B$68,1)-1)+0.04*(IFERROR(AVERAGE($CS94:$CT94)/'Setari model'!$B$69,1)-1)+0.04*(IFERROR(AVERAGE($CU94:$CV94)/'Setari model'!$B$70,1)-1)-'Setari model'!$B$73*IFERROR(AVERAGE($CW94:$CX94),0))))</x:f>
      </x:c>
      <x:c r="DX94" s="118" t="str">
        <x:f>IF($A94="","",1+'Setari model'!$B$62*MAX(IF(OR($CK94=1,$CL94=1),1,0),IF(AND($CJ94&lt;&gt;"",$CJ94&lt;=1),1,0))+'Setari model'!$B$63*IF(AND($CJ94&gt;1,$CJ94&lt;=3),1,0))</x:f>
      </x:c>
      <x:c r="DY94" s="118" t="str">
        <x:f>IF($A94="","",1+'Setari model'!$B$74*(IF($CY94="",0,IF($CY94=0,1,0))+IF($CZ94="",0,IF($CZ94=0,1,0)))+'Setari model'!$B$75*(IF($DA94="",0,IF($DA94=0,1,0))+IF($DB94="",0,IF($DB94=0,1,0))))</x:f>
      </x:c>
      <x:c r="DZ94" s="117" t="str">
        <x:f>IF($A94="","",MIN(0.6,MAX(0.002,(((1-'Setari model'!$B$34*MIN(1,($I94+$P94)/20))*$BT94+'Setari model'!$B$34*MIN(1,($I94+$P94)/20)*IF(COUNT($N94,$U94)=2,SQRT(MAX(0,1-$N94)*MAX(0,1-$U94)),$BT94))*(1-'Setari model'!$B$65*MIN(1,IF($AN94="",0,$AN94/'Setari model'!$B$64)))+'Setari model'!$B$65*MIN(1,IF($AN94="",0,$AN94/'Setari model'!$B$64))*IF($AM94="",$BT94,$AM94))*$DX94*$DY94/$DW94)))</x:f>
      </x:c>
      <x:c r="EA94" s="117" t="str">
        <x:f>IF($A94="","",MIN(1-$DZ94,IF(OR(MIN($I94,$P94)&lt;'Setari model'!$B$58,$CK94=1,$CL94=1,AND($CJ94&lt;&gt;"",$CJ94&lt;=1)),'Setari model'!$B$59,IF(AND($AU94=1,$AR94&gt;1,COUNT($CY94:$DB94)=4),'Setari model'!$B$61,'Setari model'!$B$60))))</x:f>
      </x:c>
      <x:c r="EB94" s="115" t="str">
        <x:f t="shared" si="125">IF($A94="","",1/$EA94)</x:f>
      </x:c>
      <x:c r="EC94" s="117" t="str">
        <x:f t="shared" si="126">IF($A94="","",IF($AR94&gt;1,IF($AS94&gt;1,(1/$AR94)/((1/$AR94)+(1/$AS94)),1/$AR94),""))</x:f>
      </x:c>
      <x:c r="ED94" s="117" t="str">
        <x:f t="shared" si="127">IF($A94="","",IF($EC94="","",$EA94-$EC94))</x:f>
      </x:c>
      <x:c r="EE94" s="117" t="str">
        <x:f t="shared" si="128">""</x:f>
      </x:c>
      <x:c r="EF94" s="119" t="str">
        <x:f>IF($A94="","",MAX(0,MIN(100,$CE94-200*MAX(0,$EG94-'Setari model'!$B$77)-IF($AU94&lt;&gt;1,10,0)-IF(COUNT($CY94:$DB94)&lt;4,4,0))))</x:f>
      </x:c>
      <x:c r="EG94" s="117" t="str">
        <x:f>IF($A94="","",'Setari model'!$B$77+IF(MIN($I94,$P94)&lt;'Setari model'!$B$58,0.03,0)+IF(OR($CK94=1,$CL94=1,AND($CJ94&lt;&gt;"",$CJ94&lt;=1)),0.03,0)+IF($AG94=0,0.02,0)+0.03*(1-MIN(1,COUNT($CM94:$CV94)/10))+0.03*(1-MIN(1,IF($AN94="",0,$AN94/'Setari model'!$B$64)))+IF($AR94&lt;=1,0.02,0))</x:f>
      </x:c>
      <x:c r="EH94" s="113" t="str">
        <x:f>IF($A94="","",IF(OR(MIN($I94,$P94)&lt;'Setari model'!$B$58,$CK94=1,$CL94=1,AND($CJ94&lt;&gt;"",$CJ94&lt;=1)),"92% – early/regim",IF(AND($AU94=1,$AR94&gt;1,COUNT($CY94:$DB94)=4),"94% – confirmat","93% – standard")))</x:f>
      </x:c>
      <x:c r="EI94" s="113" t="str">
        <x:f t="shared" si="129">IF($A94="","",IF(AND($EA94&gt;0.9,$AU94&lt;&gt;1),"WAIT XI – HIGH P",IF(AND($EA94&gt;0.9,COUNT($CY94:$DB94)&lt;4),"WAIT DATE CHEIE – HIGH P",IF($EP94&lt;&gt;"DA","NU – PORTOFOLIU","DA"))))</x:f>
      </x:c>
      <x:c r="EJ94" s="117" t="str">
        <x:f t="shared" si="130">IF($A94="","",IF($DE94&lt;&gt;"Live 20-30","",IF(SUM($DG94:$DH94)&gt;0,1,IF($EU94="","",1-MIN(0.95,MAX(0.001,EXP(-$EU94)*$DX94*$DY94/$DW94))))))</x:f>
      </x:c>
      <x:c r="EK94" s="117" t="str">
        <x:f t="shared" si="131">""</x:f>
      </x:c>
      <x:c r="EL94" s="113" t="str">
        <x:f>IF($A94="","",IF($DE94="Live 20-30",IF(SUM($DG94:$DH94)&gt;0,"EVENIMENT ÎNDEPLINIT",IF(OR($DF94="",COUNT($DI94:$DN94)&lt;4),"LIVE – WATCH",IF($EJ94&gt;=0.75,"LIVE – FEZABIL TEHNIC","LIVE – NO BET"))),IF($EI94&lt;&gt;"DA","WATCH / NO BET",IF(AND($EA94&gt;=INDEX('Setari model'!$B$35:$B$40,1),$EF94&gt;=100*'Setari model'!$B$76),"PARIU RECOMANDAT",IF(AND($EA94&gt;=INDEX('Setari model'!$B$35:$B$40,5),$EF94&gt;=100*'Setari model'!$B$40),"WATCH – APROAPE DE PRAG","PARIU EVITAT")))))</x:f>
      </x:c>
      <x:c r="EM94" s="113" t="str">
        <x:f t="shared" si="132">IF($A94="","",IF($DE94="Live 20-30",IF(SUM($DG94:$DH94)&gt;0,"Gol deja marcat.",IF($DF94="","Minut live lipsă.",IF(COUNT($DI94:$DN94)&lt;4,"Lipsesc xG/SOT/big chances live.",IF($EJ94&lt;0.75,"P live sub prag.","Semnal live tehnic complet; EV ignorat.")))),IF($EI94&lt;&gt;"DA",$EI94,IF($EF94&lt;75,"Confidence sub 75.",IF($EA94&lt;0.92,"P sub 92%.","G0/Zero-Mass + confidence trecute; EV ignorat.")))))</x:f>
      </x:c>
      <x:c r="EN94" s="117" t="str">
        <x:f>IF($A94="","",IF(OR($EL94="PARIU RECOMANDAT",$EL94="LIVE – FEZABIL"),MIN(IF($DU94&gt;0,$DU94,'Setari model'!$B$81)/MAX(1,$DR94),IF($DV94&gt;0,$DV94,'Setari model'!$B$80)*MAX(0,((IF($DE94="Live 20-30",$EJ94,$EA94)*IF($DE94="Live 20-30",$DQ94,$AR94)-1)/(IF($DE94="Live 20-30",$DQ94,$AR94)-1)))),0))</x:f>
      </x:c>
      <x:c r="EO94" s="121" t="str">
        <x:f t="shared" si="133">IF($A94="","",IF(AND($EN94&gt;0,$DT94&gt;0),$EN94*$DT94,""))</x:f>
      </x:c>
      <x:c r="EP94" s="113" t="str">
        <x:f>IF($A94="","",IF(OR($DR94&lt;1,$DR94&gt;'Setari model'!$B$78),"NU – 1–5 selecții",IF($DS94&gt;'Setari model'!$B$79,"NU – corelație", "DA")))</x:f>
      </x:c>
      <x:c r="EQ94" s="117" t="str">
        <x:f t="shared" si="134">IF($A94="","",IF(AND($DC94&gt;1,$DD94&gt;1),$DC94/$DD94-1,""))</x:f>
      </x:c>
      <x:c r="ER94" s="113" t="str">
        <x:f t="shared" si="135">IF($A94="","","P v2="&amp;TEXT($EA94,"0.0%")&amp;" ±"&amp;TEXT($EG94,"0.0%")&amp;"; P0 ZIP="&amp;TEXT($DZ94,"0.0%")&amp;"; Confidence="&amp;TEXT($EF94,"0")&amp;"/100; piață reală="&amp;IF($EC94="","NU","DA")&amp;"; EV="&amp;IF($EE94="","n/a",TEXT($EE94,"0.0%"))&amp;"; gate="&amp;$EI94&amp;"; verdict="&amp;$EL94&amp;". "&amp;$EM94)</x:f>
      </x:c>
      <x:c r="ES94" s="119" t="str">
        <x:f>IF($A94="","",'Setari model'!$B$82)</x:f>
      </x:c>
      <x:c r="ET94" s="118" t="str">
        <x:f>IF($A94="","",'Setari model'!$B$83)</x:f>
      </x:c>
      <x:c r="EU94" s="115" t="str">
        <x:f t="shared" si="136">IF(OR($A94="",$DE94&lt;&gt;"Live 20-30",$DF94="",$DF94&lt;$ES94,$DF94&gt;=90),"",MAX(0.05,MIN($BS94*$ET94,$BS94*(90-$DF94)/90+0.35*($DI94+$DJ94)+0.06*($DK94+$DL94)+0.15*($DM94+$DN94)+0.1*(MAX($DO94,$DP94)-MIN($DO94,$DP94)))))</x:f>
      </x:c>
      <x:c r="EV94" s="132"/>
      <x:c r="EW94" s="132"/>
      <x:c r="EX94" s="132"/>
      <x:c r="EY94" s="132"/>
      <x:c r="EZ94" s="132"/>
      <x:c r="FA94" s="132"/>
      <x:c r="FB94" s="247"/>
      <x:c r="FC94" s="134" t="str">
        <x:f t="shared" si="137">IF($A94="","",IF(OR($J94="",$L94="",$L94&lt;=0),"",MAX(0.5,MIN(1.5,$J94/$L94))))</x:f>
      </x:c>
      <x:c r="FD94" s="134" t="str">
        <x:f t="shared" si="138">IF($A94="","",IF(OR($Q94="",$S94="",$S94&lt;=0),"",MAX(0.5,MIN(1.5,$Q94/$S94))))</x:f>
      </x:c>
      <x:c r="FE94" s="134" t="str">
        <x:f>IF($A94="","",IF(COUNT($EV94:$EW94)&lt;2,"",SQRT($EV94*$EW94)/'Setari model'!$B$87))</x:f>
      </x:c>
      <x:c r="FF94" s="134" t="str">
        <x:f>IF($A94="","",IF(COUNT($O94,$V94,$EX94,$EY94)&lt;4,"",AVERAGE(SQRT($O94*$EY94),SQRT($V94*$EX94))/'Setari model'!$B$88))</x:f>
      </x:c>
      <x:c r="FG94" s="134" t="str">
        <x:f t="shared" si="139">IF($A94="","",IF(COUNT($FC94:$FD94)&lt;2,"",MAX(0,1-AVERAGE($FC94:$FD94))))</x:f>
      </x:c>
      <x:c r="FH94" s="134" t="str">
        <x:f>IF($A94="","",IF(COUNT($EZ94:$FA94)&lt;2,"",'Setari model'!$B$94*AVERAGE($EZ94:$FA94)/'Setari model'!$B$89))</x:f>
      </x:c>
      <x:c r="FI94" s="134" t="str">
        <x:f>IF($A94="","",IF(COUNT($FE94:$FH94)&lt;4,"",MAX('Setari model'!$B$97,MIN('Setari model'!$B$98,1+'Setari model'!$B$90*($FE94-1)+'Setari model'!$B$91*($FF94-1)+'Setari model'!$B$92*$FG94+'Setari model'!$B$93*($FH94-1)))))</x:f>
      </x:c>
      <x:c r="FJ94" s="133" t="str">
        <x:f>IF($A94="","",IF($FI94="","",MIN('Setari model'!$B$101,MAX(0.002,$DZ94*$FI94))))</x:f>
      </x:c>
      <x:c r="FK94" s="131" t="str">
        <x:f t="shared" si="140">IF($A94="","",IF(AND(COUNT($EV94:$FA94)=6,COUNT($O94,$V94,$FC94,$FD94)=4),"DA","NU"))</x:f>
      </x:c>
      <x:c r="FL94" s="131" t="str">
        <x:f>IF($A94="","",IF($FK94&lt;&gt;"DA","NEDETERMINAT",IF($FI94&lt;='Setari model'!$B$99,"SCĂZUT",IF($FI94&lt;='Setari model'!$B$100,"MEDIU","RIDICAT"))))</x:f>
      </x:c>
      <x:c r="FM94" s="131" t="str">
        <x:f>IF($A94="","",IF(AND($AR94&gt;1,$EC94&gt;='Setari model'!$B$106),"DA","NU"))</x:f>
      </x:c>
      <x:c r="FN94" s="131" t="str">
        <x:f t="shared" si="141">IF($A94="","",IF(AND($AU94=1,COUNT($CY94:$DB94)=4),"DA","NU"))</x:f>
      </x:c>
      <x:c r="FO94" s="133" t="str">
        <x:f>IF($A94="","",IF(OR($FK94&lt;&gt;"DA",$FL94="RIDICAT"),'Setari model'!$B$102,IF($FL94="MEDIU",'Setari model'!$B$103,IF(AND($FM94="DA",$FN94="DA"),'Setari model'!$B$105,'Setari model'!$B$104))))</x:f>
      </x:c>
      <x:c r="FP94" s="133" t="str">
        <x:f t="shared" si="142">IF($A94="","",IF($FJ94="","",MIN(1-$FJ94,$FO94)))</x:f>
      </x:c>
      <x:c r="FQ94" s="135" t="str">
        <x:f t="shared" si="143">IF($A94="","",IF($FP94="","",IF($FP94&gt;0,1/$FP94,"")))</x:f>
      </x:c>
      <x:c r="FR94" s="133" t="str">
        <x:f t="shared" si="144">IF($A94="","",IF($EC94="","",$FP94-$EC94))</x:f>
      </x:c>
      <x:c r="FS94" s="133" t="str">
        <x:f t="shared" si="145">IF($A94="","",IF($AR94&gt;1,$FP94*$AR94-1,""))</x:f>
      </x:c>
      <x:c r="FT94" s="136" t="str">
        <x:f>IF($A94="","",MAX(0,MIN(100,$EF94-IF($FK94&lt;&gt;"DA",'Setari model'!$B$107,0)-IF($FL94="MEDIU",'Setari model'!$B$108,0)-IF($FL94="RIDICAT",'Setari model'!$B$109,0))))</x:f>
      </x:c>
      <x:c r="FU94" s="131" t="str">
        <x:f t="shared" si="146">IF($A94="","",IF($AR94&lt;=1,"NU – LIPSEȘTE COTA REALĂ",IF($FK94&lt;&gt;"DA","NU – ZERO-RISK INCOMPLET",IF($FL94&lt;&gt;"SCĂZUT","NU – RISC 0-0 "&amp;$FL94,IF($FN94&lt;&gt;"DA","NU – LINEUP NECONFIRMAT",IF($FM94&lt;&gt;"DA","NU – PIAȚĂ NECONFIRMATĂ",IF($EP94&lt;&gt;"DA","NU – PORTOFOLIU","DA")))))))</x:f>
      </x:c>
      <x:c r="FV94" s="131" t="str">
        <x:f>IF($A94="","",IF($FU94&lt;&gt;"DA","WATCH / NO BET",IF(AND($FP94&gt;='Setari model'!$B$35,$FT94&gt;=100*'Setari model'!$B$76,$FS94&gt;0),"PARIU RECOMANDAT",IF(AND($FP94&gt;='Setari model'!$B$39,$FT94&gt;=100*'Setari model'!$B$40,$FS94&gt;0),"WATCH – APROAPE DE PRAG","PARIU EVITAT"))))</x:f>
      </x:c>
      <x:c r="FW94" s="131" t="str">
        <x:f t="shared" si="147">IF($A94="","",IF($FU94&lt;&gt;"DA",$FU94,IF($FT94&lt;75,"Confidence v3 sub 75.",IF($FP94&lt;0.92,"P v3 sub 92%.",IF($FS94&lt;=0,"EV v3 nepozitiv.","P0 v3, lineup și piață confirmate.")))))</x:f>
      </x:c>
      <x:c r="FX94" s="131" t="str">
        <x:f t="shared" si="148">IF($A94="","","P v3="&amp;TEXT($FP94,"0.0%")&amp;"; P0 v3="&amp;TEXT($FJ94,"0.0%")&amp;"; factor zero="&amp;IF($FI94="","n/a",TEXT($FI94,"0.00x"))&amp;" ("&amp;$FL94&amp;"); cap="&amp;TEXT($FO94,"0.0%")&amp;"; Confidence="&amp;TEXT($FT94,"0")&amp;"/100; lineup="&amp;$FN94&amp;"; piață="&amp;$FM94&amp;"; EV="&amp;IF($FS94="","n/a",TEXT($FS94,"0.0%"))&amp;"; gate="&amp;$FU94&amp;"; verdict="&amp;$FV94&amp;". "&amp;$FW94)</x:f>
      </x:c>
      <x:c r="FY94" s="159"/>
      <x:c r="FZ94" s="159"/>
      <x:c r="GA94" s="157"/>
      <x:c r="GB94" s="157"/>
      <x:c r="GC94" s="161" t="str">
        <x:f t="shared" si="149">IF($A94="","",IF(OR($X94="",$Z94="",$Z94&lt;=0),"",MAX(0.5,MIN(1.5,$X94/$Z94))))</x:f>
      </x:c>
      <x:c r="GD94" s="161" t="str">
        <x:f t="shared" si="150">IF($A94="","",IF(OR($AC94="",$AE94="",$AE94&lt;=0),"",MAX(0.5,MIN(1.5,$AC94/$AE94))))</x:f>
      </x:c>
      <x:c r="GE94" s="162" t="str">
        <x:f t="shared" si="151">IF($A94="","",IF(COUNT($Z94,$AE94)&lt;2,"",AVERAGE($Z94,$AE94)))</x:f>
      </x:c>
      <x:c r="GF94" s="158" t="str">
        <x:f>IF($A94="","",IF(COUNT($FY94:$FZ94)&lt;2,"NEDETERMINAT",IF(AND($FY94&gt;='Setari model'!$B$113,$FZ94&gt;='Setari model'!$B$113),"DA","NU")))</x:f>
      </x:c>
      <x:c r="GG94" s="158" t="str">
        <x:f>IF($A94="","",IF(COUNT($FY94:$FZ94,$EX94:$EY94)&lt;4,"NEDETERMINAT",IF(OR(AND($FY94&gt;='Setari model'!$B$113,$EY94&gt;='Setari model'!$B$114),AND($FZ94&gt;='Setari model'!$B$113,$EX94&gt;='Setari model'!$B$114)),"DA","NU")))</x:f>
      </x:c>
      <x:c r="GH94" s="158" t="str">
        <x:f>IF($A94="","",IF(COUNT($BJ94:$BN94,$GC94:$GE94)&lt;8,"NEDETERMINAT",IF(AND((($BJ94*INDEX('Setari model'!$B$5:$B$11,MATCH($E94,'Setari model'!$A$5:$A$11,0))+$BK94*INDEX('Setari model'!$C$5:$C$11,MATCH($E94,'Setari model'!$A$5:$A$11,0))+$BL94*INDEX('Setari model'!$D$5:$D$11,MATCH($E94,'Setari model'!$A$5:$A$11,0))+$BM94*INDEX('Setari model'!$E$5:$E$11,MATCH($E94,'Setari model'!$A$5:$A$11,0))+$BN94*INDEX('Setari model'!$F$5:$F$11,MATCH($E94,'Setari model'!$A$5:$A$11,0)))/(INDEX('Setari model'!$B$5:$B$11,MATCH($E94,'Setari model'!$A$5:$A$11,0))+INDEX('Setari model'!$C$5:$C$11,MATCH($E94,'Setari model'!$A$5:$A$11,0))+INDEX('Setari model'!$D$5:$D$11,MATCH($E94,'Setari model'!$A$5:$A$11,0))+INDEX('Setari model'!$E$5:$E$11,MATCH($E94,'Setari model'!$A$5:$A$11,0))+INDEX('Setari model'!$F$5:$F$11,MATCH($E94,'Setari model'!$A$5:$A$11,0))))*$BR94&gt;='Setari model'!$B$115,(($BJ94*INDEX('Setari model'!$B$5:$B$11,MATCH($E94,'Setari model'!$A$5:$A$11,0))+$BK94*INDEX('Setari model'!$C$5:$C$11,MATCH($E94,'Setari model'!$A$5:$A$11,0))+$BL94*INDEX('Setari model'!$D$5:$D$11,MATCH($E94,'Setari model'!$A$5:$A$11,0))+$BM94*INDEX('Setari model'!$E$5:$E$11,MATCH($E94,'Setari model'!$A$5:$A$11,0))+$BN94*INDEX('Setari model'!$F$5:$F$11,MATCH($E94,'Setari model'!$A$5:$A$11,0)))/(INDEX('Setari model'!$B$5:$B$11,MATCH($E94,'Setari model'!$A$5:$A$11,0))+INDEX('Setari model'!$C$5:$C$11,MATCH($E94,'Setari model'!$A$5:$A$11,0))+INDEX('Setari model'!$D$5:$D$11,MATCH($E94,'Setari model'!$A$5:$A$11,0))+INDEX('Setari model'!$E$5:$E$11,MATCH($E94,'Setari model'!$A$5:$A$11,0))+INDEX('Setari model'!$F$5:$F$11,MATCH($E94,'Setari model'!$A$5:$A$11,0))))*$BR94&lt;='Setari model'!$B$116,AVERAGE($GC94:$GD94)&lt;='Setari model'!$B$117,$GE94&gt;='Setari model'!$B$118),"DA","NU")))</x:f>
      </x:c>
      <x:c r="GI94" s="158" t="str">
        <x:f>IF($A94="","",IF(COUNT($W94,$AB94,$GA94:$GB94)&lt;4,"NEDETERMINAT",IF(AND($W94&gt;='Setari model'!$B$120,$AB94&gt;='Setari model'!$B$120,OR(IFERROR($GA94/$W94,0)&gt;='Setari model'!$B$119,IFERROR($GB94/$AB94,0)&gt;='Setari model'!$B$119)),"DA","NU")))</x:f>
      </x:c>
      <x:c r="GJ94" s="160" t="str">
        <x:f>IF($A94="","",IF(COUNT($FY94:$GB94)&lt;4,"",IF($GH94&lt;&gt;"DA",0,'Setari model'!$B$121*IF($GF94="DA",1,0)+'Setari model'!$B$122*IF($GG94="DA",1,0)+'Setari model'!$B$123+'Setari model'!$B$124*IF($GI94="DA",1,0))))</x:f>
      </x:c>
      <x:c r="GK94" s="161" t="str">
        <x:f>IF($A94="","",IF(COUNT($GJ94)=0,"",1+'Setari model'!$B$125*$GJ94))</x:f>
      </x:c>
      <x:c r="GL94" s="160" t="str">
        <x:f>IF($A94="","",IF($GM94&lt;&gt;"DA",$FJ94,MIN('Setari model'!$B$101,MAX(0.002,$FJ94*$GK94))))</x:f>
      </x:c>
      <x:c r="GM94" s="158" t="str">
        <x:f>IF($A94="","",IF(AND($FK94="DA",COUNT($FY94:$GB94)=4,COUNT($I94,$P94,$W94,$AB94,$Z94,$AE94,$EX94,$EY94,$GC94,$GD94)=10,COUNT($BJ94:$BN94)=5),"DA","NU"))</x:f>
      </x:c>
      <x:c r="GN94" s="158" t="str">
        <x:f>IF($A94="","",IF($GM94&lt;&gt;"DA","NEDETERMINAT",IF($FI94*$GK94&lt;='Setari model'!$B$99,"SCĂZUT",IF($FI94*$GK94&lt;='Setari model'!$B$100,"MEDIU","RIDICAT"))))</x:f>
      </x:c>
      <x:c r="GO94" s="160" t="str">
        <x:f>IF($A94="","",IF(OR($GM94&lt;&gt;"DA",$GN94="RIDICAT"),'Setari model'!$B$102,IF($GN94="MEDIU",'Setari model'!$B$103,IF(AND($FM94="DA",$FN94="DA"),'Setari model'!$B$105,'Setari model'!$B$104))))</x:f>
      </x:c>
      <x:c r="GP94" s="160" t="str">
        <x:f t="shared" si="152">IF($A94="","",IF($GL94="","",MIN(1-$GL94,$GO94)))</x:f>
      </x:c>
      <x:c r="GQ94" s="162" t="str">
        <x:f t="shared" si="153">IF($A94="","",IF($GP94="","",IF($GP94&gt;0,1/$GP94,"")))</x:f>
      </x:c>
      <x:c r="GR94" s="160" t="str">
        <x:f t="shared" si="154">IF($A94="","",IF($EC94="","",$GP94-$EC94))</x:f>
      </x:c>
      <x:c r="GS94" s="160" t="str">
        <x:f t="shared" si="155">IF($A94="","",IF($AR94&gt;1,$GP94*$AR94-1,""))</x:f>
      </x:c>
      <x:c r="GT94" s="163" t="str">
        <x:f>IF($A94="","",MAX(0,MIN(100,$FT94-IF(AND($GM94&lt;&gt;"DA",$FK94="DA"),'Setari model'!$B$107,0)-'Setari model'!$B$126*IF($GJ94="",0,$GJ94))))</x:f>
      </x:c>
      <x:c r="GU94" s="158" t="str">
        <x:f t="shared" si="156">IF($A94="","",IF($AR94&lt;=1,"NU – LIPSEȘTE COTA REALĂ",IF($GM94&lt;&gt;"DA","NU – DATE LOW-CONVERSION INCOMPLETE",IF($GN94&lt;&gt;"SCĂZUT","NU – RISC 0-0 "&amp;$GN94,IF($FN94&lt;&gt;"DA","NU – LINEUP NECONFIRMAT",IF($FM94&lt;&gt;"DA","NU – PIAȚĂ NECONFIRMATĂ",IF($EP94&lt;&gt;"DA","NU – PORTOFOLIU","DA")))))))</x:f>
      </x:c>
      <x:c r="GV94" s="158" t="str">
        <x:f>IF($A94="","",IF($GU94&lt;&gt;"DA","WATCH / NO BET",IF(AND($GP94&gt;='Setari model'!$B$35,$GT94&gt;=100*'Setari model'!$B$76,$GS94&gt;0),"PARIU RECOMANDAT",IF(AND($GP94&gt;='Setari model'!$B$39,$GT94&gt;=100*'Setari model'!$B$40,$GS94&gt;0),"WATCH – APROAPE DE PRAG","PARIU EVITAT"))))</x:f>
      </x:c>
      <x:c r="GW94" s="158" t="str">
        <x:f t="shared" si="157">IF($A94="","",IF($GU94&lt;&gt;"DA",$GU94,IF($GT94&lt;75,"Confidence v5 sub 75.",IF($GP94&lt;0.92,"P v5 sub 92%.",IF($GS94&lt;=0,"EV v5 nepozitiv.",IF($GJ94&gt;0,"Low-conversion absorbit în P0; toate porțile rămân trecute.","Toate porțile v5 sunt trecute."))))))</x:f>
      </x:c>
      <x:c r="GX94" s="158" t="str">
        <x:f t="shared" si="158">IF($A94="","","P v5="&amp;TEXT($GP94,"0.0%")&amp;"; P0 v5="&amp;TEXT($GL94,"0.0%")&amp;"; low-conv="&amp;IF(COUNT($GJ94)=0,"n/a",TEXT($GJ94,"0%"))&amp;"; mult.P0="&amp;IF(COUNT($GK94)=0,"n/a",TEXT($GK94,"0.00"))&amp;"; clasă="&amp;$GN94&amp;"; cap="&amp;TEXT($GO94,"0.0%")&amp;"; Confidence="&amp;TEXT($GT94,"0")&amp;"/100; lineup="&amp;$FN94&amp;"; piață="&amp;$FM94&amp;"; EV="&amp;IF($GS94="","n/a",TEXT($GS94,"0.0%"))&amp;"; gate="&amp;$GU94&amp;"; verdict="&amp;$GV94&amp;". "&amp;$GW94)</x:f>
      </x:c>
      <x:c r="GY94" s="174" t="str">
        <x:f>IF($A94="","",IF($GM94&lt;&gt;"DA","SOURCING INCOMPLETE – REVIEW REQUIRED",IF(MIN($I94,$P94,$W94,$AB94)&lt;'Setari model'!$B$58,"SMALL SAMPLE + PRIOR / SHRINKAGE","VERIFIED / PRIOR / SHRINKAGE")))</x:f>
      </x:c>
      <x:c r="GZ94" s="175" t="str">
        <x:f t="shared" si="159">IF($A94="","",MAX(0,MIN(100,100*(1-AVERAGE(IF($GM94="DA",1,0),MIN(1,$AT94/5))))))</x:f>
      </x:c>
      <x:c r="HA94" s="175" t="str">
        <x:f>IF($A94="","",IF($GM94&lt;&gt;"DA","",MAX(0,MIN(100,100*(($FI94*$GK94)-'Setari model'!$B$97)/('Setari model'!$B$98-'Setari model'!$B$97)))))</x:f>
      </x:c>
      <x:c r="HB94" s="175" t="str">
        <x:f>IF($A94="","",MAX(0,MIN(100,100*(ABS($BR94-1)/MAX(1-'Setari model'!$B$53,'Setari model'!$B$54-1)+MIN(1,$BG94/2))/2)))</x:f>
      </x:c>
      <x:c r="HC94" s="175" t="str">
        <x:f t="shared" si="160">IF($A94="","",MAX(0,MIN(100,100*(1-AVERAGE($CC94,MAX(0,1-(MAX($BJ94:$BN94)-MIN($BJ94:$BN94))/(AVERAGE($BJ94:$BN94)*'Setari model'!$B$45)))))))</x:f>
      </x:c>
      <x:c r="HD94" s="175" t="str">
        <x:f t="shared" si="161">IF($A94="","",MAX(0,MIN(100,100*MAX(IF($GJ94="",0,$GJ94),MIN(1,$BG94/2)))))</x:f>
      </x:c>
      <x:c r="HE94" s="175" t="str">
        <x:f>IF($A94="","",IF(COUNT($GZ94:$HD94)&lt;5,"",$GZ94*Risk_Classification!$E$28+$HA94*Risk_Classification!$E$29+$HB94*Risk_Classification!$E$30+$HC94*Risk_Classification!$E$31+$HD94*Risk_Classification!$E$32))</x:f>
      </x:c>
      <x:c r="HF94" s="176" t="str">
        <x:f t="shared" si="162">IF($A94="","",IF($HE94="","",IF($HE94&lt;=20,1,IF($HE94&lt;=40,2,IF($HE94&lt;=60,3,IF($HE94&lt;=80,4,5))))))</x:f>
      </x:c>
      <x:c r="HG94" s="176" t="str">
        <x:f t="shared" si="163">IF($A94="","",IF($GM94="DA","PASS","FAIL – DATE CRITICE ZERO-MASS INCOMPLETE"))</x:f>
      </x:c>
      <x:c r="HH94" s="176" t="str">
        <x:f t="shared" si="164">IF($A94="","",IF($HG94&lt;&gt;"PASS",5,$HF94))</x:f>
      </x:c>
      <x:c r="HI94" s="174" t="str">
        <x:f t="shared" si="165">IF($A94="","",IF($HH94="","N/A",IF($HH94=1,"DEFENSIV",IF($HH94=2,"PRUDENT",IF($HH94=3,"MODERAT",IF($HH94=4,"RIDICAT","WATCH / NO BET"))))))</x:f>
      </x:c>
      <x:c r="HJ94" s="177" t="str">
        <x:f t="shared" si="166">IF($A94="","","Data="&amp;$GY94&amp;"; DQ="&amp;TEXT($GZ94,"0.0")&amp;"; ZM="&amp;IF($HA94="","n/a",TEXT($HA94,"0.0"))&amp;"; Context="&amp;TEXT($HB94,"0.0")&amp;"; Uncertainty="&amp;TEXT($HC94,"0.0")&amp;"; Compound="&amp;TEXT($HD94,"0.0")&amp;"; Risk Score="&amp;IF($HE94="","n/a",TEXT($HE94,"0.0"))&amp;"; Base="&amp;IF($HF94="","n/a",$HF94)&amp;"; G0="&amp;$HG94&amp;"; Final="&amp;$HH94&amp;". Cota, EV si lineup sunt informative si nu intra in recomandare.")</x:f>
      </x:c>
      <x:c r="HK94" s="174" t="str">
        <x:f t="shared" si="167">IF($A94="","",$HI94)</x:f>
      </x:c>
    </x:row>
    <x:row r="95" ht="24" customHeight="1">
      <x:c r="A95" s="58"/>
      <x:c r="B95" s="24"/>
      <x:c r="C95" s="59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18"/>
      <x:c r="O95" s="18"/>
      <x:c r="P95" s="24"/>
      <x:c r="Q95" s="24"/>
      <x:c r="R95" s="24"/>
      <x:c r="S95" s="24"/>
      <x:c r="T95" s="24"/>
      <x:c r="U95" s="18"/>
      <x:c r="V95" s="18"/>
      <x:c r="W95" s="24"/>
      <x:c r="X95" s="24"/>
      <x:c r="Y95" s="24"/>
      <x:c r="Z95" s="24"/>
      <x:c r="AA95" s="24"/>
      <x:c r="AB95" s="24"/>
      <x:c r="AC95" s="24"/>
      <x:c r="AD95" s="24"/>
      <x:c r="AE95" s="24"/>
      <x:c r="AF95" s="24"/>
      <x:c r="AG95" s="24"/>
      <x:c r="AH95" s="24"/>
      <x:c r="AI95" s="18"/>
      <x:c r="AJ95" s="24"/>
      <x:c r="AK95" s="24"/>
      <x:c r="AL95" s="24"/>
      <x:c r="AM95" s="18"/>
      <x:c r="AN95" s="24"/>
      <x:c r="AO95" s="60"/>
      <x:c r="AP95" s="60"/>
      <x:c r="AQ95" s="60"/>
      <x:c r="AR95" s="60"/>
      <x:c r="AS95" s="60"/>
      <x:c r="AT95" s="24"/>
      <x:c r="AU95" s="24"/>
      <x:c r="AV95" s="24"/>
      <x:c r="AW95" s="24"/>
      <x:c r="AX95" s="24"/>
      <x:c r="AY95" s="24"/>
      <x:c r="AZ95" s="24"/>
      <x:c r="BA95" s="24"/>
      <x:c r="BB95" s="24"/>
      <x:c r="BC95" s="24"/>
      <x:c r="BD95" s="24"/>
      <x:c r="BE95" s="24"/>
      <x:c r="BF95" s="24"/>
      <x:c r="BG95" s="24"/>
      <x:c r="BH95" s="61"/>
      <x:c r="BI95" s="61"/>
      <x:c r="BJ95" s="62" t="str">
        <x:f>IF($A95="","",SQRT((($I95*IF($J95="",$AJ95,$J95)+'Setari model'!$B$30*$AJ95)/($I95+'Setari model'!$B$30))*(($P95*IF($R95="",$AJ95,$R95)+'Setari model'!$B$30*$AJ95)/($P95+'Setari model'!$B$30)))+SQRT((($P95*IF($Q95="",$AK95,$Q95)+'Setari model'!$B$30*$AK95)/($P95+'Setari model'!$B$30))*(($I95*IF($K95="",$AK95,$K95)+'Setari model'!$B$30*$AK95)/($I95+'Setari model'!$B$30))))</x:f>
      </x:c>
      <x:c r="BK95" s="62" t="str">
        <x:f>IF($A95="","",SQRT((($I95*IF($L95="",IF($J95="",$AJ95,$J95),$L95)+'Setari model'!$B$30*$AJ95)/($I95+'Setari model'!$B$30))*(($P95*IF($T95="",IF($R95="",$AJ95,$R95),$T95)+'Setari model'!$B$30*$AJ95)/($P95+'Setari model'!$B$30)))+SQRT((($P95*IF($S95="",IF($Q95="",$AK95,$Q95),$S95)+'Setari model'!$B$30*$AK95)/($P95+'Setari model'!$B$30))*(($I95*IF($M95="",IF($K95="",$AK95,$K95),$M95)+'Setari model'!$B$30*$AK95)/($I95+'Setari model'!$B$30))))</x:f>
      </x:c>
      <x:c r="BL95" s="62" t="str">
        <x:f>IF($A95="","",SQRT((($W95*IF($X95="",$AL95/2,$X95)+'Setari model'!$B$31*$AL95/2)/($W95+'Setari model'!$B$31))*(($AB95*IF($AD95="",$AL95/2,$AD95)+'Setari model'!$B$31*$AL95/2)/($AB95+'Setari model'!$B$31)))+SQRT((($AB95*IF($AC95="",$AL95/2,$AC95)+'Setari model'!$B$31*$AL95/2)/($AB95+'Setari model'!$B$31))*(($W95*IF($Y95="",$AL95/2,$Y95)+'Setari model'!$B$31*$AL95/2)/($W95+'Setari model'!$B$31))))</x:f>
      </x:c>
      <x:c r="BM95" s="62" t="str">
        <x:f>IF($A95="","",SQRT((($W95*IF($Z95="",IF($X95="",$AL95/2,$X95),$Z95)+'Setari model'!$B$31*$AL95/2)/($W95+'Setari model'!$B$31))*(($AB95*IF($AF95="",IF($AD95="",$AL95/2,$AD95),$AF95)+'Setari model'!$B$31*$AL95/2)/($AB95+'Setari model'!$B$31)))+SQRT((($AB95*IF($AE95="",IF($AC95="",$AL95/2,$AC95),$AE95)+'Setari model'!$B$31*$AL95/2)/($AB95+'Setari model'!$B$31))*(($W95*IF($AA95="",IF($Y95="",$AL95/2,$Y95),$AA95)+'Setari model'!$B$31*$AL95/2)/($W95+'Setari model'!$B$31))))</x:f>
      </x:c>
      <x:c r="BN95" s="62" t="str">
        <x:f t="shared" si="112">IF($A95="","",IF($AG95&gt;0,($AG95*IF($AH95="",$AL95,$AH95)+5*$AL95)/($AG95+5),$AL95))</x:f>
      </x:c>
      <x:c r="BO95" s="63" t="str">
        <x:f>IF($A95="","",IF($AR95&gt;1,IF($AS95&gt;1,(1/$AR95)/((1/$AR95+1/$AS95)),MIN(0.995,(1/$AR95)/(1+'Setari model'!$B$32))),1-EXP(-$AL95)))</x:f>
      </x:c>
      <x:c r="BP95" s="62" t="str">
        <x:f t="shared" si="113">IF($A95="","",-LN(1-$BO95))</x:f>
      </x:c>
      <x:c r="BQ95" s="62" t="str">
        <x:f>IF($A95="","",$BJ95*INDEX('Setari model'!$B$5:$B$11,MATCH($E95,'Setari model'!$A$5:$A$11,0))+$BK95*INDEX('Setari model'!$C$5:$C$11,MATCH($E95,'Setari model'!$A$5:$A$11,0))+$BL95*INDEX('Setari model'!$D$5:$D$11,MATCH($E95,'Setari model'!$A$5:$A$11,0))+$BM95*INDEX('Setari model'!$E$5:$E$11,MATCH($E95,'Setari model'!$A$5:$A$11,0))+$BN95*INDEX('Setari model'!$F$5:$F$11,MATCH($E95,'Setari model'!$A$5:$A$11,0))+$BP95*INDEX('Setari model'!$G$5:$G$11,MATCH($E95,'Setari model'!$A$5:$A$11,0)))</x:f>
      </x:c>
      <x:c r="BR95" s="64" t="str">
        <x:f>IF($A95="","",MAX('Setari model'!$B$53,MIN('Setari model'!$B$54,1+($AV95*'Setari model'!$B$15+$AW95*'Setari model'!$B$16+$AX95*'Setari model'!$B$17+$AY95*'Setari model'!$B$18+$AZ95*'Setari model'!$B$19+$BA95*'Setari model'!$B$20+$BB95*'Setari model'!$B$21+$BC95*'Setari model'!$B$22+$BD95*'Setari model'!$B$23+$BE95*'Setari model'!$B$24+$BF95*'Setari model'!$B$25)*INDEX('Setari model'!$H$5:$H$11,MATCH($E95,'Setari model'!$A$5:$A$11,0)))))</x:f>
      </x:c>
      <x:c r="BS95" s="62" t="str">
        <x:f t="shared" si="114">IF($A95="","",$BQ95*$BR95)</x:f>
      </x:c>
      <x:c r="BT95" s="63" t="str">
        <x:f t="shared" si="115">IF($A95="","",EXP(-$BS95))</x:f>
      </x:c>
      <x:c r="BU95" s="65" t="str">
        <x:f>IF($A95="","",IF(OR($AM95="",$AN95=""),1,1+MIN('Setari model'!$B$33,$AN95/100*'Setari model'!$B$33)*($AM95/EXP(-$AL95)-1)))</x:f>
      </x:c>
      <x:c r="BV95" s="63" t="str">
        <x:f>IF($A95="","",MIN(0.45,MAX(0.005,(1-'Setari model'!$B$34*MIN(1,($I95+$P95)/20))*MIN(0.45,$BT95*$BU95)+'Setari model'!$B$34*MIN(1,($I95+$P95)/20)*IF(COUNT($N95,$U95)=2,SQRT(MAX(0,1-$N95)*MAX(0,1-$U95)),IF($AM95="",EXP(-$AL95),$AM95)))))</x:f>
      </x:c>
      <x:c r="BW95" s="63" t="str">
        <x:f t="shared" si="116">IF($A95="","",1-$BV95)</x:f>
      </x:c>
      <x:c r="BX95" s="62" t="str">
        <x:f t="shared" si="117">IF($A95="","",1/$BW95)</x:f>
      </x:c>
      <x:c r="BY95" s="63" t="str">
        <x:f t="shared" si="118">IF($A95="","",$BO95)</x:f>
      </x:c>
      <x:c r="BZ95" s="63" t="str">
        <x:f t="shared" si="119">IF($A95="","",$BW95-$BY95)</x:f>
      </x:c>
      <x:c r="CA95" s="63" t="str">
        <x:f t="shared" si="120">IF($A95="","",IF($AR95&gt;1,$BW95*$AR95-1,""))</x:f>
      </x:c>
      <x:c r="CB95" s="63" t="str">
        <x:f>IF($A95="","",MIN(1,COUNT($I95:$AN95,$AR95:$BG95)/'Setari model'!$B$46))</x:f>
      </x:c>
      <x:c r="CC95" s="63" t="str">
        <x:f t="shared" si="121">IF($A95="","",0.25*MIN(1,$I95/10)+0.25*MIN(1,$P95/10)+0.15*MIN(1,$W95/5)+0.15*MIN(1,$AB95/5)+0.1*MIN(1,$AG95/5)+0.1*MIN(1,$AN95/100))</x:f>
      </x:c>
      <x:c r="CD95" s="63" t="str">
        <x:f>IF($A95="","",MAX(0,1-(MAX($BJ95:$BN95,$BP95)-MIN($BJ95:$BN95,$BP95))/(AVERAGE($BJ95:$BN95,$BP95)*'Setari model'!$B$45)))</x:f>
      </x:c>
      <x:c r="CE95" s="66" t="str">
        <x:f>IF($A95="","",MAX(0,MIN(100,100*INDEX('Setari model'!$I$5:$I$11,MATCH($E95,'Setari model'!$A$5:$A$11,0))*('Setari model'!$B$47*$CB95+'Setari model'!$B$48*$CC95+'Setari model'!$B$49*$CD95+'Setari model'!$B$50*$AT95/5+'Setari model'!$B$51*$AU95)-100*'Setari model'!$B$52*$BG95)))</x:f>
      </x:c>
      <x:c r="CF95" s="65" t="str">
        <x:f t="shared" si="122">IF($A95="","",IF(OR($AT95&lt;3,$BG95&gt;=2,$CB95&lt;0.55,$CC95&lt;0.4),"RIDICAT",IF(OR($AU95=0,$CD95&lt;0.45,$BR95&lt;0.9),"MEDIU","SCĂZUT")))</x:f>
      </x:c>
      <x:c r="CG95" s="65" t="str">
        <x:f>IF($A95="","",IF($AR95&gt;1,IF(AND($BW95&gt;= 'Setari model'!$B$35,$CE95&gt;=100*'Setari model'!$B$36,$BZ95&gt;= 'Setari model'!$B$37,$CA95&gt;= 'Setari model'!$B$38,$CF95&lt;&gt;"RIDICAT"),"PARIU RECOMANDAT",IF(AND($BW95&gt;= 'Setari model'!$B$39,$CE95&gt;=100*'Setari model'!$B$40,$BZ95&gt;= 'Setari model'!$B$41,$CA95&gt;=0,$CF95&lt;&gt;"RIDICAT"),"RECOMANDAT CU PRUDENȚĂ",IF(AND($BW95&gt;= 'Setari model'!$B$42,$CE95&gt;=100*'Setari model'!$B$43),"ANALIZĂ NECONCLUDENTĂ","PARIU EVITAT"))),IF(AND($BW95&gt;= 'Setari model'!$B$35,$CE95&gt;=100*'Setari model'!$B$36,$CF95&lt;&gt;"RIDICAT"),"FAVORABIL STATISTIC – VERIFICĂ COTA",IF(AND($BW95&gt;= 'Setari model'!$B$42,$CE95&gt;=100*'Setari model'!$B$43),"ANALIZĂ NECONCLUDENTĂ","PARIU EVITAT"))))</x:f>
      </x:c>
      <x:c r="CH95" s="67" t="str">
        <x:f t="shared" si="123">IF($A95="","","P(O0,5)="&amp;TEXT($BW95,"0.0%")&amp;"; λ ajustat="&amp;TEXT($BS95,"0.00")&amp;"; Confidence="&amp;TEXT($CE95,"0")&amp;"/100; Edge="&amp;TEXT($BZ95,"0.0%")&amp;"; risc="&amp;$CF95&amp;". "&amp;$BH95)</x:f>
      </x:c>
      <x:c r="CI95" s="68" t="str">
        <x:f t="shared" si="124">IF($A95="","",$BI95)</x:f>
      </x:c>
      <x:c r="CJ95" s="112"/>
      <x:c r="CK95" s="112"/>
      <x:c r="CL95" s="112"/>
      <x:c r="CM95" s="112"/>
      <x:c r="CN95" s="112"/>
      <x:c r="CO95" s="112"/>
      <x:c r="CP95" s="112"/>
      <x:c r="CQ95" s="112"/>
      <x:c r="CR95" s="112"/>
      <x:c r="CS95" s="112"/>
      <x:c r="CT95" s="112"/>
      <x:c r="CU95" s="112"/>
      <x:c r="CV95" s="112"/>
      <x:c r="CW95" s="112"/>
      <x:c r="CX95" s="112"/>
      <x:c r="CY95" s="112"/>
      <x:c r="CZ95" s="112"/>
      <x:c r="DA95" s="112"/>
      <x:c r="DB95" s="112"/>
      <x:c r="DC95" s="114"/>
      <x:c r="DD95" s="114"/>
      <x:c r="DE95" s="112" t="s">
        <x:v>266</x:v>
      </x:c>
      <x:c r="DF95" s="112"/>
      <x:c r="DG95" s="112"/>
      <x:c r="DH95" s="112"/>
      <x:c r="DI95" s="112"/>
      <x:c r="DJ95" s="112"/>
      <x:c r="DK95" s="112"/>
      <x:c r="DL95" s="112"/>
      <x:c r="DM95" s="112"/>
      <x:c r="DN95" s="112"/>
      <x:c r="DO95" s="112"/>
      <x:c r="DP95" s="112"/>
      <x:c r="DQ95" s="114"/>
      <x:c r="DR95" s="112">
        <x:v>1</x:v>
      </x:c>
      <x:c r="DS95" s="116">
        <x:v>0</x:v>
      </x:c>
      <x:c r="DT95" s="120"/>
      <x:c r="DU95" s="116">
        <x:v>0.02</x:v>
      </x:c>
      <x:c r="DV95" s="116">
        <x:v>0.25</x:v>
      </x:c>
      <x:c r="DW95" s="118" t="str">
        <x:f>IF($A95="","",MAX('Setari model'!$B$71,MIN('Setari model'!$B$72,1+0.08*(IFERROR(AVERAGE($CM95:$CN95)/'Setari model'!$B$66,1)-1)+0.08*(IFERROR(AVERAGE($CO95:$CP95)/'Setari model'!$B$67,1)-1)+0.06*(IFERROR(AVERAGE($CQ95:$CR95)/'Setari model'!$B$68,1)-1)+0.04*(IFERROR(AVERAGE($CS95:$CT95)/'Setari model'!$B$69,1)-1)+0.04*(IFERROR(AVERAGE($CU95:$CV95)/'Setari model'!$B$70,1)-1)-'Setari model'!$B$73*IFERROR(AVERAGE($CW95:$CX95),0))))</x:f>
      </x:c>
      <x:c r="DX95" s="118" t="str">
        <x:f>IF($A95="","",1+'Setari model'!$B$62*MAX(IF(OR($CK95=1,$CL95=1),1,0),IF(AND($CJ95&lt;&gt;"",$CJ95&lt;=1),1,0))+'Setari model'!$B$63*IF(AND($CJ95&gt;1,$CJ95&lt;=3),1,0))</x:f>
      </x:c>
      <x:c r="DY95" s="118" t="str">
        <x:f>IF($A95="","",1+'Setari model'!$B$74*(IF($CY95="",0,IF($CY95=0,1,0))+IF($CZ95="",0,IF($CZ95=0,1,0)))+'Setari model'!$B$75*(IF($DA95="",0,IF($DA95=0,1,0))+IF($DB95="",0,IF($DB95=0,1,0))))</x:f>
      </x:c>
      <x:c r="DZ95" s="117" t="str">
        <x:f>IF($A95="","",MIN(0.6,MAX(0.002,(((1-'Setari model'!$B$34*MIN(1,($I95+$P95)/20))*$BT95+'Setari model'!$B$34*MIN(1,($I95+$P95)/20)*IF(COUNT($N95,$U95)=2,SQRT(MAX(0,1-$N95)*MAX(0,1-$U95)),$BT95))*(1-'Setari model'!$B$65*MIN(1,IF($AN95="",0,$AN95/'Setari model'!$B$64)))+'Setari model'!$B$65*MIN(1,IF($AN95="",0,$AN95/'Setari model'!$B$64))*IF($AM95="",$BT95,$AM95))*$DX95*$DY95/$DW95)))</x:f>
      </x:c>
      <x:c r="EA95" s="117" t="str">
        <x:f>IF($A95="","",MIN(1-$DZ95,IF(OR(MIN($I95,$P95)&lt;'Setari model'!$B$58,$CK95=1,$CL95=1,AND($CJ95&lt;&gt;"",$CJ95&lt;=1)),'Setari model'!$B$59,IF(AND($AU95=1,$AR95&gt;1,COUNT($CY95:$DB95)=4),'Setari model'!$B$61,'Setari model'!$B$60))))</x:f>
      </x:c>
      <x:c r="EB95" s="115" t="str">
        <x:f t="shared" si="125">IF($A95="","",1/$EA95)</x:f>
      </x:c>
      <x:c r="EC95" s="117" t="str">
        <x:f t="shared" si="126">IF($A95="","",IF($AR95&gt;1,IF($AS95&gt;1,(1/$AR95)/((1/$AR95)+(1/$AS95)),1/$AR95),""))</x:f>
      </x:c>
      <x:c r="ED95" s="117" t="str">
        <x:f t="shared" si="127">IF($A95="","",IF($EC95="","",$EA95-$EC95))</x:f>
      </x:c>
      <x:c r="EE95" s="117" t="str">
        <x:f t="shared" si="128">""</x:f>
      </x:c>
      <x:c r="EF95" s="119" t="str">
        <x:f>IF($A95="","",MAX(0,MIN(100,$CE95-200*MAX(0,$EG95-'Setari model'!$B$77)-IF($AU95&lt;&gt;1,10,0)-IF(COUNT($CY95:$DB95)&lt;4,4,0))))</x:f>
      </x:c>
      <x:c r="EG95" s="117" t="str">
        <x:f>IF($A95="","",'Setari model'!$B$77+IF(MIN($I95,$P95)&lt;'Setari model'!$B$58,0.03,0)+IF(OR($CK95=1,$CL95=1,AND($CJ95&lt;&gt;"",$CJ95&lt;=1)),0.03,0)+IF($AG95=0,0.02,0)+0.03*(1-MIN(1,COUNT($CM95:$CV95)/10))+0.03*(1-MIN(1,IF($AN95="",0,$AN95/'Setari model'!$B$64)))+IF($AR95&lt;=1,0.02,0))</x:f>
      </x:c>
      <x:c r="EH95" s="113" t="str">
        <x:f>IF($A95="","",IF(OR(MIN($I95,$P95)&lt;'Setari model'!$B$58,$CK95=1,$CL95=1,AND($CJ95&lt;&gt;"",$CJ95&lt;=1)),"92% – early/regim",IF(AND($AU95=1,$AR95&gt;1,COUNT($CY95:$DB95)=4),"94% – confirmat","93% – standard")))</x:f>
      </x:c>
      <x:c r="EI95" s="113" t="str">
        <x:f t="shared" si="129">IF($A95="","",IF(AND($EA95&gt;0.9,$AU95&lt;&gt;1),"WAIT XI – HIGH P",IF(AND($EA95&gt;0.9,COUNT($CY95:$DB95)&lt;4),"WAIT DATE CHEIE – HIGH P",IF($EP95&lt;&gt;"DA","NU – PORTOFOLIU","DA"))))</x:f>
      </x:c>
      <x:c r="EJ95" s="117" t="str">
        <x:f t="shared" si="130">IF($A95="","",IF($DE95&lt;&gt;"Live 20-30","",IF(SUM($DG95:$DH95)&gt;0,1,IF($EU95="","",1-MIN(0.95,MAX(0.001,EXP(-$EU95)*$DX95*$DY95/$DW95))))))</x:f>
      </x:c>
      <x:c r="EK95" s="117" t="str">
        <x:f t="shared" si="131">""</x:f>
      </x:c>
      <x:c r="EL95" s="113" t="str">
        <x:f>IF($A95="","",IF($DE95="Live 20-30",IF(SUM($DG95:$DH95)&gt;0,"EVENIMENT ÎNDEPLINIT",IF(OR($DF95="",COUNT($DI95:$DN95)&lt;4),"LIVE – WATCH",IF($EJ95&gt;=0.75,"LIVE – FEZABIL TEHNIC","LIVE – NO BET"))),IF($EI95&lt;&gt;"DA","WATCH / NO BET",IF(AND($EA95&gt;=INDEX('Setari model'!$B$35:$B$40,1),$EF95&gt;=100*'Setari model'!$B$76),"PARIU RECOMANDAT",IF(AND($EA95&gt;=INDEX('Setari model'!$B$35:$B$40,5),$EF95&gt;=100*'Setari model'!$B$40),"WATCH – APROAPE DE PRAG","PARIU EVITAT")))))</x:f>
      </x:c>
      <x:c r="EM95" s="113" t="str">
        <x:f t="shared" si="132">IF($A95="","",IF($DE95="Live 20-30",IF(SUM($DG95:$DH95)&gt;0,"Gol deja marcat.",IF($DF95="","Minut live lipsă.",IF(COUNT($DI95:$DN95)&lt;4,"Lipsesc xG/SOT/big chances live.",IF($EJ95&lt;0.75,"P live sub prag.","Semnal live tehnic complet; EV ignorat.")))),IF($EI95&lt;&gt;"DA",$EI95,IF($EF95&lt;75,"Confidence sub 75.",IF($EA95&lt;0.92,"P sub 92%.","G0/Zero-Mass + confidence trecute; EV ignorat.")))))</x:f>
      </x:c>
      <x:c r="EN95" s="117" t="str">
        <x:f>IF($A95="","",IF(OR($EL95="PARIU RECOMANDAT",$EL95="LIVE – FEZABIL"),MIN(IF($DU95&gt;0,$DU95,'Setari model'!$B$81)/MAX(1,$DR95),IF($DV95&gt;0,$DV95,'Setari model'!$B$80)*MAX(0,((IF($DE95="Live 20-30",$EJ95,$EA95)*IF($DE95="Live 20-30",$DQ95,$AR95)-1)/(IF($DE95="Live 20-30",$DQ95,$AR95)-1)))),0))</x:f>
      </x:c>
      <x:c r="EO95" s="121" t="str">
        <x:f t="shared" si="133">IF($A95="","",IF(AND($EN95&gt;0,$DT95&gt;0),$EN95*$DT95,""))</x:f>
      </x:c>
      <x:c r="EP95" s="113" t="str">
        <x:f>IF($A95="","",IF(OR($DR95&lt;1,$DR95&gt;'Setari model'!$B$78),"NU – 1–5 selecții",IF($DS95&gt;'Setari model'!$B$79,"NU – corelație", "DA")))</x:f>
      </x:c>
      <x:c r="EQ95" s="117" t="str">
        <x:f t="shared" si="134">IF($A95="","",IF(AND($DC95&gt;1,$DD95&gt;1),$DC95/$DD95-1,""))</x:f>
      </x:c>
      <x:c r="ER95" s="113" t="str">
        <x:f t="shared" si="135">IF($A95="","","P v2="&amp;TEXT($EA95,"0.0%")&amp;" ±"&amp;TEXT($EG95,"0.0%")&amp;"; P0 ZIP="&amp;TEXT($DZ95,"0.0%")&amp;"; Confidence="&amp;TEXT($EF95,"0")&amp;"/100; piață reală="&amp;IF($EC95="","NU","DA")&amp;"; EV="&amp;IF($EE95="","n/a",TEXT($EE95,"0.0%"))&amp;"; gate="&amp;$EI95&amp;"; verdict="&amp;$EL95&amp;". "&amp;$EM95)</x:f>
      </x:c>
      <x:c r="ES95" s="119" t="str">
        <x:f>IF($A95="","",'Setari model'!$B$82)</x:f>
      </x:c>
      <x:c r="ET95" s="118" t="str">
        <x:f>IF($A95="","",'Setari model'!$B$83)</x:f>
      </x:c>
      <x:c r="EU95" s="115" t="str">
        <x:f t="shared" si="136">IF(OR($A95="",$DE95&lt;&gt;"Live 20-30",$DF95="",$DF95&lt;$ES95,$DF95&gt;=90),"",MAX(0.05,MIN($BS95*$ET95,$BS95*(90-$DF95)/90+0.35*($DI95+$DJ95)+0.06*($DK95+$DL95)+0.15*($DM95+$DN95)+0.1*(MAX($DO95,$DP95)-MIN($DO95,$DP95)))))</x:f>
      </x:c>
      <x:c r="EV95" s="132"/>
      <x:c r="EW95" s="132"/>
      <x:c r="EX95" s="132"/>
      <x:c r="EY95" s="132"/>
      <x:c r="EZ95" s="132"/>
      <x:c r="FA95" s="132"/>
      <x:c r="FB95" s="247"/>
      <x:c r="FC95" s="134" t="str">
        <x:f t="shared" si="137">IF($A95="","",IF(OR($J95="",$L95="",$L95&lt;=0),"",MAX(0.5,MIN(1.5,$J95/$L95))))</x:f>
      </x:c>
      <x:c r="FD95" s="134" t="str">
        <x:f t="shared" si="138">IF($A95="","",IF(OR($Q95="",$S95="",$S95&lt;=0),"",MAX(0.5,MIN(1.5,$Q95/$S95))))</x:f>
      </x:c>
      <x:c r="FE95" s="134" t="str">
        <x:f>IF($A95="","",IF(COUNT($EV95:$EW95)&lt;2,"",SQRT($EV95*$EW95)/'Setari model'!$B$87))</x:f>
      </x:c>
      <x:c r="FF95" s="134" t="str">
        <x:f>IF($A95="","",IF(COUNT($O95,$V95,$EX95,$EY95)&lt;4,"",AVERAGE(SQRT($O95*$EY95),SQRT($V95*$EX95))/'Setari model'!$B$88))</x:f>
      </x:c>
      <x:c r="FG95" s="134" t="str">
        <x:f t="shared" si="139">IF($A95="","",IF(COUNT($FC95:$FD95)&lt;2,"",MAX(0,1-AVERAGE($FC95:$FD95))))</x:f>
      </x:c>
      <x:c r="FH95" s="134" t="str">
        <x:f>IF($A95="","",IF(COUNT($EZ95:$FA95)&lt;2,"",'Setari model'!$B$94*AVERAGE($EZ95:$FA95)/'Setari model'!$B$89))</x:f>
      </x:c>
      <x:c r="FI95" s="134" t="str">
        <x:f>IF($A95="","",IF(COUNT($FE95:$FH95)&lt;4,"",MAX('Setari model'!$B$97,MIN('Setari model'!$B$98,1+'Setari model'!$B$90*($FE95-1)+'Setari model'!$B$91*($FF95-1)+'Setari model'!$B$92*$FG95+'Setari model'!$B$93*($FH95-1)))))</x:f>
      </x:c>
      <x:c r="FJ95" s="133" t="str">
        <x:f>IF($A95="","",IF($FI95="","",MIN('Setari model'!$B$101,MAX(0.002,$DZ95*$FI95))))</x:f>
      </x:c>
      <x:c r="FK95" s="131" t="str">
        <x:f t="shared" si="140">IF($A95="","",IF(AND(COUNT($EV95:$FA95)=6,COUNT($O95,$V95,$FC95,$FD95)=4),"DA","NU"))</x:f>
      </x:c>
      <x:c r="FL95" s="131" t="str">
        <x:f>IF($A95="","",IF($FK95&lt;&gt;"DA","NEDETERMINAT",IF($FI95&lt;='Setari model'!$B$99,"SCĂZUT",IF($FI95&lt;='Setari model'!$B$100,"MEDIU","RIDICAT"))))</x:f>
      </x:c>
      <x:c r="FM95" s="131" t="str">
        <x:f>IF($A95="","",IF(AND($AR95&gt;1,$EC95&gt;='Setari model'!$B$106),"DA","NU"))</x:f>
      </x:c>
      <x:c r="FN95" s="131" t="str">
        <x:f t="shared" si="141">IF($A95="","",IF(AND($AU95=1,COUNT($CY95:$DB95)=4),"DA","NU"))</x:f>
      </x:c>
      <x:c r="FO95" s="133" t="str">
        <x:f>IF($A95="","",IF(OR($FK95&lt;&gt;"DA",$FL95="RIDICAT"),'Setari model'!$B$102,IF($FL95="MEDIU",'Setari model'!$B$103,IF(AND($FM95="DA",$FN95="DA"),'Setari model'!$B$105,'Setari model'!$B$104))))</x:f>
      </x:c>
      <x:c r="FP95" s="133" t="str">
        <x:f t="shared" si="142">IF($A95="","",IF($FJ95="","",MIN(1-$FJ95,$FO95)))</x:f>
      </x:c>
      <x:c r="FQ95" s="135" t="str">
        <x:f t="shared" si="143">IF($A95="","",IF($FP95="","",IF($FP95&gt;0,1/$FP95,"")))</x:f>
      </x:c>
      <x:c r="FR95" s="133" t="str">
        <x:f t="shared" si="144">IF($A95="","",IF($EC95="","",$FP95-$EC95))</x:f>
      </x:c>
      <x:c r="FS95" s="133" t="str">
        <x:f t="shared" si="145">IF($A95="","",IF($AR95&gt;1,$FP95*$AR95-1,""))</x:f>
      </x:c>
      <x:c r="FT95" s="136" t="str">
        <x:f>IF($A95="","",MAX(0,MIN(100,$EF95-IF($FK95&lt;&gt;"DA",'Setari model'!$B$107,0)-IF($FL95="MEDIU",'Setari model'!$B$108,0)-IF($FL95="RIDICAT",'Setari model'!$B$109,0))))</x:f>
      </x:c>
      <x:c r="FU95" s="131" t="str">
        <x:f t="shared" si="146">IF($A95="","",IF($AR95&lt;=1,"NU – LIPSEȘTE COTA REALĂ",IF($FK95&lt;&gt;"DA","NU – ZERO-RISK INCOMPLET",IF($FL95&lt;&gt;"SCĂZUT","NU – RISC 0-0 "&amp;$FL95,IF($FN95&lt;&gt;"DA","NU – LINEUP NECONFIRMAT",IF($FM95&lt;&gt;"DA","NU – PIAȚĂ NECONFIRMATĂ",IF($EP95&lt;&gt;"DA","NU – PORTOFOLIU","DA")))))))</x:f>
      </x:c>
      <x:c r="FV95" s="131" t="str">
        <x:f>IF($A95="","",IF($FU95&lt;&gt;"DA","WATCH / NO BET",IF(AND($FP95&gt;='Setari model'!$B$35,$FT95&gt;=100*'Setari model'!$B$76,$FS95&gt;0),"PARIU RECOMANDAT",IF(AND($FP95&gt;='Setari model'!$B$39,$FT95&gt;=100*'Setari model'!$B$40,$FS95&gt;0),"WATCH – APROAPE DE PRAG","PARIU EVITAT"))))</x:f>
      </x:c>
      <x:c r="FW95" s="131" t="str">
        <x:f t="shared" si="147">IF($A95="","",IF($FU95&lt;&gt;"DA",$FU95,IF($FT95&lt;75,"Confidence v3 sub 75.",IF($FP95&lt;0.92,"P v3 sub 92%.",IF($FS95&lt;=0,"EV v3 nepozitiv.","P0 v3, lineup și piață confirmate.")))))</x:f>
      </x:c>
      <x:c r="FX95" s="131" t="str">
        <x:f t="shared" si="148">IF($A95="","","P v3="&amp;TEXT($FP95,"0.0%")&amp;"; P0 v3="&amp;TEXT($FJ95,"0.0%")&amp;"; factor zero="&amp;IF($FI95="","n/a",TEXT($FI95,"0.00x"))&amp;" ("&amp;$FL95&amp;"); cap="&amp;TEXT($FO95,"0.0%")&amp;"; Confidence="&amp;TEXT($FT95,"0")&amp;"/100; lineup="&amp;$FN95&amp;"; piață="&amp;$FM95&amp;"; EV="&amp;IF($FS95="","n/a",TEXT($FS95,"0.0%"))&amp;"; gate="&amp;$FU95&amp;"; verdict="&amp;$FV95&amp;". "&amp;$FW95)</x:f>
      </x:c>
      <x:c r="FY95" s="159"/>
      <x:c r="FZ95" s="159"/>
      <x:c r="GA95" s="157"/>
      <x:c r="GB95" s="157"/>
      <x:c r="GC95" s="161" t="str">
        <x:f t="shared" si="149">IF($A95="","",IF(OR($X95="",$Z95="",$Z95&lt;=0),"",MAX(0.5,MIN(1.5,$X95/$Z95))))</x:f>
      </x:c>
      <x:c r="GD95" s="161" t="str">
        <x:f t="shared" si="150">IF($A95="","",IF(OR($AC95="",$AE95="",$AE95&lt;=0),"",MAX(0.5,MIN(1.5,$AC95/$AE95))))</x:f>
      </x:c>
      <x:c r="GE95" s="162" t="str">
        <x:f t="shared" si="151">IF($A95="","",IF(COUNT($Z95,$AE95)&lt;2,"",AVERAGE($Z95,$AE95)))</x:f>
      </x:c>
      <x:c r="GF95" s="158" t="str">
        <x:f>IF($A95="","",IF(COUNT($FY95:$FZ95)&lt;2,"NEDETERMINAT",IF(AND($FY95&gt;='Setari model'!$B$113,$FZ95&gt;='Setari model'!$B$113),"DA","NU")))</x:f>
      </x:c>
      <x:c r="GG95" s="158" t="str">
        <x:f>IF($A95="","",IF(COUNT($FY95:$FZ95,$EX95:$EY95)&lt;4,"NEDETERMINAT",IF(OR(AND($FY95&gt;='Setari model'!$B$113,$EY95&gt;='Setari model'!$B$114),AND($FZ95&gt;='Setari model'!$B$113,$EX95&gt;='Setari model'!$B$114)),"DA","NU")))</x:f>
      </x:c>
      <x:c r="GH95" s="158" t="str">
        <x:f>IF($A95="","",IF(COUNT($BJ95:$BN95,$GC95:$GE95)&lt;8,"NEDETERMINAT",IF(AND((($BJ95*INDEX('Setari model'!$B$5:$B$11,MATCH($E95,'Setari model'!$A$5:$A$11,0))+$BK95*INDEX('Setari model'!$C$5:$C$11,MATCH($E95,'Setari model'!$A$5:$A$11,0))+$BL95*INDEX('Setari model'!$D$5:$D$11,MATCH($E95,'Setari model'!$A$5:$A$11,0))+$BM95*INDEX('Setari model'!$E$5:$E$11,MATCH($E95,'Setari model'!$A$5:$A$11,0))+$BN95*INDEX('Setari model'!$F$5:$F$11,MATCH($E95,'Setari model'!$A$5:$A$11,0)))/(INDEX('Setari model'!$B$5:$B$11,MATCH($E95,'Setari model'!$A$5:$A$11,0))+INDEX('Setari model'!$C$5:$C$11,MATCH($E95,'Setari model'!$A$5:$A$11,0))+INDEX('Setari model'!$D$5:$D$11,MATCH($E95,'Setari model'!$A$5:$A$11,0))+INDEX('Setari model'!$E$5:$E$11,MATCH($E95,'Setari model'!$A$5:$A$11,0))+INDEX('Setari model'!$F$5:$F$11,MATCH($E95,'Setari model'!$A$5:$A$11,0))))*$BR95&gt;='Setari model'!$B$115,(($BJ95*INDEX('Setari model'!$B$5:$B$11,MATCH($E95,'Setari model'!$A$5:$A$11,0))+$BK95*INDEX('Setari model'!$C$5:$C$11,MATCH($E95,'Setari model'!$A$5:$A$11,0))+$BL95*INDEX('Setari model'!$D$5:$D$11,MATCH($E95,'Setari model'!$A$5:$A$11,0))+$BM95*INDEX('Setari model'!$E$5:$E$11,MATCH($E95,'Setari model'!$A$5:$A$11,0))+$BN95*INDEX('Setari model'!$F$5:$F$11,MATCH($E95,'Setari model'!$A$5:$A$11,0)))/(INDEX('Setari model'!$B$5:$B$11,MATCH($E95,'Setari model'!$A$5:$A$11,0))+INDEX('Setari model'!$C$5:$C$11,MATCH($E95,'Setari model'!$A$5:$A$11,0))+INDEX('Setari model'!$D$5:$D$11,MATCH($E95,'Setari model'!$A$5:$A$11,0))+INDEX('Setari model'!$E$5:$E$11,MATCH($E95,'Setari model'!$A$5:$A$11,0))+INDEX('Setari model'!$F$5:$F$11,MATCH($E95,'Setari model'!$A$5:$A$11,0))))*$BR95&lt;='Setari model'!$B$116,AVERAGE($GC95:$GD95)&lt;='Setari model'!$B$117,$GE95&gt;='Setari model'!$B$118),"DA","NU")))</x:f>
      </x:c>
      <x:c r="GI95" s="158" t="str">
        <x:f>IF($A95="","",IF(COUNT($W95,$AB95,$GA95:$GB95)&lt;4,"NEDETERMINAT",IF(AND($W95&gt;='Setari model'!$B$120,$AB95&gt;='Setari model'!$B$120,OR(IFERROR($GA95/$W95,0)&gt;='Setari model'!$B$119,IFERROR($GB95/$AB95,0)&gt;='Setari model'!$B$119)),"DA","NU")))</x:f>
      </x:c>
      <x:c r="GJ95" s="160" t="str">
        <x:f>IF($A95="","",IF(COUNT($FY95:$GB95)&lt;4,"",IF($GH95&lt;&gt;"DA",0,'Setari model'!$B$121*IF($GF95="DA",1,0)+'Setari model'!$B$122*IF($GG95="DA",1,0)+'Setari model'!$B$123+'Setari model'!$B$124*IF($GI95="DA",1,0))))</x:f>
      </x:c>
      <x:c r="GK95" s="161" t="str">
        <x:f>IF($A95="","",IF(COUNT($GJ95)=0,"",1+'Setari model'!$B$125*$GJ95))</x:f>
      </x:c>
      <x:c r="GL95" s="160" t="str">
        <x:f>IF($A95="","",IF($GM95&lt;&gt;"DA",$FJ95,MIN('Setari model'!$B$101,MAX(0.002,$FJ95*$GK95))))</x:f>
      </x:c>
      <x:c r="GM95" s="158" t="str">
        <x:f>IF($A95="","",IF(AND($FK95="DA",COUNT($FY95:$GB95)=4,COUNT($I95,$P95,$W95,$AB95,$Z95,$AE95,$EX95,$EY95,$GC95,$GD95)=10,COUNT($BJ95:$BN95)=5),"DA","NU"))</x:f>
      </x:c>
      <x:c r="GN95" s="158" t="str">
        <x:f>IF($A95="","",IF($GM95&lt;&gt;"DA","NEDETERMINAT",IF($FI95*$GK95&lt;='Setari model'!$B$99,"SCĂZUT",IF($FI95*$GK95&lt;='Setari model'!$B$100,"MEDIU","RIDICAT"))))</x:f>
      </x:c>
      <x:c r="GO95" s="160" t="str">
        <x:f>IF($A95="","",IF(OR($GM95&lt;&gt;"DA",$GN95="RIDICAT"),'Setari model'!$B$102,IF($GN95="MEDIU",'Setari model'!$B$103,IF(AND($FM95="DA",$FN95="DA"),'Setari model'!$B$105,'Setari model'!$B$104))))</x:f>
      </x:c>
      <x:c r="GP95" s="160" t="str">
        <x:f t="shared" si="152">IF($A95="","",IF($GL95="","",MIN(1-$GL95,$GO95)))</x:f>
      </x:c>
      <x:c r="GQ95" s="162" t="str">
        <x:f t="shared" si="153">IF($A95="","",IF($GP95="","",IF($GP95&gt;0,1/$GP95,"")))</x:f>
      </x:c>
      <x:c r="GR95" s="160" t="str">
        <x:f t="shared" si="154">IF($A95="","",IF($EC95="","",$GP95-$EC95))</x:f>
      </x:c>
      <x:c r="GS95" s="160" t="str">
        <x:f t="shared" si="155">IF($A95="","",IF($AR95&gt;1,$GP95*$AR95-1,""))</x:f>
      </x:c>
      <x:c r="GT95" s="163" t="str">
        <x:f>IF($A95="","",MAX(0,MIN(100,$FT95-IF(AND($GM95&lt;&gt;"DA",$FK95="DA"),'Setari model'!$B$107,0)-'Setari model'!$B$126*IF($GJ95="",0,$GJ95))))</x:f>
      </x:c>
      <x:c r="GU95" s="158" t="str">
        <x:f t="shared" si="156">IF($A95="","",IF($AR95&lt;=1,"NU – LIPSEȘTE COTA REALĂ",IF($GM95&lt;&gt;"DA","NU – DATE LOW-CONVERSION INCOMPLETE",IF($GN95&lt;&gt;"SCĂZUT","NU – RISC 0-0 "&amp;$GN95,IF($FN95&lt;&gt;"DA","NU – LINEUP NECONFIRMAT",IF($FM95&lt;&gt;"DA","NU – PIAȚĂ NECONFIRMATĂ",IF($EP95&lt;&gt;"DA","NU – PORTOFOLIU","DA")))))))</x:f>
      </x:c>
      <x:c r="GV95" s="158" t="str">
        <x:f>IF($A95="","",IF($GU95&lt;&gt;"DA","WATCH / NO BET",IF(AND($GP95&gt;='Setari model'!$B$35,$GT95&gt;=100*'Setari model'!$B$76,$GS95&gt;0),"PARIU RECOMANDAT",IF(AND($GP95&gt;='Setari model'!$B$39,$GT95&gt;=100*'Setari model'!$B$40,$GS95&gt;0),"WATCH – APROAPE DE PRAG","PARIU EVITAT"))))</x:f>
      </x:c>
      <x:c r="GW95" s="158" t="str">
        <x:f t="shared" si="157">IF($A95="","",IF($GU95&lt;&gt;"DA",$GU95,IF($GT95&lt;75,"Confidence v5 sub 75.",IF($GP95&lt;0.92,"P v5 sub 92%.",IF($GS95&lt;=0,"EV v5 nepozitiv.",IF($GJ95&gt;0,"Low-conversion absorbit în P0; toate porțile rămân trecute.","Toate porțile v5 sunt trecute."))))))</x:f>
      </x:c>
      <x:c r="GX95" s="158" t="str">
        <x:f t="shared" si="158">IF($A95="","","P v5="&amp;TEXT($GP95,"0.0%")&amp;"; P0 v5="&amp;TEXT($GL95,"0.0%")&amp;"; low-conv="&amp;IF(COUNT($GJ95)=0,"n/a",TEXT($GJ95,"0%"))&amp;"; mult.P0="&amp;IF(COUNT($GK95)=0,"n/a",TEXT($GK95,"0.00"))&amp;"; clasă="&amp;$GN95&amp;"; cap="&amp;TEXT($GO95,"0.0%")&amp;"; Confidence="&amp;TEXT($GT95,"0")&amp;"/100; lineup="&amp;$FN95&amp;"; piață="&amp;$FM95&amp;"; EV="&amp;IF($GS95="","n/a",TEXT($GS95,"0.0%"))&amp;"; gate="&amp;$GU95&amp;"; verdict="&amp;$GV95&amp;". "&amp;$GW95)</x:f>
      </x:c>
      <x:c r="GY95" s="174" t="str">
        <x:f>IF($A95="","",IF($GM95&lt;&gt;"DA","SOURCING INCOMPLETE – REVIEW REQUIRED",IF(MIN($I95,$P95,$W95,$AB95)&lt;'Setari model'!$B$58,"SMALL SAMPLE + PRIOR / SHRINKAGE","VERIFIED / PRIOR / SHRINKAGE")))</x:f>
      </x:c>
      <x:c r="GZ95" s="175" t="str">
        <x:f t="shared" si="159">IF($A95="","",MAX(0,MIN(100,100*(1-AVERAGE(IF($GM95="DA",1,0),MIN(1,$AT95/5))))))</x:f>
      </x:c>
      <x:c r="HA95" s="175" t="str">
        <x:f>IF($A95="","",IF($GM95&lt;&gt;"DA","",MAX(0,MIN(100,100*(($FI95*$GK95)-'Setari model'!$B$97)/('Setari model'!$B$98-'Setari model'!$B$97)))))</x:f>
      </x:c>
      <x:c r="HB95" s="175" t="str">
        <x:f>IF($A95="","",MAX(0,MIN(100,100*(ABS($BR95-1)/MAX(1-'Setari model'!$B$53,'Setari model'!$B$54-1)+MIN(1,$BG95/2))/2)))</x:f>
      </x:c>
      <x:c r="HC95" s="175" t="str">
        <x:f t="shared" si="160">IF($A95="","",MAX(0,MIN(100,100*(1-AVERAGE($CC95,MAX(0,1-(MAX($BJ95:$BN95)-MIN($BJ95:$BN95))/(AVERAGE($BJ95:$BN95)*'Setari model'!$B$45)))))))</x:f>
      </x:c>
      <x:c r="HD95" s="175" t="str">
        <x:f t="shared" si="161">IF($A95="","",MAX(0,MIN(100,100*MAX(IF($GJ95="",0,$GJ95),MIN(1,$BG95/2)))))</x:f>
      </x:c>
      <x:c r="HE95" s="175" t="str">
        <x:f>IF($A95="","",IF(COUNT($GZ95:$HD95)&lt;5,"",$GZ95*Risk_Classification!$E$28+$HA95*Risk_Classification!$E$29+$HB95*Risk_Classification!$E$30+$HC95*Risk_Classification!$E$31+$HD95*Risk_Classification!$E$32))</x:f>
      </x:c>
      <x:c r="HF95" s="176" t="str">
        <x:f t="shared" si="162">IF($A95="","",IF($HE95="","",IF($HE95&lt;=20,1,IF($HE95&lt;=40,2,IF($HE95&lt;=60,3,IF($HE95&lt;=80,4,5))))))</x:f>
      </x:c>
      <x:c r="HG95" s="176" t="str">
        <x:f t="shared" si="163">IF($A95="","",IF($GM95="DA","PASS","FAIL – DATE CRITICE ZERO-MASS INCOMPLETE"))</x:f>
      </x:c>
      <x:c r="HH95" s="176" t="str">
        <x:f t="shared" si="164">IF($A95="","",IF($HG95&lt;&gt;"PASS",5,$HF95))</x:f>
      </x:c>
      <x:c r="HI95" s="174" t="str">
        <x:f t="shared" si="165">IF($A95="","",IF($HH95="","N/A",IF($HH95=1,"DEFENSIV",IF($HH95=2,"PRUDENT",IF($HH95=3,"MODERAT",IF($HH95=4,"RIDICAT","WATCH / NO BET"))))))</x:f>
      </x:c>
      <x:c r="HJ95" s="177" t="str">
        <x:f t="shared" si="166">IF($A95="","","Data="&amp;$GY95&amp;"; DQ="&amp;TEXT($GZ95,"0.0")&amp;"; ZM="&amp;IF($HA95="","n/a",TEXT($HA95,"0.0"))&amp;"; Context="&amp;TEXT($HB95,"0.0")&amp;"; Uncertainty="&amp;TEXT($HC95,"0.0")&amp;"; Compound="&amp;TEXT($HD95,"0.0")&amp;"; Risk Score="&amp;IF($HE95="","n/a",TEXT($HE95,"0.0"))&amp;"; Base="&amp;IF($HF95="","n/a",$HF95)&amp;"; G0="&amp;$HG95&amp;"; Final="&amp;$HH95&amp;". Cota, EV si lineup sunt informative si nu intra in recomandare.")</x:f>
      </x:c>
      <x:c r="HK95" s="174" t="str">
        <x:f t="shared" si="167">IF($A95="","",$HI95)</x:f>
      </x:c>
    </x:row>
    <x:row r="96" ht="24" customHeight="1">
      <x:c r="A96" s="58"/>
      <x:c r="B96" s="24"/>
      <x:c r="C96" s="59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18"/>
      <x:c r="O96" s="18"/>
      <x:c r="P96" s="24"/>
      <x:c r="Q96" s="24"/>
      <x:c r="R96" s="24"/>
      <x:c r="S96" s="24"/>
      <x:c r="T96" s="24"/>
      <x:c r="U96" s="18"/>
      <x:c r="V96" s="18"/>
      <x:c r="W96" s="24"/>
      <x:c r="X96" s="24"/>
      <x:c r="Y96" s="24"/>
      <x:c r="Z96" s="24"/>
      <x:c r="AA96" s="24"/>
      <x:c r="AB96" s="24"/>
      <x:c r="AC96" s="24"/>
      <x:c r="AD96" s="24"/>
      <x:c r="AE96" s="24"/>
      <x:c r="AF96" s="24"/>
      <x:c r="AG96" s="24"/>
      <x:c r="AH96" s="24"/>
      <x:c r="AI96" s="18"/>
      <x:c r="AJ96" s="24"/>
      <x:c r="AK96" s="24"/>
      <x:c r="AL96" s="24"/>
      <x:c r="AM96" s="18"/>
      <x:c r="AN96" s="24"/>
      <x:c r="AO96" s="60"/>
      <x:c r="AP96" s="60"/>
      <x:c r="AQ96" s="60"/>
      <x:c r="AR96" s="60"/>
      <x:c r="AS96" s="60"/>
      <x:c r="AT96" s="24"/>
      <x:c r="AU96" s="24"/>
      <x:c r="AV96" s="24"/>
      <x:c r="AW96" s="24"/>
      <x:c r="AX96" s="24"/>
      <x:c r="AY96" s="24"/>
      <x:c r="AZ96" s="24"/>
      <x:c r="BA96" s="24"/>
      <x:c r="BB96" s="24"/>
      <x:c r="BC96" s="24"/>
      <x:c r="BD96" s="24"/>
      <x:c r="BE96" s="24"/>
      <x:c r="BF96" s="24"/>
      <x:c r="BG96" s="24"/>
      <x:c r="BH96" s="61"/>
      <x:c r="BI96" s="61"/>
      <x:c r="BJ96" s="62" t="str">
        <x:f>IF($A96="","",SQRT((($I96*IF($J96="",$AJ96,$J96)+'Setari model'!$B$30*$AJ96)/($I96+'Setari model'!$B$30))*(($P96*IF($R96="",$AJ96,$R96)+'Setari model'!$B$30*$AJ96)/($P96+'Setari model'!$B$30)))+SQRT((($P96*IF($Q96="",$AK96,$Q96)+'Setari model'!$B$30*$AK96)/($P96+'Setari model'!$B$30))*(($I96*IF($K96="",$AK96,$K96)+'Setari model'!$B$30*$AK96)/($I96+'Setari model'!$B$30))))</x:f>
      </x:c>
      <x:c r="BK96" s="62" t="str">
        <x:f>IF($A96="","",SQRT((($I96*IF($L96="",IF($J96="",$AJ96,$J96),$L96)+'Setari model'!$B$30*$AJ96)/($I96+'Setari model'!$B$30))*(($P96*IF($T96="",IF($R96="",$AJ96,$R96),$T96)+'Setari model'!$B$30*$AJ96)/($P96+'Setari model'!$B$30)))+SQRT((($P96*IF($S96="",IF($Q96="",$AK96,$Q96),$S96)+'Setari model'!$B$30*$AK96)/($P96+'Setari model'!$B$30))*(($I96*IF($M96="",IF($K96="",$AK96,$K96),$M96)+'Setari model'!$B$30*$AK96)/($I96+'Setari model'!$B$30))))</x:f>
      </x:c>
      <x:c r="BL96" s="62" t="str">
        <x:f>IF($A96="","",SQRT((($W96*IF($X96="",$AL96/2,$X96)+'Setari model'!$B$31*$AL96/2)/($W96+'Setari model'!$B$31))*(($AB96*IF($AD96="",$AL96/2,$AD96)+'Setari model'!$B$31*$AL96/2)/($AB96+'Setari model'!$B$31)))+SQRT((($AB96*IF($AC96="",$AL96/2,$AC96)+'Setari model'!$B$31*$AL96/2)/($AB96+'Setari model'!$B$31))*(($W96*IF($Y96="",$AL96/2,$Y96)+'Setari model'!$B$31*$AL96/2)/($W96+'Setari model'!$B$31))))</x:f>
      </x:c>
      <x:c r="BM96" s="62" t="str">
        <x:f>IF($A96="","",SQRT((($W96*IF($Z96="",IF($X96="",$AL96/2,$X96),$Z96)+'Setari model'!$B$31*$AL96/2)/($W96+'Setari model'!$B$31))*(($AB96*IF($AF96="",IF($AD96="",$AL96/2,$AD96),$AF96)+'Setari model'!$B$31*$AL96/2)/($AB96+'Setari model'!$B$31)))+SQRT((($AB96*IF($AE96="",IF($AC96="",$AL96/2,$AC96),$AE96)+'Setari model'!$B$31*$AL96/2)/($AB96+'Setari model'!$B$31))*(($W96*IF($AA96="",IF($Y96="",$AL96/2,$Y96),$AA96)+'Setari model'!$B$31*$AL96/2)/($W96+'Setari model'!$B$31))))</x:f>
      </x:c>
      <x:c r="BN96" s="62" t="str">
        <x:f t="shared" si="112">IF($A96="","",IF($AG96&gt;0,($AG96*IF($AH96="",$AL96,$AH96)+5*$AL96)/($AG96+5),$AL96))</x:f>
      </x:c>
      <x:c r="BO96" s="63" t="str">
        <x:f>IF($A96="","",IF($AR96&gt;1,IF($AS96&gt;1,(1/$AR96)/((1/$AR96+1/$AS96)),MIN(0.995,(1/$AR96)/(1+'Setari model'!$B$32))),1-EXP(-$AL96)))</x:f>
      </x:c>
      <x:c r="BP96" s="62" t="str">
        <x:f t="shared" si="113">IF($A96="","",-LN(1-$BO96))</x:f>
      </x:c>
      <x:c r="BQ96" s="62" t="str">
        <x:f>IF($A96="","",$BJ96*INDEX('Setari model'!$B$5:$B$11,MATCH($E96,'Setari model'!$A$5:$A$11,0))+$BK96*INDEX('Setari model'!$C$5:$C$11,MATCH($E96,'Setari model'!$A$5:$A$11,0))+$BL96*INDEX('Setari model'!$D$5:$D$11,MATCH($E96,'Setari model'!$A$5:$A$11,0))+$BM96*INDEX('Setari model'!$E$5:$E$11,MATCH($E96,'Setari model'!$A$5:$A$11,0))+$BN96*INDEX('Setari model'!$F$5:$F$11,MATCH($E96,'Setari model'!$A$5:$A$11,0))+$BP96*INDEX('Setari model'!$G$5:$G$11,MATCH($E96,'Setari model'!$A$5:$A$11,0)))</x:f>
      </x:c>
      <x:c r="BR96" s="64" t="str">
        <x:f>IF($A96="","",MAX('Setari model'!$B$53,MIN('Setari model'!$B$54,1+($AV96*'Setari model'!$B$15+$AW96*'Setari model'!$B$16+$AX96*'Setari model'!$B$17+$AY96*'Setari model'!$B$18+$AZ96*'Setari model'!$B$19+$BA96*'Setari model'!$B$20+$BB96*'Setari model'!$B$21+$BC96*'Setari model'!$B$22+$BD96*'Setari model'!$B$23+$BE96*'Setari model'!$B$24+$BF96*'Setari model'!$B$25)*INDEX('Setari model'!$H$5:$H$11,MATCH($E96,'Setari model'!$A$5:$A$11,0)))))</x:f>
      </x:c>
      <x:c r="BS96" s="62" t="str">
        <x:f t="shared" si="114">IF($A96="","",$BQ96*$BR96)</x:f>
      </x:c>
      <x:c r="BT96" s="63" t="str">
        <x:f t="shared" si="115">IF($A96="","",EXP(-$BS96))</x:f>
      </x:c>
      <x:c r="BU96" s="65" t="str">
        <x:f>IF($A96="","",IF(OR($AM96="",$AN96=""),1,1+MIN('Setari model'!$B$33,$AN96/100*'Setari model'!$B$33)*($AM96/EXP(-$AL96)-1)))</x:f>
      </x:c>
      <x:c r="BV96" s="63" t="str">
        <x:f>IF($A96="","",MIN(0.45,MAX(0.005,(1-'Setari model'!$B$34*MIN(1,($I96+$P96)/20))*MIN(0.45,$BT96*$BU96)+'Setari model'!$B$34*MIN(1,($I96+$P96)/20)*IF(COUNT($N96,$U96)=2,SQRT(MAX(0,1-$N96)*MAX(0,1-$U96)),IF($AM96="",EXP(-$AL96),$AM96)))))</x:f>
      </x:c>
      <x:c r="BW96" s="63" t="str">
        <x:f t="shared" si="116">IF($A96="","",1-$BV96)</x:f>
      </x:c>
      <x:c r="BX96" s="62" t="str">
        <x:f t="shared" si="117">IF($A96="","",1/$BW96)</x:f>
      </x:c>
      <x:c r="BY96" s="63" t="str">
        <x:f t="shared" si="118">IF($A96="","",$BO96)</x:f>
      </x:c>
      <x:c r="BZ96" s="63" t="str">
        <x:f t="shared" si="119">IF($A96="","",$BW96-$BY96)</x:f>
      </x:c>
      <x:c r="CA96" s="63" t="str">
        <x:f t="shared" si="120">IF($A96="","",IF($AR96&gt;1,$BW96*$AR96-1,""))</x:f>
      </x:c>
      <x:c r="CB96" s="63" t="str">
        <x:f>IF($A96="","",MIN(1,COUNT($I96:$AN96,$AR96:$BG96)/'Setari model'!$B$46))</x:f>
      </x:c>
      <x:c r="CC96" s="63" t="str">
        <x:f t="shared" si="121">IF($A96="","",0.25*MIN(1,$I96/10)+0.25*MIN(1,$P96/10)+0.15*MIN(1,$W96/5)+0.15*MIN(1,$AB96/5)+0.1*MIN(1,$AG96/5)+0.1*MIN(1,$AN96/100))</x:f>
      </x:c>
      <x:c r="CD96" s="63" t="str">
        <x:f>IF($A96="","",MAX(0,1-(MAX($BJ96:$BN96,$BP96)-MIN($BJ96:$BN96,$BP96))/(AVERAGE($BJ96:$BN96,$BP96)*'Setari model'!$B$45)))</x:f>
      </x:c>
      <x:c r="CE96" s="66" t="str">
        <x:f>IF($A96="","",MAX(0,MIN(100,100*INDEX('Setari model'!$I$5:$I$11,MATCH($E96,'Setari model'!$A$5:$A$11,0))*('Setari model'!$B$47*$CB96+'Setari model'!$B$48*$CC96+'Setari model'!$B$49*$CD96+'Setari model'!$B$50*$AT96/5+'Setari model'!$B$51*$AU96)-100*'Setari model'!$B$52*$BG96)))</x:f>
      </x:c>
      <x:c r="CF96" s="65" t="str">
        <x:f t="shared" si="122">IF($A96="","",IF(OR($AT96&lt;3,$BG96&gt;=2,$CB96&lt;0.55,$CC96&lt;0.4),"RIDICAT",IF(OR($AU96=0,$CD96&lt;0.45,$BR96&lt;0.9),"MEDIU","SCĂZUT")))</x:f>
      </x:c>
      <x:c r="CG96" s="65" t="str">
        <x:f>IF($A96="","",IF($AR96&gt;1,IF(AND($BW96&gt;= 'Setari model'!$B$35,$CE96&gt;=100*'Setari model'!$B$36,$BZ96&gt;= 'Setari model'!$B$37,$CA96&gt;= 'Setari model'!$B$38,$CF96&lt;&gt;"RIDICAT"),"PARIU RECOMANDAT",IF(AND($BW96&gt;= 'Setari model'!$B$39,$CE96&gt;=100*'Setari model'!$B$40,$BZ96&gt;= 'Setari model'!$B$41,$CA96&gt;=0,$CF96&lt;&gt;"RIDICAT"),"RECOMANDAT CU PRUDENȚĂ",IF(AND($BW96&gt;= 'Setari model'!$B$42,$CE96&gt;=100*'Setari model'!$B$43),"ANALIZĂ NECONCLUDENTĂ","PARIU EVITAT"))),IF(AND($BW96&gt;= 'Setari model'!$B$35,$CE96&gt;=100*'Setari model'!$B$36,$CF96&lt;&gt;"RIDICAT"),"FAVORABIL STATISTIC – VERIFICĂ COTA",IF(AND($BW96&gt;= 'Setari model'!$B$42,$CE96&gt;=100*'Setari model'!$B$43),"ANALIZĂ NECONCLUDENTĂ","PARIU EVITAT"))))</x:f>
      </x:c>
      <x:c r="CH96" s="67" t="str">
        <x:f t="shared" si="123">IF($A96="","","P(O0,5)="&amp;TEXT($BW96,"0.0%")&amp;"; λ ajustat="&amp;TEXT($BS96,"0.00")&amp;"; Confidence="&amp;TEXT($CE96,"0")&amp;"/100; Edge="&amp;TEXT($BZ96,"0.0%")&amp;"; risc="&amp;$CF96&amp;". "&amp;$BH96)</x:f>
      </x:c>
      <x:c r="CI96" s="68" t="str">
        <x:f t="shared" si="124">IF($A96="","",$BI96)</x:f>
      </x:c>
      <x:c r="CJ96" s="112"/>
      <x:c r="CK96" s="112"/>
      <x:c r="CL96" s="112"/>
      <x:c r="CM96" s="112"/>
      <x:c r="CN96" s="112"/>
      <x:c r="CO96" s="112"/>
      <x:c r="CP96" s="112"/>
      <x:c r="CQ96" s="112"/>
      <x:c r="CR96" s="112"/>
      <x:c r="CS96" s="112"/>
      <x:c r="CT96" s="112"/>
      <x:c r="CU96" s="112"/>
      <x:c r="CV96" s="112"/>
      <x:c r="CW96" s="112"/>
      <x:c r="CX96" s="112"/>
      <x:c r="CY96" s="112"/>
      <x:c r="CZ96" s="112"/>
      <x:c r="DA96" s="112"/>
      <x:c r="DB96" s="112"/>
      <x:c r="DC96" s="114"/>
      <x:c r="DD96" s="114"/>
      <x:c r="DE96" s="112" t="s">
        <x:v>266</x:v>
      </x:c>
      <x:c r="DF96" s="112"/>
      <x:c r="DG96" s="112"/>
      <x:c r="DH96" s="112"/>
      <x:c r="DI96" s="112"/>
      <x:c r="DJ96" s="112"/>
      <x:c r="DK96" s="112"/>
      <x:c r="DL96" s="112"/>
      <x:c r="DM96" s="112"/>
      <x:c r="DN96" s="112"/>
      <x:c r="DO96" s="112"/>
      <x:c r="DP96" s="112"/>
      <x:c r="DQ96" s="114"/>
      <x:c r="DR96" s="112">
        <x:v>1</x:v>
      </x:c>
      <x:c r="DS96" s="116">
        <x:v>0</x:v>
      </x:c>
      <x:c r="DT96" s="120"/>
      <x:c r="DU96" s="116">
        <x:v>0.02</x:v>
      </x:c>
      <x:c r="DV96" s="116">
        <x:v>0.25</x:v>
      </x:c>
      <x:c r="DW96" s="118" t="str">
        <x:f>IF($A96="","",MAX('Setari model'!$B$71,MIN('Setari model'!$B$72,1+0.08*(IFERROR(AVERAGE($CM96:$CN96)/'Setari model'!$B$66,1)-1)+0.08*(IFERROR(AVERAGE($CO96:$CP96)/'Setari model'!$B$67,1)-1)+0.06*(IFERROR(AVERAGE($CQ96:$CR96)/'Setari model'!$B$68,1)-1)+0.04*(IFERROR(AVERAGE($CS96:$CT96)/'Setari model'!$B$69,1)-1)+0.04*(IFERROR(AVERAGE($CU96:$CV96)/'Setari model'!$B$70,1)-1)-'Setari model'!$B$73*IFERROR(AVERAGE($CW96:$CX96),0))))</x:f>
      </x:c>
      <x:c r="DX96" s="118" t="str">
        <x:f>IF($A96="","",1+'Setari model'!$B$62*MAX(IF(OR($CK96=1,$CL96=1),1,0),IF(AND($CJ96&lt;&gt;"",$CJ96&lt;=1),1,0))+'Setari model'!$B$63*IF(AND($CJ96&gt;1,$CJ96&lt;=3),1,0))</x:f>
      </x:c>
      <x:c r="DY96" s="118" t="str">
        <x:f>IF($A96="","",1+'Setari model'!$B$74*(IF($CY96="",0,IF($CY96=0,1,0))+IF($CZ96="",0,IF($CZ96=0,1,0)))+'Setari model'!$B$75*(IF($DA96="",0,IF($DA96=0,1,0))+IF($DB96="",0,IF($DB96=0,1,0))))</x:f>
      </x:c>
      <x:c r="DZ96" s="117" t="str">
        <x:f>IF($A96="","",MIN(0.6,MAX(0.002,(((1-'Setari model'!$B$34*MIN(1,($I96+$P96)/20))*$BT96+'Setari model'!$B$34*MIN(1,($I96+$P96)/20)*IF(COUNT($N96,$U96)=2,SQRT(MAX(0,1-$N96)*MAX(0,1-$U96)),$BT96))*(1-'Setari model'!$B$65*MIN(1,IF($AN96="",0,$AN96/'Setari model'!$B$64)))+'Setari model'!$B$65*MIN(1,IF($AN96="",0,$AN96/'Setari model'!$B$64))*IF($AM96="",$BT96,$AM96))*$DX96*$DY96/$DW96)))</x:f>
      </x:c>
      <x:c r="EA96" s="117" t="str">
        <x:f>IF($A96="","",MIN(1-$DZ96,IF(OR(MIN($I96,$P96)&lt;'Setari model'!$B$58,$CK96=1,$CL96=1,AND($CJ96&lt;&gt;"",$CJ96&lt;=1)),'Setari model'!$B$59,IF(AND($AU96=1,$AR96&gt;1,COUNT($CY96:$DB96)=4),'Setari model'!$B$61,'Setari model'!$B$60))))</x:f>
      </x:c>
      <x:c r="EB96" s="115" t="str">
        <x:f t="shared" si="125">IF($A96="","",1/$EA96)</x:f>
      </x:c>
      <x:c r="EC96" s="117" t="str">
        <x:f t="shared" si="126">IF($A96="","",IF($AR96&gt;1,IF($AS96&gt;1,(1/$AR96)/((1/$AR96)+(1/$AS96)),1/$AR96),""))</x:f>
      </x:c>
      <x:c r="ED96" s="117" t="str">
        <x:f t="shared" si="127">IF($A96="","",IF($EC96="","",$EA96-$EC96))</x:f>
      </x:c>
      <x:c r="EE96" s="117" t="str">
        <x:f t="shared" si="128">""</x:f>
      </x:c>
      <x:c r="EF96" s="119" t="str">
        <x:f>IF($A96="","",MAX(0,MIN(100,$CE96-200*MAX(0,$EG96-'Setari model'!$B$77)-IF($AU96&lt;&gt;1,10,0)-IF(COUNT($CY96:$DB96)&lt;4,4,0))))</x:f>
      </x:c>
      <x:c r="EG96" s="117" t="str">
        <x:f>IF($A96="","",'Setari model'!$B$77+IF(MIN($I96,$P96)&lt;'Setari model'!$B$58,0.03,0)+IF(OR($CK96=1,$CL96=1,AND($CJ96&lt;&gt;"",$CJ96&lt;=1)),0.03,0)+IF($AG96=0,0.02,0)+0.03*(1-MIN(1,COUNT($CM96:$CV96)/10))+0.03*(1-MIN(1,IF($AN96="",0,$AN96/'Setari model'!$B$64)))+IF($AR96&lt;=1,0.02,0))</x:f>
      </x:c>
      <x:c r="EH96" s="113" t="str">
        <x:f>IF($A96="","",IF(OR(MIN($I96,$P96)&lt;'Setari model'!$B$58,$CK96=1,$CL96=1,AND($CJ96&lt;&gt;"",$CJ96&lt;=1)),"92% – early/regim",IF(AND($AU96=1,$AR96&gt;1,COUNT($CY96:$DB96)=4),"94% – confirmat","93% – standard")))</x:f>
      </x:c>
      <x:c r="EI96" s="113" t="str">
        <x:f t="shared" si="129">IF($A96="","",IF(AND($EA96&gt;0.9,$AU96&lt;&gt;1),"WAIT XI – HIGH P",IF(AND($EA96&gt;0.9,COUNT($CY96:$DB96)&lt;4),"WAIT DATE CHEIE – HIGH P",IF($EP96&lt;&gt;"DA","NU – PORTOFOLIU","DA"))))</x:f>
      </x:c>
      <x:c r="EJ96" s="117" t="str">
        <x:f t="shared" si="130">IF($A96="","",IF($DE96&lt;&gt;"Live 20-30","",IF(SUM($DG96:$DH96)&gt;0,1,IF($EU96="","",1-MIN(0.95,MAX(0.001,EXP(-$EU96)*$DX96*$DY96/$DW96))))))</x:f>
      </x:c>
      <x:c r="EK96" s="117" t="str">
        <x:f t="shared" si="131">""</x:f>
      </x:c>
      <x:c r="EL96" s="113" t="str">
        <x:f>IF($A96="","",IF($DE96="Live 20-30",IF(SUM($DG96:$DH96)&gt;0,"EVENIMENT ÎNDEPLINIT",IF(OR($DF96="",COUNT($DI96:$DN96)&lt;4),"LIVE – WATCH",IF($EJ96&gt;=0.75,"LIVE – FEZABIL TEHNIC","LIVE – NO BET"))),IF($EI96&lt;&gt;"DA","WATCH / NO BET",IF(AND($EA96&gt;=INDEX('Setari model'!$B$35:$B$40,1),$EF96&gt;=100*'Setari model'!$B$76),"PARIU RECOMANDAT",IF(AND($EA96&gt;=INDEX('Setari model'!$B$35:$B$40,5),$EF96&gt;=100*'Setari model'!$B$40),"WATCH – APROAPE DE PRAG","PARIU EVITAT")))))</x:f>
      </x:c>
      <x:c r="EM96" s="113" t="str">
        <x:f t="shared" si="132">IF($A96="","",IF($DE96="Live 20-30",IF(SUM($DG96:$DH96)&gt;0,"Gol deja marcat.",IF($DF96="","Minut live lipsă.",IF(COUNT($DI96:$DN96)&lt;4,"Lipsesc xG/SOT/big chances live.",IF($EJ96&lt;0.75,"P live sub prag.","Semnal live tehnic complet; EV ignorat.")))),IF($EI96&lt;&gt;"DA",$EI96,IF($EF96&lt;75,"Confidence sub 75.",IF($EA96&lt;0.92,"P sub 92%.","G0/Zero-Mass + confidence trecute; EV ignorat.")))))</x:f>
      </x:c>
      <x:c r="EN96" s="117" t="str">
        <x:f>IF($A96="","",IF(OR($EL96="PARIU RECOMANDAT",$EL96="LIVE – FEZABIL"),MIN(IF($DU96&gt;0,$DU96,'Setari model'!$B$81)/MAX(1,$DR96),IF($DV96&gt;0,$DV96,'Setari model'!$B$80)*MAX(0,((IF($DE96="Live 20-30",$EJ96,$EA96)*IF($DE96="Live 20-30",$DQ96,$AR96)-1)/(IF($DE96="Live 20-30",$DQ96,$AR96)-1)))),0))</x:f>
      </x:c>
      <x:c r="EO96" s="121" t="str">
        <x:f t="shared" si="133">IF($A96="","",IF(AND($EN96&gt;0,$DT96&gt;0),$EN96*$DT96,""))</x:f>
      </x:c>
      <x:c r="EP96" s="113" t="str">
        <x:f>IF($A96="","",IF(OR($DR96&lt;1,$DR96&gt;'Setari model'!$B$78),"NU – 1–5 selecții",IF($DS96&gt;'Setari model'!$B$79,"NU – corelație", "DA")))</x:f>
      </x:c>
      <x:c r="EQ96" s="117" t="str">
        <x:f t="shared" si="134">IF($A96="","",IF(AND($DC96&gt;1,$DD96&gt;1),$DC96/$DD96-1,""))</x:f>
      </x:c>
      <x:c r="ER96" s="113" t="str">
        <x:f t="shared" si="135">IF($A96="","","P v2="&amp;TEXT($EA96,"0.0%")&amp;" ±"&amp;TEXT($EG96,"0.0%")&amp;"; P0 ZIP="&amp;TEXT($DZ96,"0.0%")&amp;"; Confidence="&amp;TEXT($EF96,"0")&amp;"/100; piață reală="&amp;IF($EC96="","NU","DA")&amp;"; EV="&amp;IF($EE96="","n/a",TEXT($EE96,"0.0%"))&amp;"; gate="&amp;$EI96&amp;"; verdict="&amp;$EL96&amp;". "&amp;$EM96)</x:f>
      </x:c>
      <x:c r="ES96" s="119" t="str">
        <x:f>IF($A96="","",'Setari model'!$B$82)</x:f>
      </x:c>
      <x:c r="ET96" s="118" t="str">
        <x:f>IF($A96="","",'Setari model'!$B$83)</x:f>
      </x:c>
      <x:c r="EU96" s="115" t="str">
        <x:f t="shared" si="136">IF(OR($A96="",$DE96&lt;&gt;"Live 20-30",$DF96="",$DF96&lt;$ES96,$DF96&gt;=90),"",MAX(0.05,MIN($BS96*$ET96,$BS96*(90-$DF96)/90+0.35*($DI96+$DJ96)+0.06*($DK96+$DL96)+0.15*($DM96+$DN96)+0.1*(MAX($DO96,$DP96)-MIN($DO96,$DP96)))))</x:f>
      </x:c>
      <x:c r="EV96" s="132"/>
      <x:c r="EW96" s="132"/>
      <x:c r="EX96" s="132"/>
      <x:c r="EY96" s="132"/>
      <x:c r="EZ96" s="132"/>
      <x:c r="FA96" s="132"/>
      <x:c r="FB96" s="247"/>
      <x:c r="FC96" s="134" t="str">
        <x:f t="shared" si="137">IF($A96="","",IF(OR($J96="",$L96="",$L96&lt;=0),"",MAX(0.5,MIN(1.5,$J96/$L96))))</x:f>
      </x:c>
      <x:c r="FD96" s="134" t="str">
        <x:f t="shared" si="138">IF($A96="","",IF(OR($Q96="",$S96="",$S96&lt;=0),"",MAX(0.5,MIN(1.5,$Q96/$S96))))</x:f>
      </x:c>
      <x:c r="FE96" s="134" t="str">
        <x:f>IF($A96="","",IF(COUNT($EV96:$EW96)&lt;2,"",SQRT($EV96*$EW96)/'Setari model'!$B$87))</x:f>
      </x:c>
      <x:c r="FF96" s="134" t="str">
        <x:f>IF($A96="","",IF(COUNT($O96,$V96,$EX96,$EY96)&lt;4,"",AVERAGE(SQRT($O96*$EY96),SQRT($V96*$EX96))/'Setari model'!$B$88))</x:f>
      </x:c>
      <x:c r="FG96" s="134" t="str">
        <x:f t="shared" si="139">IF($A96="","",IF(COUNT($FC96:$FD96)&lt;2,"",MAX(0,1-AVERAGE($FC96:$FD96))))</x:f>
      </x:c>
      <x:c r="FH96" s="134" t="str">
        <x:f>IF($A96="","",IF(COUNT($EZ96:$FA96)&lt;2,"",'Setari model'!$B$94*AVERAGE($EZ96:$FA96)/'Setari model'!$B$89))</x:f>
      </x:c>
      <x:c r="FI96" s="134" t="str">
        <x:f>IF($A96="","",IF(COUNT($FE96:$FH96)&lt;4,"",MAX('Setari model'!$B$97,MIN('Setari model'!$B$98,1+'Setari model'!$B$90*($FE96-1)+'Setari model'!$B$91*($FF96-1)+'Setari model'!$B$92*$FG96+'Setari model'!$B$93*($FH96-1)))))</x:f>
      </x:c>
      <x:c r="FJ96" s="133" t="str">
        <x:f>IF($A96="","",IF($FI96="","",MIN('Setari model'!$B$101,MAX(0.002,$DZ96*$FI96))))</x:f>
      </x:c>
      <x:c r="FK96" s="131" t="str">
        <x:f t="shared" si="140">IF($A96="","",IF(AND(COUNT($EV96:$FA96)=6,COUNT($O96,$V96,$FC96,$FD96)=4),"DA","NU"))</x:f>
      </x:c>
      <x:c r="FL96" s="131" t="str">
        <x:f>IF($A96="","",IF($FK96&lt;&gt;"DA","NEDETERMINAT",IF($FI96&lt;='Setari model'!$B$99,"SCĂZUT",IF($FI96&lt;='Setari model'!$B$100,"MEDIU","RIDICAT"))))</x:f>
      </x:c>
      <x:c r="FM96" s="131" t="str">
        <x:f>IF($A96="","",IF(AND($AR96&gt;1,$EC96&gt;='Setari model'!$B$106),"DA","NU"))</x:f>
      </x:c>
      <x:c r="FN96" s="131" t="str">
        <x:f t="shared" si="141">IF($A96="","",IF(AND($AU96=1,COUNT($CY96:$DB96)=4),"DA","NU"))</x:f>
      </x:c>
      <x:c r="FO96" s="133" t="str">
        <x:f>IF($A96="","",IF(OR($FK96&lt;&gt;"DA",$FL96="RIDICAT"),'Setari model'!$B$102,IF($FL96="MEDIU",'Setari model'!$B$103,IF(AND($FM96="DA",$FN96="DA"),'Setari model'!$B$105,'Setari model'!$B$104))))</x:f>
      </x:c>
      <x:c r="FP96" s="133" t="str">
        <x:f t="shared" si="142">IF($A96="","",IF($FJ96="","",MIN(1-$FJ96,$FO96)))</x:f>
      </x:c>
      <x:c r="FQ96" s="135" t="str">
        <x:f t="shared" si="143">IF($A96="","",IF($FP96="","",IF($FP96&gt;0,1/$FP96,"")))</x:f>
      </x:c>
      <x:c r="FR96" s="133" t="str">
        <x:f t="shared" si="144">IF($A96="","",IF($EC96="","",$FP96-$EC96))</x:f>
      </x:c>
      <x:c r="FS96" s="133" t="str">
        <x:f t="shared" si="145">IF($A96="","",IF($AR96&gt;1,$FP96*$AR96-1,""))</x:f>
      </x:c>
      <x:c r="FT96" s="136" t="str">
        <x:f>IF($A96="","",MAX(0,MIN(100,$EF96-IF($FK96&lt;&gt;"DA",'Setari model'!$B$107,0)-IF($FL96="MEDIU",'Setari model'!$B$108,0)-IF($FL96="RIDICAT",'Setari model'!$B$109,0))))</x:f>
      </x:c>
      <x:c r="FU96" s="131" t="str">
        <x:f t="shared" si="146">IF($A96="","",IF($AR96&lt;=1,"NU – LIPSEȘTE COTA REALĂ",IF($FK96&lt;&gt;"DA","NU – ZERO-RISK INCOMPLET",IF($FL96&lt;&gt;"SCĂZUT","NU – RISC 0-0 "&amp;$FL96,IF($FN96&lt;&gt;"DA","NU – LINEUP NECONFIRMAT",IF($FM96&lt;&gt;"DA","NU – PIAȚĂ NECONFIRMATĂ",IF($EP96&lt;&gt;"DA","NU – PORTOFOLIU","DA")))))))</x:f>
      </x:c>
      <x:c r="FV96" s="131" t="str">
        <x:f>IF($A96="","",IF($FU96&lt;&gt;"DA","WATCH / NO BET",IF(AND($FP96&gt;='Setari model'!$B$35,$FT96&gt;=100*'Setari model'!$B$76,$FS96&gt;0),"PARIU RECOMANDAT",IF(AND($FP96&gt;='Setari model'!$B$39,$FT96&gt;=100*'Setari model'!$B$40,$FS96&gt;0),"WATCH – APROAPE DE PRAG","PARIU EVITAT"))))</x:f>
      </x:c>
      <x:c r="FW96" s="131" t="str">
        <x:f t="shared" si="147">IF($A96="","",IF($FU96&lt;&gt;"DA",$FU96,IF($FT96&lt;75,"Confidence v3 sub 75.",IF($FP96&lt;0.92,"P v3 sub 92%.",IF($FS96&lt;=0,"EV v3 nepozitiv.","P0 v3, lineup și piață confirmate.")))))</x:f>
      </x:c>
      <x:c r="FX96" s="131" t="str">
        <x:f t="shared" si="148">IF($A96="","","P v3="&amp;TEXT($FP96,"0.0%")&amp;"; P0 v3="&amp;TEXT($FJ96,"0.0%")&amp;"; factor zero="&amp;IF($FI96="","n/a",TEXT($FI96,"0.00x"))&amp;" ("&amp;$FL96&amp;"); cap="&amp;TEXT($FO96,"0.0%")&amp;"; Confidence="&amp;TEXT($FT96,"0")&amp;"/100; lineup="&amp;$FN96&amp;"; piață="&amp;$FM96&amp;"; EV="&amp;IF($FS96="","n/a",TEXT($FS96,"0.0%"))&amp;"; gate="&amp;$FU96&amp;"; verdict="&amp;$FV96&amp;". "&amp;$FW96)</x:f>
      </x:c>
      <x:c r="FY96" s="159"/>
      <x:c r="FZ96" s="159"/>
      <x:c r="GA96" s="157"/>
      <x:c r="GB96" s="157"/>
      <x:c r="GC96" s="161" t="str">
        <x:f t="shared" si="149">IF($A96="","",IF(OR($X96="",$Z96="",$Z96&lt;=0),"",MAX(0.5,MIN(1.5,$X96/$Z96))))</x:f>
      </x:c>
      <x:c r="GD96" s="161" t="str">
        <x:f t="shared" si="150">IF($A96="","",IF(OR($AC96="",$AE96="",$AE96&lt;=0),"",MAX(0.5,MIN(1.5,$AC96/$AE96))))</x:f>
      </x:c>
      <x:c r="GE96" s="162" t="str">
        <x:f t="shared" si="151">IF($A96="","",IF(COUNT($Z96,$AE96)&lt;2,"",AVERAGE($Z96,$AE96)))</x:f>
      </x:c>
      <x:c r="GF96" s="158" t="str">
        <x:f>IF($A96="","",IF(COUNT($FY96:$FZ96)&lt;2,"NEDETERMINAT",IF(AND($FY96&gt;='Setari model'!$B$113,$FZ96&gt;='Setari model'!$B$113),"DA","NU")))</x:f>
      </x:c>
      <x:c r="GG96" s="158" t="str">
        <x:f>IF($A96="","",IF(COUNT($FY96:$FZ96,$EX96:$EY96)&lt;4,"NEDETERMINAT",IF(OR(AND($FY96&gt;='Setari model'!$B$113,$EY96&gt;='Setari model'!$B$114),AND($FZ96&gt;='Setari model'!$B$113,$EX96&gt;='Setari model'!$B$114)),"DA","NU")))</x:f>
      </x:c>
      <x:c r="GH96" s="158" t="str">
        <x:f>IF($A96="","",IF(COUNT($BJ96:$BN96,$GC96:$GE96)&lt;8,"NEDETERMINAT",IF(AND((($BJ96*INDEX('Setari model'!$B$5:$B$11,MATCH($E96,'Setari model'!$A$5:$A$11,0))+$BK96*INDEX('Setari model'!$C$5:$C$11,MATCH($E96,'Setari model'!$A$5:$A$11,0))+$BL96*INDEX('Setari model'!$D$5:$D$11,MATCH($E96,'Setari model'!$A$5:$A$11,0))+$BM96*INDEX('Setari model'!$E$5:$E$11,MATCH($E96,'Setari model'!$A$5:$A$11,0))+$BN96*INDEX('Setari model'!$F$5:$F$11,MATCH($E96,'Setari model'!$A$5:$A$11,0)))/(INDEX('Setari model'!$B$5:$B$11,MATCH($E96,'Setari model'!$A$5:$A$11,0))+INDEX('Setari model'!$C$5:$C$11,MATCH($E96,'Setari model'!$A$5:$A$11,0))+INDEX('Setari model'!$D$5:$D$11,MATCH($E96,'Setari model'!$A$5:$A$11,0))+INDEX('Setari model'!$E$5:$E$11,MATCH($E96,'Setari model'!$A$5:$A$11,0))+INDEX('Setari model'!$F$5:$F$11,MATCH($E96,'Setari model'!$A$5:$A$11,0))))*$BR96&gt;='Setari model'!$B$115,(($BJ96*INDEX('Setari model'!$B$5:$B$11,MATCH($E96,'Setari model'!$A$5:$A$11,0))+$BK96*INDEX('Setari model'!$C$5:$C$11,MATCH($E96,'Setari model'!$A$5:$A$11,0))+$BL96*INDEX('Setari model'!$D$5:$D$11,MATCH($E96,'Setari model'!$A$5:$A$11,0))+$BM96*INDEX('Setari model'!$E$5:$E$11,MATCH($E96,'Setari model'!$A$5:$A$11,0))+$BN96*INDEX('Setari model'!$F$5:$F$11,MATCH($E96,'Setari model'!$A$5:$A$11,0)))/(INDEX('Setari model'!$B$5:$B$11,MATCH($E96,'Setari model'!$A$5:$A$11,0))+INDEX('Setari model'!$C$5:$C$11,MATCH($E96,'Setari model'!$A$5:$A$11,0))+INDEX('Setari model'!$D$5:$D$11,MATCH($E96,'Setari model'!$A$5:$A$11,0))+INDEX('Setari model'!$E$5:$E$11,MATCH($E96,'Setari model'!$A$5:$A$11,0))+INDEX('Setari model'!$F$5:$F$11,MATCH($E96,'Setari model'!$A$5:$A$11,0))))*$BR96&lt;='Setari model'!$B$116,AVERAGE($GC96:$GD96)&lt;='Setari model'!$B$117,$GE96&gt;='Setari model'!$B$118),"DA","NU")))</x:f>
      </x:c>
      <x:c r="GI96" s="158" t="str">
        <x:f>IF($A96="","",IF(COUNT($W96,$AB96,$GA96:$GB96)&lt;4,"NEDETERMINAT",IF(AND($W96&gt;='Setari model'!$B$120,$AB96&gt;='Setari model'!$B$120,OR(IFERROR($GA96/$W96,0)&gt;='Setari model'!$B$119,IFERROR($GB96/$AB96,0)&gt;='Setari model'!$B$119)),"DA","NU")))</x:f>
      </x:c>
      <x:c r="GJ96" s="160" t="str">
        <x:f>IF($A96="","",IF(COUNT($FY96:$GB96)&lt;4,"",IF($GH96&lt;&gt;"DA",0,'Setari model'!$B$121*IF($GF96="DA",1,0)+'Setari model'!$B$122*IF($GG96="DA",1,0)+'Setari model'!$B$123+'Setari model'!$B$124*IF($GI96="DA",1,0))))</x:f>
      </x:c>
      <x:c r="GK96" s="161" t="str">
        <x:f>IF($A96="","",IF(COUNT($GJ96)=0,"",1+'Setari model'!$B$125*$GJ96))</x:f>
      </x:c>
      <x:c r="GL96" s="160" t="str">
        <x:f>IF($A96="","",IF($GM96&lt;&gt;"DA",$FJ96,MIN('Setari model'!$B$101,MAX(0.002,$FJ96*$GK96))))</x:f>
      </x:c>
      <x:c r="GM96" s="158" t="str">
        <x:f>IF($A96="","",IF(AND($FK96="DA",COUNT($FY96:$GB96)=4,COUNT($I96,$P96,$W96,$AB96,$Z96,$AE96,$EX96,$EY96,$GC96,$GD96)=10,COUNT($BJ96:$BN96)=5),"DA","NU"))</x:f>
      </x:c>
      <x:c r="GN96" s="158" t="str">
        <x:f>IF($A96="","",IF($GM96&lt;&gt;"DA","NEDETERMINAT",IF($FI96*$GK96&lt;='Setari model'!$B$99,"SCĂZUT",IF($FI96*$GK96&lt;='Setari model'!$B$100,"MEDIU","RIDICAT"))))</x:f>
      </x:c>
      <x:c r="GO96" s="160" t="str">
        <x:f>IF($A96="","",IF(OR($GM96&lt;&gt;"DA",$GN96="RIDICAT"),'Setari model'!$B$102,IF($GN96="MEDIU",'Setari model'!$B$103,IF(AND($FM96="DA",$FN96="DA"),'Setari model'!$B$105,'Setari model'!$B$104))))</x:f>
      </x:c>
      <x:c r="GP96" s="160" t="str">
        <x:f t="shared" si="152">IF($A96="","",IF($GL96="","",MIN(1-$GL96,$GO96)))</x:f>
      </x:c>
      <x:c r="GQ96" s="162" t="str">
        <x:f t="shared" si="153">IF($A96="","",IF($GP96="","",IF($GP96&gt;0,1/$GP96,"")))</x:f>
      </x:c>
      <x:c r="GR96" s="160" t="str">
        <x:f t="shared" si="154">IF($A96="","",IF($EC96="","",$GP96-$EC96))</x:f>
      </x:c>
      <x:c r="GS96" s="160" t="str">
        <x:f t="shared" si="155">IF($A96="","",IF($AR96&gt;1,$GP96*$AR96-1,""))</x:f>
      </x:c>
      <x:c r="GT96" s="163" t="str">
        <x:f>IF($A96="","",MAX(0,MIN(100,$FT96-IF(AND($GM96&lt;&gt;"DA",$FK96="DA"),'Setari model'!$B$107,0)-'Setari model'!$B$126*IF($GJ96="",0,$GJ96))))</x:f>
      </x:c>
      <x:c r="GU96" s="158" t="str">
        <x:f t="shared" si="156">IF($A96="","",IF($AR96&lt;=1,"NU – LIPSEȘTE COTA REALĂ",IF($GM96&lt;&gt;"DA","NU – DATE LOW-CONVERSION INCOMPLETE",IF($GN96&lt;&gt;"SCĂZUT","NU – RISC 0-0 "&amp;$GN96,IF($FN96&lt;&gt;"DA","NU – LINEUP NECONFIRMAT",IF($FM96&lt;&gt;"DA","NU – PIAȚĂ NECONFIRMATĂ",IF($EP96&lt;&gt;"DA","NU – PORTOFOLIU","DA")))))))</x:f>
      </x:c>
      <x:c r="GV96" s="158" t="str">
        <x:f>IF($A96="","",IF($GU96&lt;&gt;"DA","WATCH / NO BET",IF(AND($GP96&gt;='Setari model'!$B$35,$GT96&gt;=100*'Setari model'!$B$76,$GS96&gt;0),"PARIU RECOMANDAT",IF(AND($GP96&gt;='Setari model'!$B$39,$GT96&gt;=100*'Setari model'!$B$40,$GS96&gt;0),"WATCH – APROAPE DE PRAG","PARIU EVITAT"))))</x:f>
      </x:c>
      <x:c r="GW96" s="158" t="str">
        <x:f t="shared" si="157">IF($A96="","",IF($GU96&lt;&gt;"DA",$GU96,IF($GT96&lt;75,"Confidence v5 sub 75.",IF($GP96&lt;0.92,"P v5 sub 92%.",IF($GS96&lt;=0,"EV v5 nepozitiv.",IF($GJ96&gt;0,"Low-conversion absorbit în P0; toate porțile rămân trecute.","Toate porțile v5 sunt trecute."))))))</x:f>
      </x:c>
      <x:c r="GX96" s="158" t="str">
        <x:f t="shared" si="158">IF($A96="","","P v5="&amp;TEXT($GP96,"0.0%")&amp;"; P0 v5="&amp;TEXT($GL96,"0.0%")&amp;"; low-conv="&amp;IF(COUNT($GJ96)=0,"n/a",TEXT($GJ96,"0%"))&amp;"; mult.P0="&amp;IF(COUNT($GK96)=0,"n/a",TEXT($GK96,"0.00"))&amp;"; clasă="&amp;$GN96&amp;"; cap="&amp;TEXT($GO96,"0.0%")&amp;"; Confidence="&amp;TEXT($GT96,"0")&amp;"/100; lineup="&amp;$FN96&amp;"; piață="&amp;$FM96&amp;"; EV="&amp;IF($GS96="","n/a",TEXT($GS96,"0.0%"))&amp;"; gate="&amp;$GU96&amp;"; verdict="&amp;$GV96&amp;". "&amp;$GW96)</x:f>
      </x:c>
      <x:c r="GY96" s="174" t="str">
        <x:f>IF($A96="","",IF($GM96&lt;&gt;"DA","SOURCING INCOMPLETE – REVIEW REQUIRED",IF(MIN($I96,$P96,$W96,$AB96)&lt;'Setari model'!$B$58,"SMALL SAMPLE + PRIOR / SHRINKAGE","VERIFIED / PRIOR / SHRINKAGE")))</x:f>
      </x:c>
      <x:c r="GZ96" s="175" t="str">
        <x:f t="shared" si="159">IF($A96="","",MAX(0,MIN(100,100*(1-AVERAGE(IF($GM96="DA",1,0),MIN(1,$AT96/5))))))</x:f>
      </x:c>
      <x:c r="HA96" s="175" t="str">
        <x:f>IF($A96="","",IF($GM96&lt;&gt;"DA","",MAX(0,MIN(100,100*(($FI96*$GK96)-'Setari model'!$B$97)/('Setari model'!$B$98-'Setari model'!$B$97)))))</x:f>
      </x:c>
      <x:c r="HB96" s="175" t="str">
        <x:f>IF($A96="","",MAX(0,MIN(100,100*(ABS($BR96-1)/MAX(1-'Setari model'!$B$53,'Setari model'!$B$54-1)+MIN(1,$BG96/2))/2)))</x:f>
      </x:c>
      <x:c r="HC96" s="175" t="str">
        <x:f t="shared" si="160">IF($A96="","",MAX(0,MIN(100,100*(1-AVERAGE($CC96,MAX(0,1-(MAX($BJ96:$BN96)-MIN($BJ96:$BN96))/(AVERAGE($BJ96:$BN96)*'Setari model'!$B$45)))))))</x:f>
      </x:c>
      <x:c r="HD96" s="175" t="str">
        <x:f t="shared" si="161">IF($A96="","",MAX(0,MIN(100,100*MAX(IF($GJ96="",0,$GJ96),MIN(1,$BG96/2)))))</x:f>
      </x:c>
      <x:c r="HE96" s="175" t="str">
        <x:f>IF($A96="","",IF(COUNT($GZ96:$HD96)&lt;5,"",$GZ96*Risk_Classification!$E$28+$HA96*Risk_Classification!$E$29+$HB96*Risk_Classification!$E$30+$HC96*Risk_Classification!$E$31+$HD96*Risk_Classification!$E$32))</x:f>
      </x:c>
      <x:c r="HF96" s="176" t="str">
        <x:f t="shared" si="162">IF($A96="","",IF($HE96="","",IF($HE96&lt;=20,1,IF($HE96&lt;=40,2,IF($HE96&lt;=60,3,IF($HE96&lt;=80,4,5))))))</x:f>
      </x:c>
      <x:c r="HG96" s="176" t="str">
        <x:f t="shared" si="163">IF($A96="","",IF($GM96="DA","PASS","FAIL – DATE CRITICE ZERO-MASS INCOMPLETE"))</x:f>
      </x:c>
      <x:c r="HH96" s="176" t="str">
        <x:f t="shared" si="164">IF($A96="","",IF($HG96&lt;&gt;"PASS",5,$HF96))</x:f>
      </x:c>
      <x:c r="HI96" s="174" t="str">
        <x:f t="shared" si="165">IF($A96="","",IF($HH96="","N/A",IF($HH96=1,"DEFENSIV",IF($HH96=2,"PRUDENT",IF($HH96=3,"MODERAT",IF($HH96=4,"RIDICAT","WATCH / NO BET"))))))</x:f>
      </x:c>
      <x:c r="HJ96" s="177" t="str">
        <x:f t="shared" si="166">IF($A96="","","Data="&amp;$GY96&amp;"; DQ="&amp;TEXT($GZ96,"0.0")&amp;"; ZM="&amp;IF($HA96="","n/a",TEXT($HA96,"0.0"))&amp;"; Context="&amp;TEXT($HB96,"0.0")&amp;"; Uncertainty="&amp;TEXT($HC96,"0.0")&amp;"; Compound="&amp;TEXT($HD96,"0.0")&amp;"; Risk Score="&amp;IF($HE96="","n/a",TEXT($HE96,"0.0"))&amp;"; Base="&amp;IF($HF96="","n/a",$HF96)&amp;"; G0="&amp;$HG96&amp;"; Final="&amp;$HH96&amp;". Cota, EV si lineup sunt informative si nu intra in recomandare.")</x:f>
      </x:c>
      <x:c r="HK96" s="174" t="str">
        <x:f t="shared" si="167">IF($A96="","",$HI96)</x:f>
      </x:c>
    </x:row>
    <x:row r="97" ht="24" customHeight="1">
      <x:c r="A97" s="58"/>
      <x:c r="B97" s="24"/>
      <x:c r="C97" s="59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18"/>
      <x:c r="O97" s="18"/>
      <x:c r="P97" s="24"/>
      <x:c r="Q97" s="24"/>
      <x:c r="R97" s="24"/>
      <x:c r="S97" s="24"/>
      <x:c r="T97" s="24"/>
      <x:c r="U97" s="18"/>
      <x:c r="V97" s="18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24"/>
      <x:c r="AH97" s="24"/>
      <x:c r="AI97" s="18"/>
      <x:c r="AJ97" s="24"/>
      <x:c r="AK97" s="24"/>
      <x:c r="AL97" s="24"/>
      <x:c r="AM97" s="18"/>
      <x:c r="AN97" s="24"/>
      <x:c r="AO97" s="60"/>
      <x:c r="AP97" s="60"/>
      <x:c r="AQ97" s="60"/>
      <x:c r="AR97" s="60"/>
      <x:c r="AS97" s="60"/>
      <x:c r="AT97" s="24"/>
      <x:c r="AU97" s="24"/>
      <x:c r="AV97" s="24"/>
      <x:c r="AW97" s="24"/>
      <x:c r="AX97" s="24"/>
      <x:c r="AY97" s="24"/>
      <x:c r="AZ97" s="24"/>
      <x:c r="BA97" s="24"/>
      <x:c r="BB97" s="24"/>
      <x:c r="BC97" s="24"/>
      <x:c r="BD97" s="24"/>
      <x:c r="BE97" s="24"/>
      <x:c r="BF97" s="24"/>
      <x:c r="BG97" s="24"/>
      <x:c r="BH97" s="61"/>
      <x:c r="BI97" s="61"/>
      <x:c r="BJ97" s="62" t="str">
        <x:f>IF($A97="","",SQRT((($I97*IF($J97="",$AJ97,$J97)+'Setari model'!$B$30*$AJ97)/($I97+'Setari model'!$B$30))*(($P97*IF($R97="",$AJ97,$R97)+'Setari model'!$B$30*$AJ97)/($P97+'Setari model'!$B$30)))+SQRT((($P97*IF($Q97="",$AK97,$Q97)+'Setari model'!$B$30*$AK97)/($P97+'Setari model'!$B$30))*(($I97*IF($K97="",$AK97,$K97)+'Setari model'!$B$30*$AK97)/($I97+'Setari model'!$B$30))))</x:f>
      </x:c>
      <x:c r="BK97" s="62" t="str">
        <x:f>IF($A97="","",SQRT((($I97*IF($L97="",IF($J97="",$AJ97,$J97),$L97)+'Setari model'!$B$30*$AJ97)/($I97+'Setari model'!$B$30))*(($P97*IF($T97="",IF($R97="",$AJ97,$R97),$T97)+'Setari model'!$B$30*$AJ97)/($P97+'Setari model'!$B$30)))+SQRT((($P97*IF($S97="",IF($Q97="",$AK97,$Q97),$S97)+'Setari model'!$B$30*$AK97)/($P97+'Setari model'!$B$30))*(($I97*IF($M97="",IF($K97="",$AK97,$K97),$M97)+'Setari model'!$B$30*$AK97)/($I97+'Setari model'!$B$30))))</x:f>
      </x:c>
      <x:c r="BL97" s="62" t="str">
        <x:f>IF($A97="","",SQRT((($W97*IF($X97="",$AL97/2,$X97)+'Setari model'!$B$31*$AL97/2)/($W97+'Setari model'!$B$31))*(($AB97*IF($AD97="",$AL97/2,$AD97)+'Setari model'!$B$31*$AL97/2)/($AB97+'Setari model'!$B$31)))+SQRT((($AB97*IF($AC97="",$AL97/2,$AC97)+'Setari model'!$B$31*$AL97/2)/($AB97+'Setari model'!$B$31))*(($W97*IF($Y97="",$AL97/2,$Y97)+'Setari model'!$B$31*$AL97/2)/($W97+'Setari model'!$B$31))))</x:f>
      </x:c>
      <x:c r="BM97" s="62" t="str">
        <x:f>IF($A97="","",SQRT((($W97*IF($Z97="",IF($X97="",$AL97/2,$X97),$Z97)+'Setari model'!$B$31*$AL97/2)/($W97+'Setari model'!$B$31))*(($AB97*IF($AF97="",IF($AD97="",$AL97/2,$AD97),$AF97)+'Setari model'!$B$31*$AL97/2)/($AB97+'Setari model'!$B$31)))+SQRT((($AB97*IF($AE97="",IF($AC97="",$AL97/2,$AC97),$AE97)+'Setari model'!$B$31*$AL97/2)/($AB97+'Setari model'!$B$31))*(($W97*IF($AA97="",IF($Y97="",$AL97/2,$Y97),$AA97)+'Setari model'!$B$31*$AL97/2)/($W97+'Setari model'!$B$31))))</x:f>
      </x:c>
      <x:c r="BN97" s="62" t="str">
        <x:f t="shared" si="112">IF($A97="","",IF($AG97&gt;0,($AG97*IF($AH97="",$AL97,$AH97)+5*$AL97)/($AG97+5),$AL97))</x:f>
      </x:c>
      <x:c r="BO97" s="63" t="str">
        <x:f>IF($A97="","",IF($AR97&gt;1,IF($AS97&gt;1,(1/$AR97)/((1/$AR97+1/$AS97)),MIN(0.995,(1/$AR97)/(1+'Setari model'!$B$32))),1-EXP(-$AL97)))</x:f>
      </x:c>
      <x:c r="BP97" s="62" t="str">
        <x:f t="shared" si="113">IF($A97="","",-LN(1-$BO97))</x:f>
      </x:c>
      <x:c r="BQ97" s="62" t="str">
        <x:f>IF($A97="","",$BJ97*INDEX('Setari model'!$B$5:$B$11,MATCH($E97,'Setari model'!$A$5:$A$11,0))+$BK97*INDEX('Setari model'!$C$5:$C$11,MATCH($E97,'Setari model'!$A$5:$A$11,0))+$BL97*INDEX('Setari model'!$D$5:$D$11,MATCH($E97,'Setari model'!$A$5:$A$11,0))+$BM97*INDEX('Setari model'!$E$5:$E$11,MATCH($E97,'Setari model'!$A$5:$A$11,0))+$BN97*INDEX('Setari model'!$F$5:$F$11,MATCH($E97,'Setari model'!$A$5:$A$11,0))+$BP97*INDEX('Setari model'!$G$5:$G$11,MATCH($E97,'Setari model'!$A$5:$A$11,0)))</x:f>
      </x:c>
      <x:c r="BR97" s="64" t="str">
        <x:f>IF($A97="","",MAX('Setari model'!$B$53,MIN('Setari model'!$B$54,1+($AV97*'Setari model'!$B$15+$AW97*'Setari model'!$B$16+$AX97*'Setari model'!$B$17+$AY97*'Setari model'!$B$18+$AZ97*'Setari model'!$B$19+$BA97*'Setari model'!$B$20+$BB97*'Setari model'!$B$21+$BC97*'Setari model'!$B$22+$BD97*'Setari model'!$B$23+$BE97*'Setari model'!$B$24+$BF97*'Setari model'!$B$25)*INDEX('Setari model'!$H$5:$H$11,MATCH($E97,'Setari model'!$A$5:$A$11,0)))))</x:f>
      </x:c>
      <x:c r="BS97" s="62" t="str">
        <x:f t="shared" si="114">IF($A97="","",$BQ97*$BR97)</x:f>
      </x:c>
      <x:c r="BT97" s="63" t="str">
        <x:f t="shared" si="115">IF($A97="","",EXP(-$BS97))</x:f>
      </x:c>
      <x:c r="BU97" s="65" t="str">
        <x:f>IF($A97="","",IF(OR($AM97="",$AN97=""),1,1+MIN('Setari model'!$B$33,$AN97/100*'Setari model'!$B$33)*($AM97/EXP(-$AL97)-1)))</x:f>
      </x:c>
      <x:c r="BV97" s="63" t="str">
        <x:f>IF($A97="","",MIN(0.45,MAX(0.005,(1-'Setari model'!$B$34*MIN(1,($I97+$P97)/20))*MIN(0.45,$BT97*$BU97)+'Setari model'!$B$34*MIN(1,($I97+$P97)/20)*IF(COUNT($N97,$U97)=2,SQRT(MAX(0,1-$N97)*MAX(0,1-$U97)),IF($AM97="",EXP(-$AL97),$AM97)))))</x:f>
      </x:c>
      <x:c r="BW97" s="63" t="str">
        <x:f t="shared" si="116">IF($A97="","",1-$BV97)</x:f>
      </x:c>
      <x:c r="BX97" s="62" t="str">
        <x:f t="shared" si="117">IF($A97="","",1/$BW97)</x:f>
      </x:c>
      <x:c r="BY97" s="63" t="str">
        <x:f t="shared" si="118">IF($A97="","",$BO97)</x:f>
      </x:c>
      <x:c r="BZ97" s="63" t="str">
        <x:f t="shared" si="119">IF($A97="","",$BW97-$BY97)</x:f>
      </x:c>
      <x:c r="CA97" s="63" t="str">
        <x:f t="shared" si="120">IF($A97="","",IF($AR97&gt;1,$BW97*$AR97-1,""))</x:f>
      </x:c>
      <x:c r="CB97" s="63" t="str">
        <x:f>IF($A97="","",MIN(1,COUNT($I97:$AN97,$AR97:$BG97)/'Setari model'!$B$46))</x:f>
      </x:c>
      <x:c r="CC97" s="63" t="str">
        <x:f t="shared" si="121">IF($A97="","",0.25*MIN(1,$I97/10)+0.25*MIN(1,$P97/10)+0.15*MIN(1,$W97/5)+0.15*MIN(1,$AB97/5)+0.1*MIN(1,$AG97/5)+0.1*MIN(1,$AN97/100))</x:f>
      </x:c>
      <x:c r="CD97" s="63" t="str">
        <x:f>IF($A97="","",MAX(0,1-(MAX($BJ97:$BN97,$BP97)-MIN($BJ97:$BN97,$BP97))/(AVERAGE($BJ97:$BN97,$BP97)*'Setari model'!$B$45)))</x:f>
      </x:c>
      <x:c r="CE97" s="66" t="str">
        <x:f>IF($A97="","",MAX(0,MIN(100,100*INDEX('Setari model'!$I$5:$I$11,MATCH($E97,'Setari model'!$A$5:$A$11,0))*('Setari model'!$B$47*$CB97+'Setari model'!$B$48*$CC97+'Setari model'!$B$49*$CD97+'Setari model'!$B$50*$AT97/5+'Setari model'!$B$51*$AU97)-100*'Setari model'!$B$52*$BG97)))</x:f>
      </x:c>
      <x:c r="CF97" s="65" t="str">
        <x:f t="shared" si="122">IF($A97="","",IF(OR($AT97&lt;3,$BG97&gt;=2,$CB97&lt;0.55,$CC97&lt;0.4),"RIDICAT",IF(OR($AU97=0,$CD97&lt;0.45,$BR97&lt;0.9),"MEDIU","SCĂZUT")))</x:f>
      </x:c>
      <x:c r="CG97" s="65" t="str">
        <x:f>IF($A97="","",IF($AR97&gt;1,IF(AND($BW97&gt;= 'Setari model'!$B$35,$CE97&gt;=100*'Setari model'!$B$36,$BZ97&gt;= 'Setari model'!$B$37,$CA97&gt;= 'Setari model'!$B$38,$CF97&lt;&gt;"RIDICAT"),"PARIU RECOMANDAT",IF(AND($BW97&gt;= 'Setari model'!$B$39,$CE97&gt;=100*'Setari model'!$B$40,$BZ97&gt;= 'Setari model'!$B$41,$CA97&gt;=0,$CF97&lt;&gt;"RIDICAT"),"RECOMANDAT CU PRUDENȚĂ",IF(AND($BW97&gt;= 'Setari model'!$B$42,$CE97&gt;=100*'Setari model'!$B$43),"ANALIZĂ NECONCLUDENTĂ","PARIU EVITAT"))),IF(AND($BW97&gt;= 'Setari model'!$B$35,$CE97&gt;=100*'Setari model'!$B$36,$CF97&lt;&gt;"RIDICAT"),"FAVORABIL STATISTIC – VERIFICĂ COTA",IF(AND($BW97&gt;= 'Setari model'!$B$42,$CE97&gt;=100*'Setari model'!$B$43),"ANALIZĂ NECONCLUDENTĂ","PARIU EVITAT"))))</x:f>
      </x:c>
      <x:c r="CH97" s="67" t="str">
        <x:f t="shared" si="123">IF($A97="","","P(O0,5)="&amp;TEXT($BW97,"0.0%")&amp;"; λ ajustat="&amp;TEXT($BS97,"0.00")&amp;"; Confidence="&amp;TEXT($CE97,"0")&amp;"/100; Edge="&amp;TEXT($BZ97,"0.0%")&amp;"; risc="&amp;$CF97&amp;". "&amp;$BH97)</x:f>
      </x:c>
      <x:c r="CI97" s="68" t="str">
        <x:f t="shared" si="124">IF($A97="","",$BI97)</x:f>
      </x:c>
      <x:c r="CJ97" s="112"/>
      <x:c r="CK97" s="112"/>
      <x:c r="CL97" s="112"/>
      <x:c r="CM97" s="112"/>
      <x:c r="CN97" s="112"/>
      <x:c r="CO97" s="112"/>
      <x:c r="CP97" s="112"/>
      <x:c r="CQ97" s="112"/>
      <x:c r="CR97" s="112"/>
      <x:c r="CS97" s="112"/>
      <x:c r="CT97" s="112"/>
      <x:c r="CU97" s="112"/>
      <x:c r="CV97" s="112"/>
      <x:c r="CW97" s="112"/>
      <x:c r="CX97" s="112"/>
      <x:c r="CY97" s="112"/>
      <x:c r="CZ97" s="112"/>
      <x:c r="DA97" s="112"/>
      <x:c r="DB97" s="112"/>
      <x:c r="DC97" s="114"/>
      <x:c r="DD97" s="114"/>
      <x:c r="DE97" s="112" t="s">
        <x:v>266</x:v>
      </x:c>
      <x:c r="DF97" s="112"/>
      <x:c r="DG97" s="112"/>
      <x:c r="DH97" s="112"/>
      <x:c r="DI97" s="112"/>
      <x:c r="DJ97" s="112"/>
      <x:c r="DK97" s="112"/>
      <x:c r="DL97" s="112"/>
      <x:c r="DM97" s="112"/>
      <x:c r="DN97" s="112"/>
      <x:c r="DO97" s="112"/>
      <x:c r="DP97" s="112"/>
      <x:c r="DQ97" s="114"/>
      <x:c r="DR97" s="112">
        <x:v>1</x:v>
      </x:c>
      <x:c r="DS97" s="116">
        <x:v>0</x:v>
      </x:c>
      <x:c r="DT97" s="120"/>
      <x:c r="DU97" s="116">
        <x:v>0.02</x:v>
      </x:c>
      <x:c r="DV97" s="116">
        <x:v>0.25</x:v>
      </x:c>
      <x:c r="DW97" s="118" t="str">
        <x:f>IF($A97="","",MAX('Setari model'!$B$71,MIN('Setari model'!$B$72,1+0.08*(IFERROR(AVERAGE($CM97:$CN97)/'Setari model'!$B$66,1)-1)+0.08*(IFERROR(AVERAGE($CO97:$CP97)/'Setari model'!$B$67,1)-1)+0.06*(IFERROR(AVERAGE($CQ97:$CR97)/'Setari model'!$B$68,1)-1)+0.04*(IFERROR(AVERAGE($CS97:$CT97)/'Setari model'!$B$69,1)-1)+0.04*(IFERROR(AVERAGE($CU97:$CV97)/'Setari model'!$B$70,1)-1)-'Setari model'!$B$73*IFERROR(AVERAGE($CW97:$CX97),0))))</x:f>
      </x:c>
      <x:c r="DX97" s="118" t="str">
        <x:f>IF($A97="","",1+'Setari model'!$B$62*MAX(IF(OR($CK97=1,$CL97=1),1,0),IF(AND($CJ97&lt;&gt;"",$CJ97&lt;=1),1,0))+'Setari model'!$B$63*IF(AND($CJ97&gt;1,$CJ97&lt;=3),1,0))</x:f>
      </x:c>
      <x:c r="DY97" s="118" t="str">
        <x:f>IF($A97="","",1+'Setari model'!$B$74*(IF($CY97="",0,IF($CY97=0,1,0))+IF($CZ97="",0,IF($CZ97=0,1,0)))+'Setari model'!$B$75*(IF($DA97="",0,IF($DA97=0,1,0))+IF($DB97="",0,IF($DB97=0,1,0))))</x:f>
      </x:c>
      <x:c r="DZ97" s="117" t="str">
        <x:f>IF($A97="","",MIN(0.6,MAX(0.002,(((1-'Setari model'!$B$34*MIN(1,($I97+$P97)/20))*$BT97+'Setari model'!$B$34*MIN(1,($I97+$P97)/20)*IF(COUNT($N97,$U97)=2,SQRT(MAX(0,1-$N97)*MAX(0,1-$U97)),$BT97))*(1-'Setari model'!$B$65*MIN(1,IF($AN97="",0,$AN97/'Setari model'!$B$64)))+'Setari model'!$B$65*MIN(1,IF($AN97="",0,$AN97/'Setari model'!$B$64))*IF($AM97="",$BT97,$AM97))*$DX97*$DY97/$DW97)))</x:f>
      </x:c>
      <x:c r="EA97" s="117" t="str">
        <x:f>IF($A97="","",MIN(1-$DZ97,IF(OR(MIN($I97,$P97)&lt;'Setari model'!$B$58,$CK97=1,$CL97=1,AND($CJ97&lt;&gt;"",$CJ97&lt;=1)),'Setari model'!$B$59,IF(AND($AU97=1,$AR97&gt;1,COUNT($CY97:$DB97)=4),'Setari model'!$B$61,'Setari model'!$B$60))))</x:f>
      </x:c>
      <x:c r="EB97" s="115" t="str">
        <x:f t="shared" si="125">IF($A97="","",1/$EA97)</x:f>
      </x:c>
      <x:c r="EC97" s="117" t="str">
        <x:f t="shared" si="126">IF($A97="","",IF($AR97&gt;1,IF($AS97&gt;1,(1/$AR97)/((1/$AR97)+(1/$AS97)),1/$AR97),""))</x:f>
      </x:c>
      <x:c r="ED97" s="117" t="str">
        <x:f t="shared" si="127">IF($A97="","",IF($EC97="","",$EA97-$EC97))</x:f>
      </x:c>
      <x:c r="EE97" s="117" t="str">
        <x:f t="shared" si="128">""</x:f>
      </x:c>
      <x:c r="EF97" s="119" t="str">
        <x:f>IF($A97="","",MAX(0,MIN(100,$CE97-200*MAX(0,$EG97-'Setari model'!$B$77)-IF($AU97&lt;&gt;1,10,0)-IF(COUNT($CY97:$DB97)&lt;4,4,0))))</x:f>
      </x:c>
      <x:c r="EG97" s="117" t="str">
        <x:f>IF($A97="","",'Setari model'!$B$77+IF(MIN($I97,$P97)&lt;'Setari model'!$B$58,0.03,0)+IF(OR($CK97=1,$CL97=1,AND($CJ97&lt;&gt;"",$CJ97&lt;=1)),0.03,0)+IF($AG97=0,0.02,0)+0.03*(1-MIN(1,COUNT($CM97:$CV97)/10))+0.03*(1-MIN(1,IF($AN97="",0,$AN97/'Setari model'!$B$64)))+IF($AR97&lt;=1,0.02,0))</x:f>
      </x:c>
      <x:c r="EH97" s="113" t="str">
        <x:f>IF($A97="","",IF(OR(MIN($I97,$P97)&lt;'Setari model'!$B$58,$CK97=1,$CL97=1,AND($CJ97&lt;&gt;"",$CJ97&lt;=1)),"92% – early/regim",IF(AND($AU97=1,$AR97&gt;1,COUNT($CY97:$DB97)=4),"94% – confirmat","93% – standard")))</x:f>
      </x:c>
      <x:c r="EI97" s="113" t="str">
        <x:f t="shared" si="129">IF($A97="","",IF(AND($EA97&gt;0.9,$AU97&lt;&gt;1),"WAIT XI – HIGH P",IF(AND($EA97&gt;0.9,COUNT($CY97:$DB97)&lt;4),"WAIT DATE CHEIE – HIGH P",IF($EP97&lt;&gt;"DA","NU – PORTOFOLIU","DA"))))</x:f>
      </x:c>
      <x:c r="EJ97" s="117" t="str">
        <x:f t="shared" si="130">IF($A97="","",IF($DE97&lt;&gt;"Live 20-30","",IF(SUM($DG97:$DH97)&gt;0,1,IF($EU97="","",1-MIN(0.95,MAX(0.001,EXP(-$EU97)*$DX97*$DY97/$DW97))))))</x:f>
      </x:c>
      <x:c r="EK97" s="117" t="str">
        <x:f t="shared" si="131">""</x:f>
      </x:c>
      <x:c r="EL97" s="113" t="str">
        <x:f>IF($A97="","",IF($DE97="Live 20-30",IF(SUM($DG97:$DH97)&gt;0,"EVENIMENT ÎNDEPLINIT",IF(OR($DF97="",COUNT($DI97:$DN97)&lt;4),"LIVE – WATCH",IF($EJ97&gt;=0.75,"LIVE – FEZABIL TEHNIC","LIVE – NO BET"))),IF($EI97&lt;&gt;"DA","WATCH / NO BET",IF(AND($EA97&gt;=INDEX('Setari model'!$B$35:$B$40,1),$EF97&gt;=100*'Setari model'!$B$76),"PARIU RECOMANDAT",IF(AND($EA97&gt;=INDEX('Setari model'!$B$35:$B$40,5),$EF97&gt;=100*'Setari model'!$B$40),"WATCH – APROAPE DE PRAG","PARIU EVITAT")))))</x:f>
      </x:c>
      <x:c r="EM97" s="113" t="str">
        <x:f t="shared" si="132">IF($A97="","",IF($DE97="Live 20-30",IF(SUM($DG97:$DH97)&gt;0,"Gol deja marcat.",IF($DF97="","Minut live lipsă.",IF(COUNT($DI97:$DN97)&lt;4,"Lipsesc xG/SOT/big chances live.",IF($EJ97&lt;0.75,"P live sub prag.","Semnal live tehnic complet; EV ignorat.")))),IF($EI97&lt;&gt;"DA",$EI97,IF($EF97&lt;75,"Confidence sub 75.",IF($EA97&lt;0.92,"P sub 92%.","G0/Zero-Mass + confidence trecute; EV ignorat.")))))</x:f>
      </x:c>
      <x:c r="EN97" s="117" t="str">
        <x:f>IF($A97="","",IF(OR($EL97="PARIU RECOMANDAT",$EL97="LIVE – FEZABIL"),MIN(IF($DU97&gt;0,$DU97,'Setari model'!$B$81)/MAX(1,$DR97),IF($DV97&gt;0,$DV97,'Setari model'!$B$80)*MAX(0,((IF($DE97="Live 20-30",$EJ97,$EA97)*IF($DE97="Live 20-30",$DQ97,$AR97)-1)/(IF($DE97="Live 20-30",$DQ97,$AR97)-1)))),0))</x:f>
      </x:c>
      <x:c r="EO97" s="121" t="str">
        <x:f t="shared" si="133">IF($A97="","",IF(AND($EN97&gt;0,$DT97&gt;0),$EN97*$DT97,""))</x:f>
      </x:c>
      <x:c r="EP97" s="113" t="str">
        <x:f>IF($A97="","",IF(OR($DR97&lt;1,$DR97&gt;'Setari model'!$B$78),"NU – 1–5 selecții",IF($DS97&gt;'Setari model'!$B$79,"NU – corelație", "DA")))</x:f>
      </x:c>
      <x:c r="EQ97" s="117" t="str">
        <x:f t="shared" si="134">IF($A97="","",IF(AND($DC97&gt;1,$DD97&gt;1),$DC97/$DD97-1,""))</x:f>
      </x:c>
      <x:c r="ER97" s="113" t="str">
        <x:f t="shared" si="135">IF($A97="","","P v2="&amp;TEXT($EA97,"0.0%")&amp;" ±"&amp;TEXT($EG97,"0.0%")&amp;"; P0 ZIP="&amp;TEXT($DZ97,"0.0%")&amp;"; Confidence="&amp;TEXT($EF97,"0")&amp;"/100; piață reală="&amp;IF($EC97="","NU","DA")&amp;"; EV="&amp;IF($EE97="","n/a",TEXT($EE97,"0.0%"))&amp;"; gate="&amp;$EI97&amp;"; verdict="&amp;$EL97&amp;". "&amp;$EM97)</x:f>
      </x:c>
      <x:c r="ES97" s="119" t="str">
        <x:f>IF($A97="","",'Setari model'!$B$82)</x:f>
      </x:c>
      <x:c r="ET97" s="118" t="str">
        <x:f>IF($A97="","",'Setari model'!$B$83)</x:f>
      </x:c>
      <x:c r="EU97" s="115" t="str">
        <x:f t="shared" si="136">IF(OR($A97="",$DE97&lt;&gt;"Live 20-30",$DF97="",$DF97&lt;$ES97,$DF97&gt;=90),"",MAX(0.05,MIN($BS97*$ET97,$BS97*(90-$DF97)/90+0.35*($DI97+$DJ97)+0.06*($DK97+$DL97)+0.15*($DM97+$DN97)+0.1*(MAX($DO97,$DP97)-MIN($DO97,$DP97)))))</x:f>
      </x:c>
      <x:c r="EV97" s="132"/>
      <x:c r="EW97" s="132"/>
      <x:c r="EX97" s="132"/>
      <x:c r="EY97" s="132"/>
      <x:c r="EZ97" s="132"/>
      <x:c r="FA97" s="132"/>
      <x:c r="FB97" s="247"/>
      <x:c r="FC97" s="134" t="str">
        <x:f t="shared" si="137">IF($A97="","",IF(OR($J97="",$L97="",$L97&lt;=0),"",MAX(0.5,MIN(1.5,$J97/$L97))))</x:f>
      </x:c>
      <x:c r="FD97" s="134" t="str">
        <x:f t="shared" si="138">IF($A97="","",IF(OR($Q97="",$S97="",$S97&lt;=0),"",MAX(0.5,MIN(1.5,$Q97/$S97))))</x:f>
      </x:c>
      <x:c r="FE97" s="134" t="str">
        <x:f>IF($A97="","",IF(COUNT($EV97:$EW97)&lt;2,"",SQRT($EV97*$EW97)/'Setari model'!$B$87))</x:f>
      </x:c>
      <x:c r="FF97" s="134" t="str">
        <x:f>IF($A97="","",IF(COUNT($O97,$V97,$EX97,$EY97)&lt;4,"",AVERAGE(SQRT($O97*$EY97),SQRT($V97*$EX97))/'Setari model'!$B$88))</x:f>
      </x:c>
      <x:c r="FG97" s="134" t="str">
        <x:f t="shared" si="139">IF($A97="","",IF(COUNT($FC97:$FD97)&lt;2,"",MAX(0,1-AVERAGE($FC97:$FD97))))</x:f>
      </x:c>
      <x:c r="FH97" s="134" t="str">
        <x:f>IF($A97="","",IF(COUNT($EZ97:$FA97)&lt;2,"",'Setari model'!$B$94*AVERAGE($EZ97:$FA97)/'Setari model'!$B$89))</x:f>
      </x:c>
      <x:c r="FI97" s="134" t="str">
        <x:f>IF($A97="","",IF(COUNT($FE97:$FH97)&lt;4,"",MAX('Setari model'!$B$97,MIN('Setari model'!$B$98,1+'Setari model'!$B$90*($FE97-1)+'Setari model'!$B$91*($FF97-1)+'Setari model'!$B$92*$FG97+'Setari model'!$B$93*($FH97-1)))))</x:f>
      </x:c>
      <x:c r="FJ97" s="133" t="str">
        <x:f>IF($A97="","",IF($FI97="","",MIN('Setari model'!$B$101,MAX(0.002,$DZ97*$FI97))))</x:f>
      </x:c>
      <x:c r="FK97" s="131" t="str">
        <x:f t="shared" si="140">IF($A97="","",IF(AND(COUNT($EV97:$FA97)=6,COUNT($O97,$V97,$FC97,$FD97)=4),"DA","NU"))</x:f>
      </x:c>
      <x:c r="FL97" s="131" t="str">
        <x:f>IF($A97="","",IF($FK97&lt;&gt;"DA","NEDETERMINAT",IF($FI97&lt;='Setari model'!$B$99,"SCĂZUT",IF($FI97&lt;='Setari model'!$B$100,"MEDIU","RIDICAT"))))</x:f>
      </x:c>
      <x:c r="FM97" s="131" t="str">
        <x:f>IF($A97="","",IF(AND($AR97&gt;1,$EC97&gt;='Setari model'!$B$106),"DA","NU"))</x:f>
      </x:c>
      <x:c r="FN97" s="131" t="str">
        <x:f t="shared" si="141">IF($A97="","",IF(AND($AU97=1,COUNT($CY97:$DB97)=4),"DA","NU"))</x:f>
      </x:c>
      <x:c r="FO97" s="133" t="str">
        <x:f>IF($A97="","",IF(OR($FK97&lt;&gt;"DA",$FL97="RIDICAT"),'Setari model'!$B$102,IF($FL97="MEDIU",'Setari model'!$B$103,IF(AND($FM97="DA",$FN97="DA"),'Setari model'!$B$105,'Setari model'!$B$104))))</x:f>
      </x:c>
      <x:c r="FP97" s="133" t="str">
        <x:f t="shared" si="142">IF($A97="","",IF($FJ97="","",MIN(1-$FJ97,$FO97)))</x:f>
      </x:c>
      <x:c r="FQ97" s="135" t="str">
        <x:f t="shared" si="143">IF($A97="","",IF($FP97="","",IF($FP97&gt;0,1/$FP97,"")))</x:f>
      </x:c>
      <x:c r="FR97" s="133" t="str">
        <x:f t="shared" si="144">IF($A97="","",IF($EC97="","",$FP97-$EC97))</x:f>
      </x:c>
      <x:c r="FS97" s="133" t="str">
        <x:f t="shared" si="145">IF($A97="","",IF($AR97&gt;1,$FP97*$AR97-1,""))</x:f>
      </x:c>
      <x:c r="FT97" s="136" t="str">
        <x:f>IF($A97="","",MAX(0,MIN(100,$EF97-IF($FK97&lt;&gt;"DA",'Setari model'!$B$107,0)-IF($FL97="MEDIU",'Setari model'!$B$108,0)-IF($FL97="RIDICAT",'Setari model'!$B$109,0))))</x:f>
      </x:c>
      <x:c r="FU97" s="131" t="str">
        <x:f t="shared" si="146">IF($A97="","",IF($AR97&lt;=1,"NU – LIPSEȘTE COTA REALĂ",IF($FK97&lt;&gt;"DA","NU – ZERO-RISK INCOMPLET",IF($FL97&lt;&gt;"SCĂZUT","NU – RISC 0-0 "&amp;$FL97,IF($FN97&lt;&gt;"DA","NU – LINEUP NECONFIRMAT",IF($FM97&lt;&gt;"DA","NU – PIAȚĂ NECONFIRMATĂ",IF($EP97&lt;&gt;"DA","NU – PORTOFOLIU","DA")))))))</x:f>
      </x:c>
      <x:c r="FV97" s="131" t="str">
        <x:f>IF($A97="","",IF($FU97&lt;&gt;"DA","WATCH / NO BET",IF(AND($FP97&gt;='Setari model'!$B$35,$FT97&gt;=100*'Setari model'!$B$76,$FS97&gt;0),"PARIU RECOMANDAT",IF(AND($FP97&gt;='Setari model'!$B$39,$FT97&gt;=100*'Setari model'!$B$40,$FS97&gt;0),"WATCH – APROAPE DE PRAG","PARIU EVITAT"))))</x:f>
      </x:c>
      <x:c r="FW97" s="131" t="str">
        <x:f t="shared" si="147">IF($A97="","",IF($FU97&lt;&gt;"DA",$FU97,IF($FT97&lt;75,"Confidence v3 sub 75.",IF($FP97&lt;0.92,"P v3 sub 92%.",IF($FS97&lt;=0,"EV v3 nepozitiv.","P0 v3, lineup și piață confirmate.")))))</x:f>
      </x:c>
      <x:c r="FX97" s="131" t="str">
        <x:f t="shared" si="148">IF($A97="","","P v3="&amp;TEXT($FP97,"0.0%")&amp;"; P0 v3="&amp;TEXT($FJ97,"0.0%")&amp;"; factor zero="&amp;IF($FI97="","n/a",TEXT($FI97,"0.00x"))&amp;" ("&amp;$FL97&amp;"); cap="&amp;TEXT($FO97,"0.0%")&amp;"; Confidence="&amp;TEXT($FT97,"0")&amp;"/100; lineup="&amp;$FN97&amp;"; piață="&amp;$FM97&amp;"; EV="&amp;IF($FS97="","n/a",TEXT($FS97,"0.0%"))&amp;"; gate="&amp;$FU97&amp;"; verdict="&amp;$FV97&amp;". "&amp;$FW97)</x:f>
      </x:c>
      <x:c r="FY97" s="159"/>
      <x:c r="FZ97" s="159"/>
      <x:c r="GA97" s="157"/>
      <x:c r="GB97" s="157"/>
      <x:c r="GC97" s="161" t="str">
        <x:f t="shared" si="149">IF($A97="","",IF(OR($X97="",$Z97="",$Z97&lt;=0),"",MAX(0.5,MIN(1.5,$X97/$Z97))))</x:f>
      </x:c>
      <x:c r="GD97" s="161" t="str">
        <x:f t="shared" si="150">IF($A97="","",IF(OR($AC97="",$AE97="",$AE97&lt;=0),"",MAX(0.5,MIN(1.5,$AC97/$AE97))))</x:f>
      </x:c>
      <x:c r="GE97" s="162" t="str">
        <x:f t="shared" si="151">IF($A97="","",IF(COUNT($Z97,$AE97)&lt;2,"",AVERAGE($Z97,$AE97)))</x:f>
      </x:c>
      <x:c r="GF97" s="158" t="str">
        <x:f>IF($A97="","",IF(COUNT($FY97:$FZ97)&lt;2,"NEDETERMINAT",IF(AND($FY97&gt;='Setari model'!$B$113,$FZ97&gt;='Setari model'!$B$113),"DA","NU")))</x:f>
      </x:c>
      <x:c r="GG97" s="158" t="str">
        <x:f>IF($A97="","",IF(COUNT($FY97:$FZ97,$EX97:$EY97)&lt;4,"NEDETERMINAT",IF(OR(AND($FY97&gt;='Setari model'!$B$113,$EY97&gt;='Setari model'!$B$114),AND($FZ97&gt;='Setari model'!$B$113,$EX97&gt;='Setari model'!$B$114)),"DA","NU")))</x:f>
      </x:c>
      <x:c r="GH97" s="158" t="str">
        <x:f>IF($A97="","",IF(COUNT($BJ97:$BN97,$GC97:$GE97)&lt;8,"NEDETERMINAT",IF(AND((($BJ97*INDEX('Setari model'!$B$5:$B$11,MATCH($E97,'Setari model'!$A$5:$A$11,0))+$BK97*INDEX('Setari model'!$C$5:$C$11,MATCH($E97,'Setari model'!$A$5:$A$11,0))+$BL97*INDEX('Setari model'!$D$5:$D$11,MATCH($E97,'Setari model'!$A$5:$A$11,0))+$BM97*INDEX('Setari model'!$E$5:$E$11,MATCH($E97,'Setari model'!$A$5:$A$11,0))+$BN97*INDEX('Setari model'!$F$5:$F$11,MATCH($E97,'Setari model'!$A$5:$A$11,0)))/(INDEX('Setari model'!$B$5:$B$11,MATCH($E97,'Setari model'!$A$5:$A$11,0))+INDEX('Setari model'!$C$5:$C$11,MATCH($E97,'Setari model'!$A$5:$A$11,0))+INDEX('Setari model'!$D$5:$D$11,MATCH($E97,'Setari model'!$A$5:$A$11,0))+INDEX('Setari model'!$E$5:$E$11,MATCH($E97,'Setari model'!$A$5:$A$11,0))+INDEX('Setari model'!$F$5:$F$11,MATCH($E97,'Setari model'!$A$5:$A$11,0))))*$BR97&gt;='Setari model'!$B$115,(($BJ97*INDEX('Setari model'!$B$5:$B$11,MATCH($E97,'Setari model'!$A$5:$A$11,0))+$BK97*INDEX('Setari model'!$C$5:$C$11,MATCH($E97,'Setari model'!$A$5:$A$11,0))+$BL97*INDEX('Setari model'!$D$5:$D$11,MATCH($E97,'Setari model'!$A$5:$A$11,0))+$BM97*INDEX('Setari model'!$E$5:$E$11,MATCH($E97,'Setari model'!$A$5:$A$11,0))+$BN97*INDEX('Setari model'!$F$5:$F$11,MATCH($E97,'Setari model'!$A$5:$A$11,0)))/(INDEX('Setari model'!$B$5:$B$11,MATCH($E97,'Setari model'!$A$5:$A$11,0))+INDEX('Setari model'!$C$5:$C$11,MATCH($E97,'Setari model'!$A$5:$A$11,0))+INDEX('Setari model'!$D$5:$D$11,MATCH($E97,'Setari model'!$A$5:$A$11,0))+INDEX('Setari model'!$E$5:$E$11,MATCH($E97,'Setari model'!$A$5:$A$11,0))+INDEX('Setari model'!$F$5:$F$11,MATCH($E97,'Setari model'!$A$5:$A$11,0))))*$BR97&lt;='Setari model'!$B$116,AVERAGE($GC97:$GD97)&lt;='Setari model'!$B$117,$GE97&gt;='Setari model'!$B$118),"DA","NU")))</x:f>
      </x:c>
      <x:c r="GI97" s="158" t="str">
        <x:f>IF($A97="","",IF(COUNT($W97,$AB97,$GA97:$GB97)&lt;4,"NEDETERMINAT",IF(AND($W97&gt;='Setari model'!$B$120,$AB97&gt;='Setari model'!$B$120,OR(IFERROR($GA97/$W97,0)&gt;='Setari model'!$B$119,IFERROR($GB97/$AB97,0)&gt;='Setari model'!$B$119)),"DA","NU")))</x:f>
      </x:c>
      <x:c r="GJ97" s="160" t="str">
        <x:f>IF($A97="","",IF(COUNT($FY97:$GB97)&lt;4,"",IF($GH97&lt;&gt;"DA",0,'Setari model'!$B$121*IF($GF97="DA",1,0)+'Setari model'!$B$122*IF($GG97="DA",1,0)+'Setari model'!$B$123+'Setari model'!$B$124*IF($GI97="DA",1,0))))</x:f>
      </x:c>
      <x:c r="GK97" s="161" t="str">
        <x:f>IF($A97="","",IF(COUNT($GJ97)=0,"",1+'Setari model'!$B$125*$GJ97))</x:f>
      </x:c>
      <x:c r="GL97" s="160" t="str">
        <x:f>IF($A97="","",IF($GM97&lt;&gt;"DA",$FJ97,MIN('Setari model'!$B$101,MAX(0.002,$FJ97*$GK97))))</x:f>
      </x:c>
      <x:c r="GM97" s="158" t="str">
        <x:f>IF($A97="","",IF(AND($FK97="DA",COUNT($FY97:$GB97)=4,COUNT($I97,$P97,$W97,$AB97,$Z97,$AE97,$EX97,$EY97,$GC97,$GD97)=10,COUNT($BJ97:$BN97)=5),"DA","NU"))</x:f>
      </x:c>
      <x:c r="GN97" s="158" t="str">
        <x:f>IF($A97="","",IF($GM97&lt;&gt;"DA","NEDETERMINAT",IF($FI97*$GK97&lt;='Setari model'!$B$99,"SCĂZUT",IF($FI97*$GK97&lt;='Setari model'!$B$100,"MEDIU","RIDICAT"))))</x:f>
      </x:c>
      <x:c r="GO97" s="160" t="str">
        <x:f>IF($A97="","",IF(OR($GM97&lt;&gt;"DA",$GN97="RIDICAT"),'Setari model'!$B$102,IF($GN97="MEDIU",'Setari model'!$B$103,IF(AND($FM97="DA",$FN97="DA"),'Setari model'!$B$105,'Setari model'!$B$104))))</x:f>
      </x:c>
      <x:c r="GP97" s="160" t="str">
        <x:f t="shared" si="152">IF($A97="","",IF($GL97="","",MIN(1-$GL97,$GO97)))</x:f>
      </x:c>
      <x:c r="GQ97" s="162" t="str">
        <x:f t="shared" si="153">IF($A97="","",IF($GP97="","",IF($GP97&gt;0,1/$GP97,"")))</x:f>
      </x:c>
      <x:c r="GR97" s="160" t="str">
        <x:f t="shared" si="154">IF($A97="","",IF($EC97="","",$GP97-$EC97))</x:f>
      </x:c>
      <x:c r="GS97" s="160" t="str">
        <x:f t="shared" si="155">IF($A97="","",IF($AR97&gt;1,$GP97*$AR97-1,""))</x:f>
      </x:c>
      <x:c r="GT97" s="163" t="str">
        <x:f>IF($A97="","",MAX(0,MIN(100,$FT97-IF(AND($GM97&lt;&gt;"DA",$FK97="DA"),'Setari model'!$B$107,0)-'Setari model'!$B$126*IF($GJ97="",0,$GJ97))))</x:f>
      </x:c>
      <x:c r="GU97" s="158" t="str">
        <x:f t="shared" si="156">IF($A97="","",IF($AR97&lt;=1,"NU – LIPSEȘTE COTA REALĂ",IF($GM97&lt;&gt;"DA","NU – DATE LOW-CONVERSION INCOMPLETE",IF($GN97&lt;&gt;"SCĂZUT","NU – RISC 0-0 "&amp;$GN97,IF($FN97&lt;&gt;"DA","NU – LINEUP NECONFIRMAT",IF($FM97&lt;&gt;"DA","NU – PIAȚĂ NECONFIRMATĂ",IF($EP97&lt;&gt;"DA","NU – PORTOFOLIU","DA")))))))</x:f>
      </x:c>
      <x:c r="GV97" s="158" t="str">
        <x:f>IF($A97="","",IF($GU97&lt;&gt;"DA","WATCH / NO BET",IF(AND($GP97&gt;='Setari model'!$B$35,$GT97&gt;=100*'Setari model'!$B$76,$GS97&gt;0),"PARIU RECOMANDAT",IF(AND($GP97&gt;='Setari model'!$B$39,$GT97&gt;=100*'Setari model'!$B$40,$GS97&gt;0),"WATCH – APROAPE DE PRAG","PARIU EVITAT"))))</x:f>
      </x:c>
      <x:c r="GW97" s="158" t="str">
        <x:f t="shared" si="157">IF($A97="","",IF($GU97&lt;&gt;"DA",$GU97,IF($GT97&lt;75,"Confidence v5 sub 75.",IF($GP97&lt;0.92,"P v5 sub 92%.",IF($GS97&lt;=0,"EV v5 nepozitiv.",IF($GJ97&gt;0,"Low-conversion absorbit în P0; toate porțile rămân trecute.","Toate porțile v5 sunt trecute."))))))</x:f>
      </x:c>
      <x:c r="GX97" s="158" t="str">
        <x:f t="shared" si="158">IF($A97="","","P v5="&amp;TEXT($GP97,"0.0%")&amp;"; P0 v5="&amp;TEXT($GL97,"0.0%")&amp;"; low-conv="&amp;IF(COUNT($GJ97)=0,"n/a",TEXT($GJ97,"0%"))&amp;"; mult.P0="&amp;IF(COUNT($GK97)=0,"n/a",TEXT($GK97,"0.00"))&amp;"; clasă="&amp;$GN97&amp;"; cap="&amp;TEXT($GO97,"0.0%")&amp;"; Confidence="&amp;TEXT($GT97,"0")&amp;"/100; lineup="&amp;$FN97&amp;"; piață="&amp;$FM97&amp;"; EV="&amp;IF($GS97="","n/a",TEXT($GS97,"0.0%"))&amp;"; gate="&amp;$GU97&amp;"; verdict="&amp;$GV97&amp;". "&amp;$GW97)</x:f>
      </x:c>
      <x:c r="GY97" s="174" t="str">
        <x:f>IF($A97="","",IF($GM97&lt;&gt;"DA","SOURCING INCOMPLETE – REVIEW REQUIRED",IF(MIN($I97,$P97,$W97,$AB97)&lt;'Setari model'!$B$58,"SMALL SAMPLE + PRIOR / SHRINKAGE","VERIFIED / PRIOR / SHRINKAGE")))</x:f>
      </x:c>
      <x:c r="GZ97" s="175" t="str">
        <x:f t="shared" si="159">IF($A97="","",MAX(0,MIN(100,100*(1-AVERAGE(IF($GM97="DA",1,0),MIN(1,$AT97/5))))))</x:f>
      </x:c>
      <x:c r="HA97" s="175" t="str">
        <x:f>IF($A97="","",IF($GM97&lt;&gt;"DA","",MAX(0,MIN(100,100*(($FI97*$GK97)-'Setari model'!$B$97)/('Setari model'!$B$98-'Setari model'!$B$97)))))</x:f>
      </x:c>
      <x:c r="HB97" s="175" t="str">
        <x:f>IF($A97="","",MAX(0,MIN(100,100*(ABS($BR97-1)/MAX(1-'Setari model'!$B$53,'Setari model'!$B$54-1)+MIN(1,$BG97/2))/2)))</x:f>
      </x:c>
      <x:c r="HC97" s="175" t="str">
        <x:f t="shared" si="160">IF($A97="","",MAX(0,MIN(100,100*(1-AVERAGE($CC97,MAX(0,1-(MAX($BJ97:$BN97)-MIN($BJ97:$BN97))/(AVERAGE($BJ97:$BN97)*'Setari model'!$B$45)))))))</x:f>
      </x:c>
      <x:c r="HD97" s="175" t="str">
        <x:f t="shared" si="161">IF($A97="","",MAX(0,MIN(100,100*MAX(IF($GJ97="",0,$GJ97),MIN(1,$BG97/2)))))</x:f>
      </x:c>
      <x:c r="HE97" s="175" t="str">
        <x:f>IF($A97="","",IF(COUNT($GZ97:$HD97)&lt;5,"",$GZ97*Risk_Classification!$E$28+$HA97*Risk_Classification!$E$29+$HB97*Risk_Classification!$E$30+$HC97*Risk_Classification!$E$31+$HD97*Risk_Classification!$E$32))</x:f>
      </x:c>
      <x:c r="HF97" s="176" t="str">
        <x:f t="shared" si="162">IF($A97="","",IF($HE97="","",IF($HE97&lt;=20,1,IF($HE97&lt;=40,2,IF($HE97&lt;=60,3,IF($HE97&lt;=80,4,5))))))</x:f>
      </x:c>
      <x:c r="HG97" s="176" t="str">
        <x:f t="shared" si="163">IF($A97="","",IF($GM97="DA","PASS","FAIL – DATE CRITICE ZERO-MASS INCOMPLETE"))</x:f>
      </x:c>
      <x:c r="HH97" s="176" t="str">
        <x:f t="shared" si="164">IF($A97="","",IF($HG97&lt;&gt;"PASS",5,$HF97))</x:f>
      </x:c>
      <x:c r="HI97" s="174" t="str">
        <x:f t="shared" si="165">IF($A97="","",IF($HH97="","N/A",IF($HH97=1,"DEFENSIV",IF($HH97=2,"PRUDENT",IF($HH97=3,"MODERAT",IF($HH97=4,"RIDICAT","WATCH / NO BET"))))))</x:f>
      </x:c>
      <x:c r="HJ97" s="177" t="str">
        <x:f t="shared" si="166">IF($A97="","","Data="&amp;$GY97&amp;"; DQ="&amp;TEXT($GZ97,"0.0")&amp;"; ZM="&amp;IF($HA97="","n/a",TEXT($HA97,"0.0"))&amp;"; Context="&amp;TEXT($HB97,"0.0")&amp;"; Uncertainty="&amp;TEXT($HC97,"0.0")&amp;"; Compound="&amp;TEXT($HD97,"0.0")&amp;"; Risk Score="&amp;IF($HE97="","n/a",TEXT($HE97,"0.0"))&amp;"; Base="&amp;IF($HF97="","n/a",$HF97)&amp;"; G0="&amp;$HG97&amp;"; Final="&amp;$HH97&amp;". Cota, EV si lineup sunt informative si nu intra in recomandare.")</x:f>
      </x:c>
      <x:c r="HK97" s="174" t="str">
        <x:f t="shared" si="167">IF($A97="","",$HI97)</x:f>
      </x:c>
    </x:row>
    <x:row r="98" ht="24" customHeight="1">
      <x:c r="A98" s="58"/>
      <x:c r="B98" s="24"/>
      <x:c r="C98" s="59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18"/>
      <x:c r="O98" s="18"/>
      <x:c r="P98" s="24"/>
      <x:c r="Q98" s="24"/>
      <x:c r="R98" s="24"/>
      <x:c r="S98" s="24"/>
      <x:c r="T98" s="24"/>
      <x:c r="U98" s="18"/>
      <x:c r="V98" s="18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24"/>
      <x:c r="AH98" s="24"/>
      <x:c r="AI98" s="18"/>
      <x:c r="AJ98" s="24"/>
      <x:c r="AK98" s="24"/>
      <x:c r="AL98" s="24"/>
      <x:c r="AM98" s="18"/>
      <x:c r="AN98" s="24"/>
      <x:c r="AO98" s="60"/>
      <x:c r="AP98" s="60"/>
      <x:c r="AQ98" s="60"/>
      <x:c r="AR98" s="60"/>
      <x:c r="AS98" s="60"/>
      <x:c r="AT98" s="24"/>
      <x:c r="AU98" s="24"/>
      <x:c r="AV98" s="24"/>
      <x:c r="AW98" s="24"/>
      <x:c r="AX98" s="24"/>
      <x:c r="AY98" s="24"/>
      <x:c r="AZ98" s="24"/>
      <x:c r="BA98" s="24"/>
      <x:c r="BB98" s="24"/>
      <x:c r="BC98" s="24"/>
      <x:c r="BD98" s="24"/>
      <x:c r="BE98" s="24"/>
      <x:c r="BF98" s="24"/>
      <x:c r="BG98" s="24"/>
      <x:c r="BH98" s="61"/>
      <x:c r="BI98" s="61"/>
      <x:c r="BJ98" s="62" t="str">
        <x:f>IF($A98="","",SQRT((($I98*IF($J98="",$AJ98,$J98)+'Setari model'!$B$30*$AJ98)/($I98+'Setari model'!$B$30))*(($P98*IF($R98="",$AJ98,$R98)+'Setari model'!$B$30*$AJ98)/($P98+'Setari model'!$B$30)))+SQRT((($P98*IF($Q98="",$AK98,$Q98)+'Setari model'!$B$30*$AK98)/($P98+'Setari model'!$B$30))*(($I98*IF($K98="",$AK98,$K98)+'Setari model'!$B$30*$AK98)/($I98+'Setari model'!$B$30))))</x:f>
      </x:c>
      <x:c r="BK98" s="62" t="str">
        <x:f>IF($A98="","",SQRT((($I98*IF($L98="",IF($J98="",$AJ98,$J98),$L98)+'Setari model'!$B$30*$AJ98)/($I98+'Setari model'!$B$30))*(($P98*IF($T98="",IF($R98="",$AJ98,$R98),$T98)+'Setari model'!$B$30*$AJ98)/($P98+'Setari model'!$B$30)))+SQRT((($P98*IF($S98="",IF($Q98="",$AK98,$Q98),$S98)+'Setari model'!$B$30*$AK98)/($P98+'Setari model'!$B$30))*(($I98*IF($M98="",IF($K98="",$AK98,$K98),$M98)+'Setari model'!$B$30*$AK98)/($I98+'Setari model'!$B$30))))</x:f>
      </x:c>
      <x:c r="BL98" s="62" t="str">
        <x:f>IF($A98="","",SQRT((($W98*IF($X98="",$AL98/2,$X98)+'Setari model'!$B$31*$AL98/2)/($W98+'Setari model'!$B$31))*(($AB98*IF($AD98="",$AL98/2,$AD98)+'Setari model'!$B$31*$AL98/2)/($AB98+'Setari model'!$B$31)))+SQRT((($AB98*IF($AC98="",$AL98/2,$AC98)+'Setari model'!$B$31*$AL98/2)/($AB98+'Setari model'!$B$31))*(($W98*IF($Y98="",$AL98/2,$Y98)+'Setari model'!$B$31*$AL98/2)/($W98+'Setari model'!$B$31))))</x:f>
      </x:c>
      <x:c r="BM98" s="62" t="str">
        <x:f>IF($A98="","",SQRT((($W98*IF($Z98="",IF($X98="",$AL98/2,$X98),$Z98)+'Setari model'!$B$31*$AL98/2)/($W98+'Setari model'!$B$31))*(($AB98*IF($AF98="",IF($AD98="",$AL98/2,$AD98),$AF98)+'Setari model'!$B$31*$AL98/2)/($AB98+'Setari model'!$B$31)))+SQRT((($AB98*IF($AE98="",IF($AC98="",$AL98/2,$AC98),$AE98)+'Setari model'!$B$31*$AL98/2)/($AB98+'Setari model'!$B$31))*(($W98*IF($AA98="",IF($Y98="",$AL98/2,$Y98),$AA98)+'Setari model'!$B$31*$AL98/2)/($W98+'Setari model'!$B$31))))</x:f>
      </x:c>
      <x:c r="BN98" s="62" t="str">
        <x:f t="shared" si="112">IF($A98="","",IF($AG98&gt;0,($AG98*IF($AH98="",$AL98,$AH98)+5*$AL98)/($AG98+5),$AL98))</x:f>
      </x:c>
      <x:c r="BO98" s="63" t="str">
        <x:f>IF($A98="","",IF($AR98&gt;1,IF($AS98&gt;1,(1/$AR98)/((1/$AR98+1/$AS98)),MIN(0.995,(1/$AR98)/(1+'Setari model'!$B$32))),1-EXP(-$AL98)))</x:f>
      </x:c>
      <x:c r="BP98" s="62" t="str">
        <x:f t="shared" si="113">IF($A98="","",-LN(1-$BO98))</x:f>
      </x:c>
      <x:c r="BQ98" s="62" t="str">
        <x:f>IF($A98="","",$BJ98*INDEX('Setari model'!$B$5:$B$11,MATCH($E98,'Setari model'!$A$5:$A$11,0))+$BK98*INDEX('Setari model'!$C$5:$C$11,MATCH($E98,'Setari model'!$A$5:$A$11,0))+$BL98*INDEX('Setari model'!$D$5:$D$11,MATCH($E98,'Setari model'!$A$5:$A$11,0))+$BM98*INDEX('Setari model'!$E$5:$E$11,MATCH($E98,'Setari model'!$A$5:$A$11,0))+$BN98*INDEX('Setari model'!$F$5:$F$11,MATCH($E98,'Setari model'!$A$5:$A$11,0))+$BP98*INDEX('Setari model'!$G$5:$G$11,MATCH($E98,'Setari model'!$A$5:$A$11,0)))</x:f>
      </x:c>
      <x:c r="BR98" s="64" t="str">
        <x:f>IF($A98="","",MAX('Setari model'!$B$53,MIN('Setari model'!$B$54,1+($AV98*'Setari model'!$B$15+$AW98*'Setari model'!$B$16+$AX98*'Setari model'!$B$17+$AY98*'Setari model'!$B$18+$AZ98*'Setari model'!$B$19+$BA98*'Setari model'!$B$20+$BB98*'Setari model'!$B$21+$BC98*'Setari model'!$B$22+$BD98*'Setari model'!$B$23+$BE98*'Setari model'!$B$24+$BF98*'Setari model'!$B$25)*INDEX('Setari model'!$H$5:$H$11,MATCH($E98,'Setari model'!$A$5:$A$11,0)))))</x:f>
      </x:c>
      <x:c r="BS98" s="62" t="str">
        <x:f t="shared" si="114">IF($A98="","",$BQ98*$BR98)</x:f>
      </x:c>
      <x:c r="BT98" s="63" t="str">
        <x:f t="shared" si="115">IF($A98="","",EXP(-$BS98))</x:f>
      </x:c>
      <x:c r="BU98" s="65" t="str">
        <x:f>IF($A98="","",IF(OR($AM98="",$AN98=""),1,1+MIN('Setari model'!$B$33,$AN98/100*'Setari model'!$B$33)*($AM98/EXP(-$AL98)-1)))</x:f>
      </x:c>
      <x:c r="BV98" s="63" t="str">
        <x:f>IF($A98="","",MIN(0.45,MAX(0.005,(1-'Setari model'!$B$34*MIN(1,($I98+$P98)/20))*MIN(0.45,$BT98*$BU98)+'Setari model'!$B$34*MIN(1,($I98+$P98)/20)*IF(COUNT($N98,$U98)=2,SQRT(MAX(0,1-$N98)*MAX(0,1-$U98)),IF($AM98="",EXP(-$AL98),$AM98)))))</x:f>
      </x:c>
      <x:c r="BW98" s="63" t="str">
        <x:f t="shared" si="116">IF($A98="","",1-$BV98)</x:f>
      </x:c>
      <x:c r="BX98" s="62" t="str">
        <x:f t="shared" si="117">IF($A98="","",1/$BW98)</x:f>
      </x:c>
      <x:c r="BY98" s="63" t="str">
        <x:f t="shared" si="118">IF($A98="","",$BO98)</x:f>
      </x:c>
      <x:c r="BZ98" s="63" t="str">
        <x:f t="shared" si="119">IF($A98="","",$BW98-$BY98)</x:f>
      </x:c>
      <x:c r="CA98" s="63" t="str">
        <x:f t="shared" si="120">IF($A98="","",IF($AR98&gt;1,$BW98*$AR98-1,""))</x:f>
      </x:c>
      <x:c r="CB98" s="63" t="str">
        <x:f>IF($A98="","",MIN(1,COUNT($I98:$AN98,$AR98:$BG98)/'Setari model'!$B$46))</x:f>
      </x:c>
      <x:c r="CC98" s="63" t="str">
        <x:f t="shared" si="121">IF($A98="","",0.25*MIN(1,$I98/10)+0.25*MIN(1,$P98/10)+0.15*MIN(1,$W98/5)+0.15*MIN(1,$AB98/5)+0.1*MIN(1,$AG98/5)+0.1*MIN(1,$AN98/100))</x:f>
      </x:c>
      <x:c r="CD98" s="63" t="str">
        <x:f>IF($A98="","",MAX(0,1-(MAX($BJ98:$BN98,$BP98)-MIN($BJ98:$BN98,$BP98))/(AVERAGE($BJ98:$BN98,$BP98)*'Setari model'!$B$45)))</x:f>
      </x:c>
      <x:c r="CE98" s="66" t="str">
        <x:f>IF($A98="","",MAX(0,MIN(100,100*INDEX('Setari model'!$I$5:$I$11,MATCH($E98,'Setari model'!$A$5:$A$11,0))*('Setari model'!$B$47*$CB98+'Setari model'!$B$48*$CC98+'Setari model'!$B$49*$CD98+'Setari model'!$B$50*$AT98/5+'Setari model'!$B$51*$AU98)-100*'Setari model'!$B$52*$BG98)))</x:f>
      </x:c>
      <x:c r="CF98" s="65" t="str">
        <x:f t="shared" si="122">IF($A98="","",IF(OR($AT98&lt;3,$BG98&gt;=2,$CB98&lt;0.55,$CC98&lt;0.4),"RIDICAT",IF(OR($AU98=0,$CD98&lt;0.45,$BR98&lt;0.9),"MEDIU","SCĂZUT")))</x:f>
      </x:c>
      <x:c r="CG98" s="65" t="str">
        <x:f>IF($A98="","",IF($AR98&gt;1,IF(AND($BW98&gt;= 'Setari model'!$B$35,$CE98&gt;=100*'Setari model'!$B$36,$BZ98&gt;= 'Setari model'!$B$37,$CA98&gt;= 'Setari model'!$B$38,$CF98&lt;&gt;"RIDICAT"),"PARIU RECOMANDAT",IF(AND($BW98&gt;= 'Setari model'!$B$39,$CE98&gt;=100*'Setari model'!$B$40,$BZ98&gt;= 'Setari model'!$B$41,$CA98&gt;=0,$CF98&lt;&gt;"RIDICAT"),"RECOMANDAT CU PRUDENȚĂ",IF(AND($BW98&gt;= 'Setari model'!$B$42,$CE98&gt;=100*'Setari model'!$B$43),"ANALIZĂ NECONCLUDENTĂ","PARIU EVITAT"))),IF(AND($BW98&gt;= 'Setari model'!$B$35,$CE98&gt;=100*'Setari model'!$B$36,$CF98&lt;&gt;"RIDICAT"),"FAVORABIL STATISTIC – VERIFICĂ COTA",IF(AND($BW98&gt;= 'Setari model'!$B$42,$CE98&gt;=100*'Setari model'!$B$43),"ANALIZĂ NECONCLUDENTĂ","PARIU EVITAT"))))</x:f>
      </x:c>
      <x:c r="CH98" s="67" t="str">
        <x:f t="shared" si="123">IF($A98="","","P(O0,5)="&amp;TEXT($BW98,"0.0%")&amp;"; λ ajustat="&amp;TEXT($BS98,"0.00")&amp;"; Confidence="&amp;TEXT($CE98,"0")&amp;"/100; Edge="&amp;TEXT($BZ98,"0.0%")&amp;"; risc="&amp;$CF98&amp;". "&amp;$BH98)</x:f>
      </x:c>
      <x:c r="CI98" s="68" t="str">
        <x:f t="shared" si="124">IF($A98="","",$BI98)</x:f>
      </x:c>
      <x:c r="CJ98" s="112"/>
      <x:c r="CK98" s="112"/>
      <x:c r="CL98" s="112"/>
      <x:c r="CM98" s="112"/>
      <x:c r="CN98" s="112"/>
      <x:c r="CO98" s="112"/>
      <x:c r="CP98" s="112"/>
      <x:c r="CQ98" s="112"/>
      <x:c r="CR98" s="112"/>
      <x:c r="CS98" s="112"/>
      <x:c r="CT98" s="112"/>
      <x:c r="CU98" s="112"/>
      <x:c r="CV98" s="112"/>
      <x:c r="CW98" s="112"/>
      <x:c r="CX98" s="112"/>
      <x:c r="CY98" s="112"/>
      <x:c r="CZ98" s="112"/>
      <x:c r="DA98" s="112"/>
      <x:c r="DB98" s="112"/>
      <x:c r="DC98" s="114"/>
      <x:c r="DD98" s="114"/>
      <x:c r="DE98" s="112" t="s">
        <x:v>266</x:v>
      </x:c>
      <x:c r="DF98" s="112"/>
      <x:c r="DG98" s="112"/>
      <x:c r="DH98" s="112"/>
      <x:c r="DI98" s="112"/>
      <x:c r="DJ98" s="112"/>
      <x:c r="DK98" s="112"/>
      <x:c r="DL98" s="112"/>
      <x:c r="DM98" s="112"/>
      <x:c r="DN98" s="112"/>
      <x:c r="DO98" s="112"/>
      <x:c r="DP98" s="112"/>
      <x:c r="DQ98" s="114"/>
      <x:c r="DR98" s="112">
        <x:v>1</x:v>
      </x:c>
      <x:c r="DS98" s="116">
        <x:v>0</x:v>
      </x:c>
      <x:c r="DT98" s="120"/>
      <x:c r="DU98" s="116">
        <x:v>0.02</x:v>
      </x:c>
      <x:c r="DV98" s="116">
        <x:v>0.25</x:v>
      </x:c>
      <x:c r="DW98" s="118" t="str">
        <x:f>IF($A98="","",MAX('Setari model'!$B$71,MIN('Setari model'!$B$72,1+0.08*(IFERROR(AVERAGE($CM98:$CN98)/'Setari model'!$B$66,1)-1)+0.08*(IFERROR(AVERAGE($CO98:$CP98)/'Setari model'!$B$67,1)-1)+0.06*(IFERROR(AVERAGE($CQ98:$CR98)/'Setari model'!$B$68,1)-1)+0.04*(IFERROR(AVERAGE($CS98:$CT98)/'Setari model'!$B$69,1)-1)+0.04*(IFERROR(AVERAGE($CU98:$CV98)/'Setari model'!$B$70,1)-1)-'Setari model'!$B$73*IFERROR(AVERAGE($CW98:$CX98),0))))</x:f>
      </x:c>
      <x:c r="DX98" s="118" t="str">
        <x:f>IF($A98="","",1+'Setari model'!$B$62*MAX(IF(OR($CK98=1,$CL98=1),1,0),IF(AND($CJ98&lt;&gt;"",$CJ98&lt;=1),1,0))+'Setari model'!$B$63*IF(AND($CJ98&gt;1,$CJ98&lt;=3),1,0))</x:f>
      </x:c>
      <x:c r="DY98" s="118" t="str">
        <x:f>IF($A98="","",1+'Setari model'!$B$74*(IF($CY98="",0,IF($CY98=0,1,0))+IF($CZ98="",0,IF($CZ98=0,1,0)))+'Setari model'!$B$75*(IF($DA98="",0,IF($DA98=0,1,0))+IF($DB98="",0,IF($DB98=0,1,0))))</x:f>
      </x:c>
      <x:c r="DZ98" s="117" t="str">
        <x:f>IF($A98="","",MIN(0.6,MAX(0.002,(((1-'Setari model'!$B$34*MIN(1,($I98+$P98)/20))*$BT98+'Setari model'!$B$34*MIN(1,($I98+$P98)/20)*IF(COUNT($N98,$U98)=2,SQRT(MAX(0,1-$N98)*MAX(0,1-$U98)),$BT98))*(1-'Setari model'!$B$65*MIN(1,IF($AN98="",0,$AN98/'Setari model'!$B$64)))+'Setari model'!$B$65*MIN(1,IF($AN98="",0,$AN98/'Setari model'!$B$64))*IF($AM98="",$BT98,$AM98))*$DX98*$DY98/$DW98)))</x:f>
      </x:c>
      <x:c r="EA98" s="117" t="str">
        <x:f>IF($A98="","",MIN(1-$DZ98,IF(OR(MIN($I98,$P98)&lt;'Setari model'!$B$58,$CK98=1,$CL98=1,AND($CJ98&lt;&gt;"",$CJ98&lt;=1)),'Setari model'!$B$59,IF(AND($AU98=1,$AR98&gt;1,COUNT($CY98:$DB98)=4),'Setari model'!$B$61,'Setari model'!$B$60))))</x:f>
      </x:c>
      <x:c r="EB98" s="115" t="str">
        <x:f t="shared" si="125">IF($A98="","",1/$EA98)</x:f>
      </x:c>
      <x:c r="EC98" s="117" t="str">
        <x:f t="shared" si="126">IF($A98="","",IF($AR98&gt;1,IF($AS98&gt;1,(1/$AR98)/((1/$AR98)+(1/$AS98)),1/$AR98),""))</x:f>
      </x:c>
      <x:c r="ED98" s="117" t="str">
        <x:f t="shared" si="127">IF($A98="","",IF($EC98="","",$EA98-$EC98))</x:f>
      </x:c>
      <x:c r="EE98" s="117" t="str">
        <x:f t="shared" si="128">""</x:f>
      </x:c>
      <x:c r="EF98" s="119" t="str">
        <x:f>IF($A98="","",MAX(0,MIN(100,$CE98-200*MAX(0,$EG98-'Setari model'!$B$77)-IF($AU98&lt;&gt;1,10,0)-IF(COUNT($CY98:$DB98)&lt;4,4,0))))</x:f>
      </x:c>
      <x:c r="EG98" s="117" t="str">
        <x:f>IF($A98="","",'Setari model'!$B$77+IF(MIN($I98,$P98)&lt;'Setari model'!$B$58,0.03,0)+IF(OR($CK98=1,$CL98=1,AND($CJ98&lt;&gt;"",$CJ98&lt;=1)),0.03,0)+IF($AG98=0,0.02,0)+0.03*(1-MIN(1,COUNT($CM98:$CV98)/10))+0.03*(1-MIN(1,IF($AN98="",0,$AN98/'Setari model'!$B$64)))+IF($AR98&lt;=1,0.02,0))</x:f>
      </x:c>
      <x:c r="EH98" s="113" t="str">
        <x:f>IF($A98="","",IF(OR(MIN($I98,$P98)&lt;'Setari model'!$B$58,$CK98=1,$CL98=1,AND($CJ98&lt;&gt;"",$CJ98&lt;=1)),"92% – early/regim",IF(AND($AU98=1,$AR98&gt;1,COUNT($CY98:$DB98)=4),"94% – confirmat","93% – standard")))</x:f>
      </x:c>
      <x:c r="EI98" s="113" t="str">
        <x:f t="shared" si="129">IF($A98="","",IF(AND($EA98&gt;0.9,$AU98&lt;&gt;1),"WAIT XI – HIGH P",IF(AND($EA98&gt;0.9,COUNT($CY98:$DB98)&lt;4),"WAIT DATE CHEIE – HIGH P",IF($EP98&lt;&gt;"DA","NU – PORTOFOLIU","DA"))))</x:f>
      </x:c>
      <x:c r="EJ98" s="117" t="str">
        <x:f t="shared" si="130">IF($A98="","",IF($DE98&lt;&gt;"Live 20-30","",IF(SUM($DG98:$DH98)&gt;0,1,IF($EU98="","",1-MIN(0.95,MAX(0.001,EXP(-$EU98)*$DX98*$DY98/$DW98))))))</x:f>
      </x:c>
      <x:c r="EK98" s="117" t="str">
        <x:f t="shared" si="131">""</x:f>
      </x:c>
      <x:c r="EL98" s="113" t="str">
        <x:f>IF($A98="","",IF($DE98="Live 20-30",IF(SUM($DG98:$DH98)&gt;0,"EVENIMENT ÎNDEPLINIT",IF(OR($DF98="",COUNT($DI98:$DN98)&lt;4),"LIVE – WATCH",IF($EJ98&gt;=0.75,"LIVE – FEZABIL TEHNIC","LIVE – NO BET"))),IF($EI98&lt;&gt;"DA","WATCH / NO BET",IF(AND($EA98&gt;=INDEX('Setari model'!$B$35:$B$40,1),$EF98&gt;=100*'Setari model'!$B$76),"PARIU RECOMANDAT",IF(AND($EA98&gt;=INDEX('Setari model'!$B$35:$B$40,5),$EF98&gt;=100*'Setari model'!$B$40),"WATCH – APROAPE DE PRAG","PARIU EVITAT")))))</x:f>
      </x:c>
      <x:c r="EM98" s="113" t="str">
        <x:f t="shared" si="132">IF($A98="","",IF($DE98="Live 20-30",IF(SUM($DG98:$DH98)&gt;0,"Gol deja marcat.",IF($DF98="","Minut live lipsă.",IF(COUNT($DI98:$DN98)&lt;4,"Lipsesc xG/SOT/big chances live.",IF($EJ98&lt;0.75,"P live sub prag.","Semnal live tehnic complet; EV ignorat.")))),IF($EI98&lt;&gt;"DA",$EI98,IF($EF98&lt;75,"Confidence sub 75.",IF($EA98&lt;0.92,"P sub 92%.","G0/Zero-Mass + confidence trecute; EV ignorat.")))))</x:f>
      </x:c>
      <x:c r="EN98" s="117" t="str">
        <x:f>IF($A98="","",IF(OR($EL98="PARIU RECOMANDAT",$EL98="LIVE – FEZABIL"),MIN(IF($DU98&gt;0,$DU98,'Setari model'!$B$81)/MAX(1,$DR98),IF($DV98&gt;0,$DV98,'Setari model'!$B$80)*MAX(0,((IF($DE98="Live 20-30",$EJ98,$EA98)*IF($DE98="Live 20-30",$DQ98,$AR98)-1)/(IF($DE98="Live 20-30",$DQ98,$AR98)-1)))),0))</x:f>
      </x:c>
      <x:c r="EO98" s="121" t="str">
        <x:f t="shared" si="133">IF($A98="","",IF(AND($EN98&gt;0,$DT98&gt;0),$EN98*$DT98,""))</x:f>
      </x:c>
      <x:c r="EP98" s="113" t="str">
        <x:f>IF($A98="","",IF(OR($DR98&lt;1,$DR98&gt;'Setari model'!$B$78),"NU – 1–5 selecții",IF($DS98&gt;'Setari model'!$B$79,"NU – corelație", "DA")))</x:f>
      </x:c>
      <x:c r="EQ98" s="117" t="str">
        <x:f t="shared" si="134">IF($A98="","",IF(AND($DC98&gt;1,$DD98&gt;1),$DC98/$DD98-1,""))</x:f>
      </x:c>
      <x:c r="ER98" s="113" t="str">
        <x:f t="shared" si="135">IF($A98="","","P v2="&amp;TEXT($EA98,"0.0%")&amp;" ±"&amp;TEXT($EG98,"0.0%")&amp;"; P0 ZIP="&amp;TEXT($DZ98,"0.0%")&amp;"; Confidence="&amp;TEXT($EF98,"0")&amp;"/100; piață reală="&amp;IF($EC98="","NU","DA")&amp;"; EV="&amp;IF($EE98="","n/a",TEXT($EE98,"0.0%"))&amp;"; gate="&amp;$EI98&amp;"; verdict="&amp;$EL98&amp;". "&amp;$EM98)</x:f>
      </x:c>
      <x:c r="ES98" s="119" t="str">
        <x:f>IF($A98="","",'Setari model'!$B$82)</x:f>
      </x:c>
      <x:c r="ET98" s="118" t="str">
        <x:f>IF($A98="","",'Setari model'!$B$83)</x:f>
      </x:c>
      <x:c r="EU98" s="115" t="str">
        <x:f t="shared" si="136">IF(OR($A98="",$DE98&lt;&gt;"Live 20-30",$DF98="",$DF98&lt;$ES98,$DF98&gt;=90),"",MAX(0.05,MIN($BS98*$ET98,$BS98*(90-$DF98)/90+0.35*($DI98+$DJ98)+0.06*($DK98+$DL98)+0.15*($DM98+$DN98)+0.1*(MAX($DO98,$DP98)-MIN($DO98,$DP98)))))</x:f>
      </x:c>
      <x:c r="EV98" s="132"/>
      <x:c r="EW98" s="132"/>
      <x:c r="EX98" s="132"/>
      <x:c r="EY98" s="132"/>
      <x:c r="EZ98" s="132"/>
      <x:c r="FA98" s="132"/>
      <x:c r="FB98" s="247"/>
      <x:c r="FC98" s="134" t="str">
        <x:f t="shared" si="137">IF($A98="","",IF(OR($J98="",$L98="",$L98&lt;=0),"",MAX(0.5,MIN(1.5,$J98/$L98))))</x:f>
      </x:c>
      <x:c r="FD98" s="134" t="str">
        <x:f t="shared" si="138">IF($A98="","",IF(OR($Q98="",$S98="",$S98&lt;=0),"",MAX(0.5,MIN(1.5,$Q98/$S98))))</x:f>
      </x:c>
      <x:c r="FE98" s="134" t="str">
        <x:f>IF($A98="","",IF(COUNT($EV98:$EW98)&lt;2,"",SQRT($EV98*$EW98)/'Setari model'!$B$87))</x:f>
      </x:c>
      <x:c r="FF98" s="134" t="str">
        <x:f>IF($A98="","",IF(COUNT($O98,$V98,$EX98,$EY98)&lt;4,"",AVERAGE(SQRT($O98*$EY98),SQRT($V98*$EX98))/'Setari model'!$B$88))</x:f>
      </x:c>
      <x:c r="FG98" s="134" t="str">
        <x:f t="shared" si="139">IF($A98="","",IF(COUNT($FC98:$FD98)&lt;2,"",MAX(0,1-AVERAGE($FC98:$FD98))))</x:f>
      </x:c>
      <x:c r="FH98" s="134" t="str">
        <x:f>IF($A98="","",IF(COUNT($EZ98:$FA98)&lt;2,"",'Setari model'!$B$94*AVERAGE($EZ98:$FA98)/'Setari model'!$B$89))</x:f>
      </x:c>
      <x:c r="FI98" s="134" t="str">
        <x:f>IF($A98="","",IF(COUNT($FE98:$FH98)&lt;4,"",MAX('Setari model'!$B$97,MIN('Setari model'!$B$98,1+'Setari model'!$B$90*($FE98-1)+'Setari model'!$B$91*($FF98-1)+'Setari model'!$B$92*$FG98+'Setari model'!$B$93*($FH98-1)))))</x:f>
      </x:c>
      <x:c r="FJ98" s="133" t="str">
        <x:f>IF($A98="","",IF($FI98="","",MIN('Setari model'!$B$101,MAX(0.002,$DZ98*$FI98))))</x:f>
      </x:c>
      <x:c r="FK98" s="131" t="str">
        <x:f t="shared" si="140">IF($A98="","",IF(AND(COUNT($EV98:$FA98)=6,COUNT($O98,$V98,$FC98,$FD98)=4),"DA","NU"))</x:f>
      </x:c>
      <x:c r="FL98" s="131" t="str">
        <x:f>IF($A98="","",IF($FK98&lt;&gt;"DA","NEDETERMINAT",IF($FI98&lt;='Setari model'!$B$99,"SCĂZUT",IF($FI98&lt;='Setari model'!$B$100,"MEDIU","RIDICAT"))))</x:f>
      </x:c>
      <x:c r="FM98" s="131" t="str">
        <x:f>IF($A98="","",IF(AND($AR98&gt;1,$EC98&gt;='Setari model'!$B$106),"DA","NU"))</x:f>
      </x:c>
      <x:c r="FN98" s="131" t="str">
        <x:f t="shared" si="141">IF($A98="","",IF(AND($AU98=1,COUNT($CY98:$DB98)=4),"DA","NU"))</x:f>
      </x:c>
      <x:c r="FO98" s="133" t="str">
        <x:f>IF($A98="","",IF(OR($FK98&lt;&gt;"DA",$FL98="RIDICAT"),'Setari model'!$B$102,IF($FL98="MEDIU",'Setari model'!$B$103,IF(AND($FM98="DA",$FN98="DA"),'Setari model'!$B$105,'Setari model'!$B$104))))</x:f>
      </x:c>
      <x:c r="FP98" s="133" t="str">
        <x:f t="shared" si="142">IF($A98="","",IF($FJ98="","",MIN(1-$FJ98,$FO98)))</x:f>
      </x:c>
      <x:c r="FQ98" s="135" t="str">
        <x:f t="shared" si="143">IF($A98="","",IF($FP98="","",IF($FP98&gt;0,1/$FP98,"")))</x:f>
      </x:c>
      <x:c r="FR98" s="133" t="str">
        <x:f t="shared" si="144">IF($A98="","",IF($EC98="","",$FP98-$EC98))</x:f>
      </x:c>
      <x:c r="FS98" s="133" t="str">
        <x:f t="shared" si="145">IF($A98="","",IF($AR98&gt;1,$FP98*$AR98-1,""))</x:f>
      </x:c>
      <x:c r="FT98" s="136" t="str">
        <x:f>IF($A98="","",MAX(0,MIN(100,$EF98-IF($FK98&lt;&gt;"DA",'Setari model'!$B$107,0)-IF($FL98="MEDIU",'Setari model'!$B$108,0)-IF($FL98="RIDICAT",'Setari model'!$B$109,0))))</x:f>
      </x:c>
      <x:c r="FU98" s="131" t="str">
        <x:f t="shared" si="146">IF($A98="","",IF($AR98&lt;=1,"NU – LIPSEȘTE COTA REALĂ",IF($FK98&lt;&gt;"DA","NU – ZERO-RISK INCOMPLET",IF($FL98&lt;&gt;"SCĂZUT","NU – RISC 0-0 "&amp;$FL98,IF($FN98&lt;&gt;"DA","NU – LINEUP NECONFIRMAT",IF($FM98&lt;&gt;"DA","NU – PIAȚĂ NECONFIRMATĂ",IF($EP98&lt;&gt;"DA","NU – PORTOFOLIU","DA")))))))</x:f>
      </x:c>
      <x:c r="FV98" s="131" t="str">
        <x:f>IF($A98="","",IF($FU98&lt;&gt;"DA","WATCH / NO BET",IF(AND($FP98&gt;='Setari model'!$B$35,$FT98&gt;=100*'Setari model'!$B$76,$FS98&gt;0),"PARIU RECOMANDAT",IF(AND($FP98&gt;='Setari model'!$B$39,$FT98&gt;=100*'Setari model'!$B$40,$FS98&gt;0),"WATCH – APROAPE DE PRAG","PARIU EVITAT"))))</x:f>
      </x:c>
      <x:c r="FW98" s="131" t="str">
        <x:f t="shared" si="147">IF($A98="","",IF($FU98&lt;&gt;"DA",$FU98,IF($FT98&lt;75,"Confidence v3 sub 75.",IF($FP98&lt;0.92,"P v3 sub 92%.",IF($FS98&lt;=0,"EV v3 nepozitiv.","P0 v3, lineup și piață confirmate.")))))</x:f>
      </x:c>
      <x:c r="FX98" s="131" t="str">
        <x:f t="shared" si="148">IF($A98="","","P v3="&amp;TEXT($FP98,"0.0%")&amp;"; P0 v3="&amp;TEXT($FJ98,"0.0%")&amp;"; factor zero="&amp;IF($FI98="","n/a",TEXT($FI98,"0.00x"))&amp;" ("&amp;$FL98&amp;"); cap="&amp;TEXT($FO98,"0.0%")&amp;"; Confidence="&amp;TEXT($FT98,"0")&amp;"/100; lineup="&amp;$FN98&amp;"; piață="&amp;$FM98&amp;"; EV="&amp;IF($FS98="","n/a",TEXT($FS98,"0.0%"))&amp;"; gate="&amp;$FU98&amp;"; verdict="&amp;$FV98&amp;". "&amp;$FW98)</x:f>
      </x:c>
      <x:c r="FY98" s="159"/>
      <x:c r="FZ98" s="159"/>
      <x:c r="GA98" s="157"/>
      <x:c r="GB98" s="157"/>
      <x:c r="GC98" s="161" t="str">
        <x:f t="shared" si="149">IF($A98="","",IF(OR($X98="",$Z98="",$Z98&lt;=0),"",MAX(0.5,MIN(1.5,$X98/$Z98))))</x:f>
      </x:c>
      <x:c r="GD98" s="161" t="str">
        <x:f t="shared" si="150">IF($A98="","",IF(OR($AC98="",$AE98="",$AE98&lt;=0),"",MAX(0.5,MIN(1.5,$AC98/$AE98))))</x:f>
      </x:c>
      <x:c r="GE98" s="162" t="str">
        <x:f t="shared" si="151">IF($A98="","",IF(COUNT($Z98,$AE98)&lt;2,"",AVERAGE($Z98,$AE98)))</x:f>
      </x:c>
      <x:c r="GF98" s="158" t="str">
        <x:f>IF($A98="","",IF(COUNT($FY98:$FZ98)&lt;2,"NEDETERMINAT",IF(AND($FY98&gt;='Setari model'!$B$113,$FZ98&gt;='Setari model'!$B$113),"DA","NU")))</x:f>
      </x:c>
      <x:c r="GG98" s="158" t="str">
        <x:f>IF($A98="","",IF(COUNT($FY98:$FZ98,$EX98:$EY98)&lt;4,"NEDETERMINAT",IF(OR(AND($FY98&gt;='Setari model'!$B$113,$EY98&gt;='Setari model'!$B$114),AND($FZ98&gt;='Setari model'!$B$113,$EX98&gt;='Setari model'!$B$114)),"DA","NU")))</x:f>
      </x:c>
      <x:c r="GH98" s="158" t="str">
        <x:f>IF($A98="","",IF(COUNT($BJ98:$BN98,$GC98:$GE98)&lt;8,"NEDETERMINAT",IF(AND((($BJ98*INDEX('Setari model'!$B$5:$B$11,MATCH($E98,'Setari model'!$A$5:$A$11,0))+$BK98*INDEX('Setari model'!$C$5:$C$11,MATCH($E98,'Setari model'!$A$5:$A$11,0))+$BL98*INDEX('Setari model'!$D$5:$D$11,MATCH($E98,'Setari model'!$A$5:$A$11,0))+$BM98*INDEX('Setari model'!$E$5:$E$11,MATCH($E98,'Setari model'!$A$5:$A$11,0))+$BN98*INDEX('Setari model'!$F$5:$F$11,MATCH($E98,'Setari model'!$A$5:$A$11,0)))/(INDEX('Setari model'!$B$5:$B$11,MATCH($E98,'Setari model'!$A$5:$A$11,0))+INDEX('Setari model'!$C$5:$C$11,MATCH($E98,'Setari model'!$A$5:$A$11,0))+INDEX('Setari model'!$D$5:$D$11,MATCH($E98,'Setari model'!$A$5:$A$11,0))+INDEX('Setari model'!$E$5:$E$11,MATCH($E98,'Setari model'!$A$5:$A$11,0))+INDEX('Setari model'!$F$5:$F$11,MATCH($E98,'Setari model'!$A$5:$A$11,0))))*$BR98&gt;='Setari model'!$B$115,(($BJ98*INDEX('Setari model'!$B$5:$B$11,MATCH($E98,'Setari model'!$A$5:$A$11,0))+$BK98*INDEX('Setari model'!$C$5:$C$11,MATCH($E98,'Setari model'!$A$5:$A$11,0))+$BL98*INDEX('Setari model'!$D$5:$D$11,MATCH($E98,'Setari model'!$A$5:$A$11,0))+$BM98*INDEX('Setari model'!$E$5:$E$11,MATCH($E98,'Setari model'!$A$5:$A$11,0))+$BN98*INDEX('Setari model'!$F$5:$F$11,MATCH($E98,'Setari model'!$A$5:$A$11,0)))/(INDEX('Setari model'!$B$5:$B$11,MATCH($E98,'Setari model'!$A$5:$A$11,0))+INDEX('Setari model'!$C$5:$C$11,MATCH($E98,'Setari model'!$A$5:$A$11,0))+INDEX('Setari model'!$D$5:$D$11,MATCH($E98,'Setari model'!$A$5:$A$11,0))+INDEX('Setari model'!$E$5:$E$11,MATCH($E98,'Setari model'!$A$5:$A$11,0))+INDEX('Setari model'!$F$5:$F$11,MATCH($E98,'Setari model'!$A$5:$A$11,0))))*$BR98&lt;='Setari model'!$B$116,AVERAGE($GC98:$GD98)&lt;='Setari model'!$B$117,$GE98&gt;='Setari model'!$B$118),"DA","NU")))</x:f>
      </x:c>
      <x:c r="GI98" s="158" t="str">
        <x:f>IF($A98="","",IF(COUNT($W98,$AB98,$GA98:$GB98)&lt;4,"NEDETERMINAT",IF(AND($W98&gt;='Setari model'!$B$120,$AB98&gt;='Setari model'!$B$120,OR(IFERROR($GA98/$W98,0)&gt;='Setari model'!$B$119,IFERROR($GB98/$AB98,0)&gt;='Setari model'!$B$119)),"DA","NU")))</x:f>
      </x:c>
      <x:c r="GJ98" s="160" t="str">
        <x:f>IF($A98="","",IF(COUNT($FY98:$GB98)&lt;4,"",IF($GH98&lt;&gt;"DA",0,'Setari model'!$B$121*IF($GF98="DA",1,0)+'Setari model'!$B$122*IF($GG98="DA",1,0)+'Setari model'!$B$123+'Setari model'!$B$124*IF($GI98="DA",1,0))))</x:f>
      </x:c>
      <x:c r="GK98" s="161" t="str">
        <x:f>IF($A98="","",IF(COUNT($GJ98)=0,"",1+'Setari model'!$B$125*$GJ98))</x:f>
      </x:c>
      <x:c r="GL98" s="160" t="str">
        <x:f>IF($A98="","",IF($GM98&lt;&gt;"DA",$FJ98,MIN('Setari model'!$B$101,MAX(0.002,$FJ98*$GK98))))</x:f>
      </x:c>
      <x:c r="GM98" s="158" t="str">
        <x:f>IF($A98="","",IF(AND($FK98="DA",COUNT($FY98:$GB98)=4,COUNT($I98,$P98,$W98,$AB98,$Z98,$AE98,$EX98,$EY98,$GC98,$GD98)=10,COUNT($BJ98:$BN98)=5),"DA","NU"))</x:f>
      </x:c>
      <x:c r="GN98" s="158" t="str">
        <x:f>IF($A98="","",IF($GM98&lt;&gt;"DA","NEDETERMINAT",IF($FI98*$GK98&lt;='Setari model'!$B$99,"SCĂZUT",IF($FI98*$GK98&lt;='Setari model'!$B$100,"MEDIU","RIDICAT"))))</x:f>
      </x:c>
      <x:c r="GO98" s="160" t="str">
        <x:f>IF($A98="","",IF(OR($GM98&lt;&gt;"DA",$GN98="RIDICAT"),'Setari model'!$B$102,IF($GN98="MEDIU",'Setari model'!$B$103,IF(AND($FM98="DA",$FN98="DA"),'Setari model'!$B$105,'Setari model'!$B$104))))</x:f>
      </x:c>
      <x:c r="GP98" s="160" t="str">
        <x:f t="shared" si="152">IF($A98="","",IF($GL98="","",MIN(1-$GL98,$GO98)))</x:f>
      </x:c>
      <x:c r="GQ98" s="162" t="str">
        <x:f t="shared" si="153">IF($A98="","",IF($GP98="","",IF($GP98&gt;0,1/$GP98,"")))</x:f>
      </x:c>
      <x:c r="GR98" s="160" t="str">
        <x:f t="shared" si="154">IF($A98="","",IF($EC98="","",$GP98-$EC98))</x:f>
      </x:c>
      <x:c r="GS98" s="160" t="str">
        <x:f t="shared" si="155">IF($A98="","",IF($AR98&gt;1,$GP98*$AR98-1,""))</x:f>
      </x:c>
      <x:c r="GT98" s="163" t="str">
        <x:f>IF($A98="","",MAX(0,MIN(100,$FT98-IF(AND($GM98&lt;&gt;"DA",$FK98="DA"),'Setari model'!$B$107,0)-'Setari model'!$B$126*IF($GJ98="",0,$GJ98))))</x:f>
      </x:c>
      <x:c r="GU98" s="158" t="str">
        <x:f t="shared" si="156">IF($A98="","",IF($AR98&lt;=1,"NU – LIPSEȘTE COTA REALĂ",IF($GM98&lt;&gt;"DA","NU – DATE LOW-CONVERSION INCOMPLETE",IF($GN98&lt;&gt;"SCĂZUT","NU – RISC 0-0 "&amp;$GN98,IF($FN98&lt;&gt;"DA","NU – LINEUP NECONFIRMAT",IF($FM98&lt;&gt;"DA","NU – PIAȚĂ NECONFIRMATĂ",IF($EP98&lt;&gt;"DA","NU – PORTOFOLIU","DA")))))))</x:f>
      </x:c>
      <x:c r="GV98" s="158" t="str">
        <x:f>IF($A98="","",IF($GU98&lt;&gt;"DA","WATCH / NO BET",IF(AND($GP98&gt;='Setari model'!$B$35,$GT98&gt;=100*'Setari model'!$B$76,$GS98&gt;0),"PARIU RECOMANDAT",IF(AND($GP98&gt;='Setari model'!$B$39,$GT98&gt;=100*'Setari model'!$B$40,$GS98&gt;0),"WATCH – APROAPE DE PRAG","PARIU EVITAT"))))</x:f>
      </x:c>
      <x:c r="GW98" s="158" t="str">
        <x:f t="shared" si="157">IF($A98="","",IF($GU98&lt;&gt;"DA",$GU98,IF($GT98&lt;75,"Confidence v5 sub 75.",IF($GP98&lt;0.92,"P v5 sub 92%.",IF($GS98&lt;=0,"EV v5 nepozitiv.",IF($GJ98&gt;0,"Low-conversion absorbit în P0; toate porțile rămân trecute.","Toate porțile v5 sunt trecute."))))))</x:f>
      </x:c>
      <x:c r="GX98" s="158" t="str">
        <x:f t="shared" si="158">IF($A98="","","P v5="&amp;TEXT($GP98,"0.0%")&amp;"; P0 v5="&amp;TEXT($GL98,"0.0%")&amp;"; low-conv="&amp;IF(COUNT($GJ98)=0,"n/a",TEXT($GJ98,"0%"))&amp;"; mult.P0="&amp;IF(COUNT($GK98)=0,"n/a",TEXT($GK98,"0.00"))&amp;"; clasă="&amp;$GN98&amp;"; cap="&amp;TEXT($GO98,"0.0%")&amp;"; Confidence="&amp;TEXT($GT98,"0")&amp;"/100; lineup="&amp;$FN98&amp;"; piață="&amp;$FM98&amp;"; EV="&amp;IF($GS98="","n/a",TEXT($GS98,"0.0%"))&amp;"; gate="&amp;$GU98&amp;"; verdict="&amp;$GV98&amp;". "&amp;$GW98)</x:f>
      </x:c>
      <x:c r="GY98" s="174" t="str">
        <x:f>IF($A98="","",IF($GM98&lt;&gt;"DA","SOURCING INCOMPLETE – REVIEW REQUIRED",IF(MIN($I98,$P98,$W98,$AB98)&lt;'Setari model'!$B$58,"SMALL SAMPLE + PRIOR / SHRINKAGE","VERIFIED / PRIOR / SHRINKAGE")))</x:f>
      </x:c>
      <x:c r="GZ98" s="175" t="str">
        <x:f t="shared" si="159">IF($A98="","",MAX(0,MIN(100,100*(1-AVERAGE(IF($GM98="DA",1,0),MIN(1,$AT98/5))))))</x:f>
      </x:c>
      <x:c r="HA98" s="175" t="str">
        <x:f>IF($A98="","",IF($GM98&lt;&gt;"DA","",MAX(0,MIN(100,100*(($FI98*$GK98)-'Setari model'!$B$97)/('Setari model'!$B$98-'Setari model'!$B$97)))))</x:f>
      </x:c>
      <x:c r="HB98" s="175" t="str">
        <x:f>IF($A98="","",MAX(0,MIN(100,100*(ABS($BR98-1)/MAX(1-'Setari model'!$B$53,'Setari model'!$B$54-1)+MIN(1,$BG98/2))/2)))</x:f>
      </x:c>
      <x:c r="HC98" s="175" t="str">
        <x:f t="shared" si="160">IF($A98="","",MAX(0,MIN(100,100*(1-AVERAGE($CC98,MAX(0,1-(MAX($BJ98:$BN98)-MIN($BJ98:$BN98))/(AVERAGE($BJ98:$BN98)*'Setari model'!$B$45)))))))</x:f>
      </x:c>
      <x:c r="HD98" s="175" t="str">
        <x:f t="shared" si="161">IF($A98="","",MAX(0,MIN(100,100*MAX(IF($GJ98="",0,$GJ98),MIN(1,$BG98/2)))))</x:f>
      </x:c>
      <x:c r="HE98" s="175" t="str">
        <x:f>IF($A98="","",IF(COUNT($GZ98:$HD98)&lt;5,"",$GZ98*Risk_Classification!$E$28+$HA98*Risk_Classification!$E$29+$HB98*Risk_Classification!$E$30+$HC98*Risk_Classification!$E$31+$HD98*Risk_Classification!$E$32))</x:f>
      </x:c>
      <x:c r="HF98" s="176" t="str">
        <x:f t="shared" si="162">IF($A98="","",IF($HE98="","",IF($HE98&lt;=20,1,IF($HE98&lt;=40,2,IF($HE98&lt;=60,3,IF($HE98&lt;=80,4,5))))))</x:f>
      </x:c>
      <x:c r="HG98" s="176" t="str">
        <x:f t="shared" si="163">IF($A98="","",IF($GM98="DA","PASS","FAIL – DATE CRITICE ZERO-MASS INCOMPLETE"))</x:f>
      </x:c>
      <x:c r="HH98" s="176" t="str">
        <x:f t="shared" si="164">IF($A98="","",IF($HG98&lt;&gt;"PASS",5,$HF98))</x:f>
      </x:c>
      <x:c r="HI98" s="174" t="str">
        <x:f t="shared" si="165">IF($A98="","",IF($HH98="","N/A",IF($HH98=1,"DEFENSIV",IF($HH98=2,"PRUDENT",IF($HH98=3,"MODERAT",IF($HH98=4,"RIDICAT","WATCH / NO BET"))))))</x:f>
      </x:c>
      <x:c r="HJ98" s="177" t="str">
        <x:f t="shared" si="166">IF($A98="","","Data="&amp;$GY98&amp;"; DQ="&amp;TEXT($GZ98,"0.0")&amp;"; ZM="&amp;IF($HA98="","n/a",TEXT($HA98,"0.0"))&amp;"; Context="&amp;TEXT($HB98,"0.0")&amp;"; Uncertainty="&amp;TEXT($HC98,"0.0")&amp;"; Compound="&amp;TEXT($HD98,"0.0")&amp;"; Risk Score="&amp;IF($HE98="","n/a",TEXT($HE98,"0.0"))&amp;"; Base="&amp;IF($HF98="","n/a",$HF98)&amp;"; G0="&amp;$HG98&amp;"; Final="&amp;$HH98&amp;". Cota, EV si lineup sunt informative si nu intra in recomandare.")</x:f>
      </x:c>
      <x:c r="HK98" s="174" t="str">
        <x:f t="shared" si="167">IF($A98="","",$HI98)</x:f>
      </x:c>
    </x:row>
    <x:row r="99" ht="24" customHeight="1">
      <x:c r="A99" s="58"/>
      <x:c r="B99" s="24"/>
      <x:c r="C99" s="59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18"/>
      <x:c r="O99" s="18"/>
      <x:c r="P99" s="24"/>
      <x:c r="Q99" s="24"/>
      <x:c r="R99" s="24"/>
      <x:c r="S99" s="24"/>
      <x:c r="T99" s="24"/>
      <x:c r="U99" s="18"/>
      <x:c r="V99" s="18"/>
      <x:c r="W99" s="24"/>
      <x:c r="X99" s="24"/>
      <x:c r="Y99" s="24"/>
      <x:c r="Z99" s="24"/>
      <x:c r="AA99" s="24"/>
      <x:c r="AB99" s="24"/>
      <x:c r="AC99" s="24"/>
      <x:c r="AD99" s="24"/>
      <x:c r="AE99" s="24"/>
      <x:c r="AF99" s="24"/>
      <x:c r="AG99" s="24"/>
      <x:c r="AH99" s="24"/>
      <x:c r="AI99" s="18"/>
      <x:c r="AJ99" s="24"/>
      <x:c r="AK99" s="24"/>
      <x:c r="AL99" s="24"/>
      <x:c r="AM99" s="18"/>
      <x:c r="AN99" s="24"/>
      <x:c r="AO99" s="60"/>
      <x:c r="AP99" s="60"/>
      <x:c r="AQ99" s="60"/>
      <x:c r="AR99" s="60"/>
      <x:c r="AS99" s="60"/>
      <x:c r="AT99" s="24"/>
      <x:c r="AU99" s="24"/>
      <x:c r="AV99" s="24"/>
      <x:c r="AW99" s="24"/>
      <x:c r="AX99" s="24"/>
      <x:c r="AY99" s="24"/>
      <x:c r="AZ99" s="24"/>
      <x:c r="BA99" s="24"/>
      <x:c r="BB99" s="24"/>
      <x:c r="BC99" s="24"/>
      <x:c r="BD99" s="24"/>
      <x:c r="BE99" s="24"/>
      <x:c r="BF99" s="24"/>
      <x:c r="BG99" s="24"/>
      <x:c r="BH99" s="61"/>
      <x:c r="BI99" s="61"/>
      <x:c r="BJ99" s="62" t="str">
        <x:f>IF($A99="","",SQRT((($I99*IF($J99="",$AJ99,$J99)+'Setari model'!$B$30*$AJ99)/($I99+'Setari model'!$B$30))*(($P99*IF($R99="",$AJ99,$R99)+'Setari model'!$B$30*$AJ99)/($P99+'Setari model'!$B$30)))+SQRT((($P99*IF($Q99="",$AK99,$Q99)+'Setari model'!$B$30*$AK99)/($P99+'Setari model'!$B$30))*(($I99*IF($K99="",$AK99,$K99)+'Setari model'!$B$30*$AK99)/($I99+'Setari model'!$B$30))))</x:f>
      </x:c>
      <x:c r="BK99" s="62" t="str">
        <x:f>IF($A99="","",SQRT((($I99*IF($L99="",IF($J99="",$AJ99,$J99),$L99)+'Setari model'!$B$30*$AJ99)/($I99+'Setari model'!$B$30))*(($P99*IF($T99="",IF($R99="",$AJ99,$R99),$T99)+'Setari model'!$B$30*$AJ99)/($P99+'Setari model'!$B$30)))+SQRT((($P99*IF($S99="",IF($Q99="",$AK99,$Q99),$S99)+'Setari model'!$B$30*$AK99)/($P99+'Setari model'!$B$30))*(($I99*IF($M99="",IF($K99="",$AK99,$K99),$M99)+'Setari model'!$B$30*$AK99)/($I99+'Setari model'!$B$30))))</x:f>
      </x:c>
      <x:c r="BL99" s="62" t="str">
        <x:f>IF($A99="","",SQRT((($W99*IF($X99="",$AL99/2,$X99)+'Setari model'!$B$31*$AL99/2)/($W99+'Setari model'!$B$31))*(($AB99*IF($AD99="",$AL99/2,$AD99)+'Setari model'!$B$31*$AL99/2)/($AB99+'Setari model'!$B$31)))+SQRT((($AB99*IF($AC99="",$AL99/2,$AC99)+'Setari model'!$B$31*$AL99/2)/($AB99+'Setari model'!$B$31))*(($W99*IF($Y99="",$AL99/2,$Y99)+'Setari model'!$B$31*$AL99/2)/($W99+'Setari model'!$B$31))))</x:f>
      </x:c>
      <x:c r="BM99" s="62" t="str">
        <x:f>IF($A99="","",SQRT((($W99*IF($Z99="",IF($X99="",$AL99/2,$X99),$Z99)+'Setari model'!$B$31*$AL99/2)/($W99+'Setari model'!$B$31))*(($AB99*IF($AF99="",IF($AD99="",$AL99/2,$AD99),$AF99)+'Setari model'!$B$31*$AL99/2)/($AB99+'Setari model'!$B$31)))+SQRT((($AB99*IF($AE99="",IF($AC99="",$AL99/2,$AC99),$AE99)+'Setari model'!$B$31*$AL99/2)/($AB99+'Setari model'!$B$31))*(($W99*IF($AA99="",IF($Y99="",$AL99/2,$Y99),$AA99)+'Setari model'!$B$31*$AL99/2)/($W99+'Setari model'!$B$31))))</x:f>
      </x:c>
      <x:c r="BN99" s="62" t="str">
        <x:f t="shared" si="112">IF($A99="","",IF($AG99&gt;0,($AG99*IF($AH99="",$AL99,$AH99)+5*$AL99)/($AG99+5),$AL99))</x:f>
      </x:c>
      <x:c r="BO99" s="63" t="str">
        <x:f>IF($A99="","",IF($AR99&gt;1,IF($AS99&gt;1,(1/$AR99)/((1/$AR99+1/$AS99)),MIN(0.995,(1/$AR99)/(1+'Setari model'!$B$32))),1-EXP(-$AL99)))</x:f>
      </x:c>
      <x:c r="BP99" s="62" t="str">
        <x:f t="shared" si="113">IF($A99="","",-LN(1-$BO99))</x:f>
      </x:c>
      <x:c r="BQ99" s="62" t="str">
        <x:f>IF($A99="","",$BJ99*INDEX('Setari model'!$B$5:$B$11,MATCH($E99,'Setari model'!$A$5:$A$11,0))+$BK99*INDEX('Setari model'!$C$5:$C$11,MATCH($E99,'Setari model'!$A$5:$A$11,0))+$BL99*INDEX('Setari model'!$D$5:$D$11,MATCH($E99,'Setari model'!$A$5:$A$11,0))+$BM99*INDEX('Setari model'!$E$5:$E$11,MATCH($E99,'Setari model'!$A$5:$A$11,0))+$BN99*INDEX('Setari model'!$F$5:$F$11,MATCH($E99,'Setari model'!$A$5:$A$11,0))+$BP99*INDEX('Setari model'!$G$5:$G$11,MATCH($E99,'Setari model'!$A$5:$A$11,0)))</x:f>
      </x:c>
      <x:c r="BR99" s="64" t="str">
        <x:f>IF($A99="","",MAX('Setari model'!$B$53,MIN('Setari model'!$B$54,1+($AV99*'Setari model'!$B$15+$AW99*'Setari model'!$B$16+$AX99*'Setari model'!$B$17+$AY99*'Setari model'!$B$18+$AZ99*'Setari model'!$B$19+$BA99*'Setari model'!$B$20+$BB99*'Setari model'!$B$21+$BC99*'Setari model'!$B$22+$BD99*'Setari model'!$B$23+$BE99*'Setari model'!$B$24+$BF99*'Setari model'!$B$25)*INDEX('Setari model'!$H$5:$H$11,MATCH($E99,'Setari model'!$A$5:$A$11,0)))))</x:f>
      </x:c>
      <x:c r="BS99" s="62" t="str">
        <x:f t="shared" si="114">IF($A99="","",$BQ99*$BR99)</x:f>
      </x:c>
      <x:c r="BT99" s="63" t="str">
        <x:f t="shared" si="115">IF($A99="","",EXP(-$BS99))</x:f>
      </x:c>
      <x:c r="BU99" s="65" t="str">
        <x:f>IF($A99="","",IF(OR($AM99="",$AN99=""),1,1+MIN('Setari model'!$B$33,$AN99/100*'Setari model'!$B$33)*($AM99/EXP(-$AL99)-1)))</x:f>
      </x:c>
      <x:c r="BV99" s="63" t="str">
        <x:f>IF($A99="","",MIN(0.45,MAX(0.005,(1-'Setari model'!$B$34*MIN(1,($I99+$P99)/20))*MIN(0.45,$BT99*$BU99)+'Setari model'!$B$34*MIN(1,($I99+$P99)/20)*IF(COUNT($N99,$U99)=2,SQRT(MAX(0,1-$N99)*MAX(0,1-$U99)),IF($AM99="",EXP(-$AL99),$AM99)))))</x:f>
      </x:c>
      <x:c r="BW99" s="63" t="str">
        <x:f t="shared" si="116">IF($A99="","",1-$BV99)</x:f>
      </x:c>
      <x:c r="BX99" s="62" t="str">
        <x:f t="shared" si="117">IF($A99="","",1/$BW99)</x:f>
      </x:c>
      <x:c r="BY99" s="63" t="str">
        <x:f t="shared" si="118">IF($A99="","",$BO99)</x:f>
      </x:c>
      <x:c r="BZ99" s="63" t="str">
        <x:f t="shared" si="119">IF($A99="","",$BW99-$BY99)</x:f>
      </x:c>
      <x:c r="CA99" s="63" t="str">
        <x:f t="shared" si="120">IF($A99="","",IF($AR99&gt;1,$BW99*$AR99-1,""))</x:f>
      </x:c>
      <x:c r="CB99" s="63" t="str">
        <x:f>IF($A99="","",MIN(1,COUNT($I99:$AN99,$AR99:$BG99)/'Setari model'!$B$46))</x:f>
      </x:c>
      <x:c r="CC99" s="63" t="str">
        <x:f t="shared" si="121">IF($A99="","",0.25*MIN(1,$I99/10)+0.25*MIN(1,$P99/10)+0.15*MIN(1,$W99/5)+0.15*MIN(1,$AB99/5)+0.1*MIN(1,$AG99/5)+0.1*MIN(1,$AN99/100))</x:f>
      </x:c>
      <x:c r="CD99" s="63" t="str">
        <x:f>IF($A99="","",MAX(0,1-(MAX($BJ99:$BN99,$BP99)-MIN($BJ99:$BN99,$BP99))/(AVERAGE($BJ99:$BN99,$BP99)*'Setari model'!$B$45)))</x:f>
      </x:c>
      <x:c r="CE99" s="66" t="str">
        <x:f>IF($A99="","",MAX(0,MIN(100,100*INDEX('Setari model'!$I$5:$I$11,MATCH($E99,'Setari model'!$A$5:$A$11,0))*('Setari model'!$B$47*$CB99+'Setari model'!$B$48*$CC99+'Setari model'!$B$49*$CD99+'Setari model'!$B$50*$AT99/5+'Setari model'!$B$51*$AU99)-100*'Setari model'!$B$52*$BG99)))</x:f>
      </x:c>
      <x:c r="CF99" s="65" t="str">
        <x:f t="shared" si="122">IF($A99="","",IF(OR($AT99&lt;3,$BG99&gt;=2,$CB99&lt;0.55,$CC99&lt;0.4),"RIDICAT",IF(OR($AU99=0,$CD99&lt;0.45,$BR99&lt;0.9),"MEDIU","SCĂZUT")))</x:f>
      </x:c>
      <x:c r="CG99" s="65" t="str">
        <x:f>IF($A99="","",IF($AR99&gt;1,IF(AND($BW99&gt;= 'Setari model'!$B$35,$CE99&gt;=100*'Setari model'!$B$36,$BZ99&gt;= 'Setari model'!$B$37,$CA99&gt;= 'Setari model'!$B$38,$CF99&lt;&gt;"RIDICAT"),"PARIU RECOMANDAT",IF(AND($BW99&gt;= 'Setari model'!$B$39,$CE99&gt;=100*'Setari model'!$B$40,$BZ99&gt;= 'Setari model'!$B$41,$CA99&gt;=0,$CF99&lt;&gt;"RIDICAT"),"RECOMANDAT CU PRUDENȚĂ",IF(AND($BW99&gt;= 'Setari model'!$B$42,$CE99&gt;=100*'Setari model'!$B$43),"ANALIZĂ NECONCLUDENTĂ","PARIU EVITAT"))),IF(AND($BW99&gt;= 'Setari model'!$B$35,$CE99&gt;=100*'Setari model'!$B$36,$CF99&lt;&gt;"RIDICAT"),"FAVORABIL STATISTIC – VERIFICĂ COTA",IF(AND($BW99&gt;= 'Setari model'!$B$42,$CE99&gt;=100*'Setari model'!$B$43),"ANALIZĂ NECONCLUDENTĂ","PARIU EVITAT"))))</x:f>
      </x:c>
      <x:c r="CH99" s="67" t="str">
        <x:f t="shared" si="123">IF($A99="","","P(O0,5)="&amp;TEXT($BW99,"0.0%")&amp;"; λ ajustat="&amp;TEXT($BS99,"0.00")&amp;"; Confidence="&amp;TEXT($CE99,"0")&amp;"/100; Edge="&amp;TEXT($BZ99,"0.0%")&amp;"; risc="&amp;$CF99&amp;". "&amp;$BH99)</x:f>
      </x:c>
      <x:c r="CI99" s="68" t="str">
        <x:f t="shared" si="124">IF($A99="","",$BI99)</x:f>
      </x:c>
      <x:c r="CJ99" s="112"/>
      <x:c r="CK99" s="112"/>
      <x:c r="CL99" s="112"/>
      <x:c r="CM99" s="112"/>
      <x:c r="CN99" s="112"/>
      <x:c r="CO99" s="112"/>
      <x:c r="CP99" s="112"/>
      <x:c r="CQ99" s="112"/>
      <x:c r="CR99" s="112"/>
      <x:c r="CS99" s="112"/>
      <x:c r="CT99" s="112"/>
      <x:c r="CU99" s="112"/>
      <x:c r="CV99" s="112"/>
      <x:c r="CW99" s="112"/>
      <x:c r="CX99" s="112"/>
      <x:c r="CY99" s="112"/>
      <x:c r="CZ99" s="112"/>
      <x:c r="DA99" s="112"/>
      <x:c r="DB99" s="112"/>
      <x:c r="DC99" s="114"/>
      <x:c r="DD99" s="114"/>
      <x:c r="DE99" s="112" t="s">
        <x:v>266</x:v>
      </x:c>
      <x:c r="DF99" s="112"/>
      <x:c r="DG99" s="112"/>
      <x:c r="DH99" s="112"/>
      <x:c r="DI99" s="112"/>
      <x:c r="DJ99" s="112"/>
      <x:c r="DK99" s="112"/>
      <x:c r="DL99" s="112"/>
      <x:c r="DM99" s="112"/>
      <x:c r="DN99" s="112"/>
      <x:c r="DO99" s="112"/>
      <x:c r="DP99" s="112"/>
      <x:c r="DQ99" s="114"/>
      <x:c r="DR99" s="112">
        <x:v>1</x:v>
      </x:c>
      <x:c r="DS99" s="116">
        <x:v>0</x:v>
      </x:c>
      <x:c r="DT99" s="120"/>
      <x:c r="DU99" s="116">
        <x:v>0.02</x:v>
      </x:c>
      <x:c r="DV99" s="116">
        <x:v>0.25</x:v>
      </x:c>
      <x:c r="DW99" s="118" t="str">
        <x:f>IF($A99="","",MAX('Setari model'!$B$71,MIN('Setari model'!$B$72,1+0.08*(IFERROR(AVERAGE($CM99:$CN99)/'Setari model'!$B$66,1)-1)+0.08*(IFERROR(AVERAGE($CO99:$CP99)/'Setari model'!$B$67,1)-1)+0.06*(IFERROR(AVERAGE($CQ99:$CR99)/'Setari model'!$B$68,1)-1)+0.04*(IFERROR(AVERAGE($CS99:$CT99)/'Setari model'!$B$69,1)-1)+0.04*(IFERROR(AVERAGE($CU99:$CV99)/'Setari model'!$B$70,1)-1)-'Setari model'!$B$73*IFERROR(AVERAGE($CW99:$CX99),0))))</x:f>
      </x:c>
      <x:c r="DX99" s="118" t="str">
        <x:f>IF($A99="","",1+'Setari model'!$B$62*MAX(IF(OR($CK99=1,$CL99=1),1,0),IF(AND($CJ99&lt;&gt;"",$CJ99&lt;=1),1,0))+'Setari model'!$B$63*IF(AND($CJ99&gt;1,$CJ99&lt;=3),1,0))</x:f>
      </x:c>
      <x:c r="DY99" s="118" t="str">
        <x:f>IF($A99="","",1+'Setari model'!$B$74*(IF($CY99="",0,IF($CY99=0,1,0))+IF($CZ99="",0,IF($CZ99=0,1,0)))+'Setari model'!$B$75*(IF($DA99="",0,IF($DA99=0,1,0))+IF($DB99="",0,IF($DB99=0,1,0))))</x:f>
      </x:c>
      <x:c r="DZ99" s="117" t="str">
        <x:f>IF($A99="","",MIN(0.6,MAX(0.002,(((1-'Setari model'!$B$34*MIN(1,($I99+$P99)/20))*$BT99+'Setari model'!$B$34*MIN(1,($I99+$P99)/20)*IF(COUNT($N99,$U99)=2,SQRT(MAX(0,1-$N99)*MAX(0,1-$U99)),$BT99))*(1-'Setari model'!$B$65*MIN(1,IF($AN99="",0,$AN99/'Setari model'!$B$64)))+'Setari model'!$B$65*MIN(1,IF($AN99="",0,$AN99/'Setari model'!$B$64))*IF($AM99="",$BT99,$AM99))*$DX99*$DY99/$DW99)))</x:f>
      </x:c>
      <x:c r="EA99" s="117" t="str">
        <x:f>IF($A99="","",MIN(1-$DZ99,IF(OR(MIN($I99,$P99)&lt;'Setari model'!$B$58,$CK99=1,$CL99=1,AND($CJ99&lt;&gt;"",$CJ99&lt;=1)),'Setari model'!$B$59,IF(AND($AU99=1,$AR99&gt;1,COUNT($CY99:$DB99)=4),'Setari model'!$B$61,'Setari model'!$B$60))))</x:f>
      </x:c>
      <x:c r="EB99" s="115" t="str">
        <x:f t="shared" si="125">IF($A99="","",1/$EA99)</x:f>
      </x:c>
      <x:c r="EC99" s="117" t="str">
        <x:f t="shared" si="126">IF($A99="","",IF($AR99&gt;1,IF($AS99&gt;1,(1/$AR99)/((1/$AR99)+(1/$AS99)),1/$AR99),""))</x:f>
      </x:c>
      <x:c r="ED99" s="117" t="str">
        <x:f t="shared" si="127">IF($A99="","",IF($EC99="","",$EA99-$EC99))</x:f>
      </x:c>
      <x:c r="EE99" s="117" t="str">
        <x:f t="shared" si="128">""</x:f>
      </x:c>
      <x:c r="EF99" s="119" t="str">
        <x:f>IF($A99="","",MAX(0,MIN(100,$CE99-200*MAX(0,$EG99-'Setari model'!$B$77)-IF($AU99&lt;&gt;1,10,0)-IF(COUNT($CY99:$DB99)&lt;4,4,0))))</x:f>
      </x:c>
      <x:c r="EG99" s="117" t="str">
        <x:f>IF($A99="","",'Setari model'!$B$77+IF(MIN($I99,$P99)&lt;'Setari model'!$B$58,0.03,0)+IF(OR($CK99=1,$CL99=1,AND($CJ99&lt;&gt;"",$CJ99&lt;=1)),0.03,0)+IF($AG99=0,0.02,0)+0.03*(1-MIN(1,COUNT($CM99:$CV99)/10))+0.03*(1-MIN(1,IF($AN99="",0,$AN99/'Setari model'!$B$64)))+IF($AR99&lt;=1,0.02,0))</x:f>
      </x:c>
      <x:c r="EH99" s="113" t="str">
        <x:f>IF($A99="","",IF(OR(MIN($I99,$P99)&lt;'Setari model'!$B$58,$CK99=1,$CL99=1,AND($CJ99&lt;&gt;"",$CJ99&lt;=1)),"92% – early/regim",IF(AND($AU99=1,$AR99&gt;1,COUNT($CY99:$DB99)=4),"94% – confirmat","93% – standard")))</x:f>
      </x:c>
      <x:c r="EI99" s="113" t="str">
        <x:f t="shared" si="129">IF($A99="","",IF(AND($EA99&gt;0.9,$AU99&lt;&gt;1),"WAIT XI – HIGH P",IF(AND($EA99&gt;0.9,COUNT($CY99:$DB99)&lt;4),"WAIT DATE CHEIE – HIGH P",IF($EP99&lt;&gt;"DA","NU – PORTOFOLIU","DA"))))</x:f>
      </x:c>
      <x:c r="EJ99" s="117" t="str">
        <x:f t="shared" si="130">IF($A99="","",IF($DE99&lt;&gt;"Live 20-30","",IF(SUM($DG99:$DH99)&gt;0,1,IF($EU99="","",1-MIN(0.95,MAX(0.001,EXP(-$EU99)*$DX99*$DY99/$DW99))))))</x:f>
      </x:c>
      <x:c r="EK99" s="117" t="str">
        <x:f t="shared" si="131">""</x:f>
      </x:c>
      <x:c r="EL99" s="113" t="str">
        <x:f>IF($A99="","",IF($DE99="Live 20-30",IF(SUM($DG99:$DH99)&gt;0,"EVENIMENT ÎNDEPLINIT",IF(OR($DF99="",COUNT($DI99:$DN99)&lt;4),"LIVE – WATCH",IF($EJ99&gt;=0.75,"LIVE – FEZABIL TEHNIC","LIVE – NO BET"))),IF($EI99&lt;&gt;"DA","WATCH / NO BET",IF(AND($EA99&gt;=INDEX('Setari model'!$B$35:$B$40,1),$EF99&gt;=100*'Setari model'!$B$76),"PARIU RECOMANDAT",IF(AND($EA99&gt;=INDEX('Setari model'!$B$35:$B$40,5),$EF99&gt;=100*'Setari model'!$B$40),"WATCH – APROAPE DE PRAG","PARIU EVITAT")))))</x:f>
      </x:c>
      <x:c r="EM99" s="113" t="str">
        <x:f t="shared" si="132">IF($A99="","",IF($DE99="Live 20-30",IF(SUM($DG99:$DH99)&gt;0,"Gol deja marcat.",IF($DF99="","Minut live lipsă.",IF(COUNT($DI99:$DN99)&lt;4,"Lipsesc xG/SOT/big chances live.",IF($EJ99&lt;0.75,"P live sub prag.","Semnal live tehnic complet; EV ignorat.")))),IF($EI99&lt;&gt;"DA",$EI99,IF($EF99&lt;75,"Confidence sub 75.",IF($EA99&lt;0.92,"P sub 92%.","G0/Zero-Mass + confidence trecute; EV ignorat.")))))</x:f>
      </x:c>
      <x:c r="EN99" s="117" t="str">
        <x:f>IF($A99="","",IF(OR($EL99="PARIU RECOMANDAT",$EL99="LIVE – FEZABIL"),MIN(IF($DU99&gt;0,$DU99,'Setari model'!$B$81)/MAX(1,$DR99),IF($DV99&gt;0,$DV99,'Setari model'!$B$80)*MAX(0,((IF($DE99="Live 20-30",$EJ99,$EA99)*IF($DE99="Live 20-30",$DQ99,$AR99)-1)/(IF($DE99="Live 20-30",$DQ99,$AR99)-1)))),0))</x:f>
      </x:c>
      <x:c r="EO99" s="121" t="str">
        <x:f t="shared" si="133">IF($A99="","",IF(AND($EN99&gt;0,$DT99&gt;0),$EN99*$DT99,""))</x:f>
      </x:c>
      <x:c r="EP99" s="113" t="str">
        <x:f>IF($A99="","",IF(OR($DR99&lt;1,$DR99&gt;'Setari model'!$B$78),"NU – 1–5 selecții",IF($DS99&gt;'Setari model'!$B$79,"NU – corelație", "DA")))</x:f>
      </x:c>
      <x:c r="EQ99" s="117" t="str">
        <x:f t="shared" si="134">IF($A99="","",IF(AND($DC99&gt;1,$DD99&gt;1),$DC99/$DD99-1,""))</x:f>
      </x:c>
      <x:c r="ER99" s="113" t="str">
        <x:f t="shared" si="135">IF($A99="","","P v2="&amp;TEXT($EA99,"0.0%")&amp;" ±"&amp;TEXT($EG99,"0.0%")&amp;"; P0 ZIP="&amp;TEXT($DZ99,"0.0%")&amp;"; Confidence="&amp;TEXT($EF99,"0")&amp;"/100; piață reală="&amp;IF($EC99="","NU","DA")&amp;"; EV="&amp;IF($EE99="","n/a",TEXT($EE99,"0.0%"))&amp;"; gate="&amp;$EI99&amp;"; verdict="&amp;$EL99&amp;". "&amp;$EM99)</x:f>
      </x:c>
      <x:c r="ES99" s="119" t="str">
        <x:f>IF($A99="","",'Setari model'!$B$82)</x:f>
      </x:c>
      <x:c r="ET99" s="118" t="str">
        <x:f>IF($A99="","",'Setari model'!$B$83)</x:f>
      </x:c>
      <x:c r="EU99" s="115" t="str">
        <x:f t="shared" si="136">IF(OR($A99="",$DE99&lt;&gt;"Live 20-30",$DF99="",$DF99&lt;$ES99,$DF99&gt;=90),"",MAX(0.05,MIN($BS99*$ET99,$BS99*(90-$DF99)/90+0.35*($DI99+$DJ99)+0.06*($DK99+$DL99)+0.15*($DM99+$DN99)+0.1*(MAX($DO99,$DP99)-MIN($DO99,$DP99)))))</x:f>
      </x:c>
      <x:c r="EV99" s="132"/>
      <x:c r="EW99" s="132"/>
      <x:c r="EX99" s="132"/>
      <x:c r="EY99" s="132"/>
      <x:c r="EZ99" s="132"/>
      <x:c r="FA99" s="132"/>
      <x:c r="FB99" s="247"/>
      <x:c r="FC99" s="134" t="str">
        <x:f t="shared" si="137">IF($A99="","",IF(OR($J99="",$L99="",$L99&lt;=0),"",MAX(0.5,MIN(1.5,$J99/$L99))))</x:f>
      </x:c>
      <x:c r="FD99" s="134" t="str">
        <x:f t="shared" si="138">IF($A99="","",IF(OR($Q99="",$S99="",$S99&lt;=0),"",MAX(0.5,MIN(1.5,$Q99/$S99))))</x:f>
      </x:c>
      <x:c r="FE99" s="134" t="str">
        <x:f>IF($A99="","",IF(COUNT($EV99:$EW99)&lt;2,"",SQRT($EV99*$EW99)/'Setari model'!$B$87))</x:f>
      </x:c>
      <x:c r="FF99" s="134" t="str">
        <x:f>IF($A99="","",IF(COUNT($O99,$V99,$EX99,$EY99)&lt;4,"",AVERAGE(SQRT($O99*$EY99),SQRT($V99*$EX99))/'Setari model'!$B$88))</x:f>
      </x:c>
      <x:c r="FG99" s="134" t="str">
        <x:f t="shared" si="139">IF($A99="","",IF(COUNT($FC99:$FD99)&lt;2,"",MAX(0,1-AVERAGE($FC99:$FD99))))</x:f>
      </x:c>
      <x:c r="FH99" s="134" t="str">
        <x:f>IF($A99="","",IF(COUNT($EZ99:$FA99)&lt;2,"",'Setari model'!$B$94*AVERAGE($EZ99:$FA99)/'Setari model'!$B$89))</x:f>
      </x:c>
      <x:c r="FI99" s="134" t="str">
        <x:f>IF($A99="","",IF(COUNT($FE99:$FH99)&lt;4,"",MAX('Setari model'!$B$97,MIN('Setari model'!$B$98,1+'Setari model'!$B$90*($FE99-1)+'Setari model'!$B$91*($FF99-1)+'Setari model'!$B$92*$FG99+'Setari model'!$B$93*($FH99-1)))))</x:f>
      </x:c>
      <x:c r="FJ99" s="133" t="str">
        <x:f>IF($A99="","",IF($FI99="","",MIN('Setari model'!$B$101,MAX(0.002,$DZ99*$FI99))))</x:f>
      </x:c>
      <x:c r="FK99" s="131" t="str">
        <x:f t="shared" si="140">IF($A99="","",IF(AND(COUNT($EV99:$FA99)=6,COUNT($O99,$V99,$FC99,$FD99)=4),"DA","NU"))</x:f>
      </x:c>
      <x:c r="FL99" s="131" t="str">
        <x:f>IF($A99="","",IF($FK99&lt;&gt;"DA","NEDETERMINAT",IF($FI99&lt;='Setari model'!$B$99,"SCĂZUT",IF($FI99&lt;='Setari model'!$B$100,"MEDIU","RIDICAT"))))</x:f>
      </x:c>
      <x:c r="FM99" s="131" t="str">
        <x:f>IF($A99="","",IF(AND($AR99&gt;1,$EC99&gt;='Setari model'!$B$106),"DA","NU"))</x:f>
      </x:c>
      <x:c r="FN99" s="131" t="str">
        <x:f t="shared" si="141">IF($A99="","",IF(AND($AU99=1,COUNT($CY99:$DB99)=4),"DA","NU"))</x:f>
      </x:c>
      <x:c r="FO99" s="133" t="str">
        <x:f>IF($A99="","",IF(OR($FK99&lt;&gt;"DA",$FL99="RIDICAT"),'Setari model'!$B$102,IF($FL99="MEDIU",'Setari model'!$B$103,IF(AND($FM99="DA",$FN99="DA"),'Setari model'!$B$105,'Setari model'!$B$104))))</x:f>
      </x:c>
      <x:c r="FP99" s="133" t="str">
        <x:f t="shared" si="142">IF($A99="","",IF($FJ99="","",MIN(1-$FJ99,$FO99)))</x:f>
      </x:c>
      <x:c r="FQ99" s="135" t="str">
        <x:f t="shared" si="143">IF($A99="","",IF($FP99="","",IF($FP99&gt;0,1/$FP99,"")))</x:f>
      </x:c>
      <x:c r="FR99" s="133" t="str">
        <x:f t="shared" si="144">IF($A99="","",IF($EC99="","",$FP99-$EC99))</x:f>
      </x:c>
      <x:c r="FS99" s="133" t="str">
        <x:f t="shared" si="145">IF($A99="","",IF($AR99&gt;1,$FP99*$AR99-1,""))</x:f>
      </x:c>
      <x:c r="FT99" s="136" t="str">
        <x:f>IF($A99="","",MAX(0,MIN(100,$EF99-IF($FK99&lt;&gt;"DA",'Setari model'!$B$107,0)-IF($FL99="MEDIU",'Setari model'!$B$108,0)-IF($FL99="RIDICAT",'Setari model'!$B$109,0))))</x:f>
      </x:c>
      <x:c r="FU99" s="131" t="str">
        <x:f t="shared" si="146">IF($A99="","",IF($AR99&lt;=1,"NU – LIPSEȘTE COTA REALĂ",IF($FK99&lt;&gt;"DA","NU – ZERO-RISK INCOMPLET",IF($FL99&lt;&gt;"SCĂZUT","NU – RISC 0-0 "&amp;$FL99,IF($FN99&lt;&gt;"DA","NU – LINEUP NECONFIRMAT",IF($FM99&lt;&gt;"DA","NU – PIAȚĂ NECONFIRMATĂ",IF($EP99&lt;&gt;"DA","NU – PORTOFOLIU","DA")))))))</x:f>
      </x:c>
      <x:c r="FV99" s="131" t="str">
        <x:f>IF($A99="","",IF($FU99&lt;&gt;"DA","WATCH / NO BET",IF(AND($FP99&gt;='Setari model'!$B$35,$FT99&gt;=100*'Setari model'!$B$76,$FS99&gt;0),"PARIU RECOMANDAT",IF(AND($FP99&gt;='Setari model'!$B$39,$FT99&gt;=100*'Setari model'!$B$40,$FS99&gt;0),"WATCH – APROAPE DE PRAG","PARIU EVITAT"))))</x:f>
      </x:c>
      <x:c r="FW99" s="131" t="str">
        <x:f t="shared" si="147">IF($A99="","",IF($FU99&lt;&gt;"DA",$FU99,IF($FT99&lt;75,"Confidence v3 sub 75.",IF($FP99&lt;0.92,"P v3 sub 92%.",IF($FS99&lt;=0,"EV v3 nepozitiv.","P0 v3, lineup și piață confirmate.")))))</x:f>
      </x:c>
      <x:c r="FX99" s="131" t="str">
        <x:f t="shared" si="148">IF($A99="","","P v3="&amp;TEXT($FP99,"0.0%")&amp;"; P0 v3="&amp;TEXT($FJ99,"0.0%")&amp;"; factor zero="&amp;IF($FI99="","n/a",TEXT($FI99,"0.00x"))&amp;" ("&amp;$FL99&amp;"); cap="&amp;TEXT($FO99,"0.0%")&amp;"; Confidence="&amp;TEXT($FT99,"0")&amp;"/100; lineup="&amp;$FN99&amp;"; piață="&amp;$FM99&amp;"; EV="&amp;IF($FS99="","n/a",TEXT($FS99,"0.0%"))&amp;"; gate="&amp;$FU99&amp;"; verdict="&amp;$FV99&amp;". "&amp;$FW99)</x:f>
      </x:c>
      <x:c r="FY99" s="159"/>
      <x:c r="FZ99" s="159"/>
      <x:c r="GA99" s="157"/>
      <x:c r="GB99" s="157"/>
      <x:c r="GC99" s="161" t="str">
        <x:f t="shared" si="149">IF($A99="","",IF(OR($X99="",$Z99="",$Z99&lt;=0),"",MAX(0.5,MIN(1.5,$X99/$Z99))))</x:f>
      </x:c>
      <x:c r="GD99" s="161" t="str">
        <x:f t="shared" si="150">IF($A99="","",IF(OR($AC99="",$AE99="",$AE99&lt;=0),"",MAX(0.5,MIN(1.5,$AC99/$AE99))))</x:f>
      </x:c>
      <x:c r="GE99" s="162" t="str">
        <x:f t="shared" si="151">IF($A99="","",IF(COUNT($Z99,$AE99)&lt;2,"",AVERAGE($Z99,$AE99)))</x:f>
      </x:c>
      <x:c r="GF99" s="158" t="str">
        <x:f>IF($A99="","",IF(COUNT($FY99:$FZ99)&lt;2,"NEDETERMINAT",IF(AND($FY99&gt;='Setari model'!$B$113,$FZ99&gt;='Setari model'!$B$113),"DA","NU")))</x:f>
      </x:c>
      <x:c r="GG99" s="158" t="str">
        <x:f>IF($A99="","",IF(COUNT($FY99:$FZ99,$EX99:$EY99)&lt;4,"NEDETERMINAT",IF(OR(AND($FY99&gt;='Setari model'!$B$113,$EY99&gt;='Setari model'!$B$114),AND($FZ99&gt;='Setari model'!$B$113,$EX99&gt;='Setari model'!$B$114)),"DA","NU")))</x:f>
      </x:c>
      <x:c r="GH99" s="158" t="str">
        <x:f>IF($A99="","",IF(COUNT($BJ99:$BN99,$GC99:$GE99)&lt;8,"NEDETERMINAT",IF(AND((($BJ99*INDEX('Setari model'!$B$5:$B$11,MATCH($E99,'Setari model'!$A$5:$A$11,0))+$BK99*INDEX('Setari model'!$C$5:$C$11,MATCH($E99,'Setari model'!$A$5:$A$11,0))+$BL99*INDEX('Setari model'!$D$5:$D$11,MATCH($E99,'Setari model'!$A$5:$A$11,0))+$BM99*INDEX('Setari model'!$E$5:$E$11,MATCH($E99,'Setari model'!$A$5:$A$11,0))+$BN99*INDEX('Setari model'!$F$5:$F$11,MATCH($E99,'Setari model'!$A$5:$A$11,0)))/(INDEX('Setari model'!$B$5:$B$11,MATCH($E99,'Setari model'!$A$5:$A$11,0))+INDEX('Setari model'!$C$5:$C$11,MATCH($E99,'Setari model'!$A$5:$A$11,0))+INDEX('Setari model'!$D$5:$D$11,MATCH($E99,'Setari model'!$A$5:$A$11,0))+INDEX('Setari model'!$E$5:$E$11,MATCH($E99,'Setari model'!$A$5:$A$11,0))+INDEX('Setari model'!$F$5:$F$11,MATCH($E99,'Setari model'!$A$5:$A$11,0))))*$BR99&gt;='Setari model'!$B$115,(($BJ99*INDEX('Setari model'!$B$5:$B$11,MATCH($E99,'Setari model'!$A$5:$A$11,0))+$BK99*INDEX('Setari model'!$C$5:$C$11,MATCH($E99,'Setari model'!$A$5:$A$11,0))+$BL99*INDEX('Setari model'!$D$5:$D$11,MATCH($E99,'Setari model'!$A$5:$A$11,0))+$BM99*INDEX('Setari model'!$E$5:$E$11,MATCH($E99,'Setari model'!$A$5:$A$11,0))+$BN99*INDEX('Setari model'!$F$5:$F$11,MATCH($E99,'Setari model'!$A$5:$A$11,0)))/(INDEX('Setari model'!$B$5:$B$11,MATCH($E99,'Setari model'!$A$5:$A$11,0))+INDEX('Setari model'!$C$5:$C$11,MATCH($E99,'Setari model'!$A$5:$A$11,0))+INDEX('Setari model'!$D$5:$D$11,MATCH($E99,'Setari model'!$A$5:$A$11,0))+INDEX('Setari model'!$E$5:$E$11,MATCH($E99,'Setari model'!$A$5:$A$11,0))+INDEX('Setari model'!$F$5:$F$11,MATCH($E99,'Setari model'!$A$5:$A$11,0))))*$BR99&lt;='Setari model'!$B$116,AVERAGE($GC99:$GD99)&lt;='Setari model'!$B$117,$GE99&gt;='Setari model'!$B$118),"DA","NU")))</x:f>
      </x:c>
      <x:c r="GI99" s="158" t="str">
        <x:f>IF($A99="","",IF(COUNT($W99,$AB99,$GA99:$GB99)&lt;4,"NEDETERMINAT",IF(AND($W99&gt;='Setari model'!$B$120,$AB99&gt;='Setari model'!$B$120,OR(IFERROR($GA99/$W99,0)&gt;='Setari model'!$B$119,IFERROR($GB99/$AB99,0)&gt;='Setari model'!$B$119)),"DA","NU")))</x:f>
      </x:c>
      <x:c r="GJ99" s="160" t="str">
        <x:f>IF($A99="","",IF(COUNT($FY99:$GB99)&lt;4,"",IF($GH99&lt;&gt;"DA",0,'Setari model'!$B$121*IF($GF99="DA",1,0)+'Setari model'!$B$122*IF($GG99="DA",1,0)+'Setari model'!$B$123+'Setari model'!$B$124*IF($GI99="DA",1,0))))</x:f>
      </x:c>
      <x:c r="GK99" s="161" t="str">
        <x:f>IF($A99="","",IF(COUNT($GJ99)=0,"",1+'Setari model'!$B$125*$GJ99))</x:f>
      </x:c>
      <x:c r="GL99" s="160" t="str">
        <x:f>IF($A99="","",IF($GM99&lt;&gt;"DA",$FJ99,MIN('Setari model'!$B$101,MAX(0.002,$FJ99*$GK99))))</x:f>
      </x:c>
      <x:c r="GM99" s="158" t="str">
        <x:f>IF($A99="","",IF(AND($FK99="DA",COUNT($FY99:$GB99)=4,COUNT($I99,$P99,$W99,$AB99,$Z99,$AE99,$EX99,$EY99,$GC99,$GD99)=10,COUNT($BJ99:$BN99)=5),"DA","NU"))</x:f>
      </x:c>
      <x:c r="GN99" s="158" t="str">
        <x:f>IF($A99="","",IF($GM99&lt;&gt;"DA","NEDETERMINAT",IF($FI99*$GK99&lt;='Setari model'!$B$99,"SCĂZUT",IF($FI99*$GK99&lt;='Setari model'!$B$100,"MEDIU","RIDICAT"))))</x:f>
      </x:c>
      <x:c r="GO99" s="160" t="str">
        <x:f>IF($A99="","",IF(OR($GM99&lt;&gt;"DA",$GN99="RIDICAT"),'Setari model'!$B$102,IF($GN99="MEDIU",'Setari model'!$B$103,IF(AND($FM99="DA",$FN99="DA"),'Setari model'!$B$105,'Setari model'!$B$104))))</x:f>
      </x:c>
      <x:c r="GP99" s="160" t="str">
        <x:f t="shared" si="152">IF($A99="","",IF($GL99="","",MIN(1-$GL99,$GO99)))</x:f>
      </x:c>
      <x:c r="GQ99" s="162" t="str">
        <x:f t="shared" si="153">IF($A99="","",IF($GP99="","",IF($GP99&gt;0,1/$GP99,"")))</x:f>
      </x:c>
      <x:c r="GR99" s="160" t="str">
        <x:f t="shared" si="154">IF($A99="","",IF($EC99="","",$GP99-$EC99))</x:f>
      </x:c>
      <x:c r="GS99" s="160" t="str">
        <x:f t="shared" si="155">IF($A99="","",IF($AR99&gt;1,$GP99*$AR99-1,""))</x:f>
      </x:c>
      <x:c r="GT99" s="163" t="str">
        <x:f>IF($A99="","",MAX(0,MIN(100,$FT99-IF(AND($GM99&lt;&gt;"DA",$FK99="DA"),'Setari model'!$B$107,0)-'Setari model'!$B$126*IF($GJ99="",0,$GJ99))))</x:f>
      </x:c>
      <x:c r="GU99" s="158" t="str">
        <x:f t="shared" si="156">IF($A99="","",IF($AR99&lt;=1,"NU – LIPSEȘTE COTA REALĂ",IF($GM99&lt;&gt;"DA","NU – DATE LOW-CONVERSION INCOMPLETE",IF($GN99&lt;&gt;"SCĂZUT","NU – RISC 0-0 "&amp;$GN99,IF($FN99&lt;&gt;"DA","NU – LINEUP NECONFIRMAT",IF($FM99&lt;&gt;"DA","NU – PIAȚĂ NECONFIRMATĂ",IF($EP99&lt;&gt;"DA","NU – PORTOFOLIU","DA")))))))</x:f>
      </x:c>
      <x:c r="GV99" s="158" t="str">
        <x:f>IF($A99="","",IF($GU99&lt;&gt;"DA","WATCH / NO BET",IF(AND($GP99&gt;='Setari model'!$B$35,$GT99&gt;=100*'Setari model'!$B$76,$GS99&gt;0),"PARIU RECOMANDAT",IF(AND($GP99&gt;='Setari model'!$B$39,$GT99&gt;=100*'Setari model'!$B$40,$GS99&gt;0),"WATCH – APROAPE DE PRAG","PARIU EVITAT"))))</x:f>
      </x:c>
      <x:c r="GW99" s="158" t="str">
        <x:f t="shared" si="157">IF($A99="","",IF($GU99&lt;&gt;"DA",$GU99,IF($GT99&lt;75,"Confidence v5 sub 75.",IF($GP99&lt;0.92,"P v5 sub 92%.",IF($GS99&lt;=0,"EV v5 nepozitiv.",IF($GJ99&gt;0,"Low-conversion absorbit în P0; toate porțile rămân trecute.","Toate porțile v5 sunt trecute."))))))</x:f>
      </x:c>
      <x:c r="GX99" s="158" t="str">
        <x:f t="shared" si="158">IF($A99="","","P v5="&amp;TEXT($GP99,"0.0%")&amp;"; P0 v5="&amp;TEXT($GL99,"0.0%")&amp;"; low-conv="&amp;IF(COUNT($GJ99)=0,"n/a",TEXT($GJ99,"0%"))&amp;"; mult.P0="&amp;IF(COUNT($GK99)=0,"n/a",TEXT($GK99,"0.00"))&amp;"; clasă="&amp;$GN99&amp;"; cap="&amp;TEXT($GO99,"0.0%")&amp;"; Confidence="&amp;TEXT($GT99,"0")&amp;"/100; lineup="&amp;$FN99&amp;"; piață="&amp;$FM99&amp;"; EV="&amp;IF($GS99="","n/a",TEXT($GS99,"0.0%"))&amp;"; gate="&amp;$GU99&amp;"; verdict="&amp;$GV99&amp;". "&amp;$GW99)</x:f>
      </x:c>
      <x:c r="GY99" s="174" t="str">
        <x:f>IF($A99="","",IF($GM99&lt;&gt;"DA","SOURCING INCOMPLETE – REVIEW REQUIRED",IF(MIN($I99,$P99,$W99,$AB99)&lt;'Setari model'!$B$58,"SMALL SAMPLE + PRIOR / SHRINKAGE","VERIFIED / PRIOR / SHRINKAGE")))</x:f>
      </x:c>
      <x:c r="GZ99" s="175" t="str">
        <x:f t="shared" si="159">IF($A99="","",MAX(0,MIN(100,100*(1-AVERAGE(IF($GM99="DA",1,0),MIN(1,$AT99/5))))))</x:f>
      </x:c>
      <x:c r="HA99" s="175" t="str">
        <x:f>IF($A99="","",IF($GM99&lt;&gt;"DA","",MAX(0,MIN(100,100*(($FI99*$GK99)-'Setari model'!$B$97)/('Setari model'!$B$98-'Setari model'!$B$97)))))</x:f>
      </x:c>
      <x:c r="HB99" s="175" t="str">
        <x:f>IF($A99="","",MAX(0,MIN(100,100*(ABS($BR99-1)/MAX(1-'Setari model'!$B$53,'Setari model'!$B$54-1)+MIN(1,$BG99/2))/2)))</x:f>
      </x:c>
      <x:c r="HC99" s="175" t="str">
        <x:f t="shared" si="160">IF($A99="","",MAX(0,MIN(100,100*(1-AVERAGE($CC99,MAX(0,1-(MAX($BJ99:$BN99)-MIN($BJ99:$BN99))/(AVERAGE($BJ99:$BN99)*'Setari model'!$B$45)))))))</x:f>
      </x:c>
      <x:c r="HD99" s="175" t="str">
        <x:f t="shared" si="161">IF($A99="","",MAX(0,MIN(100,100*MAX(IF($GJ99="",0,$GJ99),MIN(1,$BG99/2)))))</x:f>
      </x:c>
      <x:c r="HE99" s="175" t="str">
        <x:f>IF($A99="","",IF(COUNT($GZ99:$HD99)&lt;5,"",$GZ99*Risk_Classification!$E$28+$HA99*Risk_Classification!$E$29+$HB99*Risk_Classification!$E$30+$HC99*Risk_Classification!$E$31+$HD99*Risk_Classification!$E$32))</x:f>
      </x:c>
      <x:c r="HF99" s="176" t="str">
        <x:f t="shared" si="162">IF($A99="","",IF($HE99="","",IF($HE99&lt;=20,1,IF($HE99&lt;=40,2,IF($HE99&lt;=60,3,IF($HE99&lt;=80,4,5))))))</x:f>
      </x:c>
      <x:c r="HG99" s="176" t="str">
        <x:f t="shared" si="163">IF($A99="","",IF($GM99="DA","PASS","FAIL – DATE CRITICE ZERO-MASS INCOMPLETE"))</x:f>
      </x:c>
      <x:c r="HH99" s="176" t="str">
        <x:f t="shared" si="164">IF($A99="","",IF($HG99&lt;&gt;"PASS",5,$HF99))</x:f>
      </x:c>
      <x:c r="HI99" s="174" t="str">
        <x:f t="shared" si="165">IF($A99="","",IF($HH99="","N/A",IF($HH99=1,"DEFENSIV",IF($HH99=2,"PRUDENT",IF($HH99=3,"MODERAT",IF($HH99=4,"RIDICAT","WATCH / NO BET"))))))</x:f>
      </x:c>
      <x:c r="HJ99" s="177" t="str">
        <x:f t="shared" si="166">IF($A99="","","Data="&amp;$GY99&amp;"; DQ="&amp;TEXT($GZ99,"0.0")&amp;"; ZM="&amp;IF($HA99="","n/a",TEXT($HA99,"0.0"))&amp;"; Context="&amp;TEXT($HB99,"0.0")&amp;"; Uncertainty="&amp;TEXT($HC99,"0.0")&amp;"; Compound="&amp;TEXT($HD99,"0.0")&amp;"; Risk Score="&amp;IF($HE99="","n/a",TEXT($HE99,"0.0"))&amp;"; Base="&amp;IF($HF99="","n/a",$HF99)&amp;"; G0="&amp;$HG99&amp;"; Final="&amp;$HH99&amp;". Cota, EV si lineup sunt informative si nu intra in recomandare.")</x:f>
      </x:c>
      <x:c r="HK99" s="174" t="str">
        <x:f t="shared" si="167">IF($A99="","",$HI99)</x:f>
      </x:c>
    </x:row>
    <x:row r="100" ht="24" customHeight="1">
      <x:c r="A100" s="58"/>
      <x:c r="B100" s="24"/>
      <x:c r="C100" s="59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18"/>
      <x:c r="O100" s="18"/>
      <x:c r="P100" s="24"/>
      <x:c r="Q100" s="24"/>
      <x:c r="R100" s="24"/>
      <x:c r="S100" s="24"/>
      <x:c r="T100" s="24"/>
      <x:c r="U100" s="18"/>
      <x:c r="V100" s="18"/>
      <x:c r="W100" s="24"/>
      <x:c r="X100" s="24"/>
      <x:c r="Y100" s="24"/>
      <x:c r="Z100" s="24"/>
      <x:c r="AA100" s="24"/>
      <x:c r="AB100" s="24"/>
      <x:c r="AC100" s="24"/>
      <x:c r="AD100" s="24"/>
      <x:c r="AE100" s="24"/>
      <x:c r="AF100" s="24"/>
      <x:c r="AG100" s="24"/>
      <x:c r="AH100" s="24"/>
      <x:c r="AI100" s="18"/>
      <x:c r="AJ100" s="24"/>
      <x:c r="AK100" s="24"/>
      <x:c r="AL100" s="24"/>
      <x:c r="AM100" s="18"/>
      <x:c r="AN100" s="24"/>
      <x:c r="AO100" s="60"/>
      <x:c r="AP100" s="60"/>
      <x:c r="AQ100" s="60"/>
      <x:c r="AR100" s="60"/>
      <x:c r="AS100" s="60"/>
      <x:c r="AT100" s="24"/>
      <x:c r="AU100" s="24"/>
      <x:c r="AV100" s="24"/>
      <x:c r="AW100" s="24"/>
      <x:c r="AX100" s="24"/>
      <x:c r="AY100" s="24"/>
      <x:c r="AZ100" s="24"/>
      <x:c r="BA100" s="24"/>
      <x:c r="BB100" s="24"/>
      <x:c r="BC100" s="24"/>
      <x:c r="BD100" s="24"/>
      <x:c r="BE100" s="24"/>
      <x:c r="BF100" s="24"/>
      <x:c r="BG100" s="24"/>
      <x:c r="BH100" s="61"/>
      <x:c r="BI100" s="61"/>
      <x:c r="BJ100" s="62" t="str">
        <x:f>IF($A100="","",SQRT((($I100*IF($J100="",$AJ100,$J100)+'Setari model'!$B$30*$AJ100)/($I100+'Setari model'!$B$30))*(($P100*IF($R100="",$AJ100,$R100)+'Setari model'!$B$30*$AJ100)/($P100+'Setari model'!$B$30)))+SQRT((($P100*IF($Q100="",$AK100,$Q100)+'Setari model'!$B$30*$AK100)/($P100+'Setari model'!$B$30))*(($I100*IF($K100="",$AK100,$K100)+'Setari model'!$B$30*$AK100)/($I100+'Setari model'!$B$30))))</x:f>
      </x:c>
      <x:c r="BK100" s="62" t="str">
        <x:f>IF($A100="","",SQRT((($I100*IF($L100="",IF($J100="",$AJ100,$J100),$L100)+'Setari model'!$B$30*$AJ100)/($I100+'Setari model'!$B$30))*(($P100*IF($T100="",IF($R100="",$AJ100,$R100),$T100)+'Setari model'!$B$30*$AJ100)/($P100+'Setari model'!$B$30)))+SQRT((($P100*IF($S100="",IF($Q100="",$AK100,$Q100),$S100)+'Setari model'!$B$30*$AK100)/($P100+'Setari model'!$B$30))*(($I100*IF($M100="",IF($K100="",$AK100,$K100),$M100)+'Setari model'!$B$30*$AK100)/($I100+'Setari model'!$B$30))))</x:f>
      </x:c>
      <x:c r="BL100" s="62" t="str">
        <x:f>IF($A100="","",SQRT((($W100*IF($X100="",$AL100/2,$X100)+'Setari model'!$B$31*$AL100/2)/($W100+'Setari model'!$B$31))*(($AB100*IF($AD100="",$AL100/2,$AD100)+'Setari model'!$B$31*$AL100/2)/($AB100+'Setari model'!$B$31)))+SQRT((($AB100*IF($AC100="",$AL100/2,$AC100)+'Setari model'!$B$31*$AL100/2)/($AB100+'Setari model'!$B$31))*(($W100*IF($Y100="",$AL100/2,$Y100)+'Setari model'!$B$31*$AL100/2)/($W100+'Setari model'!$B$31))))</x:f>
      </x:c>
      <x:c r="BM100" s="62" t="str">
        <x:f>IF($A100="","",SQRT((($W100*IF($Z100="",IF($X100="",$AL100/2,$X100),$Z100)+'Setari model'!$B$31*$AL100/2)/($W100+'Setari model'!$B$31))*(($AB100*IF($AF100="",IF($AD100="",$AL100/2,$AD100),$AF100)+'Setari model'!$B$31*$AL100/2)/($AB100+'Setari model'!$B$31)))+SQRT((($AB100*IF($AE100="",IF($AC100="",$AL100/2,$AC100),$AE100)+'Setari model'!$B$31*$AL100/2)/($AB100+'Setari model'!$B$31))*(($W100*IF($AA100="",IF($Y100="",$AL100/2,$Y100),$AA100)+'Setari model'!$B$31*$AL100/2)/($W100+'Setari model'!$B$31))))</x:f>
      </x:c>
      <x:c r="BN100" s="62" t="str">
        <x:f t="shared" si="112">IF($A100="","",IF($AG100&gt;0,($AG100*IF($AH100="",$AL100,$AH100)+5*$AL100)/($AG100+5),$AL100))</x:f>
      </x:c>
      <x:c r="BO100" s="63" t="str">
        <x:f>IF($A100="","",IF($AR100&gt;1,IF($AS100&gt;1,(1/$AR100)/((1/$AR100+1/$AS100)),MIN(0.995,(1/$AR100)/(1+'Setari model'!$B$32))),1-EXP(-$AL100)))</x:f>
      </x:c>
      <x:c r="BP100" s="62" t="str">
        <x:f t="shared" si="113">IF($A100="","",-LN(1-$BO100))</x:f>
      </x:c>
      <x:c r="BQ100" s="62" t="str">
        <x:f>IF($A100="","",$BJ100*INDEX('Setari model'!$B$5:$B$11,MATCH($E100,'Setari model'!$A$5:$A$11,0))+$BK100*INDEX('Setari model'!$C$5:$C$11,MATCH($E100,'Setari model'!$A$5:$A$11,0))+$BL100*INDEX('Setari model'!$D$5:$D$11,MATCH($E100,'Setari model'!$A$5:$A$11,0))+$BM100*INDEX('Setari model'!$E$5:$E$11,MATCH($E100,'Setari model'!$A$5:$A$11,0))+$BN100*INDEX('Setari model'!$F$5:$F$11,MATCH($E100,'Setari model'!$A$5:$A$11,0))+$BP100*INDEX('Setari model'!$G$5:$G$11,MATCH($E100,'Setari model'!$A$5:$A$11,0)))</x:f>
      </x:c>
      <x:c r="BR100" s="64" t="str">
        <x:f>IF($A100="","",MAX('Setari model'!$B$53,MIN('Setari model'!$B$54,1+($AV100*'Setari model'!$B$15+$AW100*'Setari model'!$B$16+$AX100*'Setari model'!$B$17+$AY100*'Setari model'!$B$18+$AZ100*'Setari model'!$B$19+$BA100*'Setari model'!$B$20+$BB100*'Setari model'!$B$21+$BC100*'Setari model'!$B$22+$BD100*'Setari model'!$B$23+$BE100*'Setari model'!$B$24+$BF100*'Setari model'!$B$25)*INDEX('Setari model'!$H$5:$H$11,MATCH($E100,'Setari model'!$A$5:$A$11,0)))))</x:f>
      </x:c>
      <x:c r="BS100" s="62" t="str">
        <x:f t="shared" si="114">IF($A100="","",$BQ100*$BR100)</x:f>
      </x:c>
      <x:c r="BT100" s="63" t="str">
        <x:f t="shared" si="115">IF($A100="","",EXP(-$BS100))</x:f>
      </x:c>
      <x:c r="BU100" s="65" t="str">
        <x:f>IF($A100="","",IF(OR($AM100="",$AN100=""),1,1+MIN('Setari model'!$B$33,$AN100/100*'Setari model'!$B$33)*($AM100/EXP(-$AL100)-1)))</x:f>
      </x:c>
      <x:c r="BV100" s="63" t="str">
        <x:f>IF($A100="","",MIN(0.45,MAX(0.005,(1-'Setari model'!$B$34*MIN(1,($I100+$P100)/20))*MIN(0.45,$BT100*$BU100)+'Setari model'!$B$34*MIN(1,($I100+$P100)/20)*IF(COUNT($N100,$U100)=2,SQRT(MAX(0,1-$N100)*MAX(0,1-$U100)),IF($AM100="",EXP(-$AL100),$AM100)))))</x:f>
      </x:c>
      <x:c r="BW100" s="63" t="str">
        <x:f t="shared" si="116">IF($A100="","",1-$BV100)</x:f>
      </x:c>
      <x:c r="BX100" s="62" t="str">
        <x:f t="shared" si="117">IF($A100="","",1/$BW100)</x:f>
      </x:c>
      <x:c r="BY100" s="63" t="str">
        <x:f t="shared" si="118">IF($A100="","",$BO100)</x:f>
      </x:c>
      <x:c r="BZ100" s="63" t="str">
        <x:f t="shared" si="119">IF($A100="","",$BW100-$BY100)</x:f>
      </x:c>
      <x:c r="CA100" s="63" t="str">
        <x:f t="shared" si="120">IF($A100="","",IF($AR100&gt;1,$BW100*$AR100-1,""))</x:f>
      </x:c>
      <x:c r="CB100" s="63" t="str">
        <x:f>IF($A100="","",MIN(1,COUNT($I100:$AN100,$AR100:$BG100)/'Setari model'!$B$46))</x:f>
      </x:c>
      <x:c r="CC100" s="63" t="str">
        <x:f t="shared" si="121">IF($A100="","",0.25*MIN(1,$I100/10)+0.25*MIN(1,$P100/10)+0.15*MIN(1,$W100/5)+0.15*MIN(1,$AB100/5)+0.1*MIN(1,$AG100/5)+0.1*MIN(1,$AN100/100))</x:f>
      </x:c>
      <x:c r="CD100" s="63" t="str">
        <x:f>IF($A100="","",MAX(0,1-(MAX($BJ100:$BN100,$BP100)-MIN($BJ100:$BN100,$BP100))/(AVERAGE($BJ100:$BN100,$BP100)*'Setari model'!$B$45)))</x:f>
      </x:c>
      <x:c r="CE100" s="66" t="str">
        <x:f>IF($A100="","",MAX(0,MIN(100,100*INDEX('Setari model'!$I$5:$I$11,MATCH($E100,'Setari model'!$A$5:$A$11,0))*('Setari model'!$B$47*$CB100+'Setari model'!$B$48*$CC100+'Setari model'!$B$49*$CD100+'Setari model'!$B$50*$AT100/5+'Setari model'!$B$51*$AU100)-100*'Setari model'!$B$52*$BG100)))</x:f>
      </x:c>
      <x:c r="CF100" s="65" t="str">
        <x:f t="shared" si="122">IF($A100="","",IF(OR($AT100&lt;3,$BG100&gt;=2,$CB100&lt;0.55,$CC100&lt;0.4),"RIDICAT",IF(OR($AU100=0,$CD100&lt;0.45,$BR100&lt;0.9),"MEDIU","SCĂZUT")))</x:f>
      </x:c>
      <x:c r="CG100" s="65" t="str">
        <x:f>IF($A100="","",IF($AR100&gt;1,IF(AND($BW100&gt;= 'Setari model'!$B$35,$CE100&gt;=100*'Setari model'!$B$36,$BZ100&gt;= 'Setari model'!$B$37,$CA100&gt;= 'Setari model'!$B$38,$CF100&lt;&gt;"RIDICAT"),"PARIU RECOMANDAT",IF(AND($BW100&gt;= 'Setari model'!$B$39,$CE100&gt;=100*'Setari model'!$B$40,$BZ100&gt;= 'Setari model'!$B$41,$CA100&gt;=0,$CF100&lt;&gt;"RIDICAT"),"RECOMANDAT CU PRUDENȚĂ",IF(AND($BW100&gt;= 'Setari model'!$B$42,$CE100&gt;=100*'Setari model'!$B$43),"ANALIZĂ NECONCLUDENTĂ","PARIU EVITAT"))),IF(AND($BW100&gt;= 'Setari model'!$B$35,$CE100&gt;=100*'Setari model'!$B$36,$CF100&lt;&gt;"RIDICAT"),"FAVORABIL STATISTIC – VERIFICĂ COTA",IF(AND($BW100&gt;= 'Setari model'!$B$42,$CE100&gt;=100*'Setari model'!$B$43),"ANALIZĂ NECONCLUDENTĂ","PARIU EVITAT"))))</x:f>
      </x:c>
      <x:c r="CH100" s="67" t="str">
        <x:f t="shared" si="123">IF($A100="","","P(O0,5)="&amp;TEXT($BW100,"0.0%")&amp;"; λ ajustat="&amp;TEXT($BS100,"0.00")&amp;"; Confidence="&amp;TEXT($CE100,"0")&amp;"/100; Edge="&amp;TEXT($BZ100,"0.0%")&amp;"; risc="&amp;$CF100&amp;". "&amp;$BH100)</x:f>
      </x:c>
      <x:c r="CI100" s="68" t="str">
        <x:f t="shared" si="124">IF($A100="","",$BI100)</x:f>
      </x:c>
      <x:c r="CJ100" s="112"/>
      <x:c r="CK100" s="112"/>
      <x:c r="CL100" s="112"/>
      <x:c r="CM100" s="112"/>
      <x:c r="CN100" s="112"/>
      <x:c r="CO100" s="112"/>
      <x:c r="CP100" s="112"/>
      <x:c r="CQ100" s="112"/>
      <x:c r="CR100" s="112"/>
      <x:c r="CS100" s="112"/>
      <x:c r="CT100" s="112"/>
      <x:c r="CU100" s="112"/>
      <x:c r="CV100" s="112"/>
      <x:c r="CW100" s="112"/>
      <x:c r="CX100" s="112"/>
      <x:c r="CY100" s="112"/>
      <x:c r="CZ100" s="112"/>
      <x:c r="DA100" s="112"/>
      <x:c r="DB100" s="112"/>
      <x:c r="DC100" s="114"/>
      <x:c r="DD100" s="114"/>
      <x:c r="DE100" s="112" t="s">
        <x:v>266</x:v>
      </x:c>
      <x:c r="DF100" s="112"/>
      <x:c r="DG100" s="112"/>
      <x:c r="DH100" s="112"/>
      <x:c r="DI100" s="112"/>
      <x:c r="DJ100" s="112"/>
      <x:c r="DK100" s="112"/>
      <x:c r="DL100" s="112"/>
      <x:c r="DM100" s="112"/>
      <x:c r="DN100" s="112"/>
      <x:c r="DO100" s="112"/>
      <x:c r="DP100" s="112"/>
      <x:c r="DQ100" s="114"/>
      <x:c r="DR100" s="112">
        <x:v>1</x:v>
      </x:c>
      <x:c r="DS100" s="116">
        <x:v>0</x:v>
      </x:c>
      <x:c r="DT100" s="120"/>
      <x:c r="DU100" s="116">
        <x:v>0.02</x:v>
      </x:c>
      <x:c r="DV100" s="116">
        <x:v>0.25</x:v>
      </x:c>
      <x:c r="DW100" s="118" t="str">
        <x:f>IF($A100="","",MAX('Setari model'!$B$71,MIN('Setari model'!$B$72,1+0.08*(IFERROR(AVERAGE($CM100:$CN100)/'Setari model'!$B$66,1)-1)+0.08*(IFERROR(AVERAGE($CO100:$CP100)/'Setari model'!$B$67,1)-1)+0.06*(IFERROR(AVERAGE($CQ100:$CR100)/'Setari model'!$B$68,1)-1)+0.04*(IFERROR(AVERAGE($CS100:$CT100)/'Setari model'!$B$69,1)-1)+0.04*(IFERROR(AVERAGE($CU100:$CV100)/'Setari model'!$B$70,1)-1)-'Setari model'!$B$73*IFERROR(AVERAGE($CW100:$CX100),0))))</x:f>
      </x:c>
      <x:c r="DX100" s="118" t="str">
        <x:f>IF($A100="","",1+'Setari model'!$B$62*MAX(IF(OR($CK100=1,$CL100=1),1,0),IF(AND($CJ100&lt;&gt;"",$CJ100&lt;=1),1,0))+'Setari model'!$B$63*IF(AND($CJ100&gt;1,$CJ100&lt;=3),1,0))</x:f>
      </x:c>
      <x:c r="DY100" s="118" t="str">
        <x:f>IF($A100="","",1+'Setari model'!$B$74*(IF($CY100="",0,IF($CY100=0,1,0))+IF($CZ100="",0,IF($CZ100=0,1,0)))+'Setari model'!$B$75*(IF($DA100="",0,IF($DA100=0,1,0))+IF($DB100="",0,IF($DB100=0,1,0))))</x:f>
      </x:c>
      <x:c r="DZ100" s="117" t="str">
        <x:f>IF($A100="","",MIN(0.6,MAX(0.002,(((1-'Setari model'!$B$34*MIN(1,($I100+$P100)/20))*$BT100+'Setari model'!$B$34*MIN(1,($I100+$P100)/20)*IF(COUNT($N100,$U100)=2,SQRT(MAX(0,1-$N100)*MAX(0,1-$U100)),$BT100))*(1-'Setari model'!$B$65*MIN(1,IF($AN100="",0,$AN100/'Setari model'!$B$64)))+'Setari model'!$B$65*MIN(1,IF($AN100="",0,$AN100/'Setari model'!$B$64))*IF($AM100="",$BT100,$AM100))*$DX100*$DY100/$DW100)))</x:f>
      </x:c>
      <x:c r="EA100" s="117" t="str">
        <x:f>IF($A100="","",MIN(1-$DZ100,IF(OR(MIN($I100,$P100)&lt;'Setari model'!$B$58,$CK100=1,$CL100=1,AND($CJ100&lt;&gt;"",$CJ100&lt;=1)),'Setari model'!$B$59,IF(AND($AU100=1,$AR100&gt;1,COUNT($CY100:$DB100)=4),'Setari model'!$B$61,'Setari model'!$B$60))))</x:f>
      </x:c>
      <x:c r="EB100" s="115" t="str">
        <x:f t="shared" si="125">IF($A100="","",1/$EA100)</x:f>
      </x:c>
      <x:c r="EC100" s="117" t="str">
        <x:f t="shared" si="126">IF($A100="","",IF($AR100&gt;1,IF($AS100&gt;1,(1/$AR100)/((1/$AR100)+(1/$AS100)),1/$AR100),""))</x:f>
      </x:c>
      <x:c r="ED100" s="117" t="str">
        <x:f t="shared" si="127">IF($A100="","",IF($EC100="","",$EA100-$EC100))</x:f>
      </x:c>
      <x:c r="EE100" s="117" t="str">
        <x:f t="shared" si="128">""</x:f>
      </x:c>
      <x:c r="EF100" s="119" t="str">
        <x:f>IF($A100="","",MAX(0,MIN(100,$CE100-200*MAX(0,$EG100-'Setari model'!$B$77)-IF($AU100&lt;&gt;1,10,0)-IF(COUNT($CY100:$DB100)&lt;4,4,0))))</x:f>
      </x:c>
      <x:c r="EG100" s="117" t="str">
        <x:f>IF($A100="","",'Setari model'!$B$77+IF(MIN($I100,$P100)&lt;'Setari model'!$B$58,0.03,0)+IF(OR($CK100=1,$CL100=1,AND($CJ100&lt;&gt;"",$CJ100&lt;=1)),0.03,0)+IF($AG100=0,0.02,0)+0.03*(1-MIN(1,COUNT($CM100:$CV100)/10))+0.03*(1-MIN(1,IF($AN100="",0,$AN100/'Setari model'!$B$64)))+IF($AR100&lt;=1,0.02,0))</x:f>
      </x:c>
      <x:c r="EH100" s="113" t="str">
        <x:f>IF($A100="","",IF(OR(MIN($I100,$P100)&lt;'Setari model'!$B$58,$CK100=1,$CL100=1,AND($CJ100&lt;&gt;"",$CJ100&lt;=1)),"92% – early/regim",IF(AND($AU100=1,$AR100&gt;1,COUNT($CY100:$DB100)=4),"94% – confirmat","93% – standard")))</x:f>
      </x:c>
      <x:c r="EI100" s="113" t="str">
        <x:f t="shared" si="129">IF($A100="","",IF(AND($EA100&gt;0.9,$AU100&lt;&gt;1),"WAIT XI – HIGH P",IF(AND($EA100&gt;0.9,COUNT($CY100:$DB100)&lt;4),"WAIT DATE CHEIE – HIGH P",IF($EP100&lt;&gt;"DA","NU – PORTOFOLIU","DA"))))</x:f>
      </x:c>
      <x:c r="EJ100" s="117" t="str">
        <x:f t="shared" si="130">IF($A100="","",IF($DE100&lt;&gt;"Live 20-30","",IF(SUM($DG100:$DH100)&gt;0,1,IF($EU100="","",1-MIN(0.95,MAX(0.001,EXP(-$EU100)*$DX100*$DY100/$DW100))))))</x:f>
      </x:c>
      <x:c r="EK100" s="117" t="str">
        <x:f t="shared" si="131">""</x:f>
      </x:c>
      <x:c r="EL100" s="113" t="str">
        <x:f>IF($A100="","",IF($DE100="Live 20-30",IF(SUM($DG100:$DH100)&gt;0,"EVENIMENT ÎNDEPLINIT",IF(OR($DF100="",COUNT($DI100:$DN100)&lt;4),"LIVE – WATCH",IF($EJ100&gt;=0.75,"LIVE – FEZABIL TEHNIC","LIVE – NO BET"))),IF($EI100&lt;&gt;"DA","WATCH / NO BET",IF(AND($EA100&gt;=INDEX('Setari model'!$B$35:$B$40,1),$EF100&gt;=100*'Setari model'!$B$76),"PARIU RECOMANDAT",IF(AND($EA100&gt;=INDEX('Setari model'!$B$35:$B$40,5),$EF100&gt;=100*'Setari model'!$B$40),"WATCH – APROAPE DE PRAG","PARIU EVITAT")))))</x:f>
      </x:c>
      <x:c r="EM100" s="113" t="str">
        <x:f t="shared" si="132">IF($A100="","",IF($DE100="Live 20-30",IF(SUM($DG100:$DH100)&gt;0,"Gol deja marcat.",IF($DF100="","Minut live lipsă.",IF(COUNT($DI100:$DN100)&lt;4,"Lipsesc xG/SOT/big chances live.",IF($EJ100&lt;0.75,"P live sub prag.","Semnal live tehnic complet; EV ignorat.")))),IF($EI100&lt;&gt;"DA",$EI100,IF($EF100&lt;75,"Confidence sub 75.",IF($EA100&lt;0.92,"P sub 92%.","G0/Zero-Mass + confidence trecute; EV ignorat.")))))</x:f>
      </x:c>
      <x:c r="EN100" s="117" t="str">
        <x:f>IF($A100="","",IF(OR($EL100="PARIU RECOMANDAT",$EL100="LIVE – FEZABIL"),MIN(IF($DU100&gt;0,$DU100,'Setari model'!$B$81)/MAX(1,$DR100),IF($DV100&gt;0,$DV100,'Setari model'!$B$80)*MAX(0,((IF($DE100="Live 20-30",$EJ100,$EA100)*IF($DE100="Live 20-30",$DQ100,$AR100)-1)/(IF($DE100="Live 20-30",$DQ100,$AR100)-1)))),0))</x:f>
      </x:c>
      <x:c r="EO100" s="121" t="str">
        <x:f t="shared" si="133">IF($A100="","",IF(AND($EN100&gt;0,$DT100&gt;0),$EN100*$DT100,""))</x:f>
      </x:c>
      <x:c r="EP100" s="113" t="str">
        <x:f>IF($A100="","",IF(OR($DR100&lt;1,$DR100&gt;'Setari model'!$B$78),"NU – 1–5 selecții",IF($DS100&gt;'Setari model'!$B$79,"NU – corelație", "DA")))</x:f>
      </x:c>
      <x:c r="EQ100" s="117" t="str">
        <x:f t="shared" si="134">IF($A100="","",IF(AND($DC100&gt;1,$DD100&gt;1),$DC100/$DD100-1,""))</x:f>
      </x:c>
      <x:c r="ER100" s="113" t="str">
        <x:f t="shared" si="135">IF($A100="","","P v2="&amp;TEXT($EA100,"0.0%")&amp;" ±"&amp;TEXT($EG100,"0.0%")&amp;"; P0 ZIP="&amp;TEXT($DZ100,"0.0%")&amp;"; Confidence="&amp;TEXT($EF100,"0")&amp;"/100; piață reală="&amp;IF($EC100="","NU","DA")&amp;"; EV="&amp;IF($EE100="","n/a",TEXT($EE100,"0.0%"))&amp;"; gate="&amp;$EI100&amp;"; verdict="&amp;$EL100&amp;". "&amp;$EM100)</x:f>
      </x:c>
      <x:c r="ES100" s="119" t="str">
        <x:f>IF($A100="","",'Setari model'!$B$82)</x:f>
      </x:c>
      <x:c r="ET100" s="118" t="str">
        <x:f>IF($A100="","",'Setari model'!$B$83)</x:f>
      </x:c>
      <x:c r="EU100" s="115" t="str">
        <x:f t="shared" si="136">IF(OR($A100="",$DE100&lt;&gt;"Live 20-30",$DF100="",$DF100&lt;$ES100,$DF100&gt;=90),"",MAX(0.05,MIN($BS100*$ET100,$BS100*(90-$DF100)/90+0.35*($DI100+$DJ100)+0.06*($DK100+$DL100)+0.15*($DM100+$DN100)+0.1*(MAX($DO100,$DP100)-MIN($DO100,$DP100)))))</x:f>
      </x:c>
      <x:c r="EV100" s="132"/>
      <x:c r="EW100" s="132"/>
      <x:c r="EX100" s="132"/>
      <x:c r="EY100" s="132"/>
      <x:c r="EZ100" s="132"/>
      <x:c r="FA100" s="132"/>
      <x:c r="FB100" s="247"/>
      <x:c r="FC100" s="134" t="str">
        <x:f t="shared" si="137">IF($A100="","",IF(OR($J100="",$L100="",$L100&lt;=0),"",MAX(0.5,MIN(1.5,$J100/$L100))))</x:f>
      </x:c>
      <x:c r="FD100" s="134" t="str">
        <x:f t="shared" si="138">IF($A100="","",IF(OR($Q100="",$S100="",$S100&lt;=0),"",MAX(0.5,MIN(1.5,$Q100/$S100))))</x:f>
      </x:c>
      <x:c r="FE100" s="134" t="str">
        <x:f>IF($A100="","",IF(COUNT($EV100:$EW100)&lt;2,"",SQRT($EV100*$EW100)/'Setari model'!$B$87))</x:f>
      </x:c>
      <x:c r="FF100" s="134" t="str">
        <x:f>IF($A100="","",IF(COUNT($O100,$V100,$EX100,$EY100)&lt;4,"",AVERAGE(SQRT($O100*$EY100),SQRT($V100*$EX100))/'Setari model'!$B$88))</x:f>
      </x:c>
      <x:c r="FG100" s="134" t="str">
        <x:f t="shared" si="139">IF($A100="","",IF(COUNT($FC100:$FD100)&lt;2,"",MAX(0,1-AVERAGE($FC100:$FD100))))</x:f>
      </x:c>
      <x:c r="FH100" s="134" t="str">
        <x:f>IF($A100="","",IF(COUNT($EZ100:$FA100)&lt;2,"",'Setari model'!$B$94*AVERAGE($EZ100:$FA100)/'Setari model'!$B$89))</x:f>
      </x:c>
      <x:c r="FI100" s="134" t="str">
        <x:f>IF($A100="","",IF(COUNT($FE100:$FH100)&lt;4,"",MAX('Setari model'!$B$97,MIN('Setari model'!$B$98,1+'Setari model'!$B$90*($FE100-1)+'Setari model'!$B$91*($FF100-1)+'Setari model'!$B$92*$FG100+'Setari model'!$B$93*($FH100-1)))))</x:f>
      </x:c>
      <x:c r="FJ100" s="133" t="str">
        <x:f>IF($A100="","",IF($FI100="","",MIN('Setari model'!$B$101,MAX(0.002,$DZ100*$FI100))))</x:f>
      </x:c>
      <x:c r="FK100" s="131" t="str">
        <x:f t="shared" si="140">IF($A100="","",IF(AND(COUNT($EV100:$FA100)=6,COUNT($O100,$V100,$FC100,$FD100)=4),"DA","NU"))</x:f>
      </x:c>
      <x:c r="FL100" s="131" t="str">
        <x:f>IF($A100="","",IF($FK100&lt;&gt;"DA","NEDETERMINAT",IF($FI100&lt;='Setari model'!$B$99,"SCĂZUT",IF($FI100&lt;='Setari model'!$B$100,"MEDIU","RIDICAT"))))</x:f>
      </x:c>
      <x:c r="FM100" s="131" t="str">
        <x:f>IF($A100="","",IF(AND($AR100&gt;1,$EC100&gt;='Setari model'!$B$106),"DA","NU"))</x:f>
      </x:c>
      <x:c r="FN100" s="131" t="str">
        <x:f t="shared" si="141">IF($A100="","",IF(AND($AU100=1,COUNT($CY100:$DB100)=4),"DA","NU"))</x:f>
      </x:c>
      <x:c r="FO100" s="133" t="str">
        <x:f>IF($A100="","",IF(OR($FK100&lt;&gt;"DA",$FL100="RIDICAT"),'Setari model'!$B$102,IF($FL100="MEDIU",'Setari model'!$B$103,IF(AND($FM100="DA",$FN100="DA"),'Setari model'!$B$105,'Setari model'!$B$104))))</x:f>
      </x:c>
      <x:c r="FP100" s="133" t="str">
        <x:f t="shared" si="142">IF($A100="","",IF($FJ100="","",MIN(1-$FJ100,$FO100)))</x:f>
      </x:c>
      <x:c r="FQ100" s="135" t="str">
        <x:f t="shared" si="143">IF($A100="","",IF($FP100="","",IF($FP100&gt;0,1/$FP100,"")))</x:f>
      </x:c>
      <x:c r="FR100" s="133" t="str">
        <x:f t="shared" si="144">IF($A100="","",IF($EC100="","",$FP100-$EC100))</x:f>
      </x:c>
      <x:c r="FS100" s="133" t="str">
        <x:f t="shared" si="145">IF($A100="","",IF($AR100&gt;1,$FP100*$AR100-1,""))</x:f>
      </x:c>
      <x:c r="FT100" s="136" t="str">
        <x:f>IF($A100="","",MAX(0,MIN(100,$EF100-IF($FK100&lt;&gt;"DA",'Setari model'!$B$107,0)-IF($FL100="MEDIU",'Setari model'!$B$108,0)-IF($FL100="RIDICAT",'Setari model'!$B$109,0))))</x:f>
      </x:c>
      <x:c r="FU100" s="131" t="str">
        <x:f t="shared" si="146">IF($A100="","",IF($AR100&lt;=1,"NU – LIPSEȘTE COTA REALĂ",IF($FK100&lt;&gt;"DA","NU – ZERO-RISK INCOMPLET",IF($FL100&lt;&gt;"SCĂZUT","NU – RISC 0-0 "&amp;$FL100,IF($FN100&lt;&gt;"DA","NU – LINEUP NECONFIRMAT",IF($FM100&lt;&gt;"DA","NU – PIAȚĂ NECONFIRMATĂ",IF($EP100&lt;&gt;"DA","NU – PORTOFOLIU","DA")))))))</x:f>
      </x:c>
      <x:c r="FV100" s="131" t="str">
        <x:f>IF($A100="","",IF($FU100&lt;&gt;"DA","WATCH / NO BET",IF(AND($FP100&gt;='Setari model'!$B$35,$FT100&gt;=100*'Setari model'!$B$76,$FS100&gt;0),"PARIU RECOMANDAT",IF(AND($FP100&gt;='Setari model'!$B$39,$FT100&gt;=100*'Setari model'!$B$40,$FS100&gt;0),"WATCH – APROAPE DE PRAG","PARIU EVITAT"))))</x:f>
      </x:c>
      <x:c r="FW100" s="131" t="str">
        <x:f t="shared" si="147">IF($A100="","",IF($FU100&lt;&gt;"DA",$FU100,IF($FT100&lt;75,"Confidence v3 sub 75.",IF($FP100&lt;0.92,"P v3 sub 92%.",IF($FS100&lt;=0,"EV v3 nepozitiv.","P0 v3, lineup și piață confirmate.")))))</x:f>
      </x:c>
      <x:c r="FX100" s="131" t="str">
        <x:f t="shared" si="148">IF($A100="","","P v3="&amp;TEXT($FP100,"0.0%")&amp;"; P0 v3="&amp;TEXT($FJ100,"0.0%")&amp;"; factor zero="&amp;IF($FI100="","n/a",TEXT($FI100,"0.00x"))&amp;" ("&amp;$FL100&amp;"); cap="&amp;TEXT($FO100,"0.0%")&amp;"; Confidence="&amp;TEXT($FT100,"0")&amp;"/100; lineup="&amp;$FN100&amp;"; piață="&amp;$FM100&amp;"; EV="&amp;IF($FS100="","n/a",TEXT($FS100,"0.0%"))&amp;"; gate="&amp;$FU100&amp;"; verdict="&amp;$FV100&amp;". "&amp;$FW100)</x:f>
      </x:c>
      <x:c r="FY100" s="159"/>
      <x:c r="FZ100" s="159"/>
      <x:c r="GA100" s="157"/>
      <x:c r="GB100" s="157"/>
      <x:c r="GC100" s="161" t="str">
        <x:f t="shared" si="149">IF($A100="","",IF(OR($X100="",$Z100="",$Z100&lt;=0),"",MAX(0.5,MIN(1.5,$X100/$Z100))))</x:f>
      </x:c>
      <x:c r="GD100" s="161" t="str">
        <x:f t="shared" si="150">IF($A100="","",IF(OR($AC100="",$AE100="",$AE100&lt;=0),"",MAX(0.5,MIN(1.5,$AC100/$AE100))))</x:f>
      </x:c>
      <x:c r="GE100" s="162" t="str">
        <x:f t="shared" si="151">IF($A100="","",IF(COUNT($Z100,$AE100)&lt;2,"",AVERAGE($Z100,$AE100)))</x:f>
      </x:c>
      <x:c r="GF100" s="158" t="str">
        <x:f>IF($A100="","",IF(COUNT($FY100:$FZ100)&lt;2,"NEDETERMINAT",IF(AND($FY100&gt;='Setari model'!$B$113,$FZ100&gt;='Setari model'!$B$113),"DA","NU")))</x:f>
      </x:c>
      <x:c r="GG100" s="158" t="str">
        <x:f>IF($A100="","",IF(COUNT($FY100:$FZ100,$EX100:$EY100)&lt;4,"NEDETERMINAT",IF(OR(AND($FY100&gt;='Setari model'!$B$113,$EY100&gt;='Setari model'!$B$114),AND($FZ100&gt;='Setari model'!$B$113,$EX100&gt;='Setari model'!$B$114)),"DA","NU")))</x:f>
      </x:c>
      <x:c r="GH100" s="158" t="str">
        <x:f>IF($A100="","",IF(COUNT($BJ100:$BN100,$GC100:$GE100)&lt;8,"NEDETERMINAT",IF(AND((($BJ100*INDEX('Setari model'!$B$5:$B$11,MATCH($E100,'Setari model'!$A$5:$A$11,0))+$BK100*INDEX('Setari model'!$C$5:$C$11,MATCH($E100,'Setari model'!$A$5:$A$11,0))+$BL100*INDEX('Setari model'!$D$5:$D$11,MATCH($E100,'Setari model'!$A$5:$A$11,0))+$BM100*INDEX('Setari model'!$E$5:$E$11,MATCH($E100,'Setari model'!$A$5:$A$11,0))+$BN100*INDEX('Setari model'!$F$5:$F$11,MATCH($E100,'Setari model'!$A$5:$A$11,0)))/(INDEX('Setari model'!$B$5:$B$11,MATCH($E100,'Setari model'!$A$5:$A$11,0))+INDEX('Setari model'!$C$5:$C$11,MATCH($E100,'Setari model'!$A$5:$A$11,0))+INDEX('Setari model'!$D$5:$D$11,MATCH($E100,'Setari model'!$A$5:$A$11,0))+INDEX('Setari model'!$E$5:$E$11,MATCH($E100,'Setari model'!$A$5:$A$11,0))+INDEX('Setari model'!$F$5:$F$11,MATCH($E100,'Setari model'!$A$5:$A$11,0))))*$BR100&gt;='Setari model'!$B$115,(($BJ100*INDEX('Setari model'!$B$5:$B$11,MATCH($E100,'Setari model'!$A$5:$A$11,0))+$BK100*INDEX('Setari model'!$C$5:$C$11,MATCH($E100,'Setari model'!$A$5:$A$11,0))+$BL100*INDEX('Setari model'!$D$5:$D$11,MATCH($E100,'Setari model'!$A$5:$A$11,0))+$BM100*INDEX('Setari model'!$E$5:$E$11,MATCH($E100,'Setari model'!$A$5:$A$11,0))+$BN100*INDEX('Setari model'!$F$5:$F$11,MATCH($E100,'Setari model'!$A$5:$A$11,0)))/(INDEX('Setari model'!$B$5:$B$11,MATCH($E100,'Setari model'!$A$5:$A$11,0))+INDEX('Setari model'!$C$5:$C$11,MATCH($E100,'Setari model'!$A$5:$A$11,0))+INDEX('Setari model'!$D$5:$D$11,MATCH($E100,'Setari model'!$A$5:$A$11,0))+INDEX('Setari model'!$E$5:$E$11,MATCH($E100,'Setari model'!$A$5:$A$11,0))+INDEX('Setari model'!$F$5:$F$11,MATCH($E100,'Setari model'!$A$5:$A$11,0))))*$BR100&lt;='Setari model'!$B$116,AVERAGE($GC100:$GD100)&lt;='Setari model'!$B$117,$GE100&gt;='Setari model'!$B$118),"DA","NU")))</x:f>
      </x:c>
      <x:c r="GI100" s="158" t="str">
        <x:f>IF($A100="","",IF(COUNT($W100,$AB100,$GA100:$GB100)&lt;4,"NEDETERMINAT",IF(AND($W100&gt;='Setari model'!$B$120,$AB100&gt;='Setari model'!$B$120,OR(IFERROR($GA100/$W100,0)&gt;='Setari model'!$B$119,IFERROR($GB100/$AB100,0)&gt;='Setari model'!$B$119)),"DA","NU")))</x:f>
      </x:c>
      <x:c r="GJ100" s="160" t="str">
        <x:f>IF($A100="","",IF(COUNT($FY100:$GB100)&lt;4,"",IF($GH100&lt;&gt;"DA",0,'Setari model'!$B$121*IF($GF100="DA",1,0)+'Setari model'!$B$122*IF($GG100="DA",1,0)+'Setari model'!$B$123+'Setari model'!$B$124*IF($GI100="DA",1,0))))</x:f>
      </x:c>
      <x:c r="GK100" s="161" t="str">
        <x:f>IF($A100="","",IF(COUNT($GJ100)=0,"",1+'Setari model'!$B$125*$GJ100))</x:f>
      </x:c>
      <x:c r="GL100" s="160" t="str">
        <x:f>IF($A100="","",IF($GM100&lt;&gt;"DA",$FJ100,MIN('Setari model'!$B$101,MAX(0.002,$FJ100*$GK100))))</x:f>
      </x:c>
      <x:c r="GM100" s="158" t="str">
        <x:f>IF($A100="","",IF(AND($FK100="DA",COUNT($FY100:$GB100)=4,COUNT($I100,$P100,$W100,$AB100,$Z100,$AE100,$EX100,$EY100,$GC100,$GD100)=10,COUNT($BJ100:$BN100)=5),"DA","NU"))</x:f>
      </x:c>
      <x:c r="GN100" s="158" t="str">
        <x:f>IF($A100="","",IF($GM100&lt;&gt;"DA","NEDETERMINAT",IF($FI100*$GK100&lt;='Setari model'!$B$99,"SCĂZUT",IF($FI100*$GK100&lt;='Setari model'!$B$100,"MEDIU","RIDICAT"))))</x:f>
      </x:c>
      <x:c r="GO100" s="160" t="str">
        <x:f>IF($A100="","",IF(OR($GM100&lt;&gt;"DA",$GN100="RIDICAT"),'Setari model'!$B$102,IF($GN100="MEDIU",'Setari model'!$B$103,IF(AND($FM100="DA",$FN100="DA"),'Setari model'!$B$105,'Setari model'!$B$104))))</x:f>
      </x:c>
      <x:c r="GP100" s="160" t="str">
        <x:f t="shared" si="152">IF($A100="","",IF($GL100="","",MIN(1-$GL100,$GO100)))</x:f>
      </x:c>
      <x:c r="GQ100" s="162" t="str">
        <x:f t="shared" si="153">IF($A100="","",IF($GP100="","",IF($GP100&gt;0,1/$GP100,"")))</x:f>
      </x:c>
      <x:c r="GR100" s="160" t="str">
        <x:f t="shared" si="154">IF($A100="","",IF($EC100="","",$GP100-$EC100))</x:f>
      </x:c>
      <x:c r="GS100" s="160" t="str">
        <x:f t="shared" si="155">IF($A100="","",IF($AR100&gt;1,$GP100*$AR100-1,""))</x:f>
      </x:c>
      <x:c r="GT100" s="163" t="str">
        <x:f>IF($A100="","",MAX(0,MIN(100,$FT100-IF(AND($GM100&lt;&gt;"DA",$FK100="DA"),'Setari model'!$B$107,0)-'Setari model'!$B$126*IF($GJ100="",0,$GJ100))))</x:f>
      </x:c>
      <x:c r="GU100" s="158" t="str">
        <x:f t="shared" si="156">IF($A100="","",IF($AR100&lt;=1,"NU – LIPSEȘTE COTA REALĂ",IF($GM100&lt;&gt;"DA","NU – DATE LOW-CONVERSION INCOMPLETE",IF($GN100&lt;&gt;"SCĂZUT","NU – RISC 0-0 "&amp;$GN100,IF($FN100&lt;&gt;"DA","NU – LINEUP NECONFIRMAT",IF($FM100&lt;&gt;"DA","NU – PIAȚĂ NECONFIRMATĂ",IF($EP100&lt;&gt;"DA","NU – PORTOFOLIU","DA")))))))</x:f>
      </x:c>
      <x:c r="GV100" s="158" t="str">
        <x:f>IF($A100="","",IF($GU100&lt;&gt;"DA","WATCH / NO BET",IF(AND($GP100&gt;='Setari model'!$B$35,$GT100&gt;=100*'Setari model'!$B$76,$GS100&gt;0),"PARIU RECOMANDAT",IF(AND($GP100&gt;='Setari model'!$B$39,$GT100&gt;=100*'Setari model'!$B$40,$GS100&gt;0),"WATCH – APROAPE DE PRAG","PARIU EVITAT"))))</x:f>
      </x:c>
      <x:c r="GW100" s="158" t="str">
        <x:f t="shared" si="157">IF($A100="","",IF($GU100&lt;&gt;"DA",$GU100,IF($GT100&lt;75,"Confidence v5 sub 75.",IF($GP100&lt;0.92,"P v5 sub 92%.",IF($GS100&lt;=0,"EV v5 nepozitiv.",IF($GJ100&gt;0,"Low-conversion absorbit în P0; toate porțile rămân trecute.","Toate porțile v5 sunt trecute."))))))</x:f>
      </x:c>
      <x:c r="GX100" s="158" t="str">
        <x:f t="shared" si="158">IF($A100="","","P v5="&amp;TEXT($GP100,"0.0%")&amp;"; P0 v5="&amp;TEXT($GL100,"0.0%")&amp;"; low-conv="&amp;IF(COUNT($GJ100)=0,"n/a",TEXT($GJ100,"0%"))&amp;"; mult.P0="&amp;IF(COUNT($GK100)=0,"n/a",TEXT($GK100,"0.00"))&amp;"; clasă="&amp;$GN100&amp;"; cap="&amp;TEXT($GO100,"0.0%")&amp;"; Confidence="&amp;TEXT($GT100,"0")&amp;"/100; lineup="&amp;$FN100&amp;"; piață="&amp;$FM100&amp;"; EV="&amp;IF($GS100="","n/a",TEXT($GS100,"0.0%"))&amp;"; gate="&amp;$GU100&amp;"; verdict="&amp;$GV100&amp;". "&amp;$GW100)</x:f>
      </x:c>
      <x:c r="GY100" s="174" t="str">
        <x:f>IF($A100="","",IF($GM100&lt;&gt;"DA","SOURCING INCOMPLETE – REVIEW REQUIRED",IF(MIN($I100,$P100,$W100,$AB100)&lt;'Setari model'!$B$58,"SMALL SAMPLE + PRIOR / SHRINKAGE","VERIFIED / PRIOR / SHRINKAGE")))</x:f>
      </x:c>
      <x:c r="GZ100" s="175" t="str">
        <x:f t="shared" si="159">IF($A100="","",MAX(0,MIN(100,100*(1-AVERAGE(IF($GM100="DA",1,0),MIN(1,$AT100/5))))))</x:f>
      </x:c>
      <x:c r="HA100" s="175" t="str">
        <x:f>IF($A100="","",IF($GM100&lt;&gt;"DA","",MAX(0,MIN(100,100*(($FI100*$GK100)-'Setari model'!$B$97)/('Setari model'!$B$98-'Setari model'!$B$97)))))</x:f>
      </x:c>
      <x:c r="HB100" s="175" t="str">
        <x:f>IF($A100="","",MAX(0,MIN(100,100*(ABS($BR100-1)/MAX(1-'Setari model'!$B$53,'Setari model'!$B$54-1)+MIN(1,$BG100/2))/2)))</x:f>
      </x:c>
      <x:c r="HC100" s="175" t="str">
        <x:f t="shared" si="160">IF($A100="","",MAX(0,MIN(100,100*(1-AVERAGE($CC100,MAX(0,1-(MAX($BJ100:$BN100)-MIN($BJ100:$BN100))/(AVERAGE($BJ100:$BN100)*'Setari model'!$B$45)))))))</x:f>
      </x:c>
      <x:c r="HD100" s="175" t="str">
        <x:f t="shared" si="161">IF($A100="","",MAX(0,MIN(100,100*MAX(IF($GJ100="",0,$GJ100),MIN(1,$BG100/2)))))</x:f>
      </x:c>
      <x:c r="HE100" s="175" t="str">
        <x:f>IF($A100="","",IF(COUNT($GZ100:$HD100)&lt;5,"",$GZ100*Risk_Classification!$E$28+$HA100*Risk_Classification!$E$29+$HB100*Risk_Classification!$E$30+$HC100*Risk_Classification!$E$31+$HD100*Risk_Classification!$E$32))</x:f>
      </x:c>
      <x:c r="HF100" s="176" t="str">
        <x:f t="shared" si="162">IF($A100="","",IF($HE100="","",IF($HE100&lt;=20,1,IF($HE100&lt;=40,2,IF($HE100&lt;=60,3,IF($HE100&lt;=80,4,5))))))</x:f>
      </x:c>
      <x:c r="HG100" s="176" t="str">
        <x:f t="shared" si="163">IF($A100="","",IF($GM100="DA","PASS","FAIL – DATE CRITICE ZERO-MASS INCOMPLETE"))</x:f>
      </x:c>
      <x:c r="HH100" s="176" t="str">
        <x:f t="shared" si="164">IF($A100="","",IF($HG100&lt;&gt;"PASS",5,$HF100))</x:f>
      </x:c>
      <x:c r="HI100" s="174" t="str">
        <x:f t="shared" si="165">IF($A100="","",IF($HH100="","N/A",IF($HH100=1,"DEFENSIV",IF($HH100=2,"PRUDENT",IF($HH100=3,"MODERAT",IF($HH100=4,"RIDICAT","WATCH / NO BET"))))))</x:f>
      </x:c>
      <x:c r="HJ100" s="177" t="str">
        <x:f t="shared" si="166">IF($A100="","","Data="&amp;$GY100&amp;"; DQ="&amp;TEXT($GZ100,"0.0")&amp;"; ZM="&amp;IF($HA100="","n/a",TEXT($HA100,"0.0"))&amp;"; Context="&amp;TEXT($HB100,"0.0")&amp;"; Uncertainty="&amp;TEXT($HC100,"0.0")&amp;"; Compound="&amp;TEXT($HD100,"0.0")&amp;"; Risk Score="&amp;IF($HE100="","n/a",TEXT($HE100,"0.0"))&amp;"; Base="&amp;IF($HF100="","n/a",$HF100)&amp;"; G0="&amp;$HG100&amp;"; Final="&amp;$HH100&amp;". Cota, EV si lineup sunt informative si nu intra in recomandare.")</x:f>
      </x:c>
      <x:c r="HK100" s="174" t="str">
        <x:f t="shared" si="167">IF($A100="","",$HI100)</x:f>
      </x:c>
    </x:row>
    <x:row r="101" ht="24" customHeight="1">
      <x:c r="A101" s="58"/>
      <x:c r="B101" s="24"/>
      <x:c r="C101" s="59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18"/>
      <x:c r="O101" s="18"/>
      <x:c r="P101" s="24"/>
      <x:c r="Q101" s="24"/>
      <x:c r="R101" s="24"/>
      <x:c r="S101" s="24"/>
      <x:c r="T101" s="24"/>
      <x:c r="U101" s="18"/>
      <x:c r="V101" s="18"/>
      <x:c r="W101" s="24"/>
      <x:c r="X101" s="24"/>
      <x:c r="Y101" s="24"/>
      <x:c r="Z101" s="24"/>
      <x:c r="AA101" s="24"/>
      <x:c r="AB101" s="24"/>
      <x:c r="AC101" s="24"/>
      <x:c r="AD101" s="24"/>
      <x:c r="AE101" s="24"/>
      <x:c r="AF101" s="24"/>
      <x:c r="AG101" s="24"/>
      <x:c r="AH101" s="24"/>
      <x:c r="AI101" s="18"/>
      <x:c r="AJ101" s="24"/>
      <x:c r="AK101" s="24"/>
      <x:c r="AL101" s="24"/>
      <x:c r="AM101" s="18"/>
      <x:c r="AN101" s="24"/>
      <x:c r="AO101" s="60"/>
      <x:c r="AP101" s="60"/>
      <x:c r="AQ101" s="60"/>
      <x:c r="AR101" s="60"/>
      <x:c r="AS101" s="60"/>
      <x:c r="AT101" s="24"/>
      <x:c r="AU101" s="24"/>
      <x:c r="AV101" s="24"/>
      <x:c r="AW101" s="24"/>
      <x:c r="AX101" s="24"/>
      <x:c r="AY101" s="24"/>
      <x:c r="AZ101" s="24"/>
      <x:c r="BA101" s="24"/>
      <x:c r="BB101" s="24"/>
      <x:c r="BC101" s="24"/>
      <x:c r="BD101" s="24"/>
      <x:c r="BE101" s="24"/>
      <x:c r="BF101" s="24"/>
      <x:c r="BG101" s="24"/>
      <x:c r="BH101" s="61"/>
      <x:c r="BI101" s="61"/>
      <x:c r="BJ101" s="62" t="str">
        <x:f>IF($A101="","",SQRT((($I101*IF($J101="",$AJ101,$J101)+'Setari model'!$B$30*$AJ101)/($I101+'Setari model'!$B$30))*(($P101*IF($R101="",$AJ101,$R101)+'Setari model'!$B$30*$AJ101)/($P101+'Setari model'!$B$30)))+SQRT((($P101*IF($Q101="",$AK101,$Q101)+'Setari model'!$B$30*$AK101)/($P101+'Setari model'!$B$30))*(($I101*IF($K101="",$AK101,$K101)+'Setari model'!$B$30*$AK101)/($I101+'Setari model'!$B$30))))</x:f>
      </x:c>
      <x:c r="BK101" s="62" t="str">
        <x:f>IF($A101="","",SQRT((($I101*IF($L101="",IF($J101="",$AJ101,$J101),$L101)+'Setari model'!$B$30*$AJ101)/($I101+'Setari model'!$B$30))*(($P101*IF($T101="",IF($R101="",$AJ101,$R101),$T101)+'Setari model'!$B$30*$AJ101)/($P101+'Setari model'!$B$30)))+SQRT((($P101*IF($S101="",IF($Q101="",$AK101,$Q101),$S101)+'Setari model'!$B$30*$AK101)/($P101+'Setari model'!$B$30))*(($I101*IF($M101="",IF($K101="",$AK101,$K101),$M101)+'Setari model'!$B$30*$AK101)/($I101+'Setari model'!$B$30))))</x:f>
      </x:c>
      <x:c r="BL101" s="62" t="str">
        <x:f>IF($A101="","",SQRT((($W101*IF($X101="",$AL101/2,$X101)+'Setari model'!$B$31*$AL101/2)/($W101+'Setari model'!$B$31))*(($AB101*IF($AD101="",$AL101/2,$AD101)+'Setari model'!$B$31*$AL101/2)/($AB101+'Setari model'!$B$31)))+SQRT((($AB101*IF($AC101="",$AL101/2,$AC101)+'Setari model'!$B$31*$AL101/2)/($AB101+'Setari model'!$B$31))*(($W101*IF($Y101="",$AL101/2,$Y101)+'Setari model'!$B$31*$AL101/2)/($W101+'Setari model'!$B$31))))</x:f>
      </x:c>
      <x:c r="BM101" s="62" t="str">
        <x:f>IF($A101="","",SQRT((($W101*IF($Z101="",IF($X101="",$AL101/2,$X101),$Z101)+'Setari model'!$B$31*$AL101/2)/($W101+'Setari model'!$B$31))*(($AB101*IF($AF101="",IF($AD101="",$AL101/2,$AD101),$AF101)+'Setari model'!$B$31*$AL101/2)/($AB101+'Setari model'!$B$31)))+SQRT((($AB101*IF($AE101="",IF($AC101="",$AL101/2,$AC101),$AE101)+'Setari model'!$B$31*$AL101/2)/($AB101+'Setari model'!$B$31))*(($W101*IF($AA101="",IF($Y101="",$AL101/2,$Y101),$AA101)+'Setari model'!$B$31*$AL101/2)/($W101+'Setari model'!$B$31))))</x:f>
      </x:c>
      <x:c r="BN101" s="62" t="str">
        <x:f t="shared" si="112">IF($A101="","",IF($AG101&gt;0,($AG101*IF($AH101="",$AL101,$AH101)+5*$AL101)/($AG101+5),$AL101))</x:f>
      </x:c>
      <x:c r="BO101" s="63" t="str">
        <x:f>IF($A101="","",IF($AR101&gt;1,IF($AS101&gt;1,(1/$AR101)/((1/$AR101+1/$AS101)),MIN(0.995,(1/$AR101)/(1+'Setari model'!$B$32))),1-EXP(-$AL101)))</x:f>
      </x:c>
      <x:c r="BP101" s="62" t="str">
        <x:f t="shared" si="113">IF($A101="","",-LN(1-$BO101))</x:f>
      </x:c>
      <x:c r="BQ101" s="62" t="str">
        <x:f>IF($A101="","",$BJ101*INDEX('Setari model'!$B$5:$B$11,MATCH($E101,'Setari model'!$A$5:$A$11,0))+$BK101*INDEX('Setari model'!$C$5:$C$11,MATCH($E101,'Setari model'!$A$5:$A$11,0))+$BL101*INDEX('Setari model'!$D$5:$D$11,MATCH($E101,'Setari model'!$A$5:$A$11,0))+$BM101*INDEX('Setari model'!$E$5:$E$11,MATCH($E101,'Setari model'!$A$5:$A$11,0))+$BN101*INDEX('Setari model'!$F$5:$F$11,MATCH($E101,'Setari model'!$A$5:$A$11,0))+$BP101*INDEX('Setari model'!$G$5:$G$11,MATCH($E101,'Setari model'!$A$5:$A$11,0)))</x:f>
      </x:c>
      <x:c r="BR101" s="64" t="str">
        <x:f>IF($A101="","",MAX('Setari model'!$B$53,MIN('Setari model'!$B$54,1+($AV101*'Setari model'!$B$15+$AW101*'Setari model'!$B$16+$AX101*'Setari model'!$B$17+$AY101*'Setari model'!$B$18+$AZ101*'Setari model'!$B$19+$BA101*'Setari model'!$B$20+$BB101*'Setari model'!$B$21+$BC101*'Setari model'!$B$22+$BD101*'Setari model'!$B$23+$BE101*'Setari model'!$B$24+$BF101*'Setari model'!$B$25)*INDEX('Setari model'!$H$5:$H$11,MATCH($E101,'Setari model'!$A$5:$A$11,0)))))</x:f>
      </x:c>
      <x:c r="BS101" s="62" t="str">
        <x:f t="shared" si="114">IF($A101="","",$BQ101*$BR101)</x:f>
      </x:c>
      <x:c r="BT101" s="63" t="str">
        <x:f t="shared" si="115">IF($A101="","",EXP(-$BS101))</x:f>
      </x:c>
      <x:c r="BU101" s="65" t="str">
        <x:f>IF($A101="","",IF(OR($AM101="",$AN101=""),1,1+MIN('Setari model'!$B$33,$AN101/100*'Setari model'!$B$33)*($AM101/EXP(-$AL101)-1)))</x:f>
      </x:c>
      <x:c r="BV101" s="63" t="str">
        <x:f>IF($A101="","",MIN(0.45,MAX(0.005,(1-'Setari model'!$B$34*MIN(1,($I101+$P101)/20))*MIN(0.45,$BT101*$BU101)+'Setari model'!$B$34*MIN(1,($I101+$P101)/20)*IF(COUNT($N101,$U101)=2,SQRT(MAX(0,1-$N101)*MAX(0,1-$U101)),IF($AM101="",EXP(-$AL101),$AM101)))))</x:f>
      </x:c>
      <x:c r="BW101" s="63" t="str">
        <x:f t="shared" si="116">IF($A101="","",1-$BV101)</x:f>
      </x:c>
      <x:c r="BX101" s="62" t="str">
        <x:f t="shared" si="117">IF($A101="","",1/$BW101)</x:f>
      </x:c>
      <x:c r="BY101" s="63" t="str">
        <x:f t="shared" si="118">IF($A101="","",$BO101)</x:f>
      </x:c>
      <x:c r="BZ101" s="63" t="str">
        <x:f t="shared" si="119">IF($A101="","",$BW101-$BY101)</x:f>
      </x:c>
      <x:c r="CA101" s="63" t="str">
        <x:f t="shared" si="120">IF($A101="","",IF($AR101&gt;1,$BW101*$AR101-1,""))</x:f>
      </x:c>
      <x:c r="CB101" s="63" t="str">
        <x:f>IF($A101="","",MIN(1,COUNT($I101:$AN101,$AR101:$BG101)/'Setari model'!$B$46))</x:f>
      </x:c>
      <x:c r="CC101" s="63" t="str">
        <x:f t="shared" si="121">IF($A101="","",0.25*MIN(1,$I101/10)+0.25*MIN(1,$P101/10)+0.15*MIN(1,$W101/5)+0.15*MIN(1,$AB101/5)+0.1*MIN(1,$AG101/5)+0.1*MIN(1,$AN101/100))</x:f>
      </x:c>
      <x:c r="CD101" s="63" t="str">
        <x:f>IF($A101="","",MAX(0,1-(MAX($BJ101:$BN101,$BP101)-MIN($BJ101:$BN101,$BP101))/(AVERAGE($BJ101:$BN101,$BP101)*'Setari model'!$B$45)))</x:f>
      </x:c>
      <x:c r="CE101" s="66" t="str">
        <x:f>IF($A101="","",MAX(0,MIN(100,100*INDEX('Setari model'!$I$5:$I$11,MATCH($E101,'Setari model'!$A$5:$A$11,0))*('Setari model'!$B$47*$CB101+'Setari model'!$B$48*$CC101+'Setari model'!$B$49*$CD101+'Setari model'!$B$50*$AT101/5+'Setari model'!$B$51*$AU101)-100*'Setari model'!$B$52*$BG101)))</x:f>
      </x:c>
      <x:c r="CF101" s="65" t="str">
        <x:f t="shared" si="122">IF($A101="","",IF(OR($AT101&lt;3,$BG101&gt;=2,$CB101&lt;0.55,$CC101&lt;0.4),"RIDICAT",IF(OR($AU101=0,$CD101&lt;0.45,$BR101&lt;0.9),"MEDIU","SCĂZUT")))</x:f>
      </x:c>
      <x:c r="CG101" s="65" t="str">
        <x:f>IF($A101="","",IF($AR101&gt;1,IF(AND($BW101&gt;= 'Setari model'!$B$35,$CE101&gt;=100*'Setari model'!$B$36,$BZ101&gt;= 'Setari model'!$B$37,$CA101&gt;= 'Setari model'!$B$38,$CF101&lt;&gt;"RIDICAT"),"PARIU RECOMANDAT",IF(AND($BW101&gt;= 'Setari model'!$B$39,$CE101&gt;=100*'Setari model'!$B$40,$BZ101&gt;= 'Setari model'!$B$41,$CA101&gt;=0,$CF101&lt;&gt;"RIDICAT"),"RECOMANDAT CU PRUDENȚĂ",IF(AND($BW101&gt;= 'Setari model'!$B$42,$CE101&gt;=100*'Setari model'!$B$43),"ANALIZĂ NECONCLUDENTĂ","PARIU EVITAT"))),IF(AND($BW101&gt;= 'Setari model'!$B$35,$CE101&gt;=100*'Setari model'!$B$36,$CF101&lt;&gt;"RIDICAT"),"FAVORABIL STATISTIC – VERIFICĂ COTA",IF(AND($BW101&gt;= 'Setari model'!$B$42,$CE101&gt;=100*'Setari model'!$B$43),"ANALIZĂ NECONCLUDENTĂ","PARIU EVITAT"))))</x:f>
      </x:c>
      <x:c r="CH101" s="67" t="str">
        <x:f t="shared" si="123">IF($A101="","","P(O0,5)="&amp;TEXT($BW101,"0.0%")&amp;"; λ ajustat="&amp;TEXT($BS101,"0.00")&amp;"; Confidence="&amp;TEXT($CE101,"0")&amp;"/100; Edge="&amp;TEXT($BZ101,"0.0%")&amp;"; risc="&amp;$CF101&amp;". "&amp;$BH101)</x:f>
      </x:c>
      <x:c r="CI101" s="68" t="str">
        <x:f t="shared" si="124">IF($A101="","",$BI101)</x:f>
      </x:c>
      <x:c r="CJ101" s="112"/>
      <x:c r="CK101" s="112"/>
      <x:c r="CL101" s="112"/>
      <x:c r="CM101" s="112"/>
      <x:c r="CN101" s="112"/>
      <x:c r="CO101" s="112"/>
      <x:c r="CP101" s="112"/>
      <x:c r="CQ101" s="112"/>
      <x:c r="CR101" s="112"/>
      <x:c r="CS101" s="112"/>
      <x:c r="CT101" s="112"/>
      <x:c r="CU101" s="112"/>
      <x:c r="CV101" s="112"/>
      <x:c r="CW101" s="112"/>
      <x:c r="CX101" s="112"/>
      <x:c r="CY101" s="112"/>
      <x:c r="CZ101" s="112"/>
      <x:c r="DA101" s="112"/>
      <x:c r="DB101" s="112"/>
      <x:c r="DC101" s="114"/>
      <x:c r="DD101" s="114"/>
      <x:c r="DE101" s="112" t="s">
        <x:v>266</x:v>
      </x:c>
      <x:c r="DF101" s="112"/>
      <x:c r="DG101" s="112"/>
      <x:c r="DH101" s="112"/>
      <x:c r="DI101" s="112"/>
      <x:c r="DJ101" s="112"/>
      <x:c r="DK101" s="112"/>
      <x:c r="DL101" s="112"/>
      <x:c r="DM101" s="112"/>
      <x:c r="DN101" s="112"/>
      <x:c r="DO101" s="112"/>
      <x:c r="DP101" s="112"/>
      <x:c r="DQ101" s="114"/>
      <x:c r="DR101" s="112">
        <x:v>1</x:v>
      </x:c>
      <x:c r="DS101" s="116">
        <x:v>0</x:v>
      </x:c>
      <x:c r="DT101" s="120"/>
      <x:c r="DU101" s="116">
        <x:v>0.02</x:v>
      </x:c>
      <x:c r="DV101" s="116">
        <x:v>0.25</x:v>
      </x:c>
      <x:c r="DW101" s="118" t="str">
        <x:f>IF($A101="","",MAX('Setari model'!$B$71,MIN('Setari model'!$B$72,1+0.08*(IFERROR(AVERAGE($CM101:$CN101)/'Setari model'!$B$66,1)-1)+0.08*(IFERROR(AVERAGE($CO101:$CP101)/'Setari model'!$B$67,1)-1)+0.06*(IFERROR(AVERAGE($CQ101:$CR101)/'Setari model'!$B$68,1)-1)+0.04*(IFERROR(AVERAGE($CS101:$CT101)/'Setari model'!$B$69,1)-1)+0.04*(IFERROR(AVERAGE($CU101:$CV101)/'Setari model'!$B$70,1)-1)-'Setari model'!$B$73*IFERROR(AVERAGE($CW101:$CX101),0))))</x:f>
      </x:c>
      <x:c r="DX101" s="118" t="str">
        <x:f>IF($A101="","",1+'Setari model'!$B$62*MAX(IF(OR($CK101=1,$CL101=1),1,0),IF(AND($CJ101&lt;&gt;"",$CJ101&lt;=1),1,0))+'Setari model'!$B$63*IF(AND($CJ101&gt;1,$CJ101&lt;=3),1,0))</x:f>
      </x:c>
      <x:c r="DY101" s="118" t="str">
        <x:f>IF($A101="","",1+'Setari model'!$B$74*(IF($CY101="",0,IF($CY101=0,1,0))+IF($CZ101="",0,IF($CZ101=0,1,0)))+'Setari model'!$B$75*(IF($DA101="",0,IF($DA101=0,1,0))+IF($DB101="",0,IF($DB101=0,1,0))))</x:f>
      </x:c>
      <x:c r="DZ101" s="117" t="str">
        <x:f>IF($A101="","",MIN(0.6,MAX(0.002,(((1-'Setari model'!$B$34*MIN(1,($I101+$P101)/20))*$BT101+'Setari model'!$B$34*MIN(1,($I101+$P101)/20)*IF(COUNT($N101,$U101)=2,SQRT(MAX(0,1-$N101)*MAX(0,1-$U101)),$BT101))*(1-'Setari model'!$B$65*MIN(1,IF($AN101="",0,$AN101/'Setari model'!$B$64)))+'Setari model'!$B$65*MIN(1,IF($AN101="",0,$AN101/'Setari model'!$B$64))*IF($AM101="",$BT101,$AM101))*$DX101*$DY101/$DW101)))</x:f>
      </x:c>
      <x:c r="EA101" s="117" t="str">
        <x:f>IF($A101="","",MIN(1-$DZ101,IF(OR(MIN($I101,$P101)&lt;'Setari model'!$B$58,$CK101=1,$CL101=1,AND($CJ101&lt;&gt;"",$CJ101&lt;=1)),'Setari model'!$B$59,IF(AND($AU101=1,$AR101&gt;1,COUNT($CY101:$DB101)=4),'Setari model'!$B$61,'Setari model'!$B$60))))</x:f>
      </x:c>
      <x:c r="EB101" s="115" t="str">
        <x:f t="shared" si="125">IF($A101="","",1/$EA101)</x:f>
      </x:c>
      <x:c r="EC101" s="117" t="str">
        <x:f t="shared" si="126">IF($A101="","",IF($AR101&gt;1,IF($AS101&gt;1,(1/$AR101)/((1/$AR101)+(1/$AS101)),1/$AR101),""))</x:f>
      </x:c>
      <x:c r="ED101" s="117" t="str">
        <x:f t="shared" si="127">IF($A101="","",IF($EC101="","",$EA101-$EC101))</x:f>
      </x:c>
      <x:c r="EE101" s="117" t="str">
        <x:f t="shared" si="128">""</x:f>
      </x:c>
      <x:c r="EF101" s="119" t="str">
        <x:f>IF($A101="","",MAX(0,MIN(100,$CE101-200*MAX(0,$EG101-'Setari model'!$B$77)-IF($AU101&lt;&gt;1,10,0)-IF(COUNT($CY101:$DB101)&lt;4,4,0))))</x:f>
      </x:c>
      <x:c r="EG101" s="117" t="str">
        <x:f>IF($A101="","",'Setari model'!$B$77+IF(MIN($I101,$P101)&lt;'Setari model'!$B$58,0.03,0)+IF(OR($CK101=1,$CL101=1,AND($CJ101&lt;&gt;"",$CJ101&lt;=1)),0.03,0)+IF($AG101=0,0.02,0)+0.03*(1-MIN(1,COUNT($CM101:$CV101)/10))+0.03*(1-MIN(1,IF($AN101="",0,$AN101/'Setari model'!$B$64)))+IF($AR101&lt;=1,0.02,0))</x:f>
      </x:c>
      <x:c r="EH101" s="113" t="str">
        <x:f>IF($A101="","",IF(OR(MIN($I101,$P101)&lt;'Setari model'!$B$58,$CK101=1,$CL101=1,AND($CJ101&lt;&gt;"",$CJ101&lt;=1)),"92% – early/regim",IF(AND($AU101=1,$AR101&gt;1,COUNT($CY101:$DB101)=4),"94% – confirmat","93% – standard")))</x:f>
      </x:c>
      <x:c r="EI101" s="113" t="str">
        <x:f t="shared" si="129">IF($A101="","",IF(AND($EA101&gt;0.9,$AU101&lt;&gt;1),"WAIT XI – HIGH P",IF(AND($EA101&gt;0.9,COUNT($CY101:$DB101)&lt;4),"WAIT DATE CHEIE – HIGH P",IF($EP101&lt;&gt;"DA","NU – PORTOFOLIU","DA"))))</x:f>
      </x:c>
      <x:c r="EJ101" s="117" t="str">
        <x:f t="shared" si="130">IF($A101="","",IF($DE101&lt;&gt;"Live 20-30","",IF(SUM($DG101:$DH101)&gt;0,1,IF($EU101="","",1-MIN(0.95,MAX(0.001,EXP(-$EU101)*$DX101*$DY101/$DW101))))))</x:f>
      </x:c>
      <x:c r="EK101" s="117" t="str">
        <x:f t="shared" si="131">""</x:f>
      </x:c>
      <x:c r="EL101" s="113" t="str">
        <x:f>IF($A101="","",IF($DE101="Live 20-30",IF(SUM($DG101:$DH101)&gt;0,"EVENIMENT ÎNDEPLINIT",IF(OR($DF101="",COUNT($DI101:$DN101)&lt;4),"LIVE – WATCH",IF($EJ101&gt;=0.75,"LIVE – FEZABIL TEHNIC","LIVE – NO BET"))),IF($EI101&lt;&gt;"DA","WATCH / NO BET",IF(AND($EA101&gt;=INDEX('Setari model'!$B$35:$B$40,1),$EF101&gt;=100*'Setari model'!$B$76),"PARIU RECOMANDAT",IF(AND($EA101&gt;=INDEX('Setari model'!$B$35:$B$40,5),$EF101&gt;=100*'Setari model'!$B$40),"WATCH – APROAPE DE PRAG","PARIU EVITAT")))))</x:f>
      </x:c>
      <x:c r="EM101" s="113" t="str">
        <x:f t="shared" si="132">IF($A101="","",IF($DE101="Live 20-30",IF(SUM($DG101:$DH101)&gt;0,"Gol deja marcat.",IF($DF101="","Minut live lipsă.",IF(COUNT($DI101:$DN101)&lt;4,"Lipsesc xG/SOT/big chances live.",IF($EJ101&lt;0.75,"P live sub prag.","Semnal live tehnic complet; EV ignorat.")))),IF($EI101&lt;&gt;"DA",$EI101,IF($EF101&lt;75,"Confidence sub 75.",IF($EA101&lt;0.92,"P sub 92%.","G0/Zero-Mass + confidence trecute; EV ignorat.")))))</x:f>
      </x:c>
      <x:c r="EN101" s="117" t="str">
        <x:f>IF($A101="","",IF(OR($EL101="PARIU RECOMANDAT",$EL101="LIVE – FEZABIL"),MIN(IF($DU101&gt;0,$DU101,'Setari model'!$B$81)/MAX(1,$DR101),IF($DV101&gt;0,$DV101,'Setari model'!$B$80)*MAX(0,((IF($DE101="Live 20-30",$EJ101,$EA101)*IF($DE101="Live 20-30",$DQ101,$AR101)-1)/(IF($DE101="Live 20-30",$DQ101,$AR101)-1)))),0))</x:f>
      </x:c>
      <x:c r="EO101" s="121" t="str">
        <x:f t="shared" si="133">IF($A101="","",IF(AND($EN101&gt;0,$DT101&gt;0),$EN101*$DT101,""))</x:f>
      </x:c>
      <x:c r="EP101" s="113" t="str">
        <x:f>IF($A101="","",IF(OR($DR101&lt;1,$DR101&gt;'Setari model'!$B$78),"NU – 1–5 selecții",IF($DS101&gt;'Setari model'!$B$79,"NU – corelație", "DA")))</x:f>
      </x:c>
      <x:c r="EQ101" s="117" t="str">
        <x:f t="shared" si="134">IF($A101="","",IF(AND($DC101&gt;1,$DD101&gt;1),$DC101/$DD101-1,""))</x:f>
      </x:c>
      <x:c r="ER101" s="113" t="str">
        <x:f t="shared" si="135">IF($A101="","","P v2="&amp;TEXT($EA101,"0.0%")&amp;" ±"&amp;TEXT($EG101,"0.0%")&amp;"; P0 ZIP="&amp;TEXT($DZ101,"0.0%")&amp;"; Confidence="&amp;TEXT($EF101,"0")&amp;"/100; piață reală="&amp;IF($EC101="","NU","DA")&amp;"; EV="&amp;IF($EE101="","n/a",TEXT($EE101,"0.0%"))&amp;"; gate="&amp;$EI101&amp;"; verdict="&amp;$EL101&amp;". "&amp;$EM101)</x:f>
      </x:c>
      <x:c r="ES101" s="119" t="str">
        <x:f>IF($A101="","",'Setari model'!$B$82)</x:f>
      </x:c>
      <x:c r="ET101" s="118" t="str">
        <x:f>IF($A101="","",'Setari model'!$B$83)</x:f>
      </x:c>
      <x:c r="EU101" s="115" t="str">
        <x:f t="shared" si="136">IF(OR($A101="",$DE101&lt;&gt;"Live 20-30",$DF101="",$DF101&lt;$ES101,$DF101&gt;=90),"",MAX(0.05,MIN($BS101*$ET101,$BS101*(90-$DF101)/90+0.35*($DI101+$DJ101)+0.06*($DK101+$DL101)+0.15*($DM101+$DN101)+0.1*(MAX($DO101,$DP101)-MIN($DO101,$DP101)))))</x:f>
      </x:c>
      <x:c r="EV101" s="132"/>
      <x:c r="EW101" s="132"/>
      <x:c r="EX101" s="132"/>
      <x:c r="EY101" s="132"/>
      <x:c r="EZ101" s="132"/>
      <x:c r="FA101" s="132"/>
      <x:c r="FB101" s="247"/>
      <x:c r="FC101" s="134" t="str">
        <x:f t="shared" si="137">IF($A101="","",IF(OR($J101="",$L101="",$L101&lt;=0),"",MAX(0.5,MIN(1.5,$J101/$L101))))</x:f>
      </x:c>
      <x:c r="FD101" s="134" t="str">
        <x:f t="shared" si="138">IF($A101="","",IF(OR($Q101="",$S101="",$S101&lt;=0),"",MAX(0.5,MIN(1.5,$Q101/$S101))))</x:f>
      </x:c>
      <x:c r="FE101" s="134" t="str">
        <x:f>IF($A101="","",IF(COUNT($EV101:$EW101)&lt;2,"",SQRT($EV101*$EW101)/'Setari model'!$B$87))</x:f>
      </x:c>
      <x:c r="FF101" s="134" t="str">
        <x:f>IF($A101="","",IF(COUNT($O101,$V101,$EX101,$EY101)&lt;4,"",AVERAGE(SQRT($O101*$EY101),SQRT($V101*$EX101))/'Setari model'!$B$88))</x:f>
      </x:c>
      <x:c r="FG101" s="134" t="str">
        <x:f t="shared" si="139">IF($A101="","",IF(COUNT($FC101:$FD101)&lt;2,"",MAX(0,1-AVERAGE($FC101:$FD101))))</x:f>
      </x:c>
      <x:c r="FH101" s="134" t="str">
        <x:f>IF($A101="","",IF(COUNT($EZ101:$FA101)&lt;2,"",'Setari model'!$B$94*AVERAGE($EZ101:$FA101)/'Setari model'!$B$89))</x:f>
      </x:c>
      <x:c r="FI101" s="134" t="str">
        <x:f>IF($A101="","",IF(COUNT($FE101:$FH101)&lt;4,"",MAX('Setari model'!$B$97,MIN('Setari model'!$B$98,1+'Setari model'!$B$90*($FE101-1)+'Setari model'!$B$91*($FF101-1)+'Setari model'!$B$92*$FG101+'Setari model'!$B$93*($FH101-1)))))</x:f>
      </x:c>
      <x:c r="FJ101" s="133" t="str">
        <x:f>IF($A101="","",IF($FI101="","",MIN('Setari model'!$B$101,MAX(0.002,$DZ101*$FI101))))</x:f>
      </x:c>
      <x:c r="FK101" s="131" t="str">
        <x:f t="shared" si="140">IF($A101="","",IF(AND(COUNT($EV101:$FA101)=6,COUNT($O101,$V101,$FC101,$FD101)=4),"DA","NU"))</x:f>
      </x:c>
      <x:c r="FL101" s="131" t="str">
        <x:f>IF($A101="","",IF($FK101&lt;&gt;"DA","NEDETERMINAT",IF($FI101&lt;='Setari model'!$B$99,"SCĂZUT",IF($FI101&lt;='Setari model'!$B$100,"MEDIU","RIDICAT"))))</x:f>
      </x:c>
      <x:c r="FM101" s="131" t="str">
        <x:f>IF($A101="","",IF(AND($AR101&gt;1,$EC101&gt;='Setari model'!$B$106),"DA","NU"))</x:f>
      </x:c>
      <x:c r="FN101" s="131" t="str">
        <x:f t="shared" si="141">IF($A101="","",IF(AND($AU101=1,COUNT($CY101:$DB101)=4),"DA","NU"))</x:f>
      </x:c>
      <x:c r="FO101" s="133" t="str">
        <x:f>IF($A101="","",IF(OR($FK101&lt;&gt;"DA",$FL101="RIDICAT"),'Setari model'!$B$102,IF($FL101="MEDIU",'Setari model'!$B$103,IF(AND($FM101="DA",$FN101="DA"),'Setari model'!$B$105,'Setari model'!$B$104))))</x:f>
      </x:c>
      <x:c r="FP101" s="133" t="str">
        <x:f t="shared" si="142">IF($A101="","",IF($FJ101="","",MIN(1-$FJ101,$FO101)))</x:f>
      </x:c>
      <x:c r="FQ101" s="135" t="str">
        <x:f t="shared" si="143">IF($A101="","",IF($FP101="","",IF($FP101&gt;0,1/$FP101,"")))</x:f>
      </x:c>
      <x:c r="FR101" s="133" t="str">
        <x:f t="shared" si="144">IF($A101="","",IF($EC101="","",$FP101-$EC101))</x:f>
      </x:c>
      <x:c r="FS101" s="133" t="str">
        <x:f t="shared" si="145">IF($A101="","",IF($AR101&gt;1,$FP101*$AR101-1,""))</x:f>
      </x:c>
      <x:c r="FT101" s="136" t="str">
        <x:f>IF($A101="","",MAX(0,MIN(100,$EF101-IF($FK101&lt;&gt;"DA",'Setari model'!$B$107,0)-IF($FL101="MEDIU",'Setari model'!$B$108,0)-IF($FL101="RIDICAT",'Setari model'!$B$109,0))))</x:f>
      </x:c>
      <x:c r="FU101" s="131" t="str">
        <x:f t="shared" si="146">IF($A101="","",IF($AR101&lt;=1,"NU – LIPSEȘTE COTA REALĂ",IF($FK101&lt;&gt;"DA","NU – ZERO-RISK INCOMPLET",IF($FL101&lt;&gt;"SCĂZUT","NU – RISC 0-0 "&amp;$FL101,IF($FN101&lt;&gt;"DA","NU – LINEUP NECONFIRMAT",IF($FM101&lt;&gt;"DA","NU – PIAȚĂ NECONFIRMATĂ",IF($EP101&lt;&gt;"DA","NU – PORTOFOLIU","DA")))))))</x:f>
      </x:c>
      <x:c r="FV101" s="131" t="str">
        <x:f>IF($A101="","",IF($FU101&lt;&gt;"DA","WATCH / NO BET",IF(AND($FP101&gt;='Setari model'!$B$35,$FT101&gt;=100*'Setari model'!$B$76,$FS101&gt;0),"PARIU RECOMANDAT",IF(AND($FP101&gt;='Setari model'!$B$39,$FT101&gt;=100*'Setari model'!$B$40,$FS101&gt;0),"WATCH – APROAPE DE PRAG","PARIU EVITAT"))))</x:f>
      </x:c>
      <x:c r="FW101" s="131" t="str">
        <x:f t="shared" si="147">IF($A101="","",IF($FU101&lt;&gt;"DA",$FU101,IF($FT101&lt;75,"Confidence v3 sub 75.",IF($FP101&lt;0.92,"P v3 sub 92%.",IF($FS101&lt;=0,"EV v3 nepozitiv.","P0 v3, lineup și piață confirmate.")))))</x:f>
      </x:c>
      <x:c r="FX101" s="131" t="str">
        <x:f t="shared" si="148">IF($A101="","","P v3="&amp;TEXT($FP101,"0.0%")&amp;"; P0 v3="&amp;TEXT($FJ101,"0.0%")&amp;"; factor zero="&amp;IF($FI101="","n/a",TEXT($FI101,"0.00x"))&amp;" ("&amp;$FL101&amp;"); cap="&amp;TEXT($FO101,"0.0%")&amp;"; Confidence="&amp;TEXT($FT101,"0")&amp;"/100; lineup="&amp;$FN101&amp;"; piață="&amp;$FM101&amp;"; EV="&amp;IF($FS101="","n/a",TEXT($FS101,"0.0%"))&amp;"; gate="&amp;$FU101&amp;"; verdict="&amp;$FV101&amp;". "&amp;$FW101)</x:f>
      </x:c>
      <x:c r="FY101" s="159"/>
      <x:c r="FZ101" s="159"/>
      <x:c r="GA101" s="157"/>
      <x:c r="GB101" s="157"/>
      <x:c r="GC101" s="161" t="str">
        <x:f t="shared" si="149">IF($A101="","",IF(OR($X101="",$Z101="",$Z101&lt;=0),"",MAX(0.5,MIN(1.5,$X101/$Z101))))</x:f>
      </x:c>
      <x:c r="GD101" s="161" t="str">
        <x:f t="shared" si="150">IF($A101="","",IF(OR($AC101="",$AE101="",$AE101&lt;=0),"",MAX(0.5,MIN(1.5,$AC101/$AE101))))</x:f>
      </x:c>
      <x:c r="GE101" s="162" t="str">
        <x:f t="shared" si="151">IF($A101="","",IF(COUNT($Z101,$AE101)&lt;2,"",AVERAGE($Z101,$AE101)))</x:f>
      </x:c>
      <x:c r="GF101" s="158" t="str">
        <x:f>IF($A101="","",IF(COUNT($FY101:$FZ101)&lt;2,"NEDETERMINAT",IF(AND($FY101&gt;='Setari model'!$B$113,$FZ101&gt;='Setari model'!$B$113),"DA","NU")))</x:f>
      </x:c>
      <x:c r="GG101" s="158" t="str">
        <x:f>IF($A101="","",IF(COUNT($FY101:$FZ101,$EX101:$EY101)&lt;4,"NEDETERMINAT",IF(OR(AND($FY101&gt;='Setari model'!$B$113,$EY101&gt;='Setari model'!$B$114),AND($FZ101&gt;='Setari model'!$B$113,$EX101&gt;='Setari model'!$B$114)),"DA","NU")))</x:f>
      </x:c>
      <x:c r="GH101" s="158" t="str">
        <x:f>IF($A101="","",IF(COUNT($BJ101:$BN101,$GC101:$GE101)&lt;8,"NEDETERMINAT",IF(AND((($BJ101*INDEX('Setari model'!$B$5:$B$11,MATCH($E101,'Setari model'!$A$5:$A$11,0))+$BK101*INDEX('Setari model'!$C$5:$C$11,MATCH($E101,'Setari model'!$A$5:$A$11,0))+$BL101*INDEX('Setari model'!$D$5:$D$11,MATCH($E101,'Setari model'!$A$5:$A$11,0))+$BM101*INDEX('Setari model'!$E$5:$E$11,MATCH($E101,'Setari model'!$A$5:$A$11,0))+$BN101*INDEX('Setari model'!$F$5:$F$11,MATCH($E101,'Setari model'!$A$5:$A$11,0)))/(INDEX('Setari model'!$B$5:$B$11,MATCH($E101,'Setari model'!$A$5:$A$11,0))+INDEX('Setari model'!$C$5:$C$11,MATCH($E101,'Setari model'!$A$5:$A$11,0))+INDEX('Setari model'!$D$5:$D$11,MATCH($E101,'Setari model'!$A$5:$A$11,0))+INDEX('Setari model'!$E$5:$E$11,MATCH($E101,'Setari model'!$A$5:$A$11,0))+INDEX('Setari model'!$F$5:$F$11,MATCH($E101,'Setari model'!$A$5:$A$11,0))))*$BR101&gt;='Setari model'!$B$115,(($BJ101*INDEX('Setari model'!$B$5:$B$11,MATCH($E101,'Setari model'!$A$5:$A$11,0))+$BK101*INDEX('Setari model'!$C$5:$C$11,MATCH($E101,'Setari model'!$A$5:$A$11,0))+$BL101*INDEX('Setari model'!$D$5:$D$11,MATCH($E101,'Setari model'!$A$5:$A$11,0))+$BM101*INDEX('Setari model'!$E$5:$E$11,MATCH($E101,'Setari model'!$A$5:$A$11,0))+$BN101*INDEX('Setari model'!$F$5:$F$11,MATCH($E101,'Setari model'!$A$5:$A$11,0)))/(INDEX('Setari model'!$B$5:$B$11,MATCH($E101,'Setari model'!$A$5:$A$11,0))+INDEX('Setari model'!$C$5:$C$11,MATCH($E101,'Setari model'!$A$5:$A$11,0))+INDEX('Setari model'!$D$5:$D$11,MATCH($E101,'Setari model'!$A$5:$A$11,0))+INDEX('Setari model'!$E$5:$E$11,MATCH($E101,'Setari model'!$A$5:$A$11,0))+INDEX('Setari model'!$F$5:$F$11,MATCH($E101,'Setari model'!$A$5:$A$11,0))))*$BR101&lt;='Setari model'!$B$116,AVERAGE($GC101:$GD101)&lt;='Setari model'!$B$117,$GE101&gt;='Setari model'!$B$118),"DA","NU")))</x:f>
      </x:c>
      <x:c r="GI101" s="158" t="str">
        <x:f>IF($A101="","",IF(COUNT($W101,$AB101,$GA101:$GB101)&lt;4,"NEDETERMINAT",IF(AND($W101&gt;='Setari model'!$B$120,$AB101&gt;='Setari model'!$B$120,OR(IFERROR($GA101/$W101,0)&gt;='Setari model'!$B$119,IFERROR($GB101/$AB101,0)&gt;='Setari model'!$B$119)),"DA","NU")))</x:f>
      </x:c>
      <x:c r="GJ101" s="160" t="str">
        <x:f>IF($A101="","",IF(COUNT($FY101:$GB101)&lt;4,"",IF($GH101&lt;&gt;"DA",0,'Setari model'!$B$121*IF($GF101="DA",1,0)+'Setari model'!$B$122*IF($GG101="DA",1,0)+'Setari model'!$B$123+'Setari model'!$B$124*IF($GI101="DA",1,0))))</x:f>
      </x:c>
      <x:c r="GK101" s="161" t="str">
        <x:f>IF($A101="","",IF(COUNT($GJ101)=0,"",1+'Setari model'!$B$125*$GJ101))</x:f>
      </x:c>
      <x:c r="GL101" s="160" t="str">
        <x:f>IF($A101="","",IF($GM101&lt;&gt;"DA",$FJ101,MIN('Setari model'!$B$101,MAX(0.002,$FJ101*$GK101))))</x:f>
      </x:c>
      <x:c r="GM101" s="158" t="str">
        <x:f>IF($A101="","",IF(AND($FK101="DA",COUNT($FY101:$GB101)=4,COUNT($I101,$P101,$W101,$AB101,$Z101,$AE101,$EX101,$EY101,$GC101,$GD101)=10,COUNT($BJ101:$BN101)=5),"DA","NU"))</x:f>
      </x:c>
      <x:c r="GN101" s="158" t="str">
        <x:f>IF($A101="","",IF($GM101&lt;&gt;"DA","NEDETERMINAT",IF($FI101*$GK101&lt;='Setari model'!$B$99,"SCĂZUT",IF($FI101*$GK101&lt;='Setari model'!$B$100,"MEDIU","RIDICAT"))))</x:f>
      </x:c>
      <x:c r="GO101" s="160" t="str">
        <x:f>IF($A101="","",IF(OR($GM101&lt;&gt;"DA",$GN101="RIDICAT"),'Setari model'!$B$102,IF($GN101="MEDIU",'Setari model'!$B$103,IF(AND($FM101="DA",$FN101="DA"),'Setari model'!$B$105,'Setari model'!$B$104))))</x:f>
      </x:c>
      <x:c r="GP101" s="160" t="str">
        <x:f t="shared" si="152">IF($A101="","",IF($GL101="","",MIN(1-$GL101,$GO101)))</x:f>
      </x:c>
      <x:c r="GQ101" s="162" t="str">
        <x:f t="shared" si="153">IF($A101="","",IF($GP101="","",IF($GP101&gt;0,1/$GP101,"")))</x:f>
      </x:c>
      <x:c r="GR101" s="160" t="str">
        <x:f t="shared" si="154">IF($A101="","",IF($EC101="","",$GP101-$EC101))</x:f>
      </x:c>
      <x:c r="GS101" s="160" t="str">
        <x:f t="shared" si="155">IF($A101="","",IF($AR101&gt;1,$GP101*$AR101-1,""))</x:f>
      </x:c>
      <x:c r="GT101" s="163" t="str">
        <x:f>IF($A101="","",MAX(0,MIN(100,$FT101-IF(AND($GM101&lt;&gt;"DA",$FK101="DA"),'Setari model'!$B$107,0)-'Setari model'!$B$126*IF($GJ101="",0,$GJ101))))</x:f>
      </x:c>
      <x:c r="GU101" s="158" t="str">
        <x:f t="shared" si="156">IF($A101="","",IF($AR101&lt;=1,"NU – LIPSEȘTE COTA REALĂ",IF($GM101&lt;&gt;"DA","NU – DATE LOW-CONVERSION INCOMPLETE",IF($GN101&lt;&gt;"SCĂZUT","NU – RISC 0-0 "&amp;$GN101,IF($FN101&lt;&gt;"DA","NU – LINEUP NECONFIRMAT",IF($FM101&lt;&gt;"DA","NU – PIAȚĂ NECONFIRMATĂ",IF($EP101&lt;&gt;"DA","NU – PORTOFOLIU","DA")))))))</x:f>
      </x:c>
      <x:c r="GV101" s="158" t="str">
        <x:f>IF($A101="","",IF($GU101&lt;&gt;"DA","WATCH / NO BET",IF(AND($GP101&gt;='Setari model'!$B$35,$GT101&gt;=100*'Setari model'!$B$76,$GS101&gt;0),"PARIU RECOMANDAT",IF(AND($GP101&gt;='Setari model'!$B$39,$GT101&gt;=100*'Setari model'!$B$40,$GS101&gt;0),"WATCH – APROAPE DE PRAG","PARIU EVITAT"))))</x:f>
      </x:c>
      <x:c r="GW101" s="158" t="str">
        <x:f t="shared" si="157">IF($A101="","",IF($GU101&lt;&gt;"DA",$GU101,IF($GT101&lt;75,"Confidence v5 sub 75.",IF($GP101&lt;0.92,"P v5 sub 92%.",IF($GS101&lt;=0,"EV v5 nepozitiv.",IF($GJ101&gt;0,"Low-conversion absorbit în P0; toate porțile rămân trecute.","Toate porțile v5 sunt trecute."))))))</x:f>
      </x:c>
      <x:c r="GX101" s="158" t="str">
        <x:f t="shared" si="158">IF($A101="","","P v5="&amp;TEXT($GP101,"0.0%")&amp;"; P0 v5="&amp;TEXT($GL101,"0.0%")&amp;"; low-conv="&amp;IF(COUNT($GJ101)=0,"n/a",TEXT($GJ101,"0%"))&amp;"; mult.P0="&amp;IF(COUNT($GK101)=0,"n/a",TEXT($GK101,"0.00"))&amp;"; clasă="&amp;$GN101&amp;"; cap="&amp;TEXT($GO101,"0.0%")&amp;"; Confidence="&amp;TEXT($GT101,"0")&amp;"/100; lineup="&amp;$FN101&amp;"; piață="&amp;$FM101&amp;"; EV="&amp;IF($GS101="","n/a",TEXT($GS101,"0.0%"))&amp;"; gate="&amp;$GU101&amp;"; verdict="&amp;$GV101&amp;". "&amp;$GW101)</x:f>
      </x:c>
      <x:c r="GY101" s="174" t="str">
        <x:f>IF($A101="","",IF($GM101&lt;&gt;"DA","SOURCING INCOMPLETE – REVIEW REQUIRED",IF(MIN($I101,$P101,$W101,$AB101)&lt;'Setari model'!$B$58,"SMALL SAMPLE + PRIOR / SHRINKAGE","VERIFIED / PRIOR / SHRINKAGE")))</x:f>
      </x:c>
      <x:c r="GZ101" s="175" t="str">
        <x:f t="shared" si="159">IF($A101="","",MAX(0,MIN(100,100*(1-AVERAGE(IF($GM101="DA",1,0),MIN(1,$AT101/5))))))</x:f>
      </x:c>
      <x:c r="HA101" s="175" t="str">
        <x:f>IF($A101="","",IF($GM101&lt;&gt;"DA","",MAX(0,MIN(100,100*(($FI101*$GK101)-'Setari model'!$B$97)/('Setari model'!$B$98-'Setari model'!$B$97)))))</x:f>
      </x:c>
      <x:c r="HB101" s="175" t="str">
        <x:f>IF($A101="","",MAX(0,MIN(100,100*(ABS($BR101-1)/MAX(1-'Setari model'!$B$53,'Setari model'!$B$54-1)+MIN(1,$BG101/2))/2)))</x:f>
      </x:c>
      <x:c r="HC101" s="175" t="str">
        <x:f t="shared" si="160">IF($A101="","",MAX(0,MIN(100,100*(1-AVERAGE($CC101,MAX(0,1-(MAX($BJ101:$BN101)-MIN($BJ101:$BN101))/(AVERAGE($BJ101:$BN101)*'Setari model'!$B$45)))))))</x:f>
      </x:c>
      <x:c r="HD101" s="175" t="str">
        <x:f t="shared" si="161">IF($A101="","",MAX(0,MIN(100,100*MAX(IF($GJ101="",0,$GJ101),MIN(1,$BG101/2)))))</x:f>
      </x:c>
      <x:c r="HE101" s="175" t="str">
        <x:f>IF($A101="","",IF(COUNT($GZ101:$HD101)&lt;5,"",$GZ101*Risk_Classification!$E$28+$HA101*Risk_Classification!$E$29+$HB101*Risk_Classification!$E$30+$HC101*Risk_Classification!$E$31+$HD101*Risk_Classification!$E$32))</x:f>
      </x:c>
      <x:c r="HF101" s="176" t="str">
        <x:f t="shared" si="162">IF($A101="","",IF($HE101="","",IF($HE101&lt;=20,1,IF($HE101&lt;=40,2,IF($HE101&lt;=60,3,IF($HE101&lt;=80,4,5))))))</x:f>
      </x:c>
      <x:c r="HG101" s="176" t="str">
        <x:f t="shared" si="163">IF($A101="","",IF($GM101="DA","PASS","FAIL – DATE CRITICE ZERO-MASS INCOMPLETE"))</x:f>
      </x:c>
      <x:c r="HH101" s="176" t="str">
        <x:f t="shared" si="164">IF($A101="","",IF($HG101&lt;&gt;"PASS",5,$HF101))</x:f>
      </x:c>
      <x:c r="HI101" s="174" t="str">
        <x:f t="shared" si="165">IF($A101="","",IF($HH101="","N/A",IF($HH101=1,"DEFENSIV",IF($HH101=2,"PRUDENT",IF($HH101=3,"MODERAT",IF($HH101=4,"RIDICAT","WATCH / NO BET"))))))</x:f>
      </x:c>
      <x:c r="HJ101" s="177" t="str">
        <x:f t="shared" si="166">IF($A101="","","Data="&amp;$GY101&amp;"; DQ="&amp;TEXT($GZ101,"0.0")&amp;"; ZM="&amp;IF($HA101="","n/a",TEXT($HA101,"0.0"))&amp;"; Context="&amp;TEXT($HB101,"0.0")&amp;"; Uncertainty="&amp;TEXT($HC101,"0.0")&amp;"; Compound="&amp;TEXT($HD101,"0.0")&amp;"; Risk Score="&amp;IF($HE101="","n/a",TEXT($HE101,"0.0"))&amp;"; Base="&amp;IF($HF101="","n/a",$HF101)&amp;"; G0="&amp;$HG101&amp;"; Final="&amp;$HH101&amp;". Cota, EV si lineup sunt informative si nu intra in recomandare.")</x:f>
      </x:c>
      <x:c r="HK101" s="174" t="str">
        <x:f t="shared" si="167">IF($A101="","",$HI101)</x:f>
      </x:c>
    </x:row>
    <x:row r="102" ht="24" customHeight="1">
      <x:c r="A102" s="58"/>
      <x:c r="B102" s="24"/>
      <x:c r="C102" s="59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18"/>
      <x:c r="O102" s="18"/>
      <x:c r="P102" s="24"/>
      <x:c r="Q102" s="24"/>
      <x:c r="R102" s="24"/>
      <x:c r="S102" s="24"/>
      <x:c r="T102" s="24"/>
      <x:c r="U102" s="18"/>
      <x:c r="V102" s="18"/>
      <x:c r="W102" s="24"/>
      <x:c r="X102" s="24"/>
      <x:c r="Y102" s="24"/>
      <x:c r="Z102" s="24"/>
      <x:c r="AA102" s="24"/>
      <x:c r="AB102" s="24"/>
      <x:c r="AC102" s="24"/>
      <x:c r="AD102" s="24"/>
      <x:c r="AE102" s="24"/>
      <x:c r="AF102" s="24"/>
      <x:c r="AG102" s="24"/>
      <x:c r="AH102" s="24"/>
      <x:c r="AI102" s="18"/>
      <x:c r="AJ102" s="24"/>
      <x:c r="AK102" s="24"/>
      <x:c r="AL102" s="24"/>
      <x:c r="AM102" s="18"/>
      <x:c r="AN102" s="24"/>
      <x:c r="AO102" s="60"/>
      <x:c r="AP102" s="60"/>
      <x:c r="AQ102" s="60"/>
      <x:c r="AR102" s="60"/>
      <x:c r="AS102" s="60"/>
      <x:c r="AT102" s="24"/>
      <x:c r="AU102" s="24"/>
      <x:c r="AV102" s="24"/>
      <x:c r="AW102" s="24"/>
      <x:c r="AX102" s="24"/>
      <x:c r="AY102" s="24"/>
      <x:c r="AZ102" s="24"/>
      <x:c r="BA102" s="24"/>
      <x:c r="BB102" s="24"/>
      <x:c r="BC102" s="24"/>
      <x:c r="BD102" s="24"/>
      <x:c r="BE102" s="24"/>
      <x:c r="BF102" s="24"/>
      <x:c r="BG102" s="24"/>
      <x:c r="BH102" s="61"/>
      <x:c r="BI102" s="61"/>
      <x:c r="BJ102" s="62" t="str">
        <x:f>IF($A102="","",SQRT((($I102*IF($J102="",$AJ102,$J102)+'Setari model'!$B$30*$AJ102)/($I102+'Setari model'!$B$30))*(($P102*IF($R102="",$AJ102,$R102)+'Setari model'!$B$30*$AJ102)/($P102+'Setari model'!$B$30)))+SQRT((($P102*IF($Q102="",$AK102,$Q102)+'Setari model'!$B$30*$AK102)/($P102+'Setari model'!$B$30))*(($I102*IF($K102="",$AK102,$K102)+'Setari model'!$B$30*$AK102)/($I102+'Setari model'!$B$30))))</x:f>
      </x:c>
      <x:c r="BK102" s="62" t="str">
        <x:f>IF($A102="","",SQRT((($I102*IF($L102="",IF($J102="",$AJ102,$J102),$L102)+'Setari model'!$B$30*$AJ102)/($I102+'Setari model'!$B$30))*(($P102*IF($T102="",IF($R102="",$AJ102,$R102),$T102)+'Setari model'!$B$30*$AJ102)/($P102+'Setari model'!$B$30)))+SQRT((($P102*IF($S102="",IF($Q102="",$AK102,$Q102),$S102)+'Setari model'!$B$30*$AK102)/($P102+'Setari model'!$B$30))*(($I102*IF($M102="",IF($K102="",$AK102,$K102),$M102)+'Setari model'!$B$30*$AK102)/($I102+'Setari model'!$B$30))))</x:f>
      </x:c>
      <x:c r="BL102" s="62" t="str">
        <x:f>IF($A102="","",SQRT((($W102*IF($X102="",$AL102/2,$X102)+'Setari model'!$B$31*$AL102/2)/($W102+'Setari model'!$B$31))*(($AB102*IF($AD102="",$AL102/2,$AD102)+'Setari model'!$B$31*$AL102/2)/($AB102+'Setari model'!$B$31)))+SQRT((($AB102*IF($AC102="",$AL102/2,$AC102)+'Setari model'!$B$31*$AL102/2)/($AB102+'Setari model'!$B$31))*(($W102*IF($Y102="",$AL102/2,$Y102)+'Setari model'!$B$31*$AL102/2)/($W102+'Setari model'!$B$31))))</x:f>
      </x:c>
      <x:c r="BM102" s="62" t="str">
        <x:f>IF($A102="","",SQRT((($W102*IF($Z102="",IF($X102="",$AL102/2,$X102),$Z102)+'Setari model'!$B$31*$AL102/2)/($W102+'Setari model'!$B$31))*(($AB102*IF($AF102="",IF($AD102="",$AL102/2,$AD102),$AF102)+'Setari model'!$B$31*$AL102/2)/($AB102+'Setari model'!$B$31)))+SQRT((($AB102*IF($AE102="",IF($AC102="",$AL102/2,$AC102),$AE102)+'Setari model'!$B$31*$AL102/2)/($AB102+'Setari model'!$B$31))*(($W102*IF($AA102="",IF($Y102="",$AL102/2,$Y102),$AA102)+'Setari model'!$B$31*$AL102/2)/($W102+'Setari model'!$B$31))))</x:f>
      </x:c>
      <x:c r="BN102" s="62" t="str">
        <x:f t="shared" si="112">IF($A102="","",IF($AG102&gt;0,($AG102*IF($AH102="",$AL102,$AH102)+5*$AL102)/($AG102+5),$AL102))</x:f>
      </x:c>
      <x:c r="BO102" s="63" t="str">
        <x:f>IF($A102="","",IF($AR102&gt;1,IF($AS102&gt;1,(1/$AR102)/((1/$AR102+1/$AS102)),MIN(0.995,(1/$AR102)/(1+'Setari model'!$B$32))),1-EXP(-$AL102)))</x:f>
      </x:c>
      <x:c r="BP102" s="62" t="str">
        <x:f t="shared" si="113">IF($A102="","",-LN(1-$BO102))</x:f>
      </x:c>
      <x:c r="BQ102" s="62" t="str">
        <x:f>IF($A102="","",$BJ102*INDEX('Setari model'!$B$5:$B$11,MATCH($E102,'Setari model'!$A$5:$A$11,0))+$BK102*INDEX('Setari model'!$C$5:$C$11,MATCH($E102,'Setari model'!$A$5:$A$11,0))+$BL102*INDEX('Setari model'!$D$5:$D$11,MATCH($E102,'Setari model'!$A$5:$A$11,0))+$BM102*INDEX('Setari model'!$E$5:$E$11,MATCH($E102,'Setari model'!$A$5:$A$11,0))+$BN102*INDEX('Setari model'!$F$5:$F$11,MATCH($E102,'Setari model'!$A$5:$A$11,0))+$BP102*INDEX('Setari model'!$G$5:$G$11,MATCH($E102,'Setari model'!$A$5:$A$11,0)))</x:f>
      </x:c>
      <x:c r="BR102" s="64" t="str">
        <x:f>IF($A102="","",MAX('Setari model'!$B$53,MIN('Setari model'!$B$54,1+($AV102*'Setari model'!$B$15+$AW102*'Setari model'!$B$16+$AX102*'Setari model'!$B$17+$AY102*'Setari model'!$B$18+$AZ102*'Setari model'!$B$19+$BA102*'Setari model'!$B$20+$BB102*'Setari model'!$B$21+$BC102*'Setari model'!$B$22+$BD102*'Setari model'!$B$23+$BE102*'Setari model'!$B$24+$BF102*'Setari model'!$B$25)*INDEX('Setari model'!$H$5:$H$11,MATCH($E102,'Setari model'!$A$5:$A$11,0)))))</x:f>
      </x:c>
      <x:c r="BS102" s="62" t="str">
        <x:f t="shared" si="114">IF($A102="","",$BQ102*$BR102)</x:f>
      </x:c>
      <x:c r="BT102" s="63" t="str">
        <x:f t="shared" si="115">IF($A102="","",EXP(-$BS102))</x:f>
      </x:c>
      <x:c r="BU102" s="65" t="str">
        <x:f>IF($A102="","",IF(OR($AM102="",$AN102=""),1,1+MIN('Setari model'!$B$33,$AN102/100*'Setari model'!$B$33)*($AM102/EXP(-$AL102)-1)))</x:f>
      </x:c>
      <x:c r="BV102" s="63" t="str">
        <x:f>IF($A102="","",MIN(0.45,MAX(0.005,(1-'Setari model'!$B$34*MIN(1,($I102+$P102)/20))*MIN(0.45,$BT102*$BU102)+'Setari model'!$B$34*MIN(1,($I102+$P102)/20)*IF(COUNT($N102,$U102)=2,SQRT(MAX(0,1-$N102)*MAX(0,1-$U102)),IF($AM102="",EXP(-$AL102),$AM102)))))</x:f>
      </x:c>
      <x:c r="BW102" s="63" t="str">
        <x:f t="shared" si="116">IF($A102="","",1-$BV102)</x:f>
      </x:c>
      <x:c r="BX102" s="62" t="str">
        <x:f t="shared" si="117">IF($A102="","",1/$BW102)</x:f>
      </x:c>
      <x:c r="BY102" s="63" t="str">
        <x:f t="shared" si="118">IF($A102="","",$BO102)</x:f>
      </x:c>
      <x:c r="BZ102" s="63" t="str">
        <x:f t="shared" si="119">IF($A102="","",$BW102-$BY102)</x:f>
      </x:c>
      <x:c r="CA102" s="63" t="str">
        <x:f t="shared" si="120">IF($A102="","",IF($AR102&gt;1,$BW102*$AR102-1,""))</x:f>
      </x:c>
      <x:c r="CB102" s="63" t="str">
        <x:f>IF($A102="","",MIN(1,COUNT($I102:$AN102,$AR102:$BG102)/'Setari model'!$B$46))</x:f>
      </x:c>
      <x:c r="CC102" s="63" t="str">
        <x:f t="shared" si="121">IF($A102="","",0.25*MIN(1,$I102/10)+0.25*MIN(1,$P102/10)+0.15*MIN(1,$W102/5)+0.15*MIN(1,$AB102/5)+0.1*MIN(1,$AG102/5)+0.1*MIN(1,$AN102/100))</x:f>
      </x:c>
      <x:c r="CD102" s="63" t="str">
        <x:f>IF($A102="","",MAX(0,1-(MAX($BJ102:$BN102,$BP102)-MIN($BJ102:$BN102,$BP102))/(AVERAGE($BJ102:$BN102,$BP102)*'Setari model'!$B$45)))</x:f>
      </x:c>
      <x:c r="CE102" s="66" t="str">
        <x:f>IF($A102="","",MAX(0,MIN(100,100*INDEX('Setari model'!$I$5:$I$11,MATCH($E102,'Setari model'!$A$5:$A$11,0))*('Setari model'!$B$47*$CB102+'Setari model'!$B$48*$CC102+'Setari model'!$B$49*$CD102+'Setari model'!$B$50*$AT102/5+'Setari model'!$B$51*$AU102)-100*'Setari model'!$B$52*$BG102)))</x:f>
      </x:c>
      <x:c r="CF102" s="65" t="str">
        <x:f t="shared" si="122">IF($A102="","",IF(OR($AT102&lt;3,$BG102&gt;=2,$CB102&lt;0.55,$CC102&lt;0.4),"RIDICAT",IF(OR($AU102=0,$CD102&lt;0.45,$BR102&lt;0.9),"MEDIU","SCĂZUT")))</x:f>
      </x:c>
      <x:c r="CG102" s="65" t="str">
        <x:f>IF($A102="","",IF($AR102&gt;1,IF(AND($BW102&gt;= 'Setari model'!$B$35,$CE102&gt;=100*'Setari model'!$B$36,$BZ102&gt;= 'Setari model'!$B$37,$CA102&gt;= 'Setari model'!$B$38,$CF102&lt;&gt;"RIDICAT"),"PARIU RECOMANDAT",IF(AND($BW102&gt;= 'Setari model'!$B$39,$CE102&gt;=100*'Setari model'!$B$40,$BZ102&gt;= 'Setari model'!$B$41,$CA102&gt;=0,$CF102&lt;&gt;"RIDICAT"),"RECOMANDAT CU PRUDENȚĂ",IF(AND($BW102&gt;= 'Setari model'!$B$42,$CE102&gt;=100*'Setari model'!$B$43),"ANALIZĂ NECONCLUDENTĂ","PARIU EVITAT"))),IF(AND($BW102&gt;= 'Setari model'!$B$35,$CE102&gt;=100*'Setari model'!$B$36,$CF102&lt;&gt;"RIDICAT"),"FAVORABIL STATISTIC – VERIFICĂ COTA",IF(AND($BW102&gt;= 'Setari model'!$B$42,$CE102&gt;=100*'Setari model'!$B$43),"ANALIZĂ NECONCLUDENTĂ","PARIU EVITAT"))))</x:f>
      </x:c>
      <x:c r="CH102" s="67" t="str">
        <x:f t="shared" si="123">IF($A102="","","P(O0,5)="&amp;TEXT($BW102,"0.0%")&amp;"; λ ajustat="&amp;TEXT($BS102,"0.00")&amp;"; Confidence="&amp;TEXT($CE102,"0")&amp;"/100; Edge="&amp;TEXT($BZ102,"0.0%")&amp;"; risc="&amp;$CF102&amp;". "&amp;$BH102)</x:f>
      </x:c>
      <x:c r="CI102" s="68" t="str">
        <x:f t="shared" si="124">IF($A102="","",$BI102)</x:f>
      </x:c>
      <x:c r="CJ102" s="112"/>
      <x:c r="CK102" s="112"/>
      <x:c r="CL102" s="112"/>
      <x:c r="CM102" s="112"/>
      <x:c r="CN102" s="112"/>
      <x:c r="CO102" s="112"/>
      <x:c r="CP102" s="112"/>
      <x:c r="CQ102" s="112"/>
      <x:c r="CR102" s="112"/>
      <x:c r="CS102" s="112"/>
      <x:c r="CT102" s="112"/>
      <x:c r="CU102" s="112"/>
      <x:c r="CV102" s="112"/>
      <x:c r="CW102" s="112"/>
      <x:c r="CX102" s="112"/>
      <x:c r="CY102" s="112"/>
      <x:c r="CZ102" s="112"/>
      <x:c r="DA102" s="112"/>
      <x:c r="DB102" s="112"/>
      <x:c r="DC102" s="114"/>
      <x:c r="DD102" s="114"/>
      <x:c r="DE102" s="112" t="s">
        <x:v>266</x:v>
      </x:c>
      <x:c r="DF102" s="112"/>
      <x:c r="DG102" s="112"/>
      <x:c r="DH102" s="112"/>
      <x:c r="DI102" s="112"/>
      <x:c r="DJ102" s="112"/>
      <x:c r="DK102" s="112"/>
      <x:c r="DL102" s="112"/>
      <x:c r="DM102" s="112"/>
      <x:c r="DN102" s="112"/>
      <x:c r="DO102" s="112"/>
      <x:c r="DP102" s="112"/>
      <x:c r="DQ102" s="114"/>
      <x:c r="DR102" s="112">
        <x:v>1</x:v>
      </x:c>
      <x:c r="DS102" s="116">
        <x:v>0</x:v>
      </x:c>
      <x:c r="DT102" s="120"/>
      <x:c r="DU102" s="116">
        <x:v>0.02</x:v>
      </x:c>
      <x:c r="DV102" s="116">
        <x:v>0.25</x:v>
      </x:c>
      <x:c r="DW102" s="118" t="str">
        <x:f>IF($A102="","",MAX('Setari model'!$B$71,MIN('Setari model'!$B$72,1+0.08*(IFERROR(AVERAGE($CM102:$CN102)/'Setari model'!$B$66,1)-1)+0.08*(IFERROR(AVERAGE($CO102:$CP102)/'Setari model'!$B$67,1)-1)+0.06*(IFERROR(AVERAGE($CQ102:$CR102)/'Setari model'!$B$68,1)-1)+0.04*(IFERROR(AVERAGE($CS102:$CT102)/'Setari model'!$B$69,1)-1)+0.04*(IFERROR(AVERAGE($CU102:$CV102)/'Setari model'!$B$70,1)-1)-'Setari model'!$B$73*IFERROR(AVERAGE($CW102:$CX102),0))))</x:f>
      </x:c>
      <x:c r="DX102" s="118" t="str">
        <x:f>IF($A102="","",1+'Setari model'!$B$62*MAX(IF(OR($CK102=1,$CL102=1),1,0),IF(AND($CJ102&lt;&gt;"",$CJ102&lt;=1),1,0))+'Setari model'!$B$63*IF(AND($CJ102&gt;1,$CJ102&lt;=3),1,0))</x:f>
      </x:c>
      <x:c r="DY102" s="118" t="str">
        <x:f>IF($A102="","",1+'Setari model'!$B$74*(IF($CY102="",0,IF($CY102=0,1,0))+IF($CZ102="",0,IF($CZ102=0,1,0)))+'Setari model'!$B$75*(IF($DA102="",0,IF($DA102=0,1,0))+IF($DB102="",0,IF($DB102=0,1,0))))</x:f>
      </x:c>
      <x:c r="DZ102" s="117" t="str">
        <x:f>IF($A102="","",MIN(0.6,MAX(0.002,(((1-'Setari model'!$B$34*MIN(1,($I102+$P102)/20))*$BT102+'Setari model'!$B$34*MIN(1,($I102+$P102)/20)*IF(COUNT($N102,$U102)=2,SQRT(MAX(0,1-$N102)*MAX(0,1-$U102)),$BT102))*(1-'Setari model'!$B$65*MIN(1,IF($AN102="",0,$AN102/'Setari model'!$B$64)))+'Setari model'!$B$65*MIN(1,IF($AN102="",0,$AN102/'Setari model'!$B$64))*IF($AM102="",$BT102,$AM102))*$DX102*$DY102/$DW102)))</x:f>
      </x:c>
      <x:c r="EA102" s="117" t="str">
        <x:f>IF($A102="","",MIN(1-$DZ102,IF(OR(MIN($I102,$P102)&lt;'Setari model'!$B$58,$CK102=1,$CL102=1,AND($CJ102&lt;&gt;"",$CJ102&lt;=1)),'Setari model'!$B$59,IF(AND($AU102=1,$AR102&gt;1,COUNT($CY102:$DB102)=4),'Setari model'!$B$61,'Setari model'!$B$60))))</x:f>
      </x:c>
      <x:c r="EB102" s="115" t="str">
        <x:f t="shared" si="125">IF($A102="","",1/$EA102)</x:f>
      </x:c>
      <x:c r="EC102" s="117" t="str">
        <x:f t="shared" si="126">IF($A102="","",IF($AR102&gt;1,IF($AS102&gt;1,(1/$AR102)/((1/$AR102)+(1/$AS102)),1/$AR102),""))</x:f>
      </x:c>
      <x:c r="ED102" s="117" t="str">
        <x:f t="shared" si="127">IF($A102="","",IF($EC102="","",$EA102-$EC102))</x:f>
      </x:c>
      <x:c r="EE102" s="117" t="str">
        <x:f t="shared" si="128">""</x:f>
      </x:c>
      <x:c r="EF102" s="119" t="str">
        <x:f>IF($A102="","",MAX(0,MIN(100,$CE102-200*MAX(0,$EG102-'Setari model'!$B$77)-IF($AU102&lt;&gt;1,10,0)-IF(COUNT($CY102:$DB102)&lt;4,4,0))))</x:f>
      </x:c>
      <x:c r="EG102" s="117" t="str">
        <x:f>IF($A102="","",'Setari model'!$B$77+IF(MIN($I102,$P102)&lt;'Setari model'!$B$58,0.03,0)+IF(OR($CK102=1,$CL102=1,AND($CJ102&lt;&gt;"",$CJ102&lt;=1)),0.03,0)+IF($AG102=0,0.02,0)+0.03*(1-MIN(1,COUNT($CM102:$CV102)/10))+0.03*(1-MIN(1,IF($AN102="",0,$AN102/'Setari model'!$B$64)))+IF($AR102&lt;=1,0.02,0))</x:f>
      </x:c>
      <x:c r="EH102" s="113" t="str">
        <x:f>IF($A102="","",IF(OR(MIN($I102,$P102)&lt;'Setari model'!$B$58,$CK102=1,$CL102=1,AND($CJ102&lt;&gt;"",$CJ102&lt;=1)),"92% – early/regim",IF(AND($AU102=1,$AR102&gt;1,COUNT($CY102:$DB102)=4),"94% – confirmat","93% – standard")))</x:f>
      </x:c>
      <x:c r="EI102" s="113" t="str">
        <x:f t="shared" si="129">IF($A102="","",IF(AND($EA102&gt;0.9,$AU102&lt;&gt;1),"WAIT XI – HIGH P",IF(AND($EA102&gt;0.9,COUNT($CY102:$DB102)&lt;4),"WAIT DATE CHEIE – HIGH P",IF($EP102&lt;&gt;"DA","NU – PORTOFOLIU","DA"))))</x:f>
      </x:c>
      <x:c r="EJ102" s="117" t="str">
        <x:f t="shared" si="130">IF($A102="","",IF($DE102&lt;&gt;"Live 20-30","",IF(SUM($DG102:$DH102)&gt;0,1,IF($EU102="","",1-MIN(0.95,MAX(0.001,EXP(-$EU102)*$DX102*$DY102/$DW102))))))</x:f>
      </x:c>
      <x:c r="EK102" s="117" t="str">
        <x:f t="shared" si="131">""</x:f>
      </x:c>
      <x:c r="EL102" s="113" t="str">
        <x:f>IF($A102="","",IF($DE102="Live 20-30",IF(SUM($DG102:$DH102)&gt;0,"EVENIMENT ÎNDEPLINIT",IF(OR($DF102="",COUNT($DI102:$DN102)&lt;4),"LIVE – WATCH",IF($EJ102&gt;=0.75,"LIVE – FEZABIL TEHNIC","LIVE – NO BET"))),IF($EI102&lt;&gt;"DA","WATCH / NO BET",IF(AND($EA102&gt;=INDEX('Setari model'!$B$35:$B$40,1),$EF102&gt;=100*'Setari model'!$B$76),"PARIU RECOMANDAT",IF(AND($EA102&gt;=INDEX('Setari model'!$B$35:$B$40,5),$EF102&gt;=100*'Setari model'!$B$40),"WATCH – APROAPE DE PRAG","PARIU EVITAT")))))</x:f>
      </x:c>
      <x:c r="EM102" s="113" t="str">
        <x:f t="shared" si="132">IF($A102="","",IF($DE102="Live 20-30",IF(SUM($DG102:$DH102)&gt;0,"Gol deja marcat.",IF($DF102="","Minut live lipsă.",IF(COUNT($DI102:$DN102)&lt;4,"Lipsesc xG/SOT/big chances live.",IF($EJ102&lt;0.75,"P live sub prag.","Semnal live tehnic complet; EV ignorat.")))),IF($EI102&lt;&gt;"DA",$EI102,IF($EF102&lt;75,"Confidence sub 75.",IF($EA102&lt;0.92,"P sub 92%.","G0/Zero-Mass + confidence trecute; EV ignorat.")))))</x:f>
      </x:c>
      <x:c r="EN102" s="117" t="str">
        <x:f>IF($A102="","",IF(OR($EL102="PARIU RECOMANDAT",$EL102="LIVE – FEZABIL"),MIN(IF($DU102&gt;0,$DU102,'Setari model'!$B$81)/MAX(1,$DR102),IF($DV102&gt;0,$DV102,'Setari model'!$B$80)*MAX(0,((IF($DE102="Live 20-30",$EJ102,$EA102)*IF($DE102="Live 20-30",$DQ102,$AR102)-1)/(IF($DE102="Live 20-30",$DQ102,$AR102)-1)))),0))</x:f>
      </x:c>
      <x:c r="EO102" s="121" t="str">
        <x:f t="shared" si="133">IF($A102="","",IF(AND($EN102&gt;0,$DT102&gt;0),$EN102*$DT102,""))</x:f>
      </x:c>
      <x:c r="EP102" s="113" t="str">
        <x:f>IF($A102="","",IF(OR($DR102&lt;1,$DR102&gt;'Setari model'!$B$78),"NU – 1–5 selecții",IF($DS102&gt;'Setari model'!$B$79,"NU – corelație", "DA")))</x:f>
      </x:c>
      <x:c r="EQ102" s="117" t="str">
        <x:f t="shared" si="134">IF($A102="","",IF(AND($DC102&gt;1,$DD102&gt;1),$DC102/$DD102-1,""))</x:f>
      </x:c>
      <x:c r="ER102" s="113" t="str">
        <x:f t="shared" si="135">IF($A102="","","P v2="&amp;TEXT($EA102,"0.0%")&amp;" ±"&amp;TEXT($EG102,"0.0%")&amp;"; P0 ZIP="&amp;TEXT($DZ102,"0.0%")&amp;"; Confidence="&amp;TEXT($EF102,"0")&amp;"/100; piață reală="&amp;IF($EC102="","NU","DA")&amp;"; EV="&amp;IF($EE102="","n/a",TEXT($EE102,"0.0%"))&amp;"; gate="&amp;$EI102&amp;"; verdict="&amp;$EL102&amp;". "&amp;$EM102)</x:f>
      </x:c>
      <x:c r="ES102" s="119" t="str">
        <x:f>IF($A102="","",'Setari model'!$B$82)</x:f>
      </x:c>
      <x:c r="ET102" s="118" t="str">
        <x:f>IF($A102="","",'Setari model'!$B$83)</x:f>
      </x:c>
      <x:c r="EU102" s="115" t="str">
        <x:f t="shared" si="136">IF(OR($A102="",$DE102&lt;&gt;"Live 20-30",$DF102="",$DF102&lt;$ES102,$DF102&gt;=90),"",MAX(0.05,MIN($BS102*$ET102,$BS102*(90-$DF102)/90+0.35*($DI102+$DJ102)+0.06*($DK102+$DL102)+0.15*($DM102+$DN102)+0.1*(MAX($DO102,$DP102)-MIN($DO102,$DP102)))))</x:f>
      </x:c>
      <x:c r="EV102" s="132"/>
      <x:c r="EW102" s="132"/>
      <x:c r="EX102" s="132"/>
      <x:c r="EY102" s="132"/>
      <x:c r="EZ102" s="132"/>
      <x:c r="FA102" s="132"/>
      <x:c r="FB102" s="247"/>
      <x:c r="FC102" s="134" t="str">
        <x:f t="shared" si="137">IF($A102="","",IF(OR($J102="",$L102="",$L102&lt;=0),"",MAX(0.5,MIN(1.5,$J102/$L102))))</x:f>
      </x:c>
      <x:c r="FD102" s="134" t="str">
        <x:f t="shared" si="138">IF($A102="","",IF(OR($Q102="",$S102="",$S102&lt;=0),"",MAX(0.5,MIN(1.5,$Q102/$S102))))</x:f>
      </x:c>
      <x:c r="FE102" s="134" t="str">
        <x:f>IF($A102="","",IF(COUNT($EV102:$EW102)&lt;2,"",SQRT($EV102*$EW102)/'Setari model'!$B$87))</x:f>
      </x:c>
      <x:c r="FF102" s="134" t="str">
        <x:f>IF($A102="","",IF(COUNT($O102,$V102,$EX102,$EY102)&lt;4,"",AVERAGE(SQRT($O102*$EY102),SQRT($V102*$EX102))/'Setari model'!$B$88))</x:f>
      </x:c>
      <x:c r="FG102" s="134" t="str">
        <x:f t="shared" si="139">IF($A102="","",IF(COUNT($FC102:$FD102)&lt;2,"",MAX(0,1-AVERAGE($FC102:$FD102))))</x:f>
      </x:c>
      <x:c r="FH102" s="134" t="str">
        <x:f>IF($A102="","",IF(COUNT($EZ102:$FA102)&lt;2,"",'Setari model'!$B$94*AVERAGE($EZ102:$FA102)/'Setari model'!$B$89))</x:f>
      </x:c>
      <x:c r="FI102" s="134" t="str">
        <x:f>IF($A102="","",IF(COUNT($FE102:$FH102)&lt;4,"",MAX('Setari model'!$B$97,MIN('Setari model'!$B$98,1+'Setari model'!$B$90*($FE102-1)+'Setari model'!$B$91*($FF102-1)+'Setari model'!$B$92*$FG102+'Setari model'!$B$93*($FH102-1)))))</x:f>
      </x:c>
      <x:c r="FJ102" s="133" t="str">
        <x:f>IF($A102="","",IF($FI102="","",MIN('Setari model'!$B$101,MAX(0.002,$DZ102*$FI102))))</x:f>
      </x:c>
      <x:c r="FK102" s="131" t="str">
        <x:f t="shared" si="140">IF($A102="","",IF(AND(COUNT($EV102:$FA102)=6,COUNT($O102,$V102,$FC102,$FD102)=4),"DA","NU"))</x:f>
      </x:c>
      <x:c r="FL102" s="131" t="str">
        <x:f>IF($A102="","",IF($FK102&lt;&gt;"DA","NEDETERMINAT",IF($FI102&lt;='Setari model'!$B$99,"SCĂZUT",IF($FI102&lt;='Setari model'!$B$100,"MEDIU","RIDICAT"))))</x:f>
      </x:c>
      <x:c r="FM102" s="131" t="str">
        <x:f>IF($A102="","",IF(AND($AR102&gt;1,$EC102&gt;='Setari model'!$B$106),"DA","NU"))</x:f>
      </x:c>
      <x:c r="FN102" s="131" t="str">
        <x:f t="shared" si="141">IF($A102="","",IF(AND($AU102=1,COUNT($CY102:$DB102)=4),"DA","NU"))</x:f>
      </x:c>
      <x:c r="FO102" s="133" t="str">
        <x:f>IF($A102="","",IF(OR($FK102&lt;&gt;"DA",$FL102="RIDICAT"),'Setari model'!$B$102,IF($FL102="MEDIU",'Setari model'!$B$103,IF(AND($FM102="DA",$FN102="DA"),'Setari model'!$B$105,'Setari model'!$B$104))))</x:f>
      </x:c>
      <x:c r="FP102" s="133" t="str">
        <x:f t="shared" si="142">IF($A102="","",IF($FJ102="","",MIN(1-$FJ102,$FO102)))</x:f>
      </x:c>
      <x:c r="FQ102" s="135" t="str">
        <x:f t="shared" si="143">IF($A102="","",IF($FP102="","",IF($FP102&gt;0,1/$FP102,"")))</x:f>
      </x:c>
      <x:c r="FR102" s="133" t="str">
        <x:f t="shared" si="144">IF($A102="","",IF($EC102="","",$FP102-$EC102))</x:f>
      </x:c>
      <x:c r="FS102" s="133" t="str">
        <x:f t="shared" si="145">IF($A102="","",IF($AR102&gt;1,$FP102*$AR102-1,""))</x:f>
      </x:c>
      <x:c r="FT102" s="136" t="str">
        <x:f>IF($A102="","",MAX(0,MIN(100,$EF102-IF($FK102&lt;&gt;"DA",'Setari model'!$B$107,0)-IF($FL102="MEDIU",'Setari model'!$B$108,0)-IF($FL102="RIDICAT",'Setari model'!$B$109,0))))</x:f>
      </x:c>
      <x:c r="FU102" s="131" t="str">
        <x:f t="shared" si="146">IF($A102="","",IF($AR102&lt;=1,"NU – LIPSEȘTE COTA REALĂ",IF($FK102&lt;&gt;"DA","NU – ZERO-RISK INCOMPLET",IF($FL102&lt;&gt;"SCĂZUT","NU – RISC 0-0 "&amp;$FL102,IF($FN102&lt;&gt;"DA","NU – LINEUP NECONFIRMAT",IF($FM102&lt;&gt;"DA","NU – PIAȚĂ NECONFIRMATĂ",IF($EP102&lt;&gt;"DA","NU – PORTOFOLIU","DA")))))))</x:f>
      </x:c>
      <x:c r="FV102" s="131" t="str">
        <x:f>IF($A102="","",IF($FU102&lt;&gt;"DA","WATCH / NO BET",IF(AND($FP102&gt;='Setari model'!$B$35,$FT102&gt;=100*'Setari model'!$B$76,$FS102&gt;0),"PARIU RECOMANDAT",IF(AND($FP102&gt;='Setari model'!$B$39,$FT102&gt;=100*'Setari model'!$B$40,$FS102&gt;0),"WATCH – APROAPE DE PRAG","PARIU EVITAT"))))</x:f>
      </x:c>
      <x:c r="FW102" s="131" t="str">
        <x:f t="shared" si="147">IF($A102="","",IF($FU102&lt;&gt;"DA",$FU102,IF($FT102&lt;75,"Confidence v3 sub 75.",IF($FP102&lt;0.92,"P v3 sub 92%.",IF($FS102&lt;=0,"EV v3 nepozitiv.","P0 v3, lineup și piață confirmate.")))))</x:f>
      </x:c>
      <x:c r="FX102" s="131" t="str">
        <x:f t="shared" si="148">IF($A102="","","P v3="&amp;TEXT($FP102,"0.0%")&amp;"; P0 v3="&amp;TEXT($FJ102,"0.0%")&amp;"; factor zero="&amp;IF($FI102="","n/a",TEXT($FI102,"0.00x"))&amp;" ("&amp;$FL102&amp;"); cap="&amp;TEXT($FO102,"0.0%")&amp;"; Confidence="&amp;TEXT($FT102,"0")&amp;"/100; lineup="&amp;$FN102&amp;"; piață="&amp;$FM102&amp;"; EV="&amp;IF($FS102="","n/a",TEXT($FS102,"0.0%"))&amp;"; gate="&amp;$FU102&amp;"; verdict="&amp;$FV102&amp;". "&amp;$FW102)</x:f>
      </x:c>
      <x:c r="FY102" s="159"/>
      <x:c r="FZ102" s="159"/>
      <x:c r="GA102" s="157"/>
      <x:c r="GB102" s="157"/>
      <x:c r="GC102" s="161" t="str">
        <x:f t="shared" si="149">IF($A102="","",IF(OR($X102="",$Z102="",$Z102&lt;=0),"",MAX(0.5,MIN(1.5,$X102/$Z102))))</x:f>
      </x:c>
      <x:c r="GD102" s="161" t="str">
        <x:f t="shared" si="150">IF($A102="","",IF(OR($AC102="",$AE102="",$AE102&lt;=0),"",MAX(0.5,MIN(1.5,$AC102/$AE102))))</x:f>
      </x:c>
      <x:c r="GE102" s="162" t="str">
        <x:f t="shared" si="151">IF($A102="","",IF(COUNT($Z102,$AE102)&lt;2,"",AVERAGE($Z102,$AE102)))</x:f>
      </x:c>
      <x:c r="GF102" s="158" t="str">
        <x:f>IF($A102="","",IF(COUNT($FY102:$FZ102)&lt;2,"NEDETERMINAT",IF(AND($FY102&gt;='Setari model'!$B$113,$FZ102&gt;='Setari model'!$B$113),"DA","NU")))</x:f>
      </x:c>
      <x:c r="GG102" s="158" t="str">
        <x:f>IF($A102="","",IF(COUNT($FY102:$FZ102,$EX102:$EY102)&lt;4,"NEDETERMINAT",IF(OR(AND($FY102&gt;='Setari model'!$B$113,$EY102&gt;='Setari model'!$B$114),AND($FZ102&gt;='Setari model'!$B$113,$EX102&gt;='Setari model'!$B$114)),"DA","NU")))</x:f>
      </x:c>
      <x:c r="GH102" s="158" t="str">
        <x:f>IF($A102="","",IF(COUNT($BJ102:$BN102,$GC102:$GE102)&lt;8,"NEDETERMINAT",IF(AND((($BJ102*INDEX('Setari model'!$B$5:$B$11,MATCH($E102,'Setari model'!$A$5:$A$11,0))+$BK102*INDEX('Setari model'!$C$5:$C$11,MATCH($E102,'Setari model'!$A$5:$A$11,0))+$BL102*INDEX('Setari model'!$D$5:$D$11,MATCH($E102,'Setari model'!$A$5:$A$11,0))+$BM102*INDEX('Setari model'!$E$5:$E$11,MATCH($E102,'Setari model'!$A$5:$A$11,0))+$BN102*INDEX('Setari model'!$F$5:$F$11,MATCH($E102,'Setari model'!$A$5:$A$11,0)))/(INDEX('Setari model'!$B$5:$B$11,MATCH($E102,'Setari model'!$A$5:$A$11,0))+INDEX('Setari model'!$C$5:$C$11,MATCH($E102,'Setari model'!$A$5:$A$11,0))+INDEX('Setari model'!$D$5:$D$11,MATCH($E102,'Setari model'!$A$5:$A$11,0))+INDEX('Setari model'!$E$5:$E$11,MATCH($E102,'Setari model'!$A$5:$A$11,0))+INDEX('Setari model'!$F$5:$F$11,MATCH($E102,'Setari model'!$A$5:$A$11,0))))*$BR102&gt;='Setari model'!$B$115,(($BJ102*INDEX('Setari model'!$B$5:$B$11,MATCH($E102,'Setari model'!$A$5:$A$11,0))+$BK102*INDEX('Setari model'!$C$5:$C$11,MATCH($E102,'Setari model'!$A$5:$A$11,0))+$BL102*INDEX('Setari model'!$D$5:$D$11,MATCH($E102,'Setari model'!$A$5:$A$11,0))+$BM102*INDEX('Setari model'!$E$5:$E$11,MATCH($E102,'Setari model'!$A$5:$A$11,0))+$BN102*INDEX('Setari model'!$F$5:$F$11,MATCH($E102,'Setari model'!$A$5:$A$11,0)))/(INDEX('Setari model'!$B$5:$B$11,MATCH($E102,'Setari model'!$A$5:$A$11,0))+INDEX('Setari model'!$C$5:$C$11,MATCH($E102,'Setari model'!$A$5:$A$11,0))+INDEX('Setari model'!$D$5:$D$11,MATCH($E102,'Setari model'!$A$5:$A$11,0))+INDEX('Setari model'!$E$5:$E$11,MATCH($E102,'Setari model'!$A$5:$A$11,0))+INDEX('Setari model'!$F$5:$F$11,MATCH($E102,'Setari model'!$A$5:$A$11,0))))*$BR102&lt;='Setari model'!$B$116,AVERAGE($GC102:$GD102)&lt;='Setari model'!$B$117,$GE102&gt;='Setari model'!$B$118),"DA","NU")))</x:f>
      </x:c>
      <x:c r="GI102" s="158" t="str">
        <x:f>IF($A102="","",IF(COUNT($W102,$AB102,$GA102:$GB102)&lt;4,"NEDETERMINAT",IF(AND($W102&gt;='Setari model'!$B$120,$AB102&gt;='Setari model'!$B$120,OR(IFERROR($GA102/$W102,0)&gt;='Setari model'!$B$119,IFERROR($GB102/$AB102,0)&gt;='Setari model'!$B$119)),"DA","NU")))</x:f>
      </x:c>
      <x:c r="GJ102" s="160" t="str">
        <x:f>IF($A102="","",IF(COUNT($FY102:$GB102)&lt;4,"",IF($GH102&lt;&gt;"DA",0,'Setari model'!$B$121*IF($GF102="DA",1,0)+'Setari model'!$B$122*IF($GG102="DA",1,0)+'Setari model'!$B$123+'Setari model'!$B$124*IF($GI102="DA",1,0))))</x:f>
      </x:c>
      <x:c r="GK102" s="161" t="str">
        <x:f>IF($A102="","",IF(COUNT($GJ102)=0,"",1+'Setari model'!$B$125*$GJ102))</x:f>
      </x:c>
      <x:c r="GL102" s="160" t="str">
        <x:f>IF($A102="","",IF($GM102&lt;&gt;"DA",$FJ102,MIN('Setari model'!$B$101,MAX(0.002,$FJ102*$GK102))))</x:f>
      </x:c>
      <x:c r="GM102" s="158" t="str">
        <x:f>IF($A102="","",IF(AND($FK102="DA",COUNT($FY102:$GB102)=4,COUNT($I102,$P102,$W102,$AB102,$Z102,$AE102,$EX102,$EY102,$GC102,$GD102)=10,COUNT($BJ102:$BN102)=5),"DA","NU"))</x:f>
      </x:c>
      <x:c r="GN102" s="158" t="str">
        <x:f>IF($A102="","",IF($GM102&lt;&gt;"DA","NEDETERMINAT",IF($FI102*$GK102&lt;='Setari model'!$B$99,"SCĂZUT",IF($FI102*$GK102&lt;='Setari model'!$B$100,"MEDIU","RIDICAT"))))</x:f>
      </x:c>
      <x:c r="GO102" s="160" t="str">
        <x:f>IF($A102="","",IF(OR($GM102&lt;&gt;"DA",$GN102="RIDICAT"),'Setari model'!$B$102,IF($GN102="MEDIU",'Setari model'!$B$103,IF(AND($FM102="DA",$FN102="DA"),'Setari model'!$B$105,'Setari model'!$B$104))))</x:f>
      </x:c>
      <x:c r="GP102" s="160" t="str">
        <x:f t="shared" si="152">IF($A102="","",IF($GL102="","",MIN(1-$GL102,$GO102)))</x:f>
      </x:c>
      <x:c r="GQ102" s="162" t="str">
        <x:f t="shared" si="153">IF($A102="","",IF($GP102="","",IF($GP102&gt;0,1/$GP102,"")))</x:f>
      </x:c>
      <x:c r="GR102" s="160" t="str">
        <x:f t="shared" si="154">IF($A102="","",IF($EC102="","",$GP102-$EC102))</x:f>
      </x:c>
      <x:c r="GS102" s="160" t="str">
        <x:f t="shared" si="155">IF($A102="","",IF($AR102&gt;1,$GP102*$AR102-1,""))</x:f>
      </x:c>
      <x:c r="GT102" s="163" t="str">
        <x:f>IF($A102="","",MAX(0,MIN(100,$FT102-IF(AND($GM102&lt;&gt;"DA",$FK102="DA"),'Setari model'!$B$107,0)-'Setari model'!$B$126*IF($GJ102="",0,$GJ102))))</x:f>
      </x:c>
      <x:c r="GU102" s="158" t="str">
        <x:f t="shared" si="156">IF($A102="","",IF($AR102&lt;=1,"NU – LIPSEȘTE COTA REALĂ",IF($GM102&lt;&gt;"DA","NU – DATE LOW-CONVERSION INCOMPLETE",IF($GN102&lt;&gt;"SCĂZUT","NU – RISC 0-0 "&amp;$GN102,IF($FN102&lt;&gt;"DA","NU – LINEUP NECONFIRMAT",IF($FM102&lt;&gt;"DA","NU – PIAȚĂ NECONFIRMATĂ",IF($EP102&lt;&gt;"DA","NU – PORTOFOLIU","DA")))))))</x:f>
      </x:c>
      <x:c r="GV102" s="158" t="str">
        <x:f>IF($A102="","",IF($GU102&lt;&gt;"DA","WATCH / NO BET",IF(AND($GP102&gt;='Setari model'!$B$35,$GT102&gt;=100*'Setari model'!$B$76,$GS102&gt;0),"PARIU RECOMANDAT",IF(AND($GP102&gt;='Setari model'!$B$39,$GT102&gt;=100*'Setari model'!$B$40,$GS102&gt;0),"WATCH – APROAPE DE PRAG","PARIU EVITAT"))))</x:f>
      </x:c>
      <x:c r="GW102" s="158" t="str">
        <x:f t="shared" si="157">IF($A102="","",IF($GU102&lt;&gt;"DA",$GU102,IF($GT102&lt;75,"Confidence v5 sub 75.",IF($GP102&lt;0.92,"P v5 sub 92%.",IF($GS102&lt;=0,"EV v5 nepozitiv.",IF($GJ102&gt;0,"Low-conversion absorbit în P0; toate porțile rămân trecute.","Toate porțile v5 sunt trecute."))))))</x:f>
      </x:c>
      <x:c r="GX102" s="158" t="str">
        <x:f t="shared" si="158">IF($A102="","","P v5="&amp;TEXT($GP102,"0.0%")&amp;"; P0 v5="&amp;TEXT($GL102,"0.0%")&amp;"; low-conv="&amp;IF(COUNT($GJ102)=0,"n/a",TEXT($GJ102,"0%"))&amp;"; mult.P0="&amp;IF(COUNT($GK102)=0,"n/a",TEXT($GK102,"0.00"))&amp;"; clasă="&amp;$GN102&amp;"; cap="&amp;TEXT($GO102,"0.0%")&amp;"; Confidence="&amp;TEXT($GT102,"0")&amp;"/100; lineup="&amp;$FN102&amp;"; piață="&amp;$FM102&amp;"; EV="&amp;IF($GS102="","n/a",TEXT($GS102,"0.0%"))&amp;"; gate="&amp;$GU102&amp;"; verdict="&amp;$GV102&amp;". "&amp;$GW102)</x:f>
      </x:c>
      <x:c r="GY102" s="174" t="str">
        <x:f>IF($A102="","",IF($GM102&lt;&gt;"DA","SOURCING INCOMPLETE – REVIEW REQUIRED",IF(MIN($I102,$P102,$W102,$AB102)&lt;'Setari model'!$B$58,"SMALL SAMPLE + PRIOR / SHRINKAGE","VERIFIED / PRIOR / SHRINKAGE")))</x:f>
      </x:c>
      <x:c r="GZ102" s="175" t="str">
        <x:f t="shared" si="159">IF($A102="","",MAX(0,MIN(100,100*(1-AVERAGE(IF($GM102="DA",1,0),MIN(1,$AT102/5))))))</x:f>
      </x:c>
      <x:c r="HA102" s="175" t="str">
        <x:f>IF($A102="","",IF($GM102&lt;&gt;"DA","",MAX(0,MIN(100,100*(($FI102*$GK102)-'Setari model'!$B$97)/('Setari model'!$B$98-'Setari model'!$B$97)))))</x:f>
      </x:c>
      <x:c r="HB102" s="175" t="str">
        <x:f>IF($A102="","",MAX(0,MIN(100,100*(ABS($BR102-1)/MAX(1-'Setari model'!$B$53,'Setari model'!$B$54-1)+MIN(1,$BG102/2))/2)))</x:f>
      </x:c>
      <x:c r="HC102" s="175" t="str">
        <x:f t="shared" si="160">IF($A102="","",MAX(0,MIN(100,100*(1-AVERAGE($CC102,MAX(0,1-(MAX($BJ102:$BN102)-MIN($BJ102:$BN102))/(AVERAGE($BJ102:$BN102)*'Setari model'!$B$45)))))))</x:f>
      </x:c>
      <x:c r="HD102" s="175" t="str">
        <x:f t="shared" si="161">IF($A102="","",MAX(0,MIN(100,100*MAX(IF($GJ102="",0,$GJ102),MIN(1,$BG102/2)))))</x:f>
      </x:c>
      <x:c r="HE102" s="175" t="str">
        <x:f>IF($A102="","",IF(COUNT($GZ102:$HD102)&lt;5,"",$GZ102*Risk_Classification!$E$28+$HA102*Risk_Classification!$E$29+$HB102*Risk_Classification!$E$30+$HC102*Risk_Classification!$E$31+$HD102*Risk_Classification!$E$32))</x:f>
      </x:c>
      <x:c r="HF102" s="176" t="str">
        <x:f t="shared" si="162">IF($A102="","",IF($HE102="","",IF($HE102&lt;=20,1,IF($HE102&lt;=40,2,IF($HE102&lt;=60,3,IF($HE102&lt;=80,4,5))))))</x:f>
      </x:c>
      <x:c r="HG102" s="176" t="str">
        <x:f t="shared" si="163">IF($A102="","",IF($GM102="DA","PASS","FAIL – DATE CRITICE ZERO-MASS INCOMPLETE"))</x:f>
      </x:c>
      <x:c r="HH102" s="176" t="str">
        <x:f t="shared" si="164">IF($A102="","",IF($HG102&lt;&gt;"PASS",5,$HF102))</x:f>
      </x:c>
      <x:c r="HI102" s="174" t="str">
        <x:f t="shared" si="165">IF($A102="","",IF($HH102="","N/A",IF($HH102=1,"DEFENSIV",IF($HH102=2,"PRUDENT",IF($HH102=3,"MODERAT",IF($HH102=4,"RIDICAT","WATCH / NO BET"))))))</x:f>
      </x:c>
      <x:c r="HJ102" s="177" t="str">
        <x:f t="shared" si="166">IF($A102="","","Data="&amp;$GY102&amp;"; DQ="&amp;TEXT($GZ102,"0.0")&amp;"; ZM="&amp;IF($HA102="","n/a",TEXT($HA102,"0.0"))&amp;"; Context="&amp;TEXT($HB102,"0.0")&amp;"; Uncertainty="&amp;TEXT($HC102,"0.0")&amp;"; Compound="&amp;TEXT($HD102,"0.0")&amp;"; Risk Score="&amp;IF($HE102="","n/a",TEXT($HE102,"0.0"))&amp;"; Base="&amp;IF($HF102="","n/a",$HF102)&amp;"; G0="&amp;$HG102&amp;"; Final="&amp;$HH102&amp;". Cota, EV si lineup sunt informative si nu intra in recomandare.")</x:f>
      </x:c>
      <x:c r="HK102" s="174" t="str">
        <x:f t="shared" si="167">IF($A102="","",$HI102)</x:f>
      </x:c>
    </x:row>
    <x:row r="103" ht="24" customHeight="1">
      <x:c r="A103" s="69"/>
      <x:c r="B103" s="26"/>
      <x:c r="C103" s="70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0"/>
      <x:c r="O103" s="20"/>
      <x:c r="P103" s="26"/>
      <x:c r="Q103" s="26"/>
      <x:c r="R103" s="26"/>
      <x:c r="S103" s="26"/>
      <x:c r="T103" s="26"/>
      <x:c r="U103" s="20"/>
      <x:c r="V103" s="20"/>
      <x:c r="W103" s="26"/>
      <x:c r="X103" s="26"/>
      <x:c r="Y103" s="26"/>
      <x:c r="Z103" s="26"/>
      <x:c r="AA103" s="26"/>
      <x:c r="AB103" s="26"/>
      <x:c r="AC103" s="26"/>
      <x:c r="AD103" s="26"/>
      <x:c r="AE103" s="26"/>
      <x:c r="AF103" s="26"/>
      <x:c r="AG103" s="26"/>
      <x:c r="AH103" s="26"/>
      <x:c r="AI103" s="20"/>
      <x:c r="AJ103" s="26"/>
      <x:c r="AK103" s="26"/>
      <x:c r="AL103" s="26"/>
      <x:c r="AM103" s="20"/>
      <x:c r="AN103" s="26"/>
      <x:c r="AO103" s="71"/>
      <x:c r="AP103" s="71"/>
      <x:c r="AQ103" s="71"/>
      <x:c r="AR103" s="71"/>
      <x:c r="AS103" s="71"/>
      <x:c r="AT103" s="26"/>
      <x:c r="AU103" s="26"/>
      <x:c r="AV103" s="26"/>
      <x:c r="AW103" s="26"/>
      <x:c r="AX103" s="26"/>
      <x:c r="AY103" s="26"/>
      <x:c r="AZ103" s="26"/>
      <x:c r="BA103" s="26"/>
      <x:c r="BB103" s="26"/>
      <x:c r="BC103" s="26"/>
      <x:c r="BD103" s="26"/>
      <x:c r="BE103" s="26"/>
      <x:c r="BF103" s="26"/>
      <x:c r="BG103" s="26"/>
      <x:c r="BH103" s="72"/>
      <x:c r="BI103" s="72"/>
      <x:c r="BJ103" s="73" t="str">
        <x:f>IF($A103="","",SQRT((($I103*IF($J103="",$AJ103,$J103)+'Setari model'!$B$30*$AJ103)/($I103+'Setari model'!$B$30))*(($P103*IF($R103="",$AJ103,$R103)+'Setari model'!$B$30*$AJ103)/($P103+'Setari model'!$B$30)))+SQRT((($P103*IF($Q103="",$AK103,$Q103)+'Setari model'!$B$30*$AK103)/($P103+'Setari model'!$B$30))*(($I103*IF($K103="",$AK103,$K103)+'Setari model'!$B$30*$AK103)/($I103+'Setari model'!$B$30))))</x:f>
      </x:c>
      <x:c r="BK103" s="73" t="str">
        <x:f>IF($A103="","",SQRT((($I103*IF($L103="",IF($J103="",$AJ103,$J103),$L103)+'Setari model'!$B$30*$AJ103)/($I103+'Setari model'!$B$30))*(($P103*IF($T103="",IF($R103="",$AJ103,$R103),$T103)+'Setari model'!$B$30*$AJ103)/($P103+'Setari model'!$B$30)))+SQRT((($P103*IF($S103="",IF($Q103="",$AK103,$Q103),$S103)+'Setari model'!$B$30*$AK103)/($P103+'Setari model'!$B$30))*(($I103*IF($M103="",IF($K103="",$AK103,$K103),$M103)+'Setari model'!$B$30*$AK103)/($I103+'Setari model'!$B$30))))</x:f>
      </x:c>
      <x:c r="BL103" s="73" t="str">
        <x:f>IF($A103="","",SQRT((($W103*IF($X103="",$AL103/2,$X103)+'Setari model'!$B$31*$AL103/2)/($W103+'Setari model'!$B$31))*(($AB103*IF($AD103="",$AL103/2,$AD103)+'Setari model'!$B$31*$AL103/2)/($AB103+'Setari model'!$B$31)))+SQRT((($AB103*IF($AC103="",$AL103/2,$AC103)+'Setari model'!$B$31*$AL103/2)/($AB103+'Setari model'!$B$31))*(($W103*IF($Y103="",$AL103/2,$Y103)+'Setari model'!$B$31*$AL103/2)/($W103+'Setari model'!$B$31))))</x:f>
      </x:c>
      <x:c r="BM103" s="73" t="str">
        <x:f>IF($A103="","",SQRT((($W103*IF($Z103="",IF($X103="",$AL103/2,$X103),$Z103)+'Setari model'!$B$31*$AL103/2)/($W103+'Setari model'!$B$31))*(($AB103*IF($AF103="",IF($AD103="",$AL103/2,$AD103),$AF103)+'Setari model'!$B$31*$AL103/2)/($AB103+'Setari model'!$B$31)))+SQRT((($AB103*IF($AE103="",IF($AC103="",$AL103/2,$AC103),$AE103)+'Setari model'!$B$31*$AL103/2)/($AB103+'Setari model'!$B$31))*(($W103*IF($AA103="",IF($Y103="",$AL103/2,$Y103),$AA103)+'Setari model'!$B$31*$AL103/2)/($W103+'Setari model'!$B$31))))</x:f>
      </x:c>
      <x:c r="BN103" s="73" t="str">
        <x:f t="shared" si="112">IF($A103="","",IF($AG103&gt;0,($AG103*IF($AH103="",$AL103,$AH103)+5*$AL103)/($AG103+5),$AL103))</x:f>
      </x:c>
      <x:c r="BO103" s="74" t="str">
        <x:f>IF($A103="","",IF($AR103&gt;1,IF($AS103&gt;1,(1/$AR103)/((1/$AR103+1/$AS103)),MIN(0.995,(1/$AR103)/(1+'Setari model'!$B$32))),1-EXP(-$AL103)))</x:f>
      </x:c>
      <x:c r="BP103" s="73" t="str">
        <x:f t="shared" si="113">IF($A103="","",-LN(1-$BO103))</x:f>
      </x:c>
      <x:c r="BQ103" s="73" t="str">
        <x:f>IF($A103="","",$BJ103*INDEX('Setari model'!$B$5:$B$11,MATCH($E103,'Setari model'!$A$5:$A$11,0))+$BK103*INDEX('Setari model'!$C$5:$C$11,MATCH($E103,'Setari model'!$A$5:$A$11,0))+$BL103*INDEX('Setari model'!$D$5:$D$11,MATCH($E103,'Setari model'!$A$5:$A$11,0))+$BM103*INDEX('Setari model'!$E$5:$E$11,MATCH($E103,'Setari model'!$A$5:$A$11,0))+$BN103*INDEX('Setari model'!$F$5:$F$11,MATCH($E103,'Setari model'!$A$5:$A$11,0))+$BP103*INDEX('Setari model'!$G$5:$G$11,MATCH($E103,'Setari model'!$A$5:$A$11,0)))</x:f>
      </x:c>
      <x:c r="BR103" s="75" t="str">
        <x:f>IF($A103="","",MAX('Setari model'!$B$53,MIN('Setari model'!$B$54,1+($AV103*'Setari model'!$B$15+$AW103*'Setari model'!$B$16+$AX103*'Setari model'!$B$17+$AY103*'Setari model'!$B$18+$AZ103*'Setari model'!$B$19+$BA103*'Setari model'!$B$20+$BB103*'Setari model'!$B$21+$BC103*'Setari model'!$B$22+$BD103*'Setari model'!$B$23+$BE103*'Setari model'!$B$24+$BF103*'Setari model'!$B$25)*INDEX('Setari model'!$H$5:$H$11,MATCH($E103,'Setari model'!$A$5:$A$11,0)))))</x:f>
      </x:c>
      <x:c r="BS103" s="73" t="str">
        <x:f t="shared" si="114">IF($A103="","",$BQ103*$BR103)</x:f>
      </x:c>
      <x:c r="BT103" s="74" t="str">
        <x:f t="shared" si="115">IF($A103="","",EXP(-$BS103))</x:f>
      </x:c>
      <x:c r="BU103" s="76" t="str">
        <x:f>IF($A103="","",IF(OR($AM103="",$AN103=""),1,1+MIN('Setari model'!$B$33,$AN103/100*'Setari model'!$B$33)*($AM103/EXP(-$AL103)-1)))</x:f>
      </x:c>
      <x:c r="BV103" s="74" t="str">
        <x:f>IF($A103="","",MIN(0.45,MAX(0.005,(1-'Setari model'!$B$34*MIN(1,($I103+$P103)/20))*MIN(0.45,$BT103*$BU103)+'Setari model'!$B$34*MIN(1,($I103+$P103)/20)*IF(COUNT($N103,$U103)=2,SQRT(MAX(0,1-$N103)*MAX(0,1-$U103)),IF($AM103="",EXP(-$AL103),$AM103)))))</x:f>
      </x:c>
      <x:c r="BW103" s="74" t="str">
        <x:f t="shared" si="116">IF($A103="","",1-$BV103)</x:f>
      </x:c>
      <x:c r="BX103" s="73" t="str">
        <x:f t="shared" si="117">IF($A103="","",1/$BW103)</x:f>
      </x:c>
      <x:c r="BY103" s="74" t="str">
        <x:f t="shared" si="118">IF($A103="","",$BO103)</x:f>
      </x:c>
      <x:c r="BZ103" s="74" t="str">
        <x:f t="shared" si="119">IF($A103="","",$BW103-$BY103)</x:f>
      </x:c>
      <x:c r="CA103" s="74" t="str">
        <x:f t="shared" si="120">IF($A103="","",IF($AR103&gt;1,$BW103*$AR103-1,""))</x:f>
      </x:c>
      <x:c r="CB103" s="74" t="str">
        <x:f>IF($A103="","",MIN(1,COUNT($I103:$AN103,$AR103:$BG103)/'Setari model'!$B$46))</x:f>
      </x:c>
      <x:c r="CC103" s="74" t="str">
        <x:f t="shared" si="121">IF($A103="","",0.25*MIN(1,$I103/10)+0.25*MIN(1,$P103/10)+0.15*MIN(1,$W103/5)+0.15*MIN(1,$AB103/5)+0.1*MIN(1,$AG103/5)+0.1*MIN(1,$AN103/100))</x:f>
      </x:c>
      <x:c r="CD103" s="74" t="str">
        <x:f>IF($A103="","",MAX(0,1-(MAX($BJ103:$BN103,$BP103)-MIN($BJ103:$BN103,$BP103))/(AVERAGE($BJ103:$BN103,$BP103)*'Setari model'!$B$45)))</x:f>
      </x:c>
      <x:c r="CE103" s="77" t="str">
        <x:f>IF($A103="","",MAX(0,MIN(100,100*INDEX('Setari model'!$I$5:$I$11,MATCH($E103,'Setari model'!$A$5:$A$11,0))*('Setari model'!$B$47*$CB103+'Setari model'!$B$48*$CC103+'Setari model'!$B$49*$CD103+'Setari model'!$B$50*$AT103/5+'Setari model'!$B$51*$AU103)-100*'Setari model'!$B$52*$BG103)))</x:f>
      </x:c>
      <x:c r="CF103" s="76" t="str">
        <x:f t="shared" si="122">IF($A103="","",IF(OR($AT103&lt;3,$BG103&gt;=2,$CB103&lt;0.55,$CC103&lt;0.4),"RIDICAT",IF(OR($AU103=0,$CD103&lt;0.45,$BR103&lt;0.9),"MEDIU","SCĂZUT")))</x:f>
      </x:c>
      <x:c r="CG103" s="76" t="str">
        <x:f>IF($A103="","",IF($AR103&gt;1,IF(AND($BW103&gt;= 'Setari model'!$B$35,$CE103&gt;=100*'Setari model'!$B$36,$BZ103&gt;= 'Setari model'!$B$37,$CA103&gt;= 'Setari model'!$B$38,$CF103&lt;&gt;"RIDICAT"),"PARIU RECOMANDAT",IF(AND($BW103&gt;= 'Setari model'!$B$39,$CE103&gt;=100*'Setari model'!$B$40,$BZ103&gt;= 'Setari model'!$B$41,$CA103&gt;=0,$CF103&lt;&gt;"RIDICAT"),"RECOMANDAT CU PRUDENȚĂ",IF(AND($BW103&gt;= 'Setari model'!$B$42,$CE103&gt;=100*'Setari model'!$B$43),"ANALIZĂ NECONCLUDENTĂ","PARIU EVITAT"))),IF(AND($BW103&gt;= 'Setari model'!$B$35,$CE103&gt;=100*'Setari model'!$B$36,$CF103&lt;&gt;"RIDICAT"),"FAVORABIL STATISTIC – VERIFICĂ COTA",IF(AND($BW103&gt;= 'Setari model'!$B$42,$CE103&gt;=100*'Setari model'!$B$43),"ANALIZĂ NECONCLUDENTĂ","PARIU EVITAT"))))</x:f>
      </x:c>
      <x:c r="CH103" s="78" t="str">
        <x:f t="shared" si="123">IF($A103="","","P(O0,5)="&amp;TEXT($BW103,"0.0%")&amp;"; λ ajustat="&amp;TEXT($BS103,"0.00")&amp;"; Confidence="&amp;TEXT($CE103,"0")&amp;"/100; Edge="&amp;TEXT($BZ103,"0.0%")&amp;"; risc="&amp;$CF103&amp;". "&amp;$BH103)</x:f>
      </x:c>
      <x:c r="CI103" s="79" t="str">
        <x:f t="shared" si="124">IF($A103="","",$BI103)</x:f>
      </x:c>
      <x:c r="CJ103" s="112"/>
      <x:c r="CK103" s="112"/>
      <x:c r="CL103" s="112"/>
      <x:c r="CM103" s="112"/>
      <x:c r="CN103" s="112"/>
      <x:c r="CO103" s="112"/>
      <x:c r="CP103" s="112"/>
      <x:c r="CQ103" s="112"/>
      <x:c r="CR103" s="112"/>
      <x:c r="CS103" s="112"/>
      <x:c r="CT103" s="112"/>
      <x:c r="CU103" s="112"/>
      <x:c r="CV103" s="112"/>
      <x:c r="CW103" s="112"/>
      <x:c r="CX103" s="112"/>
      <x:c r="CY103" s="112"/>
      <x:c r="CZ103" s="112"/>
      <x:c r="DA103" s="112"/>
      <x:c r="DB103" s="112"/>
      <x:c r="DC103" s="114"/>
      <x:c r="DD103" s="114"/>
      <x:c r="DE103" s="112" t="s">
        <x:v>266</x:v>
      </x:c>
      <x:c r="DF103" s="112"/>
      <x:c r="DG103" s="112"/>
      <x:c r="DH103" s="112"/>
      <x:c r="DI103" s="112"/>
      <x:c r="DJ103" s="112"/>
      <x:c r="DK103" s="112"/>
      <x:c r="DL103" s="112"/>
      <x:c r="DM103" s="112"/>
      <x:c r="DN103" s="112"/>
      <x:c r="DO103" s="112"/>
      <x:c r="DP103" s="112"/>
      <x:c r="DQ103" s="114"/>
      <x:c r="DR103" s="112">
        <x:v>1</x:v>
      </x:c>
      <x:c r="DS103" s="116">
        <x:v>0</x:v>
      </x:c>
      <x:c r="DT103" s="120"/>
      <x:c r="DU103" s="116">
        <x:v>0.02</x:v>
      </x:c>
      <x:c r="DV103" s="116">
        <x:v>0.25</x:v>
      </x:c>
      <x:c r="DW103" s="118" t="str">
        <x:f>IF($A103="","",MAX('Setari model'!$B$71,MIN('Setari model'!$B$72,1+0.08*(IFERROR(AVERAGE($CM103:$CN103)/'Setari model'!$B$66,1)-1)+0.08*(IFERROR(AVERAGE($CO103:$CP103)/'Setari model'!$B$67,1)-1)+0.06*(IFERROR(AVERAGE($CQ103:$CR103)/'Setari model'!$B$68,1)-1)+0.04*(IFERROR(AVERAGE($CS103:$CT103)/'Setari model'!$B$69,1)-1)+0.04*(IFERROR(AVERAGE($CU103:$CV103)/'Setari model'!$B$70,1)-1)-'Setari model'!$B$73*IFERROR(AVERAGE($CW103:$CX103),0))))</x:f>
      </x:c>
      <x:c r="DX103" s="118" t="str">
        <x:f>IF($A103="","",1+'Setari model'!$B$62*MAX(IF(OR($CK103=1,$CL103=1),1,0),IF(AND($CJ103&lt;&gt;"",$CJ103&lt;=1),1,0))+'Setari model'!$B$63*IF(AND($CJ103&gt;1,$CJ103&lt;=3),1,0))</x:f>
      </x:c>
      <x:c r="DY103" s="118" t="str">
        <x:f>IF($A103="","",1+'Setari model'!$B$74*(IF($CY103="",0,IF($CY103=0,1,0))+IF($CZ103="",0,IF($CZ103=0,1,0)))+'Setari model'!$B$75*(IF($DA103="",0,IF($DA103=0,1,0))+IF($DB103="",0,IF($DB103=0,1,0))))</x:f>
      </x:c>
      <x:c r="DZ103" s="117" t="str">
        <x:f>IF($A103="","",MIN(0.6,MAX(0.002,(((1-'Setari model'!$B$34*MIN(1,($I103+$P103)/20))*$BT103+'Setari model'!$B$34*MIN(1,($I103+$P103)/20)*IF(COUNT($N103,$U103)=2,SQRT(MAX(0,1-$N103)*MAX(0,1-$U103)),$BT103))*(1-'Setari model'!$B$65*MIN(1,IF($AN103="",0,$AN103/'Setari model'!$B$64)))+'Setari model'!$B$65*MIN(1,IF($AN103="",0,$AN103/'Setari model'!$B$64))*IF($AM103="",$BT103,$AM103))*$DX103*$DY103/$DW103)))</x:f>
      </x:c>
      <x:c r="EA103" s="117" t="str">
        <x:f>IF($A103="","",MIN(1-$DZ103,IF(OR(MIN($I103,$P103)&lt;'Setari model'!$B$58,$CK103=1,$CL103=1,AND($CJ103&lt;&gt;"",$CJ103&lt;=1)),'Setari model'!$B$59,IF(AND($AU103=1,$AR103&gt;1,COUNT($CY103:$DB103)=4),'Setari model'!$B$61,'Setari model'!$B$60))))</x:f>
      </x:c>
      <x:c r="EB103" s="115" t="str">
        <x:f t="shared" si="125">IF($A103="","",1/$EA103)</x:f>
      </x:c>
      <x:c r="EC103" s="117" t="str">
        <x:f t="shared" si="126">IF($A103="","",IF($AR103&gt;1,IF($AS103&gt;1,(1/$AR103)/((1/$AR103)+(1/$AS103)),1/$AR103),""))</x:f>
      </x:c>
      <x:c r="ED103" s="117" t="str">
        <x:f t="shared" si="127">IF($A103="","",IF($EC103="","",$EA103-$EC103))</x:f>
      </x:c>
      <x:c r="EE103" s="117" t="str">
        <x:f t="shared" si="128">""</x:f>
      </x:c>
      <x:c r="EF103" s="119" t="str">
        <x:f>IF($A103="","",MAX(0,MIN(100,$CE103-200*MAX(0,$EG103-'Setari model'!$B$77)-IF($AU103&lt;&gt;1,10,0)-IF(COUNT($CY103:$DB103)&lt;4,4,0))))</x:f>
      </x:c>
      <x:c r="EG103" s="117" t="str">
        <x:f>IF($A103="","",'Setari model'!$B$77+IF(MIN($I103,$P103)&lt;'Setari model'!$B$58,0.03,0)+IF(OR($CK103=1,$CL103=1,AND($CJ103&lt;&gt;"",$CJ103&lt;=1)),0.03,0)+IF($AG103=0,0.02,0)+0.03*(1-MIN(1,COUNT($CM103:$CV103)/10))+0.03*(1-MIN(1,IF($AN103="",0,$AN103/'Setari model'!$B$64)))+IF($AR103&lt;=1,0.02,0))</x:f>
      </x:c>
      <x:c r="EH103" s="113" t="str">
        <x:f>IF($A103="","",IF(OR(MIN($I103,$P103)&lt;'Setari model'!$B$58,$CK103=1,$CL103=1,AND($CJ103&lt;&gt;"",$CJ103&lt;=1)),"92% – early/regim",IF(AND($AU103=1,$AR103&gt;1,COUNT($CY103:$DB103)=4),"94% – confirmat","93% – standard")))</x:f>
      </x:c>
      <x:c r="EI103" s="113" t="str">
        <x:f t="shared" si="129">IF($A103="","",IF(AND($EA103&gt;0.9,$AU103&lt;&gt;1),"WAIT XI – HIGH P",IF(AND($EA103&gt;0.9,COUNT($CY103:$DB103)&lt;4),"WAIT DATE CHEIE – HIGH P",IF($EP103&lt;&gt;"DA","NU – PORTOFOLIU","DA"))))</x:f>
      </x:c>
      <x:c r="EJ103" s="117" t="str">
        <x:f t="shared" si="130">IF($A103="","",IF($DE103&lt;&gt;"Live 20-30","",IF(SUM($DG103:$DH103)&gt;0,1,IF($EU103="","",1-MIN(0.95,MAX(0.001,EXP(-$EU103)*$DX103*$DY103/$DW103))))))</x:f>
      </x:c>
      <x:c r="EK103" s="117" t="str">
        <x:f t="shared" si="131">""</x:f>
      </x:c>
      <x:c r="EL103" s="113" t="str">
        <x:f>IF($A103="","",IF($DE103="Live 20-30",IF(SUM($DG103:$DH103)&gt;0,"EVENIMENT ÎNDEPLINIT",IF(OR($DF103="",COUNT($DI103:$DN103)&lt;4),"LIVE – WATCH",IF($EJ103&gt;=0.75,"LIVE – FEZABIL TEHNIC","LIVE – NO BET"))),IF($EI103&lt;&gt;"DA","WATCH / NO BET",IF(AND($EA103&gt;=INDEX('Setari model'!$B$35:$B$40,1),$EF103&gt;=100*'Setari model'!$B$76),"PARIU RECOMANDAT",IF(AND($EA103&gt;=INDEX('Setari model'!$B$35:$B$40,5),$EF103&gt;=100*'Setari model'!$B$40),"WATCH – APROAPE DE PRAG","PARIU EVITAT")))))</x:f>
      </x:c>
      <x:c r="EM103" s="113" t="str">
        <x:f t="shared" si="132">IF($A103="","",IF($DE103="Live 20-30",IF(SUM($DG103:$DH103)&gt;0,"Gol deja marcat.",IF($DF103="","Minut live lipsă.",IF(COUNT($DI103:$DN103)&lt;4,"Lipsesc xG/SOT/big chances live.",IF($EJ103&lt;0.75,"P live sub prag.","Semnal live tehnic complet; EV ignorat.")))),IF($EI103&lt;&gt;"DA",$EI103,IF($EF103&lt;75,"Confidence sub 75.",IF($EA103&lt;0.92,"P sub 92%.","G0/Zero-Mass + confidence trecute; EV ignorat.")))))</x:f>
      </x:c>
      <x:c r="EN103" s="117" t="str">
        <x:f>IF($A103="","",IF(OR($EL103="PARIU RECOMANDAT",$EL103="LIVE – FEZABIL"),MIN(IF($DU103&gt;0,$DU103,'Setari model'!$B$81)/MAX(1,$DR103),IF($DV103&gt;0,$DV103,'Setari model'!$B$80)*MAX(0,((IF($DE103="Live 20-30",$EJ103,$EA103)*IF($DE103="Live 20-30",$DQ103,$AR103)-1)/(IF($DE103="Live 20-30",$DQ103,$AR103)-1)))),0))</x:f>
      </x:c>
      <x:c r="EO103" s="121" t="str">
        <x:f t="shared" si="133">IF($A103="","",IF(AND($EN103&gt;0,$DT103&gt;0),$EN103*$DT103,""))</x:f>
      </x:c>
      <x:c r="EP103" s="113" t="str">
        <x:f>IF($A103="","",IF(OR($DR103&lt;1,$DR103&gt;'Setari model'!$B$78),"NU – 1–5 selecții",IF($DS103&gt;'Setari model'!$B$79,"NU – corelație", "DA")))</x:f>
      </x:c>
      <x:c r="EQ103" s="117" t="str">
        <x:f t="shared" si="134">IF($A103="","",IF(AND($DC103&gt;1,$DD103&gt;1),$DC103/$DD103-1,""))</x:f>
      </x:c>
      <x:c r="ER103" s="113" t="str">
        <x:f t="shared" si="135">IF($A103="","","P v2="&amp;TEXT($EA103,"0.0%")&amp;" ±"&amp;TEXT($EG103,"0.0%")&amp;"; P0 ZIP="&amp;TEXT($DZ103,"0.0%")&amp;"; Confidence="&amp;TEXT($EF103,"0")&amp;"/100; piață reală="&amp;IF($EC103="","NU","DA")&amp;"; EV="&amp;IF($EE103="","n/a",TEXT($EE103,"0.0%"))&amp;"; gate="&amp;$EI103&amp;"; verdict="&amp;$EL103&amp;". "&amp;$EM103)</x:f>
      </x:c>
      <x:c r="ES103" s="119" t="str">
        <x:f>IF($A103="","",'Setari model'!$B$82)</x:f>
      </x:c>
      <x:c r="ET103" s="118" t="str">
        <x:f>IF($A103="","",'Setari model'!$B$83)</x:f>
      </x:c>
      <x:c r="EU103" s="115" t="str">
        <x:f t="shared" si="136">IF(OR($A103="",$DE103&lt;&gt;"Live 20-30",$DF103="",$DF103&lt;$ES103,$DF103&gt;=90),"",MAX(0.05,MIN($BS103*$ET103,$BS103*(90-$DF103)/90+0.35*($DI103+$DJ103)+0.06*($DK103+$DL103)+0.15*($DM103+$DN103)+0.1*(MAX($DO103,$DP103)-MIN($DO103,$DP103)))))</x:f>
      </x:c>
      <x:c r="EV103" s="132"/>
      <x:c r="EW103" s="132"/>
      <x:c r="EX103" s="132"/>
      <x:c r="EY103" s="132"/>
      <x:c r="EZ103" s="132"/>
      <x:c r="FA103" s="132"/>
      <x:c r="FB103" s="247"/>
      <x:c r="FC103" s="134" t="str">
        <x:f t="shared" si="137">IF($A103="","",IF(OR($J103="",$L103="",$L103&lt;=0),"",MAX(0.5,MIN(1.5,$J103/$L103))))</x:f>
      </x:c>
      <x:c r="FD103" s="134" t="str">
        <x:f t="shared" si="138">IF($A103="","",IF(OR($Q103="",$S103="",$S103&lt;=0),"",MAX(0.5,MIN(1.5,$Q103/$S103))))</x:f>
      </x:c>
      <x:c r="FE103" s="134" t="str">
        <x:f>IF($A103="","",IF(COUNT($EV103:$EW103)&lt;2,"",SQRT($EV103*$EW103)/'Setari model'!$B$87))</x:f>
      </x:c>
      <x:c r="FF103" s="134" t="str">
        <x:f>IF($A103="","",IF(COUNT($O103,$V103,$EX103,$EY103)&lt;4,"",AVERAGE(SQRT($O103*$EY103),SQRT($V103*$EX103))/'Setari model'!$B$88))</x:f>
      </x:c>
      <x:c r="FG103" s="134" t="str">
        <x:f t="shared" si="139">IF($A103="","",IF(COUNT($FC103:$FD103)&lt;2,"",MAX(0,1-AVERAGE($FC103:$FD103))))</x:f>
      </x:c>
      <x:c r="FH103" s="134" t="str">
        <x:f>IF($A103="","",IF(COUNT($EZ103:$FA103)&lt;2,"",'Setari model'!$B$94*AVERAGE($EZ103:$FA103)/'Setari model'!$B$89))</x:f>
      </x:c>
      <x:c r="FI103" s="134" t="str">
        <x:f>IF($A103="","",IF(COUNT($FE103:$FH103)&lt;4,"",MAX('Setari model'!$B$97,MIN('Setari model'!$B$98,1+'Setari model'!$B$90*($FE103-1)+'Setari model'!$B$91*($FF103-1)+'Setari model'!$B$92*$FG103+'Setari model'!$B$93*($FH103-1)))))</x:f>
      </x:c>
      <x:c r="FJ103" s="133" t="str">
        <x:f>IF($A103="","",IF($FI103="","",MIN('Setari model'!$B$101,MAX(0.002,$DZ103*$FI103))))</x:f>
      </x:c>
      <x:c r="FK103" s="131" t="str">
        <x:f t="shared" si="140">IF($A103="","",IF(AND(COUNT($EV103:$FA103)=6,COUNT($O103,$V103,$FC103,$FD103)=4),"DA","NU"))</x:f>
      </x:c>
      <x:c r="FL103" s="131" t="str">
        <x:f>IF($A103="","",IF($FK103&lt;&gt;"DA","NEDETERMINAT",IF($FI103&lt;='Setari model'!$B$99,"SCĂZUT",IF($FI103&lt;='Setari model'!$B$100,"MEDIU","RIDICAT"))))</x:f>
      </x:c>
      <x:c r="FM103" s="131" t="str">
        <x:f>IF($A103="","",IF(AND($AR103&gt;1,$EC103&gt;='Setari model'!$B$106),"DA","NU"))</x:f>
      </x:c>
      <x:c r="FN103" s="131" t="str">
        <x:f t="shared" si="141">IF($A103="","",IF(AND($AU103=1,COUNT($CY103:$DB103)=4),"DA","NU"))</x:f>
      </x:c>
      <x:c r="FO103" s="133" t="str">
        <x:f>IF($A103="","",IF(OR($FK103&lt;&gt;"DA",$FL103="RIDICAT"),'Setari model'!$B$102,IF($FL103="MEDIU",'Setari model'!$B$103,IF(AND($FM103="DA",$FN103="DA"),'Setari model'!$B$105,'Setari model'!$B$104))))</x:f>
      </x:c>
      <x:c r="FP103" s="133" t="str">
        <x:f t="shared" si="142">IF($A103="","",IF($FJ103="","",MIN(1-$FJ103,$FO103)))</x:f>
      </x:c>
      <x:c r="FQ103" s="135" t="str">
        <x:f t="shared" si="143">IF($A103="","",IF($FP103="","",IF($FP103&gt;0,1/$FP103,"")))</x:f>
      </x:c>
      <x:c r="FR103" s="133" t="str">
        <x:f t="shared" si="144">IF($A103="","",IF($EC103="","",$FP103-$EC103))</x:f>
      </x:c>
      <x:c r="FS103" s="133" t="str">
        <x:f t="shared" si="145">IF($A103="","",IF($AR103&gt;1,$FP103*$AR103-1,""))</x:f>
      </x:c>
      <x:c r="FT103" s="136" t="str">
        <x:f>IF($A103="","",MAX(0,MIN(100,$EF103-IF($FK103&lt;&gt;"DA",'Setari model'!$B$107,0)-IF($FL103="MEDIU",'Setari model'!$B$108,0)-IF($FL103="RIDICAT",'Setari model'!$B$109,0))))</x:f>
      </x:c>
      <x:c r="FU103" s="131" t="str">
        <x:f t="shared" si="146">IF($A103="","",IF($AR103&lt;=1,"NU – LIPSEȘTE COTA REALĂ",IF($FK103&lt;&gt;"DA","NU – ZERO-RISK INCOMPLET",IF($FL103&lt;&gt;"SCĂZUT","NU – RISC 0-0 "&amp;$FL103,IF($FN103&lt;&gt;"DA","NU – LINEUP NECONFIRMAT",IF($FM103&lt;&gt;"DA","NU – PIAȚĂ NECONFIRMATĂ",IF($EP103&lt;&gt;"DA","NU – PORTOFOLIU","DA")))))))</x:f>
      </x:c>
      <x:c r="FV103" s="131" t="str">
        <x:f>IF($A103="","",IF($FU103&lt;&gt;"DA","WATCH / NO BET",IF(AND($FP103&gt;='Setari model'!$B$35,$FT103&gt;=100*'Setari model'!$B$76,$FS103&gt;0),"PARIU RECOMANDAT",IF(AND($FP103&gt;='Setari model'!$B$39,$FT103&gt;=100*'Setari model'!$B$40,$FS103&gt;0),"WATCH – APROAPE DE PRAG","PARIU EVITAT"))))</x:f>
      </x:c>
      <x:c r="FW103" s="131" t="str">
        <x:f t="shared" si="147">IF($A103="","",IF($FU103&lt;&gt;"DA",$FU103,IF($FT103&lt;75,"Confidence v3 sub 75.",IF($FP103&lt;0.92,"P v3 sub 92%.",IF($FS103&lt;=0,"EV v3 nepozitiv.","P0 v3, lineup și piață confirmate.")))))</x:f>
      </x:c>
      <x:c r="FX103" s="131" t="str">
        <x:f t="shared" si="148">IF($A103="","","P v3="&amp;TEXT($FP103,"0.0%")&amp;"; P0 v3="&amp;TEXT($FJ103,"0.0%")&amp;"; factor zero="&amp;IF($FI103="","n/a",TEXT($FI103,"0.00x"))&amp;" ("&amp;$FL103&amp;"); cap="&amp;TEXT($FO103,"0.0%")&amp;"; Confidence="&amp;TEXT($FT103,"0")&amp;"/100; lineup="&amp;$FN103&amp;"; piață="&amp;$FM103&amp;"; EV="&amp;IF($FS103="","n/a",TEXT($FS103,"0.0%"))&amp;"; gate="&amp;$FU103&amp;"; verdict="&amp;$FV103&amp;". "&amp;$FW103)</x:f>
      </x:c>
      <x:c r="FY103" s="159"/>
      <x:c r="FZ103" s="159"/>
      <x:c r="GA103" s="157"/>
      <x:c r="GB103" s="157"/>
      <x:c r="GC103" s="161" t="str">
        <x:f t="shared" si="149">IF($A103="","",IF(OR($X103="",$Z103="",$Z103&lt;=0),"",MAX(0.5,MIN(1.5,$X103/$Z103))))</x:f>
      </x:c>
      <x:c r="GD103" s="161" t="str">
        <x:f t="shared" si="150">IF($A103="","",IF(OR($AC103="",$AE103="",$AE103&lt;=0),"",MAX(0.5,MIN(1.5,$AC103/$AE103))))</x:f>
      </x:c>
      <x:c r="GE103" s="162" t="str">
        <x:f t="shared" si="151">IF($A103="","",IF(COUNT($Z103,$AE103)&lt;2,"",AVERAGE($Z103,$AE103)))</x:f>
      </x:c>
      <x:c r="GF103" s="158" t="str">
        <x:f>IF($A103="","",IF(COUNT($FY103:$FZ103)&lt;2,"NEDETERMINAT",IF(AND($FY103&gt;='Setari model'!$B$113,$FZ103&gt;='Setari model'!$B$113),"DA","NU")))</x:f>
      </x:c>
      <x:c r="GG103" s="158" t="str">
        <x:f>IF($A103="","",IF(COUNT($FY103:$FZ103,$EX103:$EY103)&lt;4,"NEDETERMINAT",IF(OR(AND($FY103&gt;='Setari model'!$B$113,$EY103&gt;='Setari model'!$B$114),AND($FZ103&gt;='Setari model'!$B$113,$EX103&gt;='Setari model'!$B$114)),"DA","NU")))</x:f>
      </x:c>
      <x:c r="GH103" s="158" t="str">
        <x:f>IF($A103="","",IF(COUNT($BJ103:$BN103,$GC103:$GE103)&lt;8,"NEDETERMINAT",IF(AND((($BJ103*INDEX('Setari model'!$B$5:$B$11,MATCH($E103,'Setari model'!$A$5:$A$11,0))+$BK103*INDEX('Setari model'!$C$5:$C$11,MATCH($E103,'Setari model'!$A$5:$A$11,0))+$BL103*INDEX('Setari model'!$D$5:$D$11,MATCH($E103,'Setari model'!$A$5:$A$11,0))+$BM103*INDEX('Setari model'!$E$5:$E$11,MATCH($E103,'Setari model'!$A$5:$A$11,0))+$BN103*INDEX('Setari model'!$F$5:$F$11,MATCH($E103,'Setari model'!$A$5:$A$11,0)))/(INDEX('Setari model'!$B$5:$B$11,MATCH($E103,'Setari model'!$A$5:$A$11,0))+INDEX('Setari model'!$C$5:$C$11,MATCH($E103,'Setari model'!$A$5:$A$11,0))+INDEX('Setari model'!$D$5:$D$11,MATCH($E103,'Setari model'!$A$5:$A$11,0))+INDEX('Setari model'!$E$5:$E$11,MATCH($E103,'Setari model'!$A$5:$A$11,0))+INDEX('Setari model'!$F$5:$F$11,MATCH($E103,'Setari model'!$A$5:$A$11,0))))*$BR103&gt;='Setari model'!$B$115,(($BJ103*INDEX('Setari model'!$B$5:$B$11,MATCH($E103,'Setari model'!$A$5:$A$11,0))+$BK103*INDEX('Setari model'!$C$5:$C$11,MATCH($E103,'Setari model'!$A$5:$A$11,0))+$BL103*INDEX('Setari model'!$D$5:$D$11,MATCH($E103,'Setari model'!$A$5:$A$11,0))+$BM103*INDEX('Setari model'!$E$5:$E$11,MATCH($E103,'Setari model'!$A$5:$A$11,0))+$BN103*INDEX('Setari model'!$F$5:$F$11,MATCH($E103,'Setari model'!$A$5:$A$11,0)))/(INDEX('Setari model'!$B$5:$B$11,MATCH($E103,'Setari model'!$A$5:$A$11,0))+INDEX('Setari model'!$C$5:$C$11,MATCH($E103,'Setari model'!$A$5:$A$11,0))+INDEX('Setari model'!$D$5:$D$11,MATCH($E103,'Setari model'!$A$5:$A$11,0))+INDEX('Setari model'!$E$5:$E$11,MATCH($E103,'Setari model'!$A$5:$A$11,0))+INDEX('Setari model'!$F$5:$F$11,MATCH($E103,'Setari model'!$A$5:$A$11,0))))*$BR103&lt;='Setari model'!$B$116,AVERAGE($GC103:$GD103)&lt;='Setari model'!$B$117,$GE103&gt;='Setari model'!$B$118),"DA","NU")))</x:f>
      </x:c>
      <x:c r="GI103" s="158" t="str">
        <x:f>IF($A103="","",IF(COUNT($W103,$AB103,$GA103:$GB103)&lt;4,"NEDETERMINAT",IF(AND($W103&gt;='Setari model'!$B$120,$AB103&gt;='Setari model'!$B$120,OR(IFERROR($GA103/$W103,0)&gt;='Setari model'!$B$119,IFERROR($GB103/$AB103,0)&gt;='Setari model'!$B$119)),"DA","NU")))</x:f>
      </x:c>
      <x:c r="GJ103" s="160" t="str">
        <x:f>IF($A103="","",IF(COUNT($FY103:$GB103)&lt;4,"",IF($GH103&lt;&gt;"DA",0,'Setari model'!$B$121*IF($GF103="DA",1,0)+'Setari model'!$B$122*IF($GG103="DA",1,0)+'Setari model'!$B$123+'Setari model'!$B$124*IF($GI103="DA",1,0))))</x:f>
      </x:c>
      <x:c r="GK103" s="161" t="str">
        <x:f>IF($A103="","",IF(COUNT($GJ103)=0,"",1+'Setari model'!$B$125*$GJ103))</x:f>
      </x:c>
      <x:c r="GL103" s="160" t="str">
        <x:f>IF($A103="","",IF($GM103&lt;&gt;"DA",$FJ103,MIN('Setari model'!$B$101,MAX(0.002,$FJ103*$GK103))))</x:f>
      </x:c>
      <x:c r="GM103" s="158" t="str">
        <x:f>IF($A103="","",IF(AND($FK103="DA",COUNT($FY103:$GB103)=4,COUNT($I103,$P103,$W103,$AB103,$Z103,$AE103,$EX103,$EY103,$GC103,$GD103)=10,COUNT($BJ103:$BN103)=5),"DA","NU"))</x:f>
      </x:c>
      <x:c r="GN103" s="158" t="str">
        <x:f>IF($A103="","",IF($GM103&lt;&gt;"DA","NEDETERMINAT",IF($FI103*$GK103&lt;='Setari model'!$B$99,"SCĂZUT",IF($FI103*$GK103&lt;='Setari model'!$B$100,"MEDIU","RIDICAT"))))</x:f>
      </x:c>
      <x:c r="GO103" s="160" t="str">
        <x:f>IF($A103="","",IF(OR($GM103&lt;&gt;"DA",$GN103="RIDICAT"),'Setari model'!$B$102,IF($GN103="MEDIU",'Setari model'!$B$103,IF(AND($FM103="DA",$FN103="DA"),'Setari model'!$B$105,'Setari model'!$B$104))))</x:f>
      </x:c>
      <x:c r="GP103" s="160" t="str">
        <x:f t="shared" si="152">IF($A103="","",IF($GL103="","",MIN(1-$GL103,$GO103)))</x:f>
      </x:c>
      <x:c r="GQ103" s="162" t="str">
        <x:f t="shared" si="153">IF($A103="","",IF($GP103="","",IF($GP103&gt;0,1/$GP103,"")))</x:f>
      </x:c>
      <x:c r="GR103" s="160" t="str">
        <x:f t="shared" si="154">IF($A103="","",IF($EC103="","",$GP103-$EC103))</x:f>
      </x:c>
      <x:c r="GS103" s="160" t="str">
        <x:f t="shared" si="155">IF($A103="","",IF($AR103&gt;1,$GP103*$AR103-1,""))</x:f>
      </x:c>
      <x:c r="GT103" s="163" t="str">
        <x:f>IF($A103="","",MAX(0,MIN(100,$FT103-IF(AND($GM103&lt;&gt;"DA",$FK103="DA"),'Setari model'!$B$107,0)-'Setari model'!$B$126*IF($GJ103="",0,$GJ103))))</x:f>
      </x:c>
      <x:c r="GU103" s="158" t="str">
        <x:f t="shared" si="156">IF($A103="","",IF($AR103&lt;=1,"NU – LIPSEȘTE COTA REALĂ",IF($GM103&lt;&gt;"DA","NU – DATE LOW-CONVERSION INCOMPLETE",IF($GN103&lt;&gt;"SCĂZUT","NU – RISC 0-0 "&amp;$GN103,IF($FN103&lt;&gt;"DA","NU – LINEUP NECONFIRMAT",IF($FM103&lt;&gt;"DA","NU – PIAȚĂ NECONFIRMATĂ",IF($EP103&lt;&gt;"DA","NU – PORTOFOLIU","DA")))))))</x:f>
      </x:c>
      <x:c r="GV103" s="158" t="str">
        <x:f>IF($A103="","",IF($GU103&lt;&gt;"DA","WATCH / NO BET",IF(AND($GP103&gt;='Setari model'!$B$35,$GT103&gt;=100*'Setari model'!$B$76,$GS103&gt;0),"PARIU RECOMANDAT",IF(AND($GP103&gt;='Setari model'!$B$39,$GT103&gt;=100*'Setari model'!$B$40,$GS103&gt;0),"WATCH – APROAPE DE PRAG","PARIU EVITAT"))))</x:f>
      </x:c>
      <x:c r="GW103" s="158" t="str">
        <x:f t="shared" si="157">IF($A103="","",IF($GU103&lt;&gt;"DA",$GU103,IF($GT103&lt;75,"Confidence v5 sub 75.",IF($GP103&lt;0.92,"P v5 sub 92%.",IF($GS103&lt;=0,"EV v5 nepozitiv.",IF($GJ103&gt;0,"Low-conversion absorbit în P0; toate porțile rămân trecute.","Toate porțile v5 sunt trecute."))))))</x:f>
      </x:c>
      <x:c r="GX103" s="158" t="str">
        <x:f t="shared" si="158">IF($A103="","","P v5="&amp;TEXT($GP103,"0.0%")&amp;"; P0 v5="&amp;TEXT($GL103,"0.0%")&amp;"; low-conv="&amp;IF(COUNT($GJ103)=0,"n/a",TEXT($GJ103,"0%"))&amp;"; mult.P0="&amp;IF(COUNT($GK103)=0,"n/a",TEXT($GK103,"0.00"))&amp;"; clasă="&amp;$GN103&amp;"; cap="&amp;TEXT($GO103,"0.0%")&amp;"; Confidence="&amp;TEXT($GT103,"0")&amp;"/100; lineup="&amp;$FN103&amp;"; piață="&amp;$FM103&amp;"; EV="&amp;IF($GS103="","n/a",TEXT($GS103,"0.0%"))&amp;"; gate="&amp;$GU103&amp;"; verdict="&amp;$GV103&amp;". "&amp;$GW103)</x:f>
      </x:c>
      <x:c r="GY103" s="174" t="str">
        <x:f>IF($A103="","",IF($GM103&lt;&gt;"DA","SOURCING INCOMPLETE – REVIEW REQUIRED",IF(MIN($I103,$P103,$W103,$AB103)&lt;'Setari model'!$B$58,"SMALL SAMPLE + PRIOR / SHRINKAGE","VERIFIED / PRIOR / SHRINKAGE")))</x:f>
      </x:c>
      <x:c r="GZ103" s="175" t="str">
        <x:f t="shared" si="159">IF($A103="","",MAX(0,MIN(100,100*(1-AVERAGE(IF($GM103="DA",1,0),MIN(1,$AT103/5))))))</x:f>
      </x:c>
      <x:c r="HA103" s="175" t="str">
        <x:f>IF($A103="","",IF($GM103&lt;&gt;"DA","",MAX(0,MIN(100,100*(($FI103*$GK103)-'Setari model'!$B$97)/('Setari model'!$B$98-'Setari model'!$B$97)))))</x:f>
      </x:c>
      <x:c r="HB103" s="175" t="str">
        <x:f>IF($A103="","",MAX(0,MIN(100,100*(ABS($BR103-1)/MAX(1-'Setari model'!$B$53,'Setari model'!$B$54-1)+MIN(1,$BG103/2))/2)))</x:f>
      </x:c>
      <x:c r="HC103" s="175" t="str">
        <x:f t="shared" si="160">IF($A103="","",MAX(0,MIN(100,100*(1-AVERAGE($CC103,MAX(0,1-(MAX($BJ103:$BN103)-MIN($BJ103:$BN103))/(AVERAGE($BJ103:$BN103)*'Setari model'!$B$45)))))))</x:f>
      </x:c>
      <x:c r="HD103" s="175" t="str">
        <x:f t="shared" si="161">IF($A103="","",MAX(0,MIN(100,100*MAX(IF($GJ103="",0,$GJ103),MIN(1,$BG103/2)))))</x:f>
      </x:c>
      <x:c r="HE103" s="175" t="str">
        <x:f>IF($A103="","",IF(COUNT($GZ103:$HD103)&lt;5,"",$GZ103*Risk_Classification!$E$28+$HA103*Risk_Classification!$E$29+$HB103*Risk_Classification!$E$30+$HC103*Risk_Classification!$E$31+$HD103*Risk_Classification!$E$32))</x:f>
      </x:c>
      <x:c r="HF103" s="176" t="str">
        <x:f t="shared" si="162">IF($A103="","",IF($HE103="","",IF($HE103&lt;=20,1,IF($HE103&lt;=40,2,IF($HE103&lt;=60,3,IF($HE103&lt;=80,4,5))))))</x:f>
      </x:c>
      <x:c r="HG103" s="176" t="str">
        <x:f t="shared" si="163">IF($A103="","",IF($GM103="DA","PASS","FAIL – DATE CRITICE ZERO-MASS INCOMPLETE"))</x:f>
      </x:c>
      <x:c r="HH103" s="176" t="str">
        <x:f t="shared" si="164">IF($A103="","",IF($HG103&lt;&gt;"PASS",5,$HF103))</x:f>
      </x:c>
      <x:c r="HI103" s="174" t="str">
        <x:f t="shared" si="165">IF($A103="","",IF($HH103="","N/A",IF($HH103=1,"DEFENSIV",IF($HH103=2,"PRUDENT",IF($HH103=3,"MODERAT",IF($HH103=4,"RIDICAT","WATCH / NO BET"))))))</x:f>
      </x:c>
      <x:c r="HJ103" s="177" t="str">
        <x:f t="shared" si="166">IF($A103="","","Data="&amp;$GY103&amp;"; DQ="&amp;TEXT($GZ103,"0.0")&amp;"; ZM="&amp;IF($HA103="","n/a",TEXT($HA103,"0.0"))&amp;"; Context="&amp;TEXT($HB103,"0.0")&amp;"; Uncertainty="&amp;TEXT($HC103,"0.0")&amp;"; Compound="&amp;TEXT($HD103,"0.0")&amp;"; Risk Score="&amp;IF($HE103="","n/a",TEXT($HE103,"0.0"))&amp;"; Base="&amp;IF($HF103="","n/a",$HF103)&amp;"; G0="&amp;$HG103&amp;"; Final="&amp;$HH103&amp;". Cota, EV si lineup sunt informative si nu intra in recomandare.")</x:f>
      </x:c>
      <x:c r="HK103" s="174" t="str">
        <x:f t="shared" si="167">IF($A103="","",$HI103)</x:f>
      </x:c>
    </x:row>
  </x:sheetData>
  <x:mergeCells>
    <x:mergeCell ref="GY1:HK1"/>
    <x:mergeCell ref="GY2:HK2"/>
    <x:mergeCell ref="A1:CI1"/>
    <x:mergeCell ref="A2:H2"/>
    <x:mergeCell ref="I2:V2"/>
    <x:mergeCell ref="W2:AF2"/>
    <x:mergeCell ref="AG2:AN2"/>
    <x:mergeCell ref="AO2:AU2"/>
    <x:mergeCell ref="AV2:BG2"/>
    <x:mergeCell ref="BH2:BI2"/>
    <x:mergeCell ref="BJ2:CI2"/>
    <x:mergeCell ref="CJ2:DV2"/>
    <x:mergeCell ref="DW2:EU2"/>
    <x:mergeCell ref="FY1:GX1"/>
    <x:mergeCell ref="FY2:GB2"/>
    <x:mergeCell ref="GC2:GX2"/>
    <x:mergeCell ref="EV1:FX1"/>
    <x:mergeCell ref="EV2:FB2"/>
    <x:mergeCell ref="FC2:FX2"/>
    <x:mergeCell ref="CJ1:EU1"/>
  </x:mergeCells>
  <x:conditionalFormatting sqref="BW4:BW103">
    <x:cfRule type="colorScale" priority="1">
      <x:colorScale>
        <x:cfvo type="min"/>
        <x:cfvo type="percentile" val="50"/>
        <x:cfvo type="max"/>
        <x:color rgb="FFF3B4B4"/>
        <x:color rgb="FFFFE3A0"/>
        <x:color rgb="FFA9E2B6"/>
      </x:colorScale>
    </x:cfRule>
  </x:conditionalFormatting>
  <x:conditionalFormatting sqref="CE4:CE103">
    <x:cfRule type="colorScale" priority="2">
      <x:colorScale>
        <x:cfvo type="min"/>
        <x:cfvo type="percentile" val="50"/>
        <x:cfvo type="max"/>
        <x:color rgb="FFF3B4B4"/>
        <x:color rgb="FFFFE3A0"/>
        <x:color rgb="FFA9E2B6"/>
      </x:colorScale>
    </x:cfRule>
  </x:conditionalFormatting>
  <x:conditionalFormatting sqref="CG4:CG103">
    <x:cfRule type="containsText" dxfId="14" priority="3" operator="containsText" text="RECOMANDAT"/>
    <x:cfRule type="containsText" dxfId="13" priority="4" operator="containsText" text="EVITAT"/>
    <x:cfRule type="containsText" dxfId="12" priority="5" operator="containsText" text="NECONCLUDENTĂ"/>
  </x:conditionalFormatting>
  <x:conditionalFormatting sqref="EL4:EL103">
    <x:cfRule type="expression" dxfId="11" priority="6">
      <x:formula>OR($EL4="PARIU RECOMANDAT",$EL4="LIVE – FEZABIL")</x:formula>
    </x:cfRule>
    <x:cfRule type="expression" dxfId="10" priority="7">
      <x:formula>OR($EL4="WATCH / NO BET",$EL4="WATCH – APROAPE DE PRAG")</x:formula>
    </x:cfRule>
    <x:cfRule type="expression" dxfId="9" priority="8">
      <x:formula>OR($EL4="PARIU EVITAT",$EL4="LIVE – NO BET")</x:formula>
    </x:cfRule>
  </x:conditionalFormatting>
  <x:conditionalFormatting sqref="FV4:FV103">
    <x:cfRule type="expression" dxfId="8" priority="9">
      <x:formula>OR($FV4="PARIU RECOMANDAT")</x:formula>
    </x:cfRule>
    <x:cfRule type="expression" dxfId="7" priority="10">
      <x:formula>OR($FV4="WATCH / NO BET",$FV4="WATCH – APROAPE DE PRAG")</x:formula>
    </x:cfRule>
    <x:cfRule type="expression" dxfId="6" priority="11">
      <x:formula>$FV4="PARIU EVITAT"</x:formula>
    </x:cfRule>
  </x:conditionalFormatting>
  <x:conditionalFormatting sqref="GV4:GV103">
    <x:cfRule type="expression" dxfId="5" priority="12">
      <x:formula>$GV4="PARIU RECOMANDAT"</x:formula>
    </x:cfRule>
    <x:cfRule type="expression" dxfId="4" priority="13">
      <x:formula>OR($GV4="WATCH / NO BET",$GV4="WATCH – APROAPE DE PRAG")</x:formula>
    </x:cfRule>
    <x:cfRule type="expression" dxfId="3" priority="14">
      <x:formula>$GV4="PARIU EVITAT"</x:formula>
    </x:cfRule>
  </x:conditionalFormatting>
  <x:dataValidations count="2">
    <x:dataValidation type="decimal" sqref="EV4:FA103 FY4:FZ103">
      <x:formula1>0</x:formula1>
      <x:formula2>1</x:formula2>
    </x:dataValidation>
    <x:dataValidation type="whole" sqref="GA4:GB103">
      <x:formula1>0</x:formula1>
      <x:formula2>20</x:formula2>
    </x:dataValidation>
  </x:dataValidations>
  <x:pageMargins left="0.7" right="0.7" top="0.75" bottom="0.75" header="0.3" footer="0.3"/>
  <x:drawing xmlns:r="http://schemas.openxmlformats.org/officeDocument/2006/relationships" r:id="Rce017e2a2f7e41fc"/>
  <x:legacyDrawing xmlns:r="http://schemas.openxmlformats.org/officeDocument/2006/relationships" r:id="Rc5f69f34cde24c77"/>
  <x:tableParts count="1">
    <x:tablePart xmlns:r="http://schemas.openxmlformats.org/officeDocument/2006/relationships" r:id="R6f1b2bd395fd49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0" customWidth="1"/>
    <x:col min="2" max="2" width="17" customWidth="1"/>
    <x:col min="3" max="3" width="74" customWidth="1"/>
    <x:col min="4" max="10" width="16" customWidth="1"/>
  </x:cols>
  <x:sheetData>
    <x:row r="1" ht="30" customHeight="1">
      <x:c r="A1" s="215" t="s">
        <x:v>298</x:v>
      </x:c>
      <x:c r="B1" s="215" t="s">
        <x:v>298</x:v>
      </x:c>
      <x:c r="C1" s="215" t="s">
        <x:v>298</x:v>
      </x:c>
      <x:c r="D1" s="215" t="s">
        <x:v>298</x:v>
      </x:c>
      <x:c r="E1" s="215" t="s">
        <x:v>298</x:v>
      </x:c>
      <x:c r="F1" s="215" t="s">
        <x:v>298</x:v>
      </x:c>
      <x:c r="G1" s="215" t="s">
        <x:v>298</x:v>
      </x:c>
      <x:c r="H1" s="215" t="s">
        <x:v>298</x:v>
      </x:c>
      <x:c r="I1" s="215" t="s">
        <x:v>298</x:v>
      </x:c>
      <x:c r="J1" s="1"/>
    </x:row>
    <x:row r="2" ht="30" customHeight="1">
      <x:c r="A2" s="215" t="s">
        <x:v>298</x:v>
      </x:c>
      <x:c r="B2" s="215" t="s">
        <x:v>298</x:v>
      </x:c>
      <x:c r="C2" s="215" t="s">
        <x:v>298</x:v>
      </x:c>
      <x:c r="D2" s="215" t="s">
        <x:v>298</x:v>
      </x:c>
      <x:c r="E2" s="215" t="s">
        <x:v>298</x:v>
      </x:c>
      <x:c r="F2" s="215" t="s">
        <x:v>298</x:v>
      </x:c>
      <x:c r="G2" s="215" t="s">
        <x:v>298</x:v>
      </x:c>
      <x:c r="H2" s="215" t="s">
        <x:v>298</x:v>
      </x:c>
      <x:c r="I2" s="215" t="s">
        <x:v>298</x:v>
      </x:c>
      <x:c r="J2" s="1"/>
    </x:row>
    <x:row r="3" ht="15">
      <x:c r="A3" s="193" t="s">
        <x:v>299</x:v>
      </x:c>
      <x:c r="B3" s="193"/>
      <x:c r="C3" s="193"/>
      <x:c r="D3" s="193"/>
      <x:c r="E3" s="193"/>
      <x:c r="F3" s="193"/>
      <x:c r="G3" s="193"/>
      <x:c r="H3" s="193"/>
      <x:c r="I3" s="193"/>
      <x:c r="J3" s="1"/>
    </x:row>
    <x:row r="4" ht="30" customHeight="1">
      <x:c r="A4" s="2" t="s">
        <x:v>68</x:v>
      </x:c>
      <x:c r="B4" s="2" t="s">
        <x:v>300</x:v>
      </x:c>
      <x:c r="C4" s="2" t="s">
        <x:v>301</x:v>
      </x:c>
      <x:c r="D4" s="2" t="s">
        <x:v>302</x:v>
      </x:c>
      <x:c r="E4" s="2" t="s">
        <x:v>303</x:v>
      </x:c>
      <x:c r="F4" s="2" t="s">
        <x:v>304</x:v>
      </x:c>
      <x:c r="G4" s="2" t="s">
        <x:v>305</x:v>
      </x:c>
      <x:c r="H4" s="2" t="s">
        <x:v>306</x:v>
      </x:c>
      <x:c r="I4" s="2" t="s">
        <x:v>307</x:v>
      </x:c>
      <x:c r="J4" s="1" t="s">
        <x:v>308</x:v>
      </x:c>
    </x:row>
    <x:row r="5" ht="30" customHeight="1">
      <x:c r="A5" s="3" t="s">
        <x:v>260</x:v>
      </x:c>
      <x:c r="B5" s="4">
        <x:v>0.25</x:v>
      </x:c>
      <x:c r="C5" s="4">
        <x:v>0.25</x:v>
      </x:c>
      <x:c r="D5" s="4">
        <x:v>0.15</x:v>
      </x:c>
      <x:c r="E5" s="4">
        <x:v>0.15</x:v>
      </x:c>
      <x:c r="F5" s="4">
        <x:v>0.05</x:v>
      </x:c>
      <x:c r="G5" s="4">
        <x:v>0.15</x:v>
      </x:c>
      <x:c r="H5" s="5">
        <x:v>1</x:v>
      </x:c>
      <x:c r="I5" s="6">
        <x:v>1</x:v>
      </x:c>
      <x:c r="J5" s="7" t="n">
        <x:f t="shared" ref="J5:J11" si="0">ROUND(SUM(B5:G5),6)</x:f>
        <x:v>1</x:v>
      </x:c>
    </x:row>
    <x:row r="6" ht="30" customHeight="1">
      <x:c r="A6" s="8" t="s">
        <x:v>269</x:v>
      </x:c>
      <x:c r="B6" s="9">
        <x:v>0.15</x:v>
      </x:c>
      <x:c r="C6" s="9">
        <x:v>0.2</x:v>
      </x:c>
      <x:c r="D6" s="9">
        <x:v>0.15</x:v>
      </x:c>
      <x:c r="E6" s="9">
        <x:v>0.15</x:v>
      </x:c>
      <x:c r="F6" s="9">
        <x:v>0.05</x:v>
      </x:c>
      <x:c r="G6" s="9">
        <x:v>0.3</x:v>
      </x:c>
      <x:c r="H6" s="10">
        <x:v>1.1499999999999999</x:v>
      </x:c>
      <x:c r="I6" s="11">
        <x:v>0.9</x:v>
      </x:c>
      <x:c r="J6" s="7">
        <x:f t="shared" si="0"/>
        <x:v>1</x:v>
      </x:c>
    </x:row>
    <x:row r="7" ht="30" customHeight="1">
      <x:c r="A7" s="8" t="s">
        <x:v>277</x:v>
      </x:c>
      <x:c r="B7" s="9">
        <x:v>0.1</x:v>
      </x:c>
      <x:c r="C7" s="9">
        <x:v>0.25</x:v>
      </x:c>
      <x:c r="D7" s="9">
        <x:v>0.15</x:v>
      </x:c>
      <x:c r="E7" s="9">
        <x:v>0.2</x:v>
      </x:c>
      <x:c r="F7" s="9">
        <x:v>0.03</x:v>
      </x:c>
      <x:c r="G7" s="9">
        <x:v>0.27</x:v>
      </x:c>
      <x:c r="H7" s="10">
        <x:v>1.1000000000000001</x:v>
      </x:c>
      <x:c r="I7" s="11">
        <x:v>0.92</x:v>
      </x:c>
      <x:c r="J7" s="7">
        <x:f t="shared" si="0"/>
        <x:v>1</x:v>
      </x:c>
    </x:row>
    <x:row r="8" ht="30" customHeight="1">
      <x:c r="A8" s="8" t="s">
        <x:v>284</x:v>
      </x:c>
      <x:c r="B8" s="9">
        <x:v>0.08</x:v>
      </x:c>
      <x:c r="C8" s="9">
        <x:v>0.22</x:v>
      </x:c>
      <x:c r="D8" s="9">
        <x:v>0.15</x:v>
      </x:c>
      <x:c r="E8" s="9">
        <x:v>0.2</x:v>
      </x:c>
      <x:c r="F8" s="9">
        <x:v>0.02</x:v>
      </x:c>
      <x:c r="G8" s="9">
        <x:v>0.33</x:v>
      </x:c>
      <x:c r="H8" s="10">
        <x:v>1.3</x:v>
      </x:c>
      <x:c r="I8" s="11">
        <x:v>0.9</x:v>
      </x:c>
      <x:c r="J8" s="7">
        <x:f t="shared" si="0"/>
        <x:v>1</x:v>
      </x:c>
    </x:row>
    <x:row r="9" ht="30" customHeight="1">
      <x:c r="A9" s="8" t="s">
        <x:v>309</x:v>
      </x:c>
      <x:c r="B9" s="9">
        <x:v>0.1</x:v>
      </x:c>
      <x:c r="C9" s="9">
        <x:v>0.2</x:v>
      </x:c>
      <x:c r="D9" s="9">
        <x:v>0.15</x:v>
      </x:c>
      <x:c r="E9" s="9">
        <x:v>0.2</x:v>
      </x:c>
      <x:c r="F9" s="9">
        <x:v>0.05</x:v>
      </x:c>
      <x:c r="G9" s="9">
        <x:v>0.3</x:v>
      </x:c>
      <x:c r="H9" s="10">
        <x:v>1.1499999999999999</x:v>
      </x:c>
      <x:c r="I9" s="11">
        <x:v>0.9</x:v>
      </x:c>
      <x:c r="J9" s="7">
        <x:f t="shared" si="0"/>
        <x:v>1</x:v>
      </x:c>
    </x:row>
    <x:row r="10" ht="30" customHeight="1">
      <x:c r="A10" s="8" t="s">
        <x:v>310</x:v>
      </x:c>
      <x:c r="B10" s="9">
        <x:v>0.12</x:v>
      </x:c>
      <x:c r="C10" s="9">
        <x:v>0.22</x:v>
      </x:c>
      <x:c r="D10" s="9">
        <x:v>0.16</x:v>
      </x:c>
      <x:c r="E10" s="9">
        <x:v>0.2</x:v>
      </x:c>
      <x:c r="F10" s="9">
        <x:v>0.05</x:v>
      </x:c>
      <x:c r="G10" s="9">
        <x:v>0.25</x:v>
      </x:c>
      <x:c r="H10" s="10">
        <x:v>1.1499999999999999</x:v>
      </x:c>
      <x:c r="I10" s="11">
        <x:v>0.85</x:v>
      </x:c>
      <x:c r="J10" s="7">
        <x:f t="shared" si="0"/>
        <x:v>1</x:v>
      </x:c>
    </x:row>
    <x:row r="11" ht="30" customHeight="1">
      <x:c r="A11" s="12" t="s">
        <x:v>292</x:v>
      </x:c>
      <x:c r="B11" s="13">
        <x:v>0.1</x:v>
      </x:c>
      <x:c r="C11" s="13">
        <x:v>0.15</x:v>
      </x:c>
      <x:c r="D11" s="13">
        <x:v>0.2</x:v>
      </x:c>
      <x:c r="E11" s="13">
        <x:v>0.15</x:v>
      </x:c>
      <x:c r="F11" s="13">
        <x:v>0.05</x:v>
      </x:c>
      <x:c r="G11" s="13">
        <x:v>0.35</x:v>
      </x:c>
      <x:c r="H11" s="14">
        <x:v>1.25</x:v>
      </x:c>
      <x:c r="I11" s="15">
        <x:v>0.7</x:v>
      </x:c>
      <x:c r="J11" s="7">
        <x:f t="shared" si="0"/>
        <x:v>1</x:v>
      </x:c>
    </x:row>
    <x:row r="12" ht="15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15">
      <x:c r="A13" s="191" t="s">
        <x:v>311</x:v>
      </x:c>
      <x:c r="B13" s="191" t="s">
        <x:v>311</x:v>
      </x:c>
      <x:c r="C13" s="191" t="s">
        <x:v>311</x:v>
      </x:c>
      <x:c r="D13" s="1"/>
      <x:c r="E13" s="1"/>
      <x:c r="F13" s="1"/>
      <x:c r="G13" s="1"/>
      <x:c r="H13" s="1"/>
      <x:c r="I13" s="1"/>
      <x:c r="J13" s="1"/>
    </x:row>
    <x:row r="14" ht="32.099998474121094" customHeight="1">
      <x:c r="A14" s="2" t="s">
        <x:v>312</x:v>
      </x:c>
      <x:c r="B14" s="2" t="s">
        <x:v>313</x:v>
      </x:c>
      <x:c r="C14" s="2" t="s">
        <x:v>314</x:v>
      </x:c>
      <x:c r="D14" s="1"/>
      <x:c r="E14" s="1"/>
      <x:c r="F14" s="1"/>
      <x:c r="G14" s="1"/>
      <x:c r="H14" s="1"/>
      <x:c r="I14" s="1"/>
      <x:c r="J14" s="1"/>
    </x:row>
    <x:row r="15" ht="32.099998474121094" customHeight="1">
      <x:c r="A15" s="3" t="s">
        <x:v>315</x:v>
      </x:c>
      <x:c r="B15" s="16">
        <x:v>0.01</x:v>
      </x:c>
      <x:c r="C15" s="17" t="s">
        <x:v>316</x:v>
      </x:c>
      <x:c r="D15" s="1"/>
      <x:c r="E15" s="1"/>
      <x:c r="F15" s="1"/>
      <x:c r="G15" s="1"/>
      <x:c r="H15" s="1"/>
      <x:c r="I15" s="1"/>
      <x:c r="J15" s="1"/>
    </x:row>
    <x:row r="16" ht="32.099998474121094" customHeight="1">
      <x:c r="A16" s="8" t="s">
        <x:v>317</x:v>
      </x:c>
      <x:c r="B16" s="18">
        <x:v>2.5000000000000001E-2</x:v>
      </x:c>
      <x:c r="C16" s="19" t="s">
        <x:v>318</x:v>
      </x:c>
      <x:c r="D16" s="1"/>
      <x:c r="E16" s="1"/>
      <x:c r="F16" s="1"/>
      <x:c r="G16" s="1"/>
      <x:c r="H16" s="1"/>
      <x:c r="I16" s="1"/>
      <x:c r="J16" s="1"/>
    </x:row>
    <x:row r="17" ht="32.099998474121094" customHeight="1">
      <x:c r="A17" s="8" t="s">
        <x:v>319</x:v>
      </x:c>
      <x:c r="B17" s="18">
        <x:v>0.02</x:v>
      </x:c>
      <x:c r="C17" s="19" t="s">
        <x:v>320</x:v>
      </x:c>
      <x:c r="D17" s="1"/>
      <x:c r="E17" s="1"/>
      <x:c r="F17" s="1"/>
      <x:c r="G17" s="1"/>
      <x:c r="H17" s="1"/>
      <x:c r="I17" s="1"/>
      <x:c r="J17" s="1"/>
    </x:row>
    <x:row r="18" ht="32.099998474121094" customHeight="1">
      <x:c r="A18" s="8" t="s">
        <x:v>321</x:v>
      </x:c>
      <x:c r="B18" s="18">
        <x:v>0.02</x:v>
      </x:c>
      <x:c r="C18" s="19" t="s">
        <x:v>322</x:v>
      </x:c>
      <x:c r="D18" s="1"/>
      <x:c r="E18" s="1"/>
      <x:c r="F18" s="1"/>
      <x:c r="G18" s="1"/>
      <x:c r="H18" s="1"/>
      <x:c r="I18" s="1"/>
      <x:c r="J18" s="1"/>
    </x:row>
    <x:row r="19" ht="32.099998474121094" customHeight="1">
      <x:c r="A19" s="8" t="s">
        <x:v>323</x:v>
      </x:c>
      <x:c r="B19" s="18">
        <x:v>1.4999999999999999E-2</x:v>
      </x:c>
      <x:c r="C19" s="19" t="s">
        <x:v>324</x:v>
      </x:c>
      <x:c r="D19" s="1"/>
      <x:c r="E19" s="1"/>
      <x:c r="F19" s="1"/>
      <x:c r="G19" s="1"/>
      <x:c r="H19" s="1"/>
      <x:c r="I19" s="1"/>
      <x:c r="J19" s="1"/>
    </x:row>
    <x:row r="20" ht="32.099998474121094" customHeight="1">
      <x:c r="A20" s="8" t="s">
        <x:v>325</x:v>
      </x:c>
      <x:c r="B20" s="18">
        <x:v>0.01</x:v>
      </x:c>
      <x:c r="C20" s="19" t="s">
        <x:v>326</x:v>
      </x:c>
      <x:c r="D20" s="1"/>
      <x:c r="E20" s="1"/>
      <x:c r="F20" s="1"/>
      <x:c r="G20" s="1"/>
      <x:c r="H20" s="1"/>
      <x:c r="I20" s="1"/>
      <x:c r="J20" s="1"/>
    </x:row>
    <x:row r="21" ht="32.099998474121094" customHeight="1">
      <x:c r="A21" s="8" t="s">
        <x:v>327</x:v>
      </x:c>
      <x:c r="B21" s="18">
        <x:v>1.4999999999999999E-2</x:v>
      </x:c>
      <x:c r="C21" s="19" t="s">
        <x:v>328</x:v>
      </x:c>
      <x:c r="D21" s="1"/>
      <x:c r="E21" s="1"/>
      <x:c r="F21" s="1"/>
      <x:c r="G21" s="1"/>
      <x:c r="H21" s="1"/>
      <x:c r="I21" s="1"/>
      <x:c r="J21" s="1"/>
    </x:row>
    <x:row r="22" ht="32.099998474121094" customHeight="1">
      <x:c r="A22" s="8" t="s">
        <x:v>329</x:v>
      </x:c>
      <x:c r="B22" s="18">
        <x:v>1.4999999999999999E-2</x:v>
      </x:c>
      <x:c r="C22" s="19" t="s">
        <x:v>330</x:v>
      </x:c>
      <x:c r="D22" s="1"/>
      <x:c r="E22" s="1"/>
      <x:c r="F22" s="1"/>
      <x:c r="G22" s="1"/>
      <x:c r="H22" s="1"/>
      <x:c r="I22" s="1"/>
      <x:c r="J22" s="1"/>
    </x:row>
    <x:row r="23" ht="32.099998474121094" customHeight="1">
      <x:c r="A23" s="8" t="s">
        <x:v>331</x:v>
      </x:c>
      <x:c r="B23" s="18">
        <x:v>0.01</x:v>
      </x:c>
      <x:c r="C23" s="19" t="s">
        <x:v>332</x:v>
      </x:c>
      <x:c r="D23" s="1"/>
      <x:c r="E23" s="1"/>
      <x:c r="F23" s="1"/>
      <x:c r="G23" s="1"/>
      <x:c r="H23" s="1"/>
      <x:c r="I23" s="1"/>
      <x:c r="J23" s="1"/>
    </x:row>
    <x:row r="24" ht="32.099998474121094" customHeight="1">
      <x:c r="A24" s="8" t="s">
        <x:v>333</x:v>
      </x:c>
      <x:c r="B24" s="18">
        <x:v>2.5000000000000001E-2</x:v>
      </x:c>
      <x:c r="C24" s="19" t="s">
        <x:v>334</x:v>
      </x:c>
      <x:c r="D24" s="1"/>
      <x:c r="E24" s="1"/>
      <x:c r="F24" s="1"/>
      <x:c r="G24" s="1"/>
      <x:c r="H24" s="1"/>
      <x:c r="I24" s="1"/>
      <x:c r="J24" s="1"/>
    </x:row>
    <x:row r="25" ht="32.099998474121094" customHeight="1">
      <x:c r="A25" s="12" t="s">
        <x:v>335</x:v>
      </x:c>
      <x:c r="B25" s="20">
        <x:v>1.4999999999999999E-2</x:v>
      </x:c>
      <x:c r="C25" s="21" t="s">
        <x:v>336</x:v>
      </x:c>
      <x:c r="D25" s="1"/>
      <x:c r="E25" s="1"/>
      <x:c r="F25" s="1"/>
      <x:c r="G25" s="1"/>
      <x:c r="H25" s="1"/>
      <x:c r="I25" s="1"/>
      <x:c r="J25" s="1"/>
    </x:row>
    <x:row r="26" ht="15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15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15">
      <x:c r="A28" s="191" t="s">
        <x:v>337</x:v>
      </x:c>
      <x:c r="B28" s="191" t="s">
        <x:v>337</x:v>
      </x:c>
      <x:c r="C28" s="191" t="s">
        <x:v>337</x:v>
      </x:c>
      <x:c r="D28" s="1"/>
      <x:c r="E28" s="1"/>
      <x:c r="F28" s="1"/>
      <x:c r="G28" s="1"/>
      <x:c r="H28" s="1"/>
      <x:c r="I28" s="1"/>
      <x:c r="J28" s="1"/>
    </x:row>
    <x:row r="29" ht="15">
      <x:c r="A29" s="2" t="s">
        <x:v>338</x:v>
      </x:c>
      <x:c r="B29" s="2" t="s">
        <x:v>2</x:v>
      </x:c>
      <x:c r="C29" s="2" t="s">
        <x:v>339</x:v>
      </x:c>
      <x:c r="D29" s="1"/>
      <x:c r="E29" s="1"/>
      <x:c r="F29" s="1"/>
      <x:c r="G29" s="1"/>
      <x:c r="H29" s="1"/>
      <x:c r="I29" s="1"/>
      <x:c r="J29" s="1"/>
    </x:row>
    <x:row r="30" ht="27.950000762939453" customHeight="1">
      <x:c r="A30" s="3" t="s">
        <x:v>340</x:v>
      </x:c>
      <x:c r="B30" s="22">
        <x:v>8</x:v>
      </x:c>
      <x:c r="C30" s="23" t="s">
        <x:v>341</x:v>
      </x:c>
      <x:c r="D30" s="1"/>
      <x:c r="E30" s="1"/>
      <x:c r="F30" s="1"/>
      <x:c r="G30" s="1"/>
      <x:c r="H30" s="1"/>
      <x:c r="I30" s="1"/>
      <x:c r="J30" s="1"/>
    </x:row>
    <x:row r="31" ht="27.950000762939453" customHeight="1">
      <x:c r="A31" s="8" t="s">
        <x:v>342</x:v>
      </x:c>
      <x:c r="B31" s="24">
        <x:v>5</x:v>
      </x:c>
      <x:c r="C31" s="25" t="s">
        <x:v>343</x:v>
      </x:c>
      <x:c r="D31" s="1"/>
      <x:c r="E31" s="1"/>
      <x:c r="F31" s="1"/>
      <x:c r="G31" s="1"/>
      <x:c r="H31" s="1"/>
      <x:c r="I31" s="1"/>
      <x:c r="J31" s="1"/>
    </x:row>
    <x:row r="32" ht="27.950000762939453" customHeight="1">
      <x:c r="A32" s="8" t="s">
        <x:v>344</x:v>
      </x:c>
      <x:c r="B32" s="18">
        <x:v>0.04</x:v>
      </x:c>
      <x:c r="C32" s="25" t="s">
        <x:v>345</x:v>
      </x:c>
      <x:c r="D32" s="1"/>
      <x:c r="E32" s="1"/>
      <x:c r="F32" s="1"/>
      <x:c r="G32" s="1"/>
      <x:c r="H32" s="1"/>
      <x:c r="I32" s="1"/>
      <x:c r="J32" s="1"/>
    </x:row>
    <x:row r="33" ht="27.950000762939453" customHeight="1">
      <x:c r="A33" s="8" t="s">
        <x:v>346</x:v>
      </x:c>
      <x:c r="B33" s="18">
        <x:v>0.5</x:v>
      </x:c>
      <x:c r="C33" s="25" t="s">
        <x:v>347</x:v>
      </x:c>
      <x:c r="D33" s="1"/>
      <x:c r="E33" s="1"/>
      <x:c r="F33" s="1"/>
      <x:c r="G33" s="1"/>
      <x:c r="H33" s="1"/>
      <x:c r="I33" s="1"/>
      <x:c r="J33" s="1"/>
    </x:row>
    <x:row r="34" ht="27.950000762939453" customHeight="1">
      <x:c r="A34" s="8" t="s">
        <x:v>348</x:v>
      </x:c>
      <x:c r="B34" s="18">
        <x:v>0.25</x:v>
      </x:c>
      <x:c r="C34" s="25" t="s">
        <x:v>349</x:v>
      </x:c>
      <x:c r="D34" s="1"/>
      <x:c r="E34" s="1"/>
      <x:c r="F34" s="1"/>
      <x:c r="G34" s="1"/>
      <x:c r="H34" s="1"/>
      <x:c r="I34" s="1"/>
      <x:c r="J34" s="1"/>
    </x:row>
    <x:row r="35" ht="27.950000762939453" customHeight="1">
      <x:c r="A35" s="8" t="s">
        <x:v>350</x:v>
      </x:c>
      <x:c r="B35" s="18">
        <x:v>0.92</x:v>
      </x:c>
      <x:c r="C35" s="25" t="s">
        <x:v>351</x:v>
      </x:c>
      <x:c r="D35" s="1"/>
      <x:c r="E35" s="1"/>
      <x:c r="F35" s="1"/>
      <x:c r="G35" s="1"/>
      <x:c r="H35" s="1"/>
      <x:c r="I35" s="1"/>
      <x:c r="J35" s="1"/>
    </x:row>
    <x:row r="36" ht="27.950000762939453" customHeight="1">
      <x:c r="A36" s="8" t="s">
        <x:v>352</x:v>
      </x:c>
      <x:c r="B36" s="18">
        <x:v>0.75</x:v>
      </x:c>
      <x:c r="C36" s="25" t="s">
        <x:v>353</x:v>
      </x:c>
      <x:c r="D36" s="1"/>
      <x:c r="E36" s="1"/>
      <x:c r="F36" s="1"/>
      <x:c r="G36" s="1"/>
      <x:c r="H36" s="1"/>
      <x:c r="I36" s="1"/>
      <x:c r="J36" s="1"/>
    </x:row>
    <x:row r="37" ht="27.950000762939453" customHeight="1">
      <x:c r="A37" s="8" t="s">
        <x:v>354</x:v>
      </x:c>
      <x:c r="B37" s="18">
        <x:v>2.5000000000000001E-2</x:v>
      </x:c>
      <x:c r="C37" s="25" t="s">
        <x:v>355</x:v>
      </x:c>
      <x:c r="D37" s="1"/>
      <x:c r="E37" s="1"/>
      <x:c r="F37" s="1"/>
      <x:c r="G37" s="1"/>
      <x:c r="H37" s="1"/>
      <x:c r="I37" s="1"/>
      <x:c r="J37" s="1"/>
    </x:row>
    <x:row r="38" ht="27.950000762939453" customHeight="1">
      <x:c r="A38" s="8" t="s">
        <x:v>356</x:v>
      </x:c>
      <x:c r="B38" s="18">
        <x:v>1.4999999999999999E-2</x:v>
      </x:c>
      <x:c r="C38" s="25" t="s">
        <x:v>357</x:v>
      </x:c>
      <x:c r="D38" s="1"/>
      <x:c r="E38" s="1"/>
      <x:c r="F38" s="1"/>
      <x:c r="G38" s="1"/>
      <x:c r="H38" s="1"/>
      <x:c r="I38" s="1"/>
      <x:c r="J38" s="1"/>
    </x:row>
    <x:row r="39" ht="27.950000762939453" customHeight="1">
      <x:c r="A39" s="8" t="s">
        <x:v>358</x:v>
      </x:c>
      <x:c r="B39" s="18">
        <x:v>0.88</x:v>
      </x:c>
      <x:c r="C39" s="25" t="s">
        <x:v>359</x:v>
      </x:c>
      <x:c r="D39" s="1"/>
      <x:c r="E39" s="1"/>
      <x:c r="F39" s="1"/>
      <x:c r="G39" s="1"/>
      <x:c r="H39" s="1"/>
      <x:c r="I39" s="1"/>
      <x:c r="J39" s="1"/>
    </x:row>
    <x:row r="40" ht="27.950000762939453" customHeight="1">
      <x:c r="A40" s="8" t="s">
        <x:v>360</x:v>
      </x:c>
      <x:c r="B40" s="18">
        <x:v>0.65</x:v>
      </x:c>
      <x:c r="C40" s="25" t="s">
        <x:v>361</x:v>
      </x:c>
      <x:c r="D40" s="1"/>
      <x:c r="E40" s="1"/>
      <x:c r="F40" s="1"/>
      <x:c r="G40" s="1"/>
      <x:c r="H40" s="1"/>
      <x:c r="I40" s="1"/>
      <x:c r="J40" s="1"/>
    </x:row>
    <x:row r="41" ht="27.950000762939453" customHeight="1">
      <x:c r="A41" s="8" t="s">
        <x:v>362</x:v>
      </x:c>
      <x:c r="B41" s="18">
        <x:v>0.01</x:v>
      </x:c>
      <x:c r="C41" s="25" t="s">
        <x:v>363</x:v>
      </x:c>
      <x:c r="D41" s="1"/>
      <x:c r="E41" s="1"/>
      <x:c r="F41" s="1"/>
      <x:c r="G41" s="1"/>
      <x:c r="H41" s="1"/>
      <x:c r="I41" s="1"/>
      <x:c r="J41" s="1"/>
    </x:row>
    <x:row r="42" ht="27.950000762939453" customHeight="1">
      <x:c r="A42" s="8" t="s">
        <x:v>364</x:v>
      </x:c>
      <x:c r="B42" s="18">
        <x:v>0.82</x:v>
      </x:c>
      <x:c r="C42" s="25" t="s">
        <x:v>365</x:v>
      </x:c>
      <x:c r="D42" s="1"/>
      <x:c r="E42" s="1"/>
      <x:c r="F42" s="1"/>
      <x:c r="G42" s="1"/>
      <x:c r="H42" s="1"/>
      <x:c r="I42" s="1"/>
      <x:c r="J42" s="1"/>
    </x:row>
    <x:row r="43" ht="27.950000762939453" customHeight="1">
      <x:c r="A43" s="8" t="s">
        <x:v>366</x:v>
      </x:c>
      <x:c r="B43" s="24">
        <x:v>0.5</x:v>
      </x:c>
      <x:c r="C43" s="25" t="s">
        <x:v>365</x:v>
      </x:c>
      <x:c r="D43" s="1"/>
      <x:c r="E43" s="1"/>
      <x:c r="F43" s="1"/>
      <x:c r="G43" s="1"/>
      <x:c r="H43" s="1"/>
      <x:c r="I43" s="1"/>
      <x:c r="J43" s="1"/>
    </x:row>
    <x:row r="44" ht="27.950000762939453" customHeight="1">
      <x:c r="A44" s="8" t="s">
        <x:v>367</x:v>
      </x:c>
      <x:c r="B44" s="24">
        <x:v>40</x:v>
      </x:c>
      <x:c r="C44" s="25" t="s">
        <x:v>368</x:v>
      </x:c>
      <x:c r="D44" s="1"/>
      <x:c r="E44" s="1"/>
      <x:c r="F44" s="1"/>
      <x:c r="G44" s="1"/>
      <x:c r="H44" s="1"/>
      <x:c r="I44" s="1"/>
      <x:c r="J44" s="1"/>
    </x:row>
    <x:row r="45" ht="27.950000762939453" customHeight="1">
      <x:c r="A45" s="8" t="s">
        <x:v>369</x:v>
      </x:c>
      <x:c r="B45" s="24">
        <x:v>0.6</x:v>
      </x:c>
      <x:c r="C45" s="25" t="s">
        <x:v>370</x:v>
      </x:c>
      <x:c r="D45" s="1"/>
      <x:c r="E45" s="1"/>
      <x:c r="F45" s="1"/>
      <x:c r="G45" s="1"/>
      <x:c r="H45" s="1"/>
      <x:c r="I45" s="1"/>
      <x:c r="J45" s="1"/>
    </x:row>
    <x:row r="46" ht="27.950000762939453" customHeight="1">
      <x:c r="A46" s="8" t="s">
        <x:v>371</x:v>
      </x:c>
      <x:c r="B46" s="24">
        <x:v>35</x:v>
      </x:c>
      <x:c r="C46" s="25" t="s">
        <x:v>372</x:v>
      </x:c>
      <x:c r="D46" s="1"/>
      <x:c r="E46" s="1"/>
      <x:c r="F46" s="1"/>
      <x:c r="G46" s="1"/>
      <x:c r="H46" s="1"/>
      <x:c r="I46" s="1"/>
      <x:c r="J46" s="1"/>
    </x:row>
    <x:row r="47" ht="27.950000762939453" customHeight="1">
      <x:c r="A47" s="8" t="s">
        <x:v>373</x:v>
      </x:c>
      <x:c r="B47" s="18">
        <x:v>0.3</x:v>
      </x:c>
      <x:c r="C47" s="25" t="s">
        <x:v>138</x:v>
      </x:c>
      <x:c r="D47" s="1"/>
      <x:c r="E47" s="1"/>
      <x:c r="F47" s="1"/>
      <x:c r="G47" s="1"/>
      <x:c r="H47" s="1"/>
      <x:c r="I47" s="1"/>
      <x:c r="J47" s="1"/>
    </x:row>
    <x:row r="48" ht="27.950000762939453" customHeight="1">
      <x:c r="A48" s="8" t="s">
        <x:v>374</x:v>
      </x:c>
      <x:c r="B48" s="18">
        <x:v>0.2</x:v>
      </x:c>
      <x:c r="C48" s="25" t="s">
        <x:v>138</x:v>
      </x:c>
      <x:c r="D48" s="1"/>
      <x:c r="E48" s="1"/>
      <x:c r="F48" s="1"/>
      <x:c r="G48" s="1"/>
      <x:c r="H48" s="1"/>
      <x:c r="I48" s="1"/>
      <x:c r="J48" s="1"/>
    </x:row>
    <x:row r="49" ht="27.950000762939453" customHeight="1">
      <x:c r="A49" s="8" t="s">
        <x:v>375</x:v>
      </x:c>
      <x:c r="B49" s="18">
        <x:v>0.2</x:v>
      </x:c>
      <x:c r="C49" s="25" t="s">
        <x:v>138</x:v>
      </x:c>
      <x:c r="D49" s="1"/>
      <x:c r="E49" s="1"/>
      <x:c r="F49" s="1"/>
      <x:c r="G49" s="1"/>
      <x:c r="H49" s="1"/>
      <x:c r="I49" s="1"/>
      <x:c r="J49" s="1"/>
    </x:row>
    <x:row r="50" ht="27.950000762939453" customHeight="1">
      <x:c r="A50" s="8" t="s">
        <x:v>376</x:v>
      </x:c>
      <x:c r="B50" s="18">
        <x:v>0.15</x:v>
      </x:c>
      <x:c r="C50" s="25" t="s">
        <x:v>138</x:v>
      </x:c>
      <x:c r="D50" s="1"/>
      <x:c r="E50" s="1"/>
      <x:c r="F50" s="1"/>
      <x:c r="G50" s="1"/>
      <x:c r="H50" s="1"/>
      <x:c r="I50" s="1"/>
      <x:c r="J50" s="1"/>
    </x:row>
    <x:row r="51" ht="27.950000762939453" customHeight="1">
      <x:c r="A51" s="8" t="s">
        <x:v>377</x:v>
      </x:c>
      <x:c r="B51" s="18">
        <x:v>0.15</x:v>
      </x:c>
      <x:c r="C51" s="25" t="s">
        <x:v>138</x:v>
      </x:c>
      <x:c r="D51" s="1"/>
      <x:c r="E51" s="1"/>
      <x:c r="F51" s="1"/>
      <x:c r="G51" s="1"/>
      <x:c r="H51" s="1"/>
      <x:c r="I51" s="1"/>
      <x:c r="J51" s="1"/>
    </x:row>
    <x:row r="52" ht="27.950000762939453" customHeight="1">
      <x:c r="A52" s="8" t="s">
        <x:v>378</x:v>
      </x:c>
      <x:c r="B52" s="18">
        <x:v>0.08</x:v>
      </x:c>
      <x:c r="C52" s="25" t="s">
        <x:v>379</x:v>
      </x:c>
      <x:c r="D52" s="1"/>
      <x:c r="E52" s="1"/>
      <x:c r="F52" s="1"/>
      <x:c r="G52" s="1"/>
      <x:c r="H52" s="1"/>
      <x:c r="I52" s="1"/>
      <x:c r="J52" s="1"/>
    </x:row>
    <x:row r="53" ht="27.950000762939453" customHeight="1">
      <x:c r="A53" s="8" t="s">
        <x:v>380</x:v>
      </x:c>
      <x:c r="B53" s="18">
        <x:v>0.75</x:v>
      </x:c>
      <x:c r="C53" s="25" t="s">
        <x:v>381</x:v>
      </x:c>
      <x:c r="D53" s="1"/>
      <x:c r="E53" s="1"/>
      <x:c r="F53" s="1"/>
      <x:c r="G53" s="1"/>
      <x:c r="H53" s="1"/>
      <x:c r="I53" s="1"/>
      <x:c r="J53" s="1"/>
    </x:row>
    <x:row r="54" ht="27.950000762939453" customHeight="1">
      <x:c r="A54" s="12" t="s">
        <x:v>382</x:v>
      </x:c>
      <x:c r="B54" s="26">
        <x:v>1.25</x:v>
      </x:c>
      <x:c r="C54" s="27" t="s">
        <x:v>381</x:v>
      </x:c>
      <x:c r="D54" s="1"/>
      <x:c r="E54" s="1"/>
      <x:c r="F54" s="1"/>
      <x:c r="G54" s="1"/>
      <x:c r="H54" s="1"/>
      <x:c r="I54" s="1"/>
      <x:c r="J54" s="1"/>
    </x:row>
    <x:row r="55" ht="1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15.75">
      <x:c r="A56" s="232" t="s">
        <x:v>383</x:v>
      </x:c>
      <x:c r="B56" s="232"/>
      <x:c r="C56" s="232"/>
      <x:c r="D56" s="1"/>
      <x:c r="E56" s="1"/>
      <x:c r="F56" s="1"/>
      <x:c r="G56" s="1"/>
      <x:c r="H56" s="1"/>
      <x:c r="I56" s="1"/>
      <x:c r="J56" s="1"/>
    </x:row>
    <x:row r="57" ht="15">
      <x:c r="A57" s="99" t="s">
        <x:v>338</x:v>
      </x:c>
      <x:c r="B57" s="99" t="s">
        <x:v>2</x:v>
      </x:c>
      <x:c r="C57" s="99" t="s">
        <x:v>384</x:v>
      </x:c>
      <x:c r="D57" s="1"/>
      <x:c r="E57" s="1"/>
      <x:c r="F57" s="1"/>
      <x:c r="G57" s="1"/>
      <x:c r="H57" s="1"/>
      <x:c r="I57" s="1"/>
      <x:c r="J57" s="1"/>
    </x:row>
    <x:row r="58" ht="23.100000381469727" customHeight="1">
      <x:c r="A58" s="100" t="s">
        <x:v>385</x:v>
      </x:c>
      <x:c r="B58" s="102">
        <x:v>5</x:v>
      </x:c>
      <x:c r="C58" s="104" t="s">
        <x:v>386</x:v>
      </x:c>
      <x:c r="D58" s="1"/>
      <x:c r="E58" s="1"/>
      <x:c r="F58" s="1"/>
      <x:c r="G58" s="1"/>
      <x:c r="H58" s="1"/>
      <x:c r="I58" s="1"/>
      <x:c r="J58" s="1"/>
    </x:row>
    <x:row r="59" ht="23.100000381469727" customHeight="1">
      <x:c r="A59" s="100" t="s">
        <x:v>387</x:v>
      </x:c>
      <x:c r="B59" s="106">
        <x:v>0.92</x:v>
      </x:c>
      <x:c r="C59" s="104" t="s">
        <x:v>388</x:v>
      </x:c>
      <x:c r="D59" s="1"/>
      <x:c r="E59" s="1"/>
      <x:c r="F59" s="1"/>
      <x:c r="G59" s="1"/>
      <x:c r="H59" s="1"/>
      <x:c r="I59" s="1"/>
      <x:c r="J59" s="1"/>
    </x:row>
    <x:row r="60" ht="23.100000381469727" customHeight="1">
      <x:c r="A60" s="100" t="s">
        <x:v>389</x:v>
      </x:c>
      <x:c r="B60" s="106">
        <x:v>0.93</x:v>
      </x:c>
      <x:c r="C60" s="104" t="s">
        <x:v>390</x:v>
      </x:c>
      <x:c r="D60" s="1"/>
      <x:c r="E60" s="1"/>
      <x:c r="F60" s="1"/>
      <x:c r="G60" s="1"/>
      <x:c r="H60" s="1"/>
      <x:c r="I60" s="1"/>
      <x:c r="J60" s="1"/>
    </x:row>
    <x:row r="61" ht="23.100000381469727" customHeight="1">
      <x:c r="A61" s="101" t="s">
        <x:v>391</x:v>
      </x:c>
      <x:c r="B61" s="107">
        <x:v>0.94</x:v>
      </x:c>
      <x:c r="C61" s="105" t="s">
        <x:v>392</x:v>
      </x:c>
    </x:row>
    <x:row r="62" ht="23.100000381469727" customHeight="1">
      <x:c r="A62" s="101" t="s">
        <x:v>393</x:v>
      </x:c>
      <x:c r="B62" s="107">
        <x:v>0.25</x:v>
      </x:c>
      <x:c r="C62" s="105" t="s">
        <x:v>394</x:v>
      </x:c>
    </x:row>
    <x:row r="63" ht="23.100000381469727" customHeight="1">
      <x:c r="A63" s="101" t="s">
        <x:v>395</x:v>
      </x:c>
      <x:c r="B63" s="107">
        <x:v>0.1</x:v>
      </x:c>
      <x:c r="C63" s="105" t="s">
        <x:v>396</x:v>
      </x:c>
    </x:row>
    <x:row r="64" ht="23.100000381469727" customHeight="1">
      <x:c r="A64" s="101" t="s">
        <x:v>397</x:v>
      </x:c>
      <x:c r="B64" s="103">
        <x:v>250</x:v>
      </x:c>
      <x:c r="C64" s="105" t="s">
        <x:v>398</x:v>
      </x:c>
    </x:row>
    <x:row r="65" ht="23.100000381469727" customHeight="1">
      <x:c r="A65" s="101" t="s">
        <x:v>399</x:v>
      </x:c>
      <x:c r="B65" s="107">
        <x:v>0.5</x:v>
      </x:c>
      <x:c r="C65" s="105" t="s">
        <x:v>400</x:v>
      </x:c>
    </x:row>
    <x:row r="66" ht="23.100000381469727" customHeight="1">
      <x:c r="A66" s="101" t="s">
        <x:v>401</x:v>
      </x:c>
      <x:c r="B66" s="103">
        <x:v>4.5</x:v>
      </x:c>
      <x:c r="C66" s="105" t="s">
        <x:v>402</x:v>
      </x:c>
    </x:row>
    <x:row r="67" ht="23.100000381469727" customHeight="1">
      <x:c r="A67" s="101" t="s">
        <x:v>403</x:v>
      </x:c>
      <x:c r="B67" s="103">
        <x:v>1.5</x:v>
      </x:c>
      <x:c r="C67" s="105" t="s">
        <x:v>404</x:v>
      </x:c>
    </x:row>
    <x:row r="68" ht="23.100000381469727" customHeight="1">
      <x:c r="A68" s="101" t="s">
        <x:v>405</x:v>
      </x:c>
      <x:c r="B68" s="103">
        <x:v>0.1</x:v>
      </x:c>
      <x:c r="C68" s="105" t="s">
        <x:v>406</x:v>
      </x:c>
    </x:row>
    <x:row r="69" ht="23.100000381469727" customHeight="1">
      <x:c r="A69" s="101" t="s">
        <x:v>407</x:v>
      </x:c>
      <x:c r="B69" s="103">
        <x:v>22</x:v>
      </x:c>
      <x:c r="C69" s="105" t="s">
        <x:v>408</x:v>
      </x:c>
    </x:row>
    <x:row r="70" ht="23.100000381469727" customHeight="1">
      <x:c r="A70" s="101" t="s">
        <x:v>409</x:v>
      </x:c>
      <x:c r="B70" s="103">
        <x:v>0.25</x:v>
      </x:c>
      <x:c r="C70" s="105" t="s">
        <x:v>410</x:v>
      </x:c>
    </x:row>
    <x:row r="71" ht="23.100000381469727" customHeight="1">
      <x:c r="A71" s="101" t="s">
        <x:v>411</x:v>
      </x:c>
      <x:c r="B71" s="107">
        <x:v>0.85</x:v>
      </x:c>
      <x:c r="C71" s="105" t="s">
        <x:v>412</x:v>
      </x:c>
    </x:row>
    <x:row r="72" ht="23.100000381469727" customHeight="1">
      <x:c r="A72" s="101" t="s">
        <x:v>413</x:v>
      </x:c>
      <x:c r="B72" s="107">
        <x:v>1.1499999999999999</x:v>
      </x:c>
      <x:c r="C72" s="105" t="s">
        <x:v>414</x:v>
      </x:c>
    </x:row>
    <x:row r="73" ht="23.100000381469727" customHeight="1">
      <x:c r="A73" s="101" t="s">
        <x:v>415</x:v>
      </x:c>
      <x:c r="B73" s="107">
        <x:v>0.03</x:v>
      </x:c>
      <x:c r="C73" s="105" t="s">
        <x:v>416</x:v>
      </x:c>
    </x:row>
    <x:row r="74" ht="23.100000381469727" customHeight="1">
      <x:c r="A74" s="101" t="s">
        <x:v>417</x:v>
      </x:c>
      <x:c r="B74" s="107">
        <x:v>0.08</x:v>
      </x:c>
      <x:c r="C74" s="105" t="s">
        <x:v>418</x:v>
      </x:c>
    </x:row>
    <x:row r="75" ht="23.100000381469727" customHeight="1">
      <x:c r="A75" s="101" t="s">
        <x:v>419</x:v>
      </x:c>
      <x:c r="B75" s="107">
        <x:v>-0.06</x:v>
      </x:c>
      <x:c r="C75" s="105" t="s">
        <x:v>420</x:v>
      </x:c>
    </x:row>
    <x:row r="76" ht="23.100000381469727" customHeight="1">
      <x:c r="A76" s="101" t="s">
        <x:v>421</x:v>
      </x:c>
      <x:c r="B76" s="107">
        <x:v>0.75</x:v>
      </x:c>
      <x:c r="C76" s="105" t="s">
        <x:v>422</x:v>
      </x:c>
    </x:row>
    <x:row r="77" ht="23.100000381469727" customHeight="1">
      <x:c r="A77" s="101" t="s">
        <x:v>423</x:v>
      </x:c>
      <x:c r="B77" s="107">
        <x:v>0.03</x:v>
      </x:c>
      <x:c r="C77" s="105" t="s">
        <x:v>424</x:v>
      </x:c>
    </x:row>
    <x:row r="78" ht="23.100000381469727" customHeight="1">
      <x:c r="A78" s="101" t="s">
        <x:v>425</x:v>
      </x:c>
      <x:c r="B78" s="108">
        <x:v>5</x:v>
      </x:c>
      <x:c r="C78" s="105" t="s">
        <x:v>426</x:v>
      </x:c>
    </x:row>
    <x:row r="79" ht="23.100000381469727" customHeight="1">
      <x:c r="A79" s="101" t="s">
        <x:v>427</x:v>
      </x:c>
      <x:c r="B79" s="107">
        <x:v>0.3</x:v>
      </x:c>
      <x:c r="C79" s="105" t="s">
        <x:v>428</x:v>
      </x:c>
    </x:row>
    <x:row r="80" ht="23.100000381469727" customHeight="1">
      <x:c r="A80" s="101" t="s">
        <x:v>429</x:v>
      </x:c>
      <x:c r="B80" s="107">
        <x:v>0.25</x:v>
      </x:c>
      <x:c r="C80" s="105" t="s">
        <x:v>430</x:v>
      </x:c>
    </x:row>
    <x:row r="81" ht="23.100000381469727" customHeight="1">
      <x:c r="A81" s="101" t="s">
        <x:v>431</x:v>
      </x:c>
      <x:c r="B81" s="107">
        <x:v>0.02</x:v>
      </x:c>
      <x:c r="C81" s="105" t="s">
        <x:v>432</x:v>
      </x:c>
    </x:row>
    <x:row r="82" ht="23.100000381469727" customHeight="1">
      <x:c r="A82" s="101" t="s">
        <x:v>433</x:v>
      </x:c>
      <x:c r="B82" s="108">
        <x:v>20</x:v>
      </x:c>
      <x:c r="C82" s="105" t="s">
        <x:v>434</x:v>
      </x:c>
    </x:row>
    <x:row r="83" ht="23.100000381469727" customHeight="1">
      <x:c r="A83" s="101" t="s">
        <x:v>435</x:v>
      </x:c>
      <x:c r="B83" s="109">
        <x:v>1.5</x:v>
      </x:c>
      <x:c r="C83" s="105" t="s">
        <x:v>436</x:v>
      </x:c>
    </x:row>
    <x:row r="85" ht="24.950000762939453" customHeight="1">
      <x:c r="A85" s="231" t="s">
        <x:v>437</x:v>
      </x:c>
      <x:c r="B85" s="231"/>
      <x:c r="C85" s="231"/>
    </x:row>
    <x:row r="86" ht="24.950000762939453" customHeight="1">
      <x:c r="A86" s="123" t="s">
        <x:v>338</x:v>
      </x:c>
      <x:c r="B86" s="123" t="s">
        <x:v>2</x:v>
      </x:c>
      <x:c r="C86" s="123" t="s">
        <x:v>384</x:v>
      </x:c>
    </x:row>
    <x:row r="87" ht="24" customHeight="1">
      <x:c r="A87" s="124" t="s">
        <x:v>438</x:v>
      </x:c>
      <x:c r="B87" s="126">
        <x:v>0.1</x:v>
      </x:c>
      <x:c r="C87" s="125" t="s">
        <x:v>439</x:v>
      </x:c>
    </x:row>
    <x:row r="88" ht="24" customHeight="1">
      <x:c r="A88" s="124" t="s">
        <x:v>440</x:v>
      </x:c>
      <x:c r="B88" s="126">
        <x:v>0.25</x:v>
      </x:c>
      <x:c r="C88" s="125" t="s">
        <x:v>441</x:v>
      </x:c>
    </x:row>
    <x:row r="89" ht="24" customHeight="1">
      <x:c r="A89" s="124" t="s">
        <x:v>442</x:v>
      </x:c>
      <x:c r="B89" s="126">
        <x:v>0.35</x:v>
      </x:c>
      <x:c r="C89" s="125" t="s">
        <x:v>443</x:v>
      </x:c>
    </x:row>
    <x:row r="90" ht="24" customHeight="1">
      <x:c r="A90" s="124" t="s">
        <x:v>444</x:v>
      </x:c>
      <x:c r="B90" s="126">
        <x:v>0.3</x:v>
      </x:c>
      <x:c r="C90" s="125" t="s">
        <x:v>445</x:v>
      </x:c>
    </x:row>
    <x:row r="91" ht="24" customHeight="1">
      <x:c r="A91" s="124" t="s">
        <x:v>446</x:v>
      </x:c>
      <x:c r="B91" s="126">
        <x:v>0.3</x:v>
      </x:c>
      <x:c r="C91" s="125" t="s">
        <x:v>447</x:v>
      </x:c>
    </x:row>
    <x:row r="92" ht="24" customHeight="1">
      <x:c r="A92" s="124" t="s">
        <x:v>448</x:v>
      </x:c>
      <x:c r="B92" s="126">
        <x:v>0.2</x:v>
      </x:c>
      <x:c r="C92" s="125" t="s">
        <x:v>449</x:v>
      </x:c>
    </x:row>
    <x:row r="93" ht="24" customHeight="1">
      <x:c r="A93" s="124" t="str">
        <x:v>Pondere bloc statistic 0–0 HT</x:v>
      </x:c>
      <x:c r="B93" s="126">
        <x:v>0.2</x:v>
      </x:c>
      <x:c r="C93" s="125" t="str">
        <x:v>Coeficientul exterior 20% rămâne neschimbat. Componenta manuală a fost eliminată.</x:v>
      </x:c>
    </x:row>
    <x:row r="94" ht="24" customHeight="1">
      <x:c r="A94" s="124" t="str">
        <x:v>Coeficient statistic 0–0 HT</x:v>
      </x:c>
      <x:c r="B94" s="126">
        <x:v>0.75</x:v>
      </x:c>
      <x:c r="C94" s="125" t="str">
        <x:v>75% păstrat din formula anterioară; ponderea manuală eliminată nu se redistribuie.</x:v>
      </x:c>
    </x:row>
    <x:row r="95" ht="24" customHeight="1">
      <x:c r="A95" s="124" t="str">
        <x:v>Parametru retras – FB eliminat</x:v>
      </x:c>
      <x:c r="B95" s="126"/>
      <x:c r="C95" s="125" t="str">
        <x:v>Neutilizat în formule. Nu se completează.</x:v>
      </x:c>
    </x:row>
    <x:row r="96" ht="24" customHeight="1">
      <x:c r="A96" s="124" t="str">
        <x:v>Parametru retras – FB eliminat</x:v>
      </x:c>
      <x:c r="B96" s="127"/>
      <x:c r="C96" s="125" t="str">
        <x:v>Neutilizat în formule. Nu se completează.</x:v>
      </x:c>
    </x:row>
    <x:row r="97" ht="24" customHeight="1">
      <x:c r="A97" s="124" t="s">
        <x:v>450</x:v>
      </x:c>
      <x:c r="B97" s="128">
        <x:v>0.75</x:v>
      </x:c>
      <x:c r="C97" s="125" t="s">
        <x:v>451</x:v>
      </x:c>
    </x:row>
    <x:row r="98" ht="24" customHeight="1">
      <x:c r="A98" s="124" t="s">
        <x:v>452</x:v>
      </x:c>
      <x:c r="B98" s="128">
        <x:v>1.6</x:v>
      </x:c>
      <x:c r="C98" s="125" t="s">
        <x:v>453</x:v>
      </x:c>
    </x:row>
    <x:row r="99" ht="24" customHeight="1">
      <x:c r="A99" s="124" t="str">
        <x:v>Prag clasă zero-mass SCĂZUT</x:v>
      </x:c>
      <x:c r="B99" s="128">
        <x:v>0.95</x:v>
      </x:c>
      <x:c r="C99" s="125" t="s">
        <x:v>454</x:v>
      </x:c>
    </x:row>
    <x:row r="100" ht="24" customHeight="1">
      <x:c r="A100" s="124" t="str">
        <x:v>Prag clasă zero-mass RIDICAT</x:v>
      </x:c>
      <x:c r="B100" s="128">
        <x:v>1.1499999999999999</x:v>
      </x:c>
      <x:c r="C100" s="125" t="s">
        <x:v>455</x:v>
      </x:c>
    </x:row>
    <x:row r="101" ht="24" customHeight="1">
      <x:c r="A101" s="124" t="s">
        <x:v>456</x:v>
      </x:c>
      <x:c r="B101" s="126">
        <x:v>0.65</x:v>
      </x:c>
      <x:c r="C101" s="125" t="s">
        <x:v>457</x:v>
      </x:c>
    </x:row>
    <x:row r="102" ht="24" customHeight="1">
      <x:c r="A102" s="124" t="str">
        <x:v>Cap probabilitate risc ridicat / date incomplete</x:v>
      </x:c>
      <x:c r="B102" s="126">
        <x:v>0.9</x:v>
      </x:c>
      <x:c r="C102" s="125" t="s">
        <x:v>458</x:v>
      </x:c>
    </x:row>
    <x:row r="103" ht="24" customHeight="1">
      <x:c r="A103" s="124" t="str">
        <x:v>Cap probabilitate risc mediu</x:v>
      </x:c>
      <x:c r="B103" s="126">
        <x:v>0.91</x:v>
      </x:c>
      <x:c r="C103" s="125" t="s">
        <x:v>459</x:v>
      </x:c>
    </x:row>
    <x:row r="104" ht="24" customHeight="1">
      <x:c r="A104" s="124" t="str">
        <x:v>Cap probabilitate risc scăzut fără confirmări complete</x:v>
      </x:c>
      <x:c r="B104" s="126">
        <x:v>0.92</x:v>
      </x:c>
      <x:c r="C104" s="125" t="str">
        <x:v>Plafon de raportare; nu influențează recomandarea finală.</x:v>
      </x:c>
    </x:row>
    <x:row r="105" ht="24" customHeight="1">
      <x:c r="A105" s="124" t="str">
        <x:v>Cap probabilitate risc scăzut cu confirmări complete</x:v>
      </x:c>
      <x:c r="B105" s="126">
        <x:v>0.94</x:v>
      </x:c>
      <x:c r="C105" s="125" t="str">
        <x:v>Permis numai cu confirmări complete; nu influențează recomandarea finală.</x:v>
      </x:c>
    </x:row>
    <x:row r="106" ht="24" customHeight="1">
      <x:c r="A106" s="124" t="s">
        <x:v>460</x:v>
      </x:c>
      <x:c r="B106" s="126">
        <x:v>0.85</x:v>
      </x:c>
      <x:c r="C106" s="125" t="s">
        <x:v>461</x:v>
      </x:c>
    </x:row>
    <x:row r="107" ht="24" customHeight="1">
      <x:c r="A107" s="124" t="s">
        <x:v>462</x:v>
      </x:c>
      <x:c r="B107" s="127">
        <x:v>12</x:v>
      </x:c>
      <x:c r="C107" s="125" t="s">
        <x:v>463</x:v>
      </x:c>
    </x:row>
    <x:row r="108" ht="24" customHeight="1">
      <x:c r="A108" s="124" t="s">
        <x:v>464</x:v>
      </x:c>
      <x:c r="B108" s="127">
        <x:v>6</x:v>
      </x:c>
      <x:c r="C108" s="125" t="s">
        <x:v>465</x:v>
      </x:c>
    </x:row>
    <x:row r="109" ht="24" customHeight="1">
      <x:c r="A109" s="124" t="s">
        <x:v>466</x:v>
      </x:c>
      <x:c r="B109" s="127">
        <x:v>12</x:v>
      </x:c>
      <x:c r="C109" s="125" t="s">
        <x:v>467</x:v>
      </x:c>
    </x:row>
    <x:row r="111" ht="26.100000381469727" customHeight="1">
      <x:c r="A111" s="230" t="s">
        <x:v>468</x:v>
      </x:c>
      <x:c r="B111" s="230"/>
      <x:c r="C111" s="230"/>
    </x:row>
    <x:row r="112" ht="26.100000381469727" customHeight="1">
      <x:c r="A112" s="148" t="s">
        <x:v>338</x:v>
      </x:c>
      <x:c r="B112" s="148" t="s">
        <x:v>2</x:v>
      </x:c>
      <x:c r="C112" s="148" t="s">
        <x:v>384</x:v>
      </x:c>
    </x:row>
    <x:row r="113" ht="24.950000762939453" customHeight="1">
      <x:c r="A113" s="149" t="s">
        <x:v>469</x:v>
      </x:c>
      <x:c r="B113" s="151">
        <x:v>0.2</x:v>
      </x:c>
      <x:c r="C113" s="150" t="s">
        <x:v>470</x:v>
      </x:c>
    </x:row>
    <x:row r="114" ht="24.950000762939453" customHeight="1">
      <x:c r="A114" s="149" t="s">
        <x:v>471</x:v>
      </x:c>
      <x:c r="B114" s="151">
        <x:v>0.3</x:v>
      </x:c>
      <x:c r="C114" s="150" t="s">
        <x:v>472</x:v>
      </x:c>
    </x:row>
    <x:row r="115" ht="24.950000762939453" customHeight="1">
      <x:c r="A115" s="149" t="s">
        <x:v>473</x:v>
      </x:c>
      <x:c r="B115" s="152">
        <x:v>1.6</x:v>
      </x:c>
      <x:c r="C115" s="150" t="s">
        <x:v>474</x:v>
      </x:c>
    </x:row>
    <x:row r="116" ht="24.950000762939453" customHeight="1">
      <x:c r="A116" s="149" t="s">
        <x:v>475</x:v>
      </x:c>
      <x:c r="B116" s="152">
        <x:v>2.6</x:v>
      </x:c>
      <x:c r="C116" s="150" t="s">
        <x:v>476</x:v>
      </x:c>
    </x:row>
    <x:row r="117" ht="24.950000762939453" customHeight="1">
      <x:c r="A117" s="149" t="s">
        <x:v>477</x:v>
      </x:c>
      <x:c r="B117" s="151">
        <x:v>0.9</x:v>
      </x:c>
      <x:c r="C117" s="150" t="s">
        <x:v>478</x:v>
      </x:c>
    </x:row>
    <x:row r="118" ht="24.950000762939453" customHeight="1">
      <x:c r="A118" s="149" t="s">
        <x:v>479</x:v>
      </x:c>
      <x:c r="B118" s="151">
        <x:v>0.8</x:v>
      </x:c>
      <x:c r="C118" s="150" t="s">
        <x:v>480</x:v>
      </x:c>
    </x:row>
    <x:row r="119" ht="24.950000762939453" customHeight="1">
      <x:c r="A119" s="149" t="s">
        <x:v>481</x:v>
      </x:c>
      <x:c r="B119" s="151">
        <x:v>0.2</x:v>
      </x:c>
      <x:c r="C119" s="150" t="s">
        <x:v>482</x:v>
      </x:c>
    </x:row>
    <x:row r="120" ht="24.950000762939453" customHeight="1">
      <x:c r="A120" s="149" t="s">
        <x:v>483</x:v>
      </x:c>
      <x:c r="B120" s="153">
        <x:v>5</x:v>
      </x:c>
      <x:c r="C120" s="150" t="s">
        <x:v>484</x:v>
      </x:c>
    </x:row>
    <x:row r="121" ht="24.950000762939453" customHeight="1">
      <x:c r="A121" s="149" t="s">
        <x:v>485</x:v>
      </x:c>
      <x:c r="B121" s="151">
        <x:v>0.2</x:v>
      </x:c>
      <x:c r="C121" s="150" t="s">
        <x:v>486</x:v>
      </x:c>
    </x:row>
    <x:row r="122" ht="24.950000762939453" customHeight="1">
      <x:c r="A122" s="149" t="s">
        <x:v>487</x:v>
      </x:c>
      <x:c r="B122" s="151">
        <x:v>0.2</x:v>
      </x:c>
      <x:c r="C122" s="150" t="s">
        <x:v>486</x:v>
      </x:c>
    </x:row>
    <x:row r="123" ht="24.950000762939453" customHeight="1">
      <x:c r="A123" s="149" t="s">
        <x:v>488</x:v>
      </x:c>
      <x:c r="B123" s="151">
        <x:v>0.45</x:v>
      </x:c>
      <x:c r="C123" s="150" t="s">
        <x:v>489</x:v>
      </x:c>
    </x:row>
    <x:row r="124" ht="24.950000762939453" customHeight="1">
      <x:c r="A124" s="149" t="s">
        <x:v>490</x:v>
      </x:c>
      <x:c r="B124" s="151">
        <x:v>0.15</x:v>
      </x:c>
      <x:c r="C124" s="150" t="s">
        <x:v>486</x:v>
      </x:c>
    </x:row>
    <x:row r="125" ht="24.950000762939453" customHeight="1">
      <x:c r="A125" s="149" t="s">
        <x:v>491</x:v>
      </x:c>
      <x:c r="B125" s="151">
        <x:v>0.2</x:v>
      </x:c>
      <x:c r="C125" s="150" t="s">
        <x:v>492</x:v>
      </x:c>
    </x:row>
    <x:row r="126" ht="24.950000762939453" customHeight="1">
      <x:c r="A126" s="149" t="s">
        <x:v>493</x:v>
      </x:c>
      <x:c r="B126" s="153">
        <x:v>8</x:v>
      </x:c>
      <x:c r="C126" s="150" t="s">
        <x:v>494</x:v>
      </x:c>
    </x:row>
    <x:row r="128" ht="15">
      <x:c r="A128" s="171" t="str">
        <x:v>CLARIFICARE – SEPARARE P_CAP / RECOMANDARE</x:v>
      </x:c>
      <x:c r="B128" s="171"/>
      <x:c r="C128" s="171"/>
    </x:row>
    <x:row r="129">
      <x:c r="A129" s="144" t="s">
        <x:v>338</x:v>
      </x:c>
      <x:c r="B129" s="144" t="s">
        <x:v>495</x:v>
      </x:c>
      <x:c r="C129" s="144" t="s">
        <x:v>384</x:v>
      </x:c>
    </x:row>
    <x:row r="130" ht="28" customHeight="1">
      <x:c r="A130" s="144" t="str">
        <x:v>Risc ridicat / date incomplete</x:v>
      </x:c>
      <x:c r="B130" s="144" t="str">
        <x:v>90%</x:v>
      </x:c>
      <x:c r="C130" s="144" t="str">
        <x:v>Plafon maxim al probabilității raportate.</x:v>
      </x:c>
    </x:row>
    <x:row r="131" ht="28" customHeight="1">
      <x:c r="A131" s="144" t="str">
        <x:v>Risc mediu</x:v>
      </x:c>
      <x:c r="B131" s="144" t="str">
        <x:v>91%</x:v>
      </x:c>
      <x:c r="C131" s="144" t="str">
        <x:v>Plafon maxim al probabilității raportate.</x:v>
      </x:c>
    </x:row>
    <x:row r="132" ht="28" customHeight="1">
      <x:c r="A132" s="144" t="str">
        <x:v>Risc scăzut, confirmări incomplete</x:v>
      </x:c>
      <x:c r="B132" s="144" t="str">
        <x:v>92%</x:v>
      </x:c>
      <x:c r="C132" s="144" t="str">
        <x:v>Plafon maxim al probabilității raportate.</x:v>
      </x:c>
    </x:row>
    <x:row r="133" ht="28" customHeight="1">
      <x:c r="A133" s="144" t="str">
        <x:v>Risc scăzut, confirmări complete</x:v>
      </x:c>
      <x:c r="B133" s="144" t="str">
        <x:v>94%</x:v>
      </x:c>
      <x:c r="C133" s="144" t="str">
        <x:v>Plafon maxim al probabilității raportate.</x:v>
      </x:c>
    </x:row>
    <x:row r="134" ht="28" customHeight="1">
      <x:c r="A134" s="144" t="str">
        <x:v>Regula plafonului</x:v>
      </x:c>
      <x:c r="B134" s="144" t="str">
        <x:v>doar raportare</x:v>
      </x:c>
      <x:c r="C134" s="144" t="str">
        <x:v>Nu stabilește singur recomandarea și nu modifică Risk Score.</x:v>
      </x:c>
    </x:row>
    <x:row r="135" ht="28" customHeight="1">
      <x:c r="A135" s="144" t="str">
        <x:v>SMALL SAMPLE / AVAILABLE – NOT CHECKED</x:v>
      </x:c>
      <x:c r="B135" s="144" t="str">
        <x:v>nu este hard fail</x:v>
      </x:c>
      <x:c r="C135" s="144" t="str">
        <x:v>Prior/shrinkage sau recheck; fără downgrade automat.</x:v>
      </x:c>
    </x:row>
    <x:row r="136" ht="28" customHeight="1">
      <x:c r="A136" s="144" t="str">
        <x:v>Date critice incomplete</x:v>
      </x:c>
      <x:c r="B136" s="144" t="str">
        <x:v>G0 hard fail</x:v>
      </x:c>
      <x:c r="C136" s="144" t="str">
        <x:v>Nivel 5 – WATCH / NO BET.</x:v>
      </x:c>
    </x:row>
  </x:sheetData>
  <x:mergeCells>
    <x:mergeCell ref="A111:C111"/>
    <x:mergeCell ref="A85:C85"/>
    <x:mergeCell ref="A1:I2"/>
    <x:mergeCell ref="A3:I3"/>
    <x:mergeCell ref="A13:C13"/>
    <x:mergeCell ref="A28:C28"/>
    <x:mergeCell ref="A56:C56"/>
  </x:mergeCells>
  <x:conditionalFormatting sqref="J5:J11">
    <x:cfRule type="cellIs" dxfId="2" priority="1" operator="lessThan">
      <x:formula>0.999999</x:formula>
    </x:cfRule>
  </x:conditionalFormatting>
  <x:pageMargins left="0.7" right="0.7" top="0.75" bottom="0.75" header="0.3" footer="0.3"/>
  <x:drawing xmlns:r="http://schemas.openxmlformats.org/officeDocument/2006/relationships" r:id="Rec460d209cfd42cf"/>
  <x:legacyDrawing xmlns:r="http://schemas.openxmlformats.org/officeDocument/2006/relationships" r:id="R9532ae43831a425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8" customWidth="1"/>
    <x:col min="3" max="3" width="22" customWidth="1"/>
    <x:col min="4" max="4" width="48" customWidth="1"/>
    <x:col min="5" max="6" width="42" customWidth="1"/>
    <x:col min="7" max="7" width="18" customWidth="1"/>
    <x:col min="8" max="8" width="15" customWidth="1"/>
  </x:cols>
  <x:sheetData>
    <x:row r="1" ht="30" customHeight="1">
      <x:c r="A1" s="215" t="s">
        <x:v>496</x:v>
      </x:c>
      <x:c r="B1" s="215" t="s">
        <x:v>496</x:v>
      </x:c>
      <x:c r="C1" s="215" t="s">
        <x:v>496</x:v>
      </x:c>
      <x:c r="D1" s="215" t="s">
        <x:v>496</x:v>
      </x:c>
      <x:c r="E1" s="215" t="s">
        <x:v>496</x:v>
      </x:c>
      <x:c r="F1" s="215" t="s">
        <x:v>496</x:v>
      </x:c>
      <x:c r="G1" s="215" t="s">
        <x:v>496</x:v>
      </x:c>
      <x:c r="H1" s="215" t="s">
        <x:v>496</x:v>
      </x:c>
    </x:row>
    <x:row r="2" ht="30" customHeight="1">
      <x:c r="A2" s="215" t="s">
        <x:v>496</x:v>
      </x:c>
      <x:c r="B2" s="215" t="s">
        <x:v>496</x:v>
      </x:c>
      <x:c r="C2" s="215" t="s">
        <x:v>496</x:v>
      </x:c>
      <x:c r="D2" s="215" t="s">
        <x:v>496</x:v>
      </x:c>
      <x:c r="E2" s="215" t="s">
        <x:v>496</x:v>
      </x:c>
      <x:c r="F2" s="215" t="s">
        <x:v>496</x:v>
      </x:c>
      <x:c r="G2" s="215" t="s">
        <x:v>496</x:v>
      </x:c>
      <x:c r="H2" s="215" t="s">
        <x:v>496</x:v>
      </x:c>
    </x:row>
    <x:row r="3" ht="45.95000076293945" customHeight="1">
      <x:c r="A3" s="2" t="s">
        <x:v>497</x:v>
      </x:c>
      <x:c r="B3" s="2" t="s">
        <x:v>498</x:v>
      </x:c>
      <x:c r="C3" s="2" t="s">
        <x:v>499</x:v>
      </x:c>
      <x:c r="D3" s="2" t="s">
        <x:v>500</x:v>
      </x:c>
      <x:c r="E3" s="2" t="s">
        <x:v>501</x:v>
      </x:c>
      <x:c r="F3" s="2" t="s">
        <x:v>502</x:v>
      </x:c>
      <x:c r="G3" s="2" t="s">
        <x:v>503</x:v>
      </x:c>
      <x:c r="H3" s="2" t="s">
        <x:v>504</x:v>
      </x:c>
    </x:row>
    <x:row r="4" ht="45.95000076293945" customHeight="1">
      <x:c r="A4" s="31">
        <x:v>1</x:v>
      </x:c>
      <x:c r="B4" s="28" t="s">
        <x:v>505</x:v>
      </x:c>
      <x:c r="C4" s="28" t="s">
        <x:v>506</x:v>
      </x:c>
      <x:c r="D4" s="28" t="s">
        <x:v>507</x:v>
      </x:c>
      <x:c r="E4" s="28" t="s">
        <x:v>508</x:v>
      </x:c>
      <x:c r="F4" s="28" t="s">
        <x:v>509</x:v>
      </x:c>
      <x:c r="G4" s="28" t="s">
        <x:v>510</x:v>
      </x:c>
      <x:c r="H4" s="80">
        <x:v>46262</x:v>
      </x:c>
    </x:row>
    <x:row r="5" ht="45.95000076293945" customHeight="1">
      <x:c r="A5" s="32">
        <x:v>2</x:v>
      </x:c>
      <x:c r="B5" s="29" t="s">
        <x:v>511</x:v>
      </x:c>
      <x:c r="C5" s="29" t="s">
        <x:v>512</x:v>
      </x:c>
      <x:c r="D5" s="29" t="s">
        <x:v>513</x:v>
      </x:c>
      <x:c r="E5" s="29" t="s">
        <x:v>514</x:v>
      </x:c>
      <x:c r="F5" s="29" t="s">
        <x:v>515</x:v>
      </x:c>
      <x:c r="G5" s="29" t="s">
        <x:v>516</x:v>
      </x:c>
      <x:c r="H5" s="81">
        <x:v>46262</x:v>
      </x:c>
    </x:row>
    <x:row r="6" ht="45.95000076293945" customHeight="1">
      <x:c r="A6" s="32">
        <x:v>3</x:v>
      </x:c>
      <x:c r="B6" s="29" t="s">
        <x:v>517</x:v>
      </x:c>
      <x:c r="C6" s="29" t="s">
        <x:v>518</x:v>
      </x:c>
      <x:c r="D6" s="29" t="s">
        <x:v>519</x:v>
      </x:c>
      <x:c r="E6" s="29" t="s">
        <x:v>520</x:v>
      </x:c>
      <x:c r="F6" s="29" t="s">
        <x:v>521</x:v>
      </x:c>
      <x:c r="G6" s="29" t="s">
        <x:v>516</x:v>
      </x:c>
      <x:c r="H6" s="81">
        <x:v>46262</x:v>
      </x:c>
    </x:row>
    <x:row r="7" ht="45.95000076293945" customHeight="1">
      <x:c r="A7" s="32">
        <x:v>4</x:v>
      </x:c>
      <x:c r="B7" s="29" t="s">
        <x:v>522</x:v>
      </x:c>
      <x:c r="C7" s="29" t="s">
        <x:v>523</x:v>
      </x:c>
      <x:c r="D7" s="29" t="s">
        <x:v>524</x:v>
      </x:c>
      <x:c r="E7" s="29" t="s">
        <x:v>525</x:v>
      </x:c>
      <x:c r="F7" s="29" t="s">
        <x:v>526</x:v>
      </x:c>
      <x:c r="G7" s="29" t="s">
        <x:v>516</x:v>
      </x:c>
      <x:c r="H7" s="81">
        <x:v>46262</x:v>
      </x:c>
    </x:row>
    <x:row r="8" ht="45.95000076293945" customHeight="1">
      <x:c r="A8" s="32">
        <x:v>5</x:v>
      </x:c>
      <x:c r="B8" s="29" t="s">
        <x:v>527</x:v>
      </x:c>
      <x:c r="C8" s="29" t="s">
        <x:v>528</x:v>
      </x:c>
      <x:c r="D8" s="29" t="s">
        <x:v>529</x:v>
      </x:c>
      <x:c r="E8" s="29" t="s">
        <x:v>530</x:v>
      </x:c>
      <x:c r="F8" s="29" t="s">
        <x:v>531</x:v>
      </x:c>
      <x:c r="G8" s="29" t="s">
        <x:v>516</x:v>
      </x:c>
      <x:c r="H8" s="81">
        <x:v>46262</x:v>
      </x:c>
    </x:row>
    <x:row r="9" ht="45.95000076293945" customHeight="1">
      <x:c r="A9" s="32">
        <x:v>6</x:v>
      </x:c>
      <x:c r="B9" s="29" t="s">
        <x:v>532</x:v>
      </x:c>
      <x:c r="C9" s="29" t="s">
        <x:v>533</x:v>
      </x:c>
      <x:c r="D9" s="29" t="s">
        <x:v>534</x:v>
      </x:c>
      <x:c r="E9" s="29" t="s">
        <x:v>535</x:v>
      </x:c>
      <x:c r="F9" s="29" t="s">
        <x:v>536</x:v>
      </x:c>
      <x:c r="G9" s="29" t="s">
        <x:v>516</x:v>
      </x:c>
      <x:c r="H9" s="81">
        <x:v>46262</x:v>
      </x:c>
    </x:row>
    <x:row r="10" ht="45.95000076293945" customHeight="1">
      <x:c r="A10" s="32">
        <x:v>7</x:v>
      </x:c>
      <x:c r="B10" s="29" t="s">
        <x:v>537</x:v>
      </x:c>
      <x:c r="C10" s="29" t="s">
        <x:v>538</x:v>
      </x:c>
      <x:c r="D10" s="29" t="s">
        <x:v>539</x:v>
      </x:c>
      <x:c r="E10" s="29" t="s">
        <x:v>540</x:v>
      </x:c>
      <x:c r="F10" s="29" t="s">
        <x:v>541</x:v>
      </x:c>
      <x:c r="G10" s="29" t="s">
        <x:v>516</x:v>
      </x:c>
      <x:c r="H10" s="81">
        <x:v>46262</x:v>
      </x:c>
    </x:row>
    <x:row r="11" ht="45.95000076293945" customHeight="1">
      <x:c r="A11" s="32">
        <x:v>8</x:v>
      </x:c>
      <x:c r="B11" s="29" t="s">
        <x:v>542</x:v>
      </x:c>
      <x:c r="C11" s="29" t="s">
        <x:v>543</x:v>
      </x:c>
      <x:c r="D11" s="29" t="s">
        <x:v>544</x:v>
      </x:c>
      <x:c r="E11" s="29" t="s">
        <x:v>545</x:v>
      </x:c>
      <x:c r="F11" s="29" t="s">
        <x:v>546</x:v>
      </x:c>
      <x:c r="G11" s="29" t="s">
        <x:v>516</x:v>
      </x:c>
      <x:c r="H11" s="81">
        <x:v>46262</x:v>
      </x:c>
    </x:row>
    <x:row r="12" ht="45.95000076293945" customHeight="1">
      <x:c r="A12" s="32">
        <x:v>9</x:v>
      </x:c>
      <x:c r="B12" s="29" t="s">
        <x:v>547</x:v>
      </x:c>
      <x:c r="C12" s="29" t="s">
        <x:v>548</x:v>
      </x:c>
      <x:c r="D12" s="29" t="s">
        <x:v>549</x:v>
      </x:c>
      <x:c r="E12" s="29" t="s">
        <x:v>550</x:v>
      </x:c>
      <x:c r="F12" s="29" t="s">
        <x:v>551</x:v>
      </x:c>
      <x:c r="G12" s="29" t="s">
        <x:v>516</x:v>
      </x:c>
      <x:c r="H12" s="81">
        <x:v>46262</x:v>
      </x:c>
    </x:row>
    <x:row r="13" ht="45.95000076293945" customHeight="1">
      <x:c r="A13" s="32">
        <x:v>10</x:v>
      </x:c>
      <x:c r="B13" s="29" t="s">
        <x:v>552</x:v>
      </x:c>
      <x:c r="C13" s="29" t="s">
        <x:v>553</x:v>
      </x:c>
      <x:c r="D13" s="29" t="s">
        <x:v>554</x:v>
      </x:c>
      <x:c r="E13" s="29" t="s">
        <x:v>555</x:v>
      </x:c>
      <x:c r="F13" s="29" t="s">
        <x:v>556</x:v>
      </x:c>
      <x:c r="G13" s="29" t="s">
        <x:v>557</x:v>
      </x:c>
      <x:c r="H13" s="81">
        <x:v>46262</x:v>
      </x:c>
    </x:row>
    <x:row r="14" ht="45.95000076293945" customHeight="1">
      <x:c r="A14" s="32">
        <x:v>11</x:v>
      </x:c>
      <x:c r="B14" s="29" t="s">
        <x:v>558</x:v>
      </x:c>
      <x:c r="C14" s="29" t="s">
        <x:v>559</x:v>
      </x:c>
      <x:c r="D14" s="29" t="s">
        <x:v>560</x:v>
      </x:c>
      <x:c r="E14" s="29" t="s">
        <x:v>561</x:v>
      </x:c>
      <x:c r="F14" s="29" t="s">
        <x:v>562</x:v>
      </x:c>
      <x:c r="G14" s="29" t="s">
        <x:v>516</x:v>
      </x:c>
      <x:c r="H14" s="81">
        <x:v>46262</x:v>
      </x:c>
    </x:row>
    <x:row r="15" ht="45.95000076293945" customHeight="1">
      <x:c r="A15" s="32">
        <x:v>12</x:v>
      </x:c>
      <x:c r="B15" s="29" t="s">
        <x:v>563</x:v>
      </x:c>
      <x:c r="C15" s="29" t="s">
        <x:v>564</x:v>
      </x:c>
      <x:c r="D15" s="29" t="s">
        <x:v>565</x:v>
      </x:c>
      <x:c r="E15" s="29" t="s">
        <x:v>566</x:v>
      </x:c>
      <x:c r="F15" s="29" t="s">
        <x:v>567</x:v>
      </x:c>
      <x:c r="G15" s="29" t="s">
        <x:v>516</x:v>
      </x:c>
      <x:c r="H15" s="81">
        <x:v>46262</x:v>
      </x:c>
    </x:row>
    <x:row r="16" ht="45.95000076293945" customHeight="1">
      <x:c r="A16" s="32">
        <x:v>13</x:v>
      </x:c>
      <x:c r="B16" s="29" t="s">
        <x:v>568</x:v>
      </x:c>
      <x:c r="C16" s="29" t="s">
        <x:v>569</x:v>
      </x:c>
      <x:c r="D16" s="29" t="s">
        <x:v>570</x:v>
      </x:c>
      <x:c r="E16" s="29" t="s">
        <x:v>571</x:v>
      </x:c>
      <x:c r="F16" s="29" t="s">
        <x:v>572</x:v>
      </x:c>
      <x:c r="G16" s="29" t="s">
        <x:v>573</x:v>
      </x:c>
      <x:c r="H16" s="81">
        <x:v>46262</x:v>
      </x:c>
    </x:row>
    <x:row r="17" ht="45.95000076293945" customHeight="1">
      <x:c r="A17" s="32">
        <x:v>14</x:v>
      </x:c>
      <x:c r="B17" s="29" t="s">
        <x:v>574</x:v>
      </x:c>
      <x:c r="C17" s="29" t="s">
        <x:v>575</x:v>
      </x:c>
      <x:c r="D17" s="29" t="s">
        <x:v>576</x:v>
      </x:c>
      <x:c r="E17" s="29" t="s">
        <x:v>577</x:v>
      </x:c>
      <x:c r="F17" s="29" t="s">
        <x:v>578</x:v>
      </x:c>
      <x:c r="G17" s="29" t="s">
        <x:v>579</x:v>
      </x:c>
      <x:c r="H17" s="81">
        <x:v>46262</x:v>
      </x:c>
    </x:row>
    <x:row r="18" ht="45.95000076293945" customHeight="1">
      <x:c r="A18" s="32">
        <x:v>15</x:v>
      </x:c>
      <x:c r="B18" s="29" t="s">
        <x:v>580</x:v>
      </x:c>
      <x:c r="C18" s="29" t="s">
        <x:v>533</x:v>
      </x:c>
      <x:c r="D18" s="29" t="s">
        <x:v>581</x:v>
      </x:c>
      <x:c r="E18" s="29" t="s">
        <x:v>582</x:v>
      </x:c>
      <x:c r="F18" s="29" t="s">
        <x:v>583</x:v>
      </x:c>
      <x:c r="G18" s="29" t="s">
        <x:v>573</x:v>
      </x:c>
      <x:c r="H18" s="81">
        <x:v>46262</x:v>
      </x:c>
    </x:row>
    <x:row r="19" ht="45.95000076293945" customHeight="1">
      <x:c r="A19" s="32">
        <x:v>16</x:v>
      </x:c>
      <x:c r="B19" s="29" t="s">
        <x:v>584</x:v>
      </x:c>
      <x:c r="C19" s="29" t="s">
        <x:v>585</x:v>
      </x:c>
      <x:c r="D19" s="29" t="s">
        <x:v>586</x:v>
      </x:c>
      <x:c r="E19" s="29" t="s">
        <x:v>587</x:v>
      </x:c>
      <x:c r="F19" s="29" t="s">
        <x:v>588</x:v>
      </x:c>
      <x:c r="G19" s="29" t="s">
        <x:v>589</x:v>
      </x:c>
      <x:c r="H19" s="81">
        <x:v>46262</x:v>
      </x:c>
    </x:row>
    <x:row r="20" ht="45.95000076293945" customHeight="1">
      <x:c r="A20" s="32">
        <x:v>17</x:v>
      </x:c>
      <x:c r="B20" s="29" t="s">
        <x:v>590</x:v>
      </x:c>
      <x:c r="C20" s="29" t="s">
        <x:v>585</x:v>
      </x:c>
      <x:c r="D20" s="29" t="s">
        <x:v>591</x:v>
      </x:c>
      <x:c r="E20" s="29" t="s">
        <x:v>592</x:v>
      </x:c>
      <x:c r="F20" s="29" t="s">
        <x:v>593</x:v>
      </x:c>
      <x:c r="G20" s="29" t="s">
        <x:v>589</x:v>
      </x:c>
      <x:c r="H20" s="81">
        <x:v>46262</x:v>
      </x:c>
    </x:row>
    <x:row r="21" ht="45.95000076293945" customHeight="1">
      <x:c r="A21" s="32">
        <x:v>18</x:v>
      </x:c>
      <x:c r="B21" s="29" t="s">
        <x:v>594</x:v>
      </x:c>
      <x:c r="C21" s="29" t="s">
        <x:v>595</x:v>
      </x:c>
      <x:c r="D21" s="29" t="s">
        <x:v>596</x:v>
      </x:c>
      <x:c r="E21" s="29" t="s">
        <x:v>597</x:v>
      </x:c>
      <x:c r="F21" s="29" t="s">
        <x:v>598</x:v>
      </x:c>
      <x:c r="G21" s="29" t="s">
        <x:v>589</x:v>
      </x:c>
      <x:c r="H21" s="81">
        <x:v>46262</x:v>
      </x:c>
    </x:row>
    <x:row r="22" ht="45.95000076293945" customHeight="1">
      <x:c r="A22" s="32">
        <x:v>19</x:v>
      </x:c>
      <x:c r="B22" s="29" t="s">
        <x:v>599</x:v>
      </x:c>
      <x:c r="C22" s="29" t="s">
        <x:v>595</x:v>
      </x:c>
      <x:c r="D22" s="29" t="s">
        <x:v>600</x:v>
      </x:c>
      <x:c r="E22" s="29" t="s">
        <x:v>601</x:v>
      </x:c>
      <x:c r="F22" s="29" t="s">
        <x:v>602</x:v>
      </x:c>
      <x:c r="G22" s="29" t="s">
        <x:v>589</x:v>
      </x:c>
      <x:c r="H22" s="81">
        <x:v>46262</x:v>
      </x:c>
    </x:row>
    <x:row r="23" ht="45.95000076293945" customHeight="1">
      <x:c r="A23" s="32">
        <x:v>20</x:v>
      </x:c>
      <x:c r="B23" s="29" t="s">
        <x:v>603</x:v>
      </x:c>
      <x:c r="C23" s="29" t="s">
        <x:v>604</x:v>
      </x:c>
      <x:c r="D23" s="29" t="s">
        <x:v>605</x:v>
      </x:c>
      <x:c r="E23" s="29" t="s">
        <x:v>606</x:v>
      </x:c>
      <x:c r="F23" s="29" t="s">
        <x:v>607</x:v>
      </x:c>
      <x:c r="G23" s="29" t="s">
        <x:v>608</x:v>
      </x:c>
      <x:c r="H23" s="81">
        <x:v>46262</x:v>
      </x:c>
    </x:row>
    <x:row r="24" ht="45.95000076293945" customHeight="1">
      <x:c r="A24" s="32">
        <x:v>21</x:v>
      </x:c>
      <x:c r="B24" s="29" t="s">
        <x:v>609</x:v>
      </x:c>
      <x:c r="C24" s="29" t="s">
        <x:v>610</x:v>
      </x:c>
      <x:c r="D24" s="29" t="s">
        <x:v>611</x:v>
      </x:c>
      <x:c r="E24" s="29" t="s">
        <x:v>612</x:v>
      </x:c>
      <x:c r="F24" s="29" t="s">
        <x:v>613</x:v>
      </x:c>
      <x:c r="G24" s="29" t="s">
        <x:v>608</x:v>
      </x:c>
      <x:c r="H24" s="81">
        <x:v>46262</x:v>
      </x:c>
    </x:row>
    <x:row r="25" ht="45.95000076293945" customHeight="1">
      <x:c r="A25" s="32">
        <x:v>22</x:v>
      </x:c>
      <x:c r="B25" s="29" t="s">
        <x:v>614</x:v>
      </x:c>
      <x:c r="C25" s="29" t="s">
        <x:v>615</x:v>
      </x:c>
      <x:c r="D25" s="29" t="s">
        <x:v>616</x:v>
      </x:c>
      <x:c r="E25" s="29" t="s">
        <x:v>617</x:v>
      </x:c>
      <x:c r="F25" s="29" t="s">
        <x:v>618</x:v>
      </x:c>
      <x:c r="G25" s="29" t="s">
        <x:v>573</x:v>
      </x:c>
      <x:c r="H25" s="81">
        <x:v>46262</x:v>
      </x:c>
    </x:row>
    <x:row r="26" ht="45.95000076293945" customHeight="1">
      <x:c r="A26" s="32">
        <x:v>23</x:v>
      </x:c>
      <x:c r="B26" s="29" t="s">
        <x:v>619</x:v>
      </x:c>
      <x:c r="C26" s="29" t="s">
        <x:v>620</x:v>
      </x:c>
      <x:c r="D26" s="29" t="s">
        <x:v>621</x:v>
      </x:c>
      <x:c r="E26" s="29" t="s">
        <x:v>622</x:v>
      </x:c>
      <x:c r="F26" s="29" t="s">
        <x:v>623</x:v>
      </x:c>
      <x:c r="G26" s="29" t="s">
        <x:v>516</x:v>
      </x:c>
      <x:c r="H26" s="81">
        <x:v>46262</x:v>
      </x:c>
    </x:row>
    <x:row r="27" ht="45.95000076293945" customHeight="1">
      <x:c r="A27" s="32">
        <x:v>24</x:v>
      </x:c>
      <x:c r="B27" s="29" t="s">
        <x:v>624</x:v>
      </x:c>
      <x:c r="C27" s="29" t="s">
        <x:v>620</x:v>
      </x:c>
      <x:c r="D27" s="29" t="s">
        <x:v>625</x:v>
      </x:c>
      <x:c r="E27" s="29" t="s">
        <x:v>626</x:v>
      </x:c>
      <x:c r="F27" s="29" t="s">
        <x:v>627</x:v>
      </x:c>
      <x:c r="G27" s="29" t="s">
        <x:v>579</x:v>
      </x:c>
      <x:c r="H27" s="81">
        <x:v>46262</x:v>
      </x:c>
    </x:row>
    <x:row r="28" ht="45.95000076293945" customHeight="1">
      <x:c r="A28" s="32">
        <x:v>25</x:v>
      </x:c>
      <x:c r="B28" s="29" t="s">
        <x:v>628</x:v>
      </x:c>
      <x:c r="C28" s="29" t="s">
        <x:v>629</x:v>
      </x:c>
      <x:c r="D28" s="29" t="s">
        <x:v>630</x:v>
      </x:c>
      <x:c r="E28" s="29" t="s">
        <x:v>631</x:v>
      </x:c>
      <x:c r="F28" s="29" t="s">
        <x:v>632</x:v>
      </x:c>
      <x:c r="G28" s="29" t="s">
        <x:v>573</x:v>
      </x:c>
      <x:c r="H28" s="81">
        <x:v>46262</x:v>
      </x:c>
    </x:row>
    <x:row r="29" ht="45.95000076293945" customHeight="1">
      <x:c r="A29" s="32">
        <x:v>26</x:v>
      </x:c>
      <x:c r="B29" s="29" t="s">
        <x:v>633</x:v>
      </x:c>
      <x:c r="C29" s="29" t="s">
        <x:v>629</x:v>
      </x:c>
      <x:c r="D29" s="29" t="s">
        <x:v>634</x:v>
      </x:c>
      <x:c r="E29" s="29" t="s">
        <x:v>635</x:v>
      </x:c>
      <x:c r="F29" s="29" t="s">
        <x:v>636</x:v>
      </x:c>
      <x:c r="G29" s="29" t="s">
        <x:v>608</x:v>
      </x:c>
      <x:c r="H29" s="81">
        <x:v>46262</x:v>
      </x:c>
    </x:row>
    <x:row r="30" ht="45.95000076293945" customHeight="1">
      <x:c r="A30" s="32">
        <x:v>27</x:v>
      </x:c>
      <x:c r="B30" s="29" t="s">
        <x:v>637</x:v>
      </x:c>
      <x:c r="C30" s="29" t="s">
        <x:v>638</x:v>
      </x:c>
      <x:c r="D30" s="29" t="s">
        <x:v>639</x:v>
      </x:c>
      <x:c r="E30" s="29" t="s">
        <x:v>640</x:v>
      </x:c>
      <x:c r="F30" s="29" t="s">
        <x:v>641</x:v>
      </x:c>
      <x:c r="G30" s="29" t="s">
        <x:v>516</x:v>
      </x:c>
      <x:c r="H30" s="81">
        <x:v>46262</x:v>
      </x:c>
    </x:row>
    <x:row r="31" ht="45.95000076293945" customHeight="1">
      <x:c r="A31" s="32">
        <x:v>28</x:v>
      </x:c>
      <x:c r="B31" s="29" t="s">
        <x:v>642</x:v>
      </x:c>
      <x:c r="C31" s="29" t="s">
        <x:v>638</x:v>
      </x:c>
      <x:c r="D31" s="29" t="s">
        <x:v>643</x:v>
      </x:c>
      <x:c r="E31" s="29" t="s">
        <x:v>644</x:v>
      </x:c>
      <x:c r="F31" s="29" t="s">
        <x:v>645</x:v>
      </x:c>
      <x:c r="G31" s="29" t="s">
        <x:v>516</x:v>
      </x:c>
      <x:c r="H31" s="81">
        <x:v>46262</x:v>
      </x:c>
    </x:row>
    <x:row r="32" ht="45.95000076293945" customHeight="1">
      <x:c r="A32" s="32">
        <x:v>29</x:v>
      </x:c>
      <x:c r="B32" s="29" t="s">
        <x:v>646</x:v>
      </x:c>
      <x:c r="C32" s="29" t="s">
        <x:v>638</x:v>
      </x:c>
      <x:c r="D32" s="29" t="s">
        <x:v>647</x:v>
      </x:c>
      <x:c r="E32" s="29" t="s">
        <x:v>648</x:v>
      </x:c>
      <x:c r="F32" s="29" t="s">
        <x:v>649</x:v>
      </x:c>
      <x:c r="G32" s="29" t="s">
        <x:v>516</x:v>
      </x:c>
      <x:c r="H32" s="81">
        <x:v>46262</x:v>
      </x:c>
    </x:row>
    <x:row r="33" ht="45.95000076293945" customHeight="1">
      <x:c r="A33" s="32">
        <x:v>30</x:v>
      </x:c>
      <x:c r="B33" s="29" t="s">
        <x:v>650</x:v>
      </x:c>
      <x:c r="C33" s="29" t="s">
        <x:v>638</x:v>
      </x:c>
      <x:c r="D33" s="29" t="s">
        <x:v>651</x:v>
      </x:c>
      <x:c r="E33" s="29" t="s">
        <x:v>648</x:v>
      </x:c>
      <x:c r="F33" s="29" t="s">
        <x:v>652</x:v>
      </x:c>
      <x:c r="G33" s="29" t="s">
        <x:v>516</x:v>
      </x:c>
      <x:c r="H33" s="81">
        <x:v>46262</x:v>
      </x:c>
    </x:row>
    <x:row r="34" ht="45.95000076293945" customHeight="1">
      <x:c r="A34" s="32">
        <x:v>31</x:v>
      </x:c>
      <x:c r="B34" s="29" t="s">
        <x:v>653</x:v>
      </x:c>
      <x:c r="C34" s="29" t="s">
        <x:v>654</x:v>
      </x:c>
      <x:c r="D34" s="29" t="s">
        <x:v>655</x:v>
      </x:c>
      <x:c r="E34" s="29" t="s">
        <x:v>656</x:v>
      </x:c>
      <x:c r="F34" s="29" t="s">
        <x:v>657</x:v>
      </x:c>
      <x:c r="G34" s="29" t="s">
        <x:v>579</x:v>
      </x:c>
      <x:c r="H34" s="81">
        <x:v>46262</x:v>
      </x:c>
    </x:row>
    <x:row r="35" ht="45.95000076293945" customHeight="1">
      <x:c r="A35" s="32">
        <x:v>32</x:v>
      </x:c>
      <x:c r="B35" s="29" t="s">
        <x:v>658</x:v>
      </x:c>
      <x:c r="C35" s="29" t="s">
        <x:v>654</x:v>
      </x:c>
      <x:c r="D35" s="29" t="s">
        <x:v>659</x:v>
      </x:c>
      <x:c r="E35" s="29" t="s">
        <x:v>660</x:v>
      </x:c>
      <x:c r="F35" s="29" t="s">
        <x:v>661</x:v>
      </x:c>
      <x:c r="G35" s="29" t="s">
        <x:v>579</x:v>
      </x:c>
      <x:c r="H35" s="81">
        <x:v>46262</x:v>
      </x:c>
    </x:row>
    <x:row r="36" ht="45.95000076293945" customHeight="1">
      <x:c r="A36" s="32">
        <x:v>33</x:v>
      </x:c>
      <x:c r="B36" s="29" t="s">
        <x:v>662</x:v>
      </x:c>
      <x:c r="C36" s="29" t="s">
        <x:v>654</x:v>
      </x:c>
      <x:c r="D36" s="29" t="s">
        <x:v>663</x:v>
      </x:c>
      <x:c r="E36" s="29" t="s">
        <x:v>664</x:v>
      </x:c>
      <x:c r="F36" s="29" t="s">
        <x:v>665</x:v>
      </x:c>
      <x:c r="G36" s="29" t="s">
        <x:v>573</x:v>
      </x:c>
      <x:c r="H36" s="81">
        <x:v>46262</x:v>
      </x:c>
    </x:row>
    <x:row r="37" ht="45.95000076293945" customHeight="1">
      <x:c r="A37" s="32">
        <x:v>34</x:v>
      </x:c>
      <x:c r="B37" s="29" t="s">
        <x:v>666</x:v>
      </x:c>
      <x:c r="C37" s="29" t="s">
        <x:v>667</x:v>
      </x:c>
      <x:c r="D37" s="29" t="s">
        <x:v>668</x:v>
      </x:c>
      <x:c r="E37" s="29" t="s">
        <x:v>669</x:v>
      </x:c>
      <x:c r="F37" s="29" t="s">
        <x:v>670</x:v>
      </x:c>
      <x:c r="G37" s="29" t="s">
        <x:v>573</x:v>
      </x:c>
      <x:c r="H37" s="81">
        <x:v>46262</x:v>
      </x:c>
    </x:row>
    <x:row r="38" ht="45.95000076293945" customHeight="1">
      <x:c r="A38" s="32">
        <x:v>35</x:v>
      </x:c>
      <x:c r="B38" s="29" t="s">
        <x:v>671</x:v>
      </x:c>
      <x:c r="C38" s="29" t="s">
        <x:v>672</x:v>
      </x:c>
      <x:c r="D38" s="29" t="s">
        <x:v>673</x:v>
      </x:c>
      <x:c r="E38" s="29" t="s">
        <x:v>674</x:v>
      </x:c>
      <x:c r="F38" s="29" t="s">
        <x:v>675</x:v>
      </x:c>
      <x:c r="G38" s="29" t="s">
        <x:v>573</x:v>
      </x:c>
      <x:c r="H38" s="81">
        <x:v>46262</x:v>
      </x:c>
    </x:row>
    <x:row r="39" ht="45.95000076293945" customHeight="1">
      <x:c r="A39" s="32">
        <x:v>36</x:v>
      </x:c>
      <x:c r="B39" s="29" t="s">
        <x:v>676</x:v>
      </x:c>
      <x:c r="C39" s="29" t="s">
        <x:v>677</x:v>
      </x:c>
      <x:c r="D39" s="29" t="s">
        <x:v>678</x:v>
      </x:c>
      <x:c r="E39" s="29" t="s">
        <x:v>679</x:v>
      </x:c>
      <x:c r="F39" s="29" t="s">
        <x:v>680</x:v>
      </x:c>
      <x:c r="G39" s="29" t="s">
        <x:v>579</x:v>
      </x:c>
      <x:c r="H39" s="81">
        <x:v>46262</x:v>
      </x:c>
    </x:row>
    <x:row r="40" ht="45.95000076293945" customHeight="1">
      <x:c r="A40" s="32">
        <x:v>37</x:v>
      </x:c>
      <x:c r="B40" s="29" t="s">
        <x:v>681</x:v>
      </x:c>
      <x:c r="C40" s="29" t="s">
        <x:v>682</x:v>
      </x:c>
      <x:c r="D40" s="29" t="s">
        <x:v>683</x:v>
      </x:c>
      <x:c r="E40" s="29" t="s">
        <x:v>684</x:v>
      </x:c>
      <x:c r="F40" s="29" t="s">
        <x:v>685</x:v>
      </x:c>
      <x:c r="G40" s="29" t="s">
        <x:v>686</x:v>
      </x:c>
      <x:c r="H40" s="81">
        <x:v>46262</x:v>
      </x:c>
    </x:row>
    <x:row r="41" ht="45.95000076293945" customHeight="1">
      <x:c r="A41" s="32">
        <x:v>38</x:v>
      </x:c>
      <x:c r="B41" s="29" t="s">
        <x:v>687</x:v>
      </x:c>
      <x:c r="C41" s="29" t="s">
        <x:v>688</x:v>
      </x:c>
      <x:c r="D41" s="29" t="s">
        <x:v>689</x:v>
      </x:c>
      <x:c r="E41" s="29" t="s">
        <x:v>690</x:v>
      </x:c>
      <x:c r="F41" s="29" t="s">
        <x:v>691</x:v>
      </x:c>
      <x:c r="G41" s="29" t="s">
        <x:v>686</x:v>
      </x:c>
      <x:c r="H41" s="81">
        <x:v>46262</x:v>
      </x:c>
    </x:row>
    <x:row r="42" ht="45.95000076293945" customHeight="1">
      <x:c r="A42" s="32">
        <x:v>39</x:v>
      </x:c>
      <x:c r="B42" s="29" t="s">
        <x:v>692</x:v>
      </x:c>
      <x:c r="C42" s="29" t="s">
        <x:v>693</x:v>
      </x:c>
      <x:c r="D42" s="29" t="s">
        <x:v>694</x:v>
      </x:c>
      <x:c r="E42" s="29" t="s">
        <x:v>695</x:v>
      </x:c>
      <x:c r="F42" s="29" t="s">
        <x:v>696</x:v>
      </x:c>
      <x:c r="G42" s="29" t="s">
        <x:v>686</x:v>
      </x:c>
      <x:c r="H42" s="81">
        <x:v>46262</x:v>
      </x:c>
    </x:row>
    <x:row r="43" ht="45.95000076293945" customHeight="1">
      <x:c r="A43" s="32">
        <x:v>40</x:v>
      </x:c>
      <x:c r="B43" s="29" t="s">
        <x:v>697</x:v>
      </x:c>
      <x:c r="C43" s="29" t="s">
        <x:v>698</x:v>
      </x:c>
      <x:c r="D43" s="29" t="s">
        <x:v>699</x:v>
      </x:c>
      <x:c r="E43" s="29" t="s">
        <x:v>700</x:v>
      </x:c>
      <x:c r="F43" s="29" t="s">
        <x:v>701</x:v>
      </x:c>
      <x:c r="G43" s="29" t="s">
        <x:v>686</x:v>
      </x:c>
      <x:c r="H43" s="81">
        <x:v>46262</x:v>
      </x:c>
    </x:row>
    <x:row r="44" ht="45.95000076293945" customHeight="1">
      <x:c r="A44" s="32">
        <x:v>41</x:v>
      </x:c>
      <x:c r="B44" s="29" t="s">
        <x:v>702</x:v>
      </x:c>
      <x:c r="C44" s="29" t="s">
        <x:v>703</x:v>
      </x:c>
      <x:c r="D44" s="29" t="s">
        <x:v>704</x:v>
      </x:c>
      <x:c r="E44" s="29" t="s">
        <x:v>705</x:v>
      </x:c>
      <x:c r="F44" s="29" t="s">
        <x:v>706</x:v>
      </x:c>
      <x:c r="G44" s="29" t="s">
        <x:v>707</x:v>
      </x:c>
      <x:c r="H44" s="81">
        <x:v>46262</x:v>
      </x:c>
    </x:row>
    <x:row r="45" ht="45.95000076293945" customHeight="1">
      <x:c r="A45" s="32">
        <x:v>42</x:v>
      </x:c>
      <x:c r="B45" s="29" t="s">
        <x:v>708</x:v>
      </x:c>
      <x:c r="C45" s="29" t="s">
        <x:v>709</x:v>
      </x:c>
      <x:c r="D45" s="29" t="s">
        <x:v>710</x:v>
      </x:c>
      <x:c r="E45" s="29" t="s">
        <x:v>711</x:v>
      </x:c>
      <x:c r="F45" s="29" t="s">
        <x:v>712</x:v>
      </x:c>
      <x:c r="G45" s="29" t="s">
        <x:v>686</x:v>
      </x:c>
      <x:c r="H45" s="81">
        <x:v>46262</x:v>
      </x:c>
    </x:row>
    <x:row r="46" ht="45.95000076293945" customHeight="1">
      <x:c r="A46" s="32">
        <x:v>43</x:v>
      </x:c>
      <x:c r="B46" s="29" t="s">
        <x:v>713</x:v>
      </x:c>
      <x:c r="C46" s="29" t="s">
        <x:v>714</x:v>
      </x:c>
      <x:c r="D46" s="29" t="s">
        <x:v>715</x:v>
      </x:c>
      <x:c r="E46" s="29" t="s">
        <x:v>716</x:v>
      </x:c>
      <x:c r="F46" s="29" t="s">
        <x:v>717</x:v>
      </x:c>
      <x:c r="G46" s="29" t="s">
        <x:v>686</x:v>
      </x:c>
      <x:c r="H46" s="81">
        <x:v>46262</x:v>
      </x:c>
    </x:row>
    <x:row r="47" ht="45.95000076293945" customHeight="1">
      <x:c r="A47" s="32">
        <x:v>44</x:v>
      </x:c>
      <x:c r="B47" s="29" t="s">
        <x:v>718</x:v>
      </x:c>
      <x:c r="C47" s="29" t="s">
        <x:v>719</x:v>
      </x:c>
      <x:c r="D47" s="29" t="s">
        <x:v>720</x:v>
      </x:c>
      <x:c r="E47" s="29" t="s">
        <x:v>721</x:v>
      </x:c>
      <x:c r="F47" s="29" t="s">
        <x:v>722</x:v>
      </x:c>
      <x:c r="G47" s="29" t="s">
        <x:v>686</x:v>
      </x:c>
      <x:c r="H47" s="81">
        <x:v>46262</x:v>
      </x:c>
    </x:row>
    <x:row r="48" ht="45.95000076293945" customHeight="1">
      <x:c r="A48" s="32">
        <x:v>45</x:v>
      </x:c>
      <x:c r="B48" s="29" t="s">
        <x:v>723</x:v>
      </x:c>
      <x:c r="C48" s="29" t="s">
        <x:v>724</x:v>
      </x:c>
      <x:c r="D48" s="29" t="s">
        <x:v>725</x:v>
      </x:c>
      <x:c r="E48" s="29" t="s">
        <x:v>726</x:v>
      </x:c>
      <x:c r="F48" s="29" t="s">
        <x:v>727</x:v>
      </x:c>
      <x:c r="G48" s="29" t="s">
        <x:v>686</x:v>
      </x:c>
      <x:c r="H48" s="81">
        <x:v>46262</x:v>
      </x:c>
    </x:row>
    <x:row r="49" ht="45.95000076293945" customHeight="1">
      <x:c r="A49" s="32">
        <x:v>46</x:v>
      </x:c>
      <x:c r="B49" s="29" t="s">
        <x:v>728</x:v>
      </x:c>
      <x:c r="C49" s="29" t="s">
        <x:v>729</x:v>
      </x:c>
      <x:c r="D49" s="29" t="s">
        <x:v>730</x:v>
      </x:c>
      <x:c r="E49" s="29" t="s">
        <x:v>731</x:v>
      </x:c>
      <x:c r="F49" s="29" t="s">
        <x:v>732</x:v>
      </x:c>
      <x:c r="G49" s="29" t="s">
        <x:v>733</x:v>
      </x:c>
      <x:c r="H49" s="81">
        <x:v>46262</x:v>
      </x:c>
    </x:row>
    <x:row r="50" ht="45.95000076293945" customHeight="1">
      <x:c r="A50" s="32">
        <x:v>47</x:v>
      </x:c>
      <x:c r="B50" s="29" t="s">
        <x:v>734</x:v>
      </x:c>
      <x:c r="C50" s="29" t="s">
        <x:v>729</x:v>
      </x:c>
      <x:c r="D50" s="29" t="s">
        <x:v>735</x:v>
      </x:c>
      <x:c r="E50" s="29" t="s">
        <x:v>736</x:v>
      </x:c>
      <x:c r="F50" s="29" t="s">
        <x:v>737</x:v>
      </x:c>
      <x:c r="G50" s="29" t="s">
        <x:v>733</x:v>
      </x:c>
      <x:c r="H50" s="81">
        <x:v>46262</x:v>
      </x:c>
    </x:row>
    <x:row r="51" ht="45.95000076293945" customHeight="1">
      <x:c r="A51" s="32">
        <x:v>48</x:v>
      </x:c>
      <x:c r="B51" s="29" t="s">
        <x:v>738</x:v>
      </x:c>
      <x:c r="C51" s="29" t="s">
        <x:v>693</x:v>
      </x:c>
      <x:c r="D51" s="29" t="s">
        <x:v>739</x:v>
      </x:c>
      <x:c r="E51" s="29" t="s">
        <x:v>740</x:v>
      </x:c>
      <x:c r="F51" s="29" t="s">
        <x:v>741</x:v>
      </x:c>
      <x:c r="G51" s="29" t="s">
        <x:v>686</x:v>
      </x:c>
      <x:c r="H51" s="81">
        <x:v>46262</x:v>
      </x:c>
    </x:row>
    <x:row r="52" ht="45.95000076293945" customHeight="1">
      <x:c r="A52" s="32">
        <x:v>49</x:v>
      </x:c>
      <x:c r="B52" s="29" t="s">
        <x:v>742</x:v>
      </x:c>
      <x:c r="C52" s="29" t="s">
        <x:v>719</x:v>
      </x:c>
      <x:c r="D52" s="29" t="s">
        <x:v>743</x:v>
      </x:c>
      <x:c r="E52" s="29" t="s">
        <x:v>744</x:v>
      </x:c>
      <x:c r="F52" s="29" t="s">
        <x:v>745</x:v>
      </x:c>
      <x:c r="G52" s="29" t="s">
        <x:v>686</x:v>
      </x:c>
      <x:c r="H52" s="81">
        <x:v>46262</x:v>
      </x:c>
    </x:row>
    <x:row r="53" ht="45.95000076293945" customHeight="1">
      <x:c r="A53" s="32">
        <x:v>50</x:v>
      </x:c>
      <x:c r="B53" s="29" t="s">
        <x:v>746</x:v>
      </x:c>
      <x:c r="C53" s="29" t="s">
        <x:v>747</x:v>
      </x:c>
      <x:c r="D53" s="29" t="s">
        <x:v>748</x:v>
      </x:c>
      <x:c r="E53" s="29" t="s">
        <x:v>749</x:v>
      </x:c>
      <x:c r="F53" s="29" t="s">
        <x:v>750</x:v>
      </x:c>
      <x:c r="G53" s="29" t="s">
        <x:v>686</x:v>
      </x:c>
      <x:c r="H53" s="81">
        <x:v>46262</x:v>
      </x:c>
    </x:row>
    <x:row r="54" ht="45.95000076293945" customHeight="1">
      <x:c r="A54" s="32">
        <x:v>51</x:v>
      </x:c>
      <x:c r="B54" s="29" t="s">
        <x:v>751</x:v>
      </x:c>
      <x:c r="C54" s="29" t="s">
        <x:v>693</x:v>
      </x:c>
      <x:c r="D54" s="29" t="s">
        <x:v>752</x:v>
      </x:c>
      <x:c r="E54" s="29" t="s">
        <x:v>753</x:v>
      </x:c>
      <x:c r="F54" s="29" t="s">
        <x:v>754</x:v>
      </x:c>
      <x:c r="G54" s="29" t="s">
        <x:v>686</x:v>
      </x:c>
      <x:c r="H54" s="81">
        <x:v>46262</x:v>
      </x:c>
    </x:row>
    <x:row r="55" ht="45.95000076293945" customHeight="1">
      <x:c r="A55" s="32">
        <x:v>52</x:v>
      </x:c>
      <x:c r="B55" s="29" t="s">
        <x:v>755</x:v>
      </x:c>
      <x:c r="C55" s="29" t="s">
        <x:v>698</x:v>
      </x:c>
      <x:c r="D55" s="29" t="s">
        <x:v>756</x:v>
      </x:c>
      <x:c r="E55" s="29" t="s">
        <x:v>757</x:v>
      </x:c>
      <x:c r="F55" s="29" t="s">
        <x:v>758</x:v>
      </x:c>
      <x:c r="G55" s="29" t="s">
        <x:v>686</x:v>
      </x:c>
      <x:c r="H55" s="81">
        <x:v>46262</x:v>
      </x:c>
    </x:row>
    <x:row r="56" ht="45.95000076293945" customHeight="1">
      <x:c r="A56" s="32">
        <x:v>53</x:v>
      </x:c>
      <x:c r="B56" s="29" t="s">
        <x:v>759</x:v>
      </x:c>
      <x:c r="C56" s="29" t="s">
        <x:v>760</x:v>
      </x:c>
      <x:c r="D56" s="29" t="s">
        <x:v>761</x:v>
      </x:c>
      <x:c r="E56" s="29" t="s">
        <x:v>762</x:v>
      </x:c>
      <x:c r="F56" s="29" t="s">
        <x:v>763</x:v>
      </x:c>
      <x:c r="G56" s="29" t="s">
        <x:v>573</x:v>
      </x:c>
      <x:c r="H56" s="81">
        <x:v>46262</x:v>
      </x:c>
    </x:row>
    <x:row r="57" ht="45.95000076293945" customHeight="1">
      <x:c r="A57" s="32">
        <x:v>54</x:v>
      </x:c>
      <x:c r="B57" s="29" t="s">
        <x:v>764</x:v>
      </x:c>
      <x:c r="C57" s="29" t="s">
        <x:v>765</x:v>
      </x:c>
      <x:c r="D57" s="29" t="s">
        <x:v>766</x:v>
      </x:c>
      <x:c r="E57" s="29" t="s">
        <x:v>767</x:v>
      </x:c>
      <x:c r="F57" s="29" t="s">
        <x:v>768</x:v>
      </x:c>
      <x:c r="G57" s="29" t="s">
        <x:v>573</x:v>
      </x:c>
      <x:c r="H57" s="81">
        <x:v>46262</x:v>
      </x:c>
    </x:row>
    <x:row r="58" ht="45.95000076293945" customHeight="1">
      <x:c r="A58" s="32">
        <x:v>55</x:v>
      </x:c>
      <x:c r="B58" s="29" t="s">
        <x:v>769</x:v>
      </x:c>
      <x:c r="C58" s="29" t="s">
        <x:v>729</x:v>
      </x:c>
      <x:c r="D58" s="29" t="s">
        <x:v>770</x:v>
      </x:c>
      <x:c r="E58" s="29" t="s">
        <x:v>771</x:v>
      </x:c>
      <x:c r="F58" s="29" t="s">
        <x:v>772</x:v>
      </x:c>
      <x:c r="G58" s="29" t="s">
        <x:v>733</x:v>
      </x:c>
      <x:c r="H58" s="81">
        <x:v>46262</x:v>
      </x:c>
    </x:row>
    <x:row r="59" ht="45.95000076293945" customHeight="1">
      <x:c r="A59" s="32">
        <x:v>56</x:v>
      </x:c>
      <x:c r="B59" s="29" t="s">
        <x:v>773</x:v>
      </x:c>
      <x:c r="C59" s="29" t="s">
        <x:v>729</x:v>
      </x:c>
      <x:c r="D59" s="29" t="s">
        <x:v>774</x:v>
      </x:c>
      <x:c r="E59" s="29" t="s">
        <x:v>775</x:v>
      </x:c>
      <x:c r="F59" s="29" t="s">
        <x:v>776</x:v>
      </x:c>
      <x:c r="G59" s="29" t="s">
        <x:v>733</x:v>
      </x:c>
      <x:c r="H59" s="81">
        <x:v>46262</x:v>
      </x:c>
    </x:row>
    <x:row r="60" ht="45.95000076293945" customHeight="1">
      <x:c r="A60" s="32">
        <x:v>57</x:v>
      </x:c>
      <x:c r="B60" s="29" t="s">
        <x:v>777</x:v>
      </x:c>
      <x:c r="C60" s="29" t="s">
        <x:v>778</x:v>
      </x:c>
      <x:c r="D60" s="29" t="s">
        <x:v>779</x:v>
      </x:c>
      <x:c r="E60" s="29" t="s">
        <x:v>780</x:v>
      </x:c>
      <x:c r="F60" s="29" t="s">
        <x:v>781</x:v>
      </x:c>
      <x:c r="G60" s="29" t="s">
        <x:v>782</x:v>
      </x:c>
      <x:c r="H60" s="81">
        <x:v>46262</x:v>
      </x:c>
    </x:row>
    <x:row r="61" ht="45.95000076293945" customHeight="1">
      <x:c r="A61" s="32">
        <x:v>58</x:v>
      </x:c>
      <x:c r="B61" s="29" t="s">
        <x:v>783</x:v>
      </x:c>
      <x:c r="C61" s="29" t="s">
        <x:v>778</x:v>
      </x:c>
      <x:c r="D61" s="29" t="s">
        <x:v>784</x:v>
      </x:c>
      <x:c r="E61" s="29" t="s">
        <x:v>785</x:v>
      </x:c>
      <x:c r="F61" s="29" t="s">
        <x:v>786</x:v>
      </x:c>
      <x:c r="G61" s="29" t="s">
        <x:v>782</x:v>
      </x:c>
      <x:c r="H61" s="81">
        <x:v>46262</x:v>
      </x:c>
    </x:row>
    <x:row r="62" ht="45.95000076293945" customHeight="1">
      <x:c r="A62" s="32">
        <x:v>59</x:v>
      </x:c>
      <x:c r="B62" s="29" t="s">
        <x:v>787</x:v>
      </x:c>
      <x:c r="C62" s="29" t="s">
        <x:v>788</x:v>
      </x:c>
      <x:c r="D62" s="29" t="s">
        <x:v>789</x:v>
      </x:c>
      <x:c r="E62" s="29" t="s">
        <x:v>790</x:v>
      </x:c>
      <x:c r="F62" s="29" t="s">
        <x:v>791</x:v>
      </x:c>
      <x:c r="G62" s="29" t="s">
        <x:v>782</x:v>
      </x:c>
      <x:c r="H62" s="81">
        <x:v>46262</x:v>
      </x:c>
    </x:row>
    <x:row r="63" ht="45.95000076293945" customHeight="1">
      <x:c r="A63" s="32">
        <x:v>60</x:v>
      </x:c>
      <x:c r="B63" s="29" t="s">
        <x:v>792</x:v>
      </x:c>
      <x:c r="C63" s="29" t="s">
        <x:v>793</x:v>
      </x:c>
      <x:c r="D63" s="29" t="s">
        <x:v>794</x:v>
      </x:c>
      <x:c r="E63" s="29" t="s">
        <x:v>795</x:v>
      </x:c>
      <x:c r="F63" s="29" t="s">
        <x:v>796</x:v>
      </x:c>
      <x:c r="G63" s="29" t="s">
        <x:v>782</x:v>
      </x:c>
      <x:c r="H63" s="81">
        <x:v>46262</x:v>
      </x:c>
    </x:row>
    <x:row r="64" ht="45.95000076293945" customHeight="1">
      <x:c r="A64" s="32">
        <x:v>61</x:v>
      </x:c>
      <x:c r="B64" s="29" t="s">
        <x:v>797</x:v>
      </x:c>
      <x:c r="C64" s="29" t="s">
        <x:v>798</x:v>
      </x:c>
      <x:c r="D64" s="29" t="s">
        <x:v>799</x:v>
      </x:c>
      <x:c r="E64" s="29" t="s">
        <x:v>800</x:v>
      </x:c>
      <x:c r="F64" s="29" t="s">
        <x:v>801</x:v>
      </x:c>
      <x:c r="G64" s="29" t="s">
        <x:v>782</x:v>
      </x:c>
      <x:c r="H64" s="81">
        <x:v>46262</x:v>
      </x:c>
    </x:row>
    <x:row r="65" ht="45.95000076293945" customHeight="1">
      <x:c r="A65" s="32">
        <x:v>62</x:v>
      </x:c>
      <x:c r="B65" s="29" t="s">
        <x:v>802</x:v>
      </x:c>
      <x:c r="C65" s="29" t="s">
        <x:v>803</x:v>
      </x:c>
      <x:c r="D65" s="29" t="s">
        <x:v>804</x:v>
      </x:c>
      <x:c r="E65" s="29" t="s">
        <x:v>805</x:v>
      </x:c>
      <x:c r="F65" s="29" t="s">
        <x:v>806</x:v>
      </x:c>
      <x:c r="G65" s="29" t="s">
        <x:v>782</x:v>
      </x:c>
      <x:c r="H65" s="81">
        <x:v>46262</x:v>
      </x:c>
    </x:row>
    <x:row r="66" ht="45.95000076293945" customHeight="1">
      <x:c r="A66" s="32">
        <x:v>63</x:v>
      </x:c>
      <x:c r="B66" s="29" t="s">
        <x:v>807</x:v>
      </x:c>
      <x:c r="C66" s="29" t="s">
        <x:v>808</x:v>
      </x:c>
      <x:c r="D66" s="29" t="s">
        <x:v>809</x:v>
      </x:c>
      <x:c r="E66" s="29" t="s">
        <x:v>810</x:v>
      </x:c>
      <x:c r="F66" s="29" t="s">
        <x:v>811</x:v>
      </x:c>
      <x:c r="G66" s="29" t="s">
        <x:v>608</x:v>
      </x:c>
      <x:c r="H66" s="81">
        <x:v>46262</x:v>
      </x:c>
    </x:row>
    <x:row r="67" ht="45.95000076293945" customHeight="1">
      <x:c r="A67" s="32">
        <x:v>64</x:v>
      </x:c>
      <x:c r="B67" s="29" t="s">
        <x:v>812</x:v>
      </x:c>
      <x:c r="C67" s="29" t="s">
        <x:v>813</x:v>
      </x:c>
      <x:c r="D67" s="29" t="s">
        <x:v>814</x:v>
      </x:c>
      <x:c r="E67" s="29" t="s">
        <x:v>815</x:v>
      </x:c>
      <x:c r="F67" s="29" t="s">
        <x:v>816</x:v>
      </x:c>
      <x:c r="G67" s="29" t="s">
        <x:v>782</x:v>
      </x:c>
      <x:c r="H67" s="81">
        <x:v>46262</x:v>
      </x:c>
    </x:row>
    <x:row r="68" ht="45.95000076293945" customHeight="1">
      <x:c r="A68" s="32">
        <x:v>65</x:v>
      </x:c>
      <x:c r="B68" s="29" t="s">
        <x:v>817</x:v>
      </x:c>
      <x:c r="C68" s="29" t="s">
        <x:v>818</x:v>
      </x:c>
      <x:c r="D68" s="29" t="s">
        <x:v>819</x:v>
      </x:c>
      <x:c r="E68" s="29" t="s">
        <x:v>820</x:v>
      </x:c>
      <x:c r="F68" s="29" t="s">
        <x:v>821</x:v>
      </x:c>
      <x:c r="G68" s="29" t="s">
        <x:v>822</x:v>
      </x:c>
      <x:c r="H68" s="81">
        <x:v>46262</x:v>
      </x:c>
    </x:row>
    <x:row r="69" ht="45.95000076293945" customHeight="1">
      <x:c r="A69" s="32">
        <x:v>66</x:v>
      </x:c>
      <x:c r="B69" s="29" t="s">
        <x:v>823</x:v>
      </x:c>
      <x:c r="C69" s="29" t="s">
        <x:v>788</x:v>
      </x:c>
      <x:c r="D69" s="29" t="s">
        <x:v>824</x:v>
      </x:c>
      <x:c r="E69" s="29" t="s">
        <x:v>825</x:v>
      </x:c>
      <x:c r="F69" s="29" t="s">
        <x:v>826</x:v>
      </x:c>
      <x:c r="G69" s="29" t="s">
        <x:v>822</x:v>
      </x:c>
      <x:c r="H69" s="81">
        <x:v>46262</x:v>
      </x:c>
    </x:row>
    <x:row r="70" ht="45.95000076293945" customHeight="1">
      <x:c r="A70" s="32">
        <x:v>67</x:v>
      </x:c>
      <x:c r="B70" s="29" t="s">
        <x:v>827</x:v>
      </x:c>
      <x:c r="C70" s="29" t="s">
        <x:v>828</x:v>
      </x:c>
      <x:c r="D70" s="29" t="s">
        <x:v>829</x:v>
      </x:c>
      <x:c r="E70" s="29" t="s">
        <x:v>830</x:v>
      </x:c>
      <x:c r="F70" s="29" t="s">
        <x:v>831</x:v>
      </x:c>
      <x:c r="G70" s="29" t="s">
        <x:v>573</x:v>
      </x:c>
      <x:c r="H70" s="81">
        <x:v>46262</x:v>
      </x:c>
    </x:row>
    <x:row r="71" ht="45.95000076293945" customHeight="1">
      <x:c r="A71" s="32">
        <x:v>68</x:v>
      </x:c>
      <x:c r="B71" s="29" t="s">
        <x:v>832</x:v>
      </x:c>
      <x:c r="C71" s="29" t="s">
        <x:v>833</x:v>
      </x:c>
      <x:c r="D71" s="29" t="s">
        <x:v>834</x:v>
      </x:c>
      <x:c r="E71" s="29" t="s">
        <x:v>835</x:v>
      </x:c>
      <x:c r="F71" s="29" t="s">
        <x:v>836</x:v>
      </x:c>
      <x:c r="G71" s="29" t="s">
        <x:v>573</x:v>
      </x:c>
      <x:c r="H71" s="81">
        <x:v>46262</x:v>
      </x:c>
    </x:row>
    <x:row r="72" ht="45.95000076293945" customHeight="1">
      <x:c r="A72" s="33">
        <x:v>69</x:v>
      </x:c>
      <x:c r="B72" s="30" t="s">
        <x:v>837</x:v>
      </x:c>
      <x:c r="C72" s="30" t="s">
        <x:v>838</x:v>
      </x:c>
      <x:c r="D72" s="30" t="s">
        <x:v>839</x:v>
      </x:c>
      <x:c r="E72" s="30" t="s">
        <x:v>840</x:v>
      </x:c>
      <x:c r="F72" s="30" t="s">
        <x:v>841</x:v>
      </x:c>
      <x:c r="G72" s="30" t="s">
        <x:v>573</x:v>
      </x:c>
      <x:c r="H72" s="82">
        <x:v>46262</x:v>
      </x:c>
    </x:row>
    <x:row r="73" ht="51.95000076293945" customHeight="1">
      <x:c r="A73" s="141">
        <x:v>70</x:v>
      </x:c>
      <x:c r="B73" s="141" t="s">
        <x:v>842</x:v>
      </x:c>
      <x:c r="C73" s="141" t="s">
        <x:v>843</x:v>
      </x:c>
      <x:c r="D73" s="141" t="s">
        <x:v>844</x:v>
      </x:c>
      <x:c r="E73" s="141" t="s">
        <x:v>845</x:v>
      </x:c>
      <x:c r="F73" s="141" t="s">
        <x:v>846</x:v>
      </x:c>
      <x:c r="G73" s="141" t="s">
        <x:v>847</x:v>
      </x:c>
      <x:c r="H73" s="142">
        <x:v>46265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14e98a5026de47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2" width="13" customWidth="1"/>
    <x:col min="3" max="4" width="22" customWidth="1"/>
    <x:col min="5" max="14" width="17" customWidth="1"/>
    <x:col min="15" max="16" width="22" customWidth="1"/>
    <x:col min="17" max="20" width="16" customWidth="1"/>
    <x:col min="21" max="21" width="22" customWidth="1"/>
    <x:col min="22" max="26" width="13" customWidth="1"/>
  </x:cols>
  <x:sheetData>
    <x:row r="1" ht="30" customHeight="1">
      <x:c r="A1" s="215" t="s">
        <x:v>848</x:v>
      </x:c>
      <x:c r="B1" s="215" t="s">
        <x:v>848</x:v>
      </x:c>
      <x:c r="C1" s="215" t="s">
        <x:v>848</x:v>
      </x:c>
      <x:c r="D1" s="215" t="s">
        <x:v>848</x:v>
      </x:c>
      <x:c r="E1" s="215" t="s">
        <x:v>848</x:v>
      </x:c>
      <x:c r="F1" s="215" t="s">
        <x:v>848</x:v>
      </x:c>
      <x:c r="G1" s="215" t="s">
        <x:v>848</x:v>
      </x:c>
      <x:c r="H1" s="215" t="s">
        <x:v>848</x:v>
      </x:c>
      <x:c r="I1" s="215" t="s">
        <x:v>848</x:v>
      </x:c>
      <x:c r="J1" s="215" t="s">
        <x:v>848</x:v>
      </x:c>
      <x:c r="K1" s="215" t="s">
        <x:v>848</x:v>
      </x:c>
      <x:c r="L1" s="215" t="s">
        <x:v>848</x:v>
      </x:c>
      <x:c r="M1" s="215" t="s">
        <x:v>848</x:v>
      </x:c>
      <x:c r="N1" s="215" t="s">
        <x:v>848</x:v>
      </x:c>
      <x:c r="O1" s="1"/>
      <x:c r="P1" s="233" t="s">
        <x:v>849</x:v>
      </x:c>
      <x:c r="Q1" s="233" t="s">
        <x:v>849</x:v>
      </x:c>
      <x:c r="R1" s="233" t="s">
        <x:v>849</x:v>
      </x:c>
      <x:c r="S1" s="233" t="s">
        <x:v>849</x:v>
      </x:c>
      <x:c r="T1" s="233" t="s">
        <x:v>849</x:v>
      </x:c>
    </x:row>
    <x:row r="2" ht="30" customHeight="1">
      <x:c r="A2" s="215" t="s">
        <x:v>848</x:v>
      </x:c>
      <x:c r="B2" s="215" t="s">
        <x:v>848</x:v>
      </x:c>
      <x:c r="C2" s="215" t="s">
        <x:v>848</x:v>
      </x:c>
      <x:c r="D2" s="215" t="s">
        <x:v>848</x:v>
      </x:c>
      <x:c r="E2" s="215" t="s">
        <x:v>848</x:v>
      </x:c>
      <x:c r="F2" s="215" t="s">
        <x:v>848</x:v>
      </x:c>
      <x:c r="G2" s="215" t="s">
        <x:v>848</x:v>
      </x:c>
      <x:c r="H2" s="215" t="s">
        <x:v>848</x:v>
      </x:c>
      <x:c r="I2" s="215" t="s">
        <x:v>848</x:v>
      </x:c>
      <x:c r="J2" s="215" t="s">
        <x:v>848</x:v>
      </x:c>
      <x:c r="K2" s="215" t="s">
        <x:v>848</x:v>
      </x:c>
      <x:c r="L2" s="215" t="s">
        <x:v>848</x:v>
      </x:c>
      <x:c r="M2" s="215" t="s">
        <x:v>848</x:v>
      </x:c>
      <x:c r="N2" s="215" t="s">
        <x:v>848</x:v>
      </x:c>
      <x:c r="O2" s="1"/>
      <x:c r="P2" s="1"/>
      <x:c r="Q2" s="1"/>
      <x:c r="R2" s="1"/>
      <x:c r="S2" s="1"/>
      <x:c r="T2" s="1"/>
      <x:c r="U2" s="234" t="s">
        <x:v>850</x:v>
      </x:c>
      <x:c r="V2" s="234"/>
      <x:c r="W2" s="234"/>
      <x:c r="X2" s="234"/>
      <x:c r="Y2" s="234"/>
      <x:c r="Z2" s="234"/>
    </x:row>
    <x:row r="3" ht="30">
      <x:c r="A3" s="2" t="s">
        <x:v>3</x:v>
      </x:c>
      <x:c r="B3" s="2" t="s">
        <x:v>14</x:v>
      </x:c>
      <x:c r="C3" s="2" t="s">
        <x:v>9</x:v>
      </x:c>
      <x:c r="D3" s="2" t="s">
        <x:v>10</x:v>
      </x:c>
      <x:c r="E3" s="2" t="s">
        <x:v>851</x:v>
      </x:c>
      <x:c r="F3" s="2" t="s">
        <x:v>24</x:v>
      </x:c>
      <x:c r="G3" s="2" t="s">
        <x:v>852</x:v>
      </x:c>
      <x:c r="H3" s="2" t="s">
        <x:v>853</x:v>
      </x:c>
      <x:c r="I3" s="2" t="s">
        <x:v>854</x:v>
      </x:c>
      <x:c r="J3" s="2" t="s">
        <x:v>855</x:v>
      </x:c>
      <x:c r="K3" s="2" t="s">
        <x:v>856</x:v>
      </x:c>
      <x:c r="L3" s="2" t="s">
        <x:v>857</x:v>
      </x:c>
      <x:c r="M3" s="2" t="s">
        <x:v>201</x:v>
      </x:c>
      <x:c r="N3" s="2" t="s">
        <x:v>858</x:v>
      </x:c>
      <x:c r="O3" s="1" t="s">
        <x:v>859</x:v>
      </x:c>
      <x:c r="P3" s="2" t="s">
        <x:v>860</x:v>
      </x:c>
      <x:c r="Q3" s="2" t="s">
        <x:v>2</x:v>
      </x:c>
      <x:c r="R3" s="1"/>
      <x:c r="S3" s="1"/>
      <x:c r="T3" s="1"/>
      <x:c r="U3" s="138" t="s">
        <x:v>220</x:v>
      </x:c>
      <x:c r="V3" s="138" t="s">
        <x:v>497</x:v>
      </x:c>
      <x:c r="W3" s="138" t="s">
        <x:v>861</x:v>
      </x:c>
      <x:c r="X3" s="138" t="s">
        <x:v>862</x:v>
      </x:c>
      <x:c r="Y3" s="138" t="s">
        <x:v>863</x:v>
      </x:c>
      <x:c r="Z3" s="138" t="s">
        <x:v>864</x:v>
      </x:c>
    </x:row>
    <x:row r="4" ht="15">
      <x:c r="A4" s="47"/>
      <x:c r="B4" s="83" t="str">
        <x:f>IF($A4="","",IFERROR(INDEX('Analize meciuri'!$C$4:$C$103,MATCH($A4,'Analize meciuri'!$A$4:$A$103,0)),""))</x:f>
      </x:c>
      <x:c r="C4" s="34" t="str">
        <x:f>IF($A4="","",IFERROR(INDEX('Analize meciuri'!$G$4:$G$103,MATCH($A4,'Analize meciuri'!$A$4:$A$103,0)),""))</x:f>
      </x:c>
      <x:c r="D4" s="34" t="str">
        <x:f>IF($A4="","",IFERROR(INDEX('Analize meciuri'!$H$4:$H$103,MATCH($A4,'Analize meciuri'!$A$4:$A$103,0)),""))</x:f>
      </x:c>
      <x:c r="E4" s="84" t="str">
        <x:f>IF($A4="","",IFERROR(INDEX('Analize meciuri'!$GP$4:$GP$103,MATCH($A4,'Analize meciuri'!$A$4:$A$103,0)),""))</x:f>
      </x:c>
      <x:c r="F4" s="85" t="str">
        <x:f>IF($A4="","",IFERROR(INDEX('Analize meciuri'!$GT$4:$GT$103,MATCH($A4,'Analize meciuri'!$A$4:$A$103,0)),""))</x:f>
      </x:c>
      <x:c r="G4" s="49"/>
      <x:c r="H4" s="49"/>
      <x:c r="I4" s="22"/>
      <x:c r="J4" s="86" t="str">
        <x:f t="shared" ref="J4:J35" si="0">IF(OR($A4="",I4="",G4=""),"",IF(I4=1,G4-1,-1))</x:f>
      </x:c>
      <x:c r="K4" s="86" t="str">
        <x:f t="shared" ref="K4:K35" si="1">IF(OR($A4="",I4=""),"",(E4-I4)^2)</x:f>
      </x:c>
      <x:c r="L4" s="86" t="str">
        <x:f t="shared" ref="L4:L35" si="2">IF(OR($A4="",I4=""),"",-(I4*LN(MAX(0.001,E4))+(1-I4)*LN(MAX(0.001,1-E4))))</x:f>
      </x:c>
      <x:c r="M4" s="84" t="str">
        <x:f t="shared" ref="M4:M35" si="3">IF(OR($A4="",G4="",H4=""),"",G4/H4-1)</x:f>
      </x:c>
      <x:c r="N4" s="23" t="str">
        <x:f>IF($A4="","",IFERROR(INDEX('Analize meciuri'!$GV$4:$GV$103,MATCH($A4,'Analize meciuri'!$A$4:$A$103,0)),""))</x:f>
      </x:c>
      <x:c r="O4" s="1" t="str">
        <x:f>IF($A4="","",IFERROR(INDEX('Analize meciuri'!$GN$4:$GN$103,MATCH($A4,'Analize meciuri'!$A$4:$A$103,0)),""))</x:f>
      </x:c>
      <x:c r="P4" s="3" t="s">
        <x:v>865</x:v>
      </x:c>
      <x:c r="Q4" s="23" t="n">
        <x:f>COUNT(I4:I203)</x:f>
        <x:v>0</x:v>
      </x:c>
      <x:c r="R4" s="1"/>
      <x:c r="S4" s="1"/>
      <x:c r="T4" s="1"/>
      <x:c r="U4" s="139" t="s">
        <x:v>866</x:v>
      </x:c>
      <x:c r="V4" s="139" t="n">
        <x:f>COUNTIF($O$4:$O$203,$U4)</x:f>
        <x:v>0</x:v>
      </x:c>
      <x:c r="W4" s="140" t="str">
        <x:f>IFERROR(AVERAGEIF($O$4:$O$203,$U4,$K$4:$K$203),"")</x:f>
      </x:c>
      <x:c r="X4" s="140" t="str">
        <x:f>IFERROR(AVERAGEIF($O$4:$O$203,$U4,$L$4:$L$203),"")</x:f>
      </x:c>
      <x:c r="Y4" s="140" t="str">
        <x:f>IFERROR(AVERAGEIF($O$4:$O$203,$U4,$E$4:$E$203),"")</x:f>
      </x:c>
      <x:c r="Z4" s="140" t="str">
        <x:f>IFERROR(AVERAGEIF($O$4:$O$203,$U4,$I$4:$I$203),"")</x:f>
      </x:c>
    </x:row>
    <x:row r="5" ht="15">
      <x:c r="A5" s="58"/>
      <x:c r="B5" s="87" t="str">
        <x:f>IF($A5="","",IFERROR(INDEX('Analize meciuri'!$C$4:$C$103,MATCH($A5,'Analize meciuri'!$A$4:$A$103,0)),""))</x:f>
      </x:c>
      <x:c r="C5" s="35" t="str">
        <x:f>IF($A5="","",IFERROR(INDEX('Analize meciuri'!$G$4:$G$103,MATCH($A5,'Analize meciuri'!$A$4:$A$103,0)),""))</x:f>
      </x:c>
      <x:c r="D5" s="35" t="str">
        <x:f>IF($A5="","",IFERROR(INDEX('Analize meciuri'!$H$4:$H$103,MATCH($A5,'Analize meciuri'!$A$4:$A$103,0)),""))</x:f>
      </x:c>
      <x:c r="E5" s="88" t="str">
        <x:f>IF($A5="","",IFERROR(INDEX('Analize meciuri'!$GP$4:$GP$103,MATCH($A5,'Analize meciuri'!$A$4:$A$103,0)),""))</x:f>
      </x:c>
      <x:c r="F5" s="89" t="str">
        <x:f>IF($A5="","",IFERROR(INDEX('Analize meciuri'!$GT$4:$GT$103,MATCH($A5,'Analize meciuri'!$A$4:$A$103,0)),""))</x:f>
      </x:c>
      <x:c r="G5" s="60"/>
      <x:c r="H5" s="60"/>
      <x:c r="I5" s="24"/>
      <x:c r="J5" s="90" t="str">
        <x:f t="shared" si="0"/>
      </x:c>
      <x:c r="K5" s="90" t="str">
        <x:f t="shared" si="1"/>
      </x:c>
      <x:c r="L5" s="90" t="str">
        <x:f t="shared" si="2"/>
      </x:c>
      <x:c r="M5" s="88" t="str">
        <x:f t="shared" si="3"/>
      </x:c>
      <x:c r="N5" s="25" t="str">
        <x:f>IF($A5="","",IFERROR(INDEX('Analize meciuri'!$GV$4:$GV$103,MATCH($A5,'Analize meciuri'!$A$4:$A$103,0)),""))</x:f>
      </x:c>
      <x:c r="O5" s="1" t="str">
        <x:f>IF($A5="","",IFERROR(INDEX('Analize meciuri'!$GN$4:$GN$103,MATCH($A5,'Analize meciuri'!$A$4:$A$103,0)),""))</x:f>
      </x:c>
      <x:c r="P5" s="8" t="s">
        <x:v>867</x:v>
      </x:c>
      <x:c r="Q5" s="91" t="str">
        <x:f>IFERROR(AVERAGE(I4:I203),"")</x:f>
      </x:c>
      <x:c r="R5" s="1"/>
      <x:c r="S5" s="1"/>
      <x:c r="T5" s="1"/>
      <x:c r="U5" s="139" t="s">
        <x:v>868</x:v>
      </x:c>
      <x:c r="V5" s="139" t="n">
        <x:f>COUNTIF($O$4:$O$203,$U5)</x:f>
        <x:v>0</x:v>
      </x:c>
      <x:c r="W5" s="140" t="str">
        <x:f>IFERROR(AVERAGEIF($O$4:$O$203,$U5,$K$4:$K$203),"")</x:f>
      </x:c>
      <x:c r="X5" s="140" t="str">
        <x:f>IFERROR(AVERAGEIF($O$4:$O$203,$U5,$L$4:$L$203),"")</x:f>
      </x:c>
      <x:c r="Y5" s="140" t="str">
        <x:f>IFERROR(AVERAGEIF($O$4:$O$203,$U5,$E$4:$E$203),"")</x:f>
      </x:c>
      <x:c r="Z5" s="140" t="str">
        <x:f>IFERROR(AVERAGEIF($O$4:$O$203,$U5,$I$4:$I$203),"")</x:f>
      </x:c>
    </x:row>
    <x:row r="6" ht="15">
      <x:c r="A6" s="58"/>
      <x:c r="B6" s="87" t="str">
        <x:f>IF($A6="","",IFERROR(INDEX('Analize meciuri'!$C$4:$C$103,MATCH($A6,'Analize meciuri'!$A$4:$A$103,0)),""))</x:f>
      </x:c>
      <x:c r="C6" s="35" t="str">
        <x:f>IF($A6="","",IFERROR(INDEX('Analize meciuri'!$G$4:$G$103,MATCH($A6,'Analize meciuri'!$A$4:$A$103,0)),""))</x:f>
      </x:c>
      <x:c r="D6" s="35" t="str">
        <x:f>IF($A6="","",IFERROR(INDEX('Analize meciuri'!$H$4:$H$103,MATCH($A6,'Analize meciuri'!$A$4:$A$103,0)),""))</x:f>
      </x:c>
      <x:c r="E6" s="88" t="str">
        <x:f>IF($A6="","",IFERROR(INDEX('Analize meciuri'!$GP$4:$GP$103,MATCH($A6,'Analize meciuri'!$A$4:$A$103,0)),""))</x:f>
      </x:c>
      <x:c r="F6" s="89" t="str">
        <x:f>IF($A6="","",IFERROR(INDEX('Analize meciuri'!$GT$4:$GT$103,MATCH($A6,'Analize meciuri'!$A$4:$A$103,0)),""))</x:f>
      </x:c>
      <x:c r="G6" s="60"/>
      <x:c r="H6" s="60"/>
      <x:c r="I6" s="24"/>
      <x:c r="J6" s="90" t="str">
        <x:f t="shared" si="0"/>
      </x:c>
      <x:c r="K6" s="90" t="str">
        <x:f t="shared" si="1"/>
      </x:c>
      <x:c r="L6" s="90" t="str">
        <x:f t="shared" si="2"/>
      </x:c>
      <x:c r="M6" s="88" t="str">
        <x:f t="shared" si="3"/>
      </x:c>
      <x:c r="N6" s="25" t="str">
        <x:f>IF($A6="","",IFERROR(INDEX('Analize meciuri'!$GV$4:$GV$103,MATCH($A6,'Analize meciuri'!$A$4:$A$103,0)),""))</x:f>
      </x:c>
      <x:c r="O6" s="1" t="str">
        <x:f>IF($A6="","",IFERROR(INDEX('Analize meciuri'!$GN$4:$GN$103,MATCH($A6,'Analize meciuri'!$A$4:$A$103,0)),""))</x:f>
      </x:c>
      <x:c r="P6" s="8" t="s">
        <x:v>869</x:v>
      </x:c>
      <x:c r="Q6" s="91" t="str">
        <x:f>IFERROR(SUM(J4:J203)/COUNT(J4:J203),"")</x:f>
      </x:c>
      <x:c r="R6" s="1"/>
      <x:c r="S6" s="1"/>
      <x:c r="T6" s="1"/>
      <x:c r="U6" s="139" t="s">
        <x:v>870</x:v>
      </x:c>
      <x:c r="V6" s="139" t="n">
        <x:f>COUNTIF($O$4:$O$203,$U6)</x:f>
        <x:v>0</x:v>
      </x:c>
      <x:c r="W6" s="140" t="str">
        <x:f>IFERROR(AVERAGEIF($O$4:$O$203,$U6,$K$4:$K$203),"")</x:f>
      </x:c>
      <x:c r="X6" s="140" t="str">
        <x:f>IFERROR(AVERAGEIF($O$4:$O$203,$U6,$L$4:$L$203),"")</x:f>
      </x:c>
      <x:c r="Y6" s="140" t="str">
        <x:f>IFERROR(AVERAGEIF($O$4:$O$203,$U6,$E$4:$E$203),"")</x:f>
      </x:c>
      <x:c r="Z6" s="140" t="str">
        <x:f>IFERROR(AVERAGEIF($O$4:$O$203,$U6,$I$4:$I$203),"")</x:f>
      </x:c>
    </x:row>
    <x:row r="7" ht="15">
      <x:c r="A7" s="58"/>
      <x:c r="B7" s="87" t="str">
        <x:f>IF($A7="","",IFERROR(INDEX('Analize meciuri'!$C$4:$C$103,MATCH($A7,'Analize meciuri'!$A$4:$A$103,0)),""))</x:f>
      </x:c>
      <x:c r="C7" s="35" t="str">
        <x:f>IF($A7="","",IFERROR(INDEX('Analize meciuri'!$G$4:$G$103,MATCH($A7,'Analize meciuri'!$A$4:$A$103,0)),""))</x:f>
      </x:c>
      <x:c r="D7" s="35" t="str">
        <x:f>IF($A7="","",IFERROR(INDEX('Analize meciuri'!$H$4:$H$103,MATCH($A7,'Analize meciuri'!$A$4:$A$103,0)),""))</x:f>
      </x:c>
      <x:c r="E7" s="88" t="str">
        <x:f>IF($A7="","",IFERROR(INDEX('Analize meciuri'!$GP$4:$GP$103,MATCH($A7,'Analize meciuri'!$A$4:$A$103,0)),""))</x:f>
      </x:c>
      <x:c r="F7" s="89" t="str">
        <x:f>IF($A7="","",IFERROR(INDEX('Analize meciuri'!$GT$4:$GT$103,MATCH($A7,'Analize meciuri'!$A$4:$A$103,0)),""))</x:f>
      </x:c>
      <x:c r="G7" s="60"/>
      <x:c r="H7" s="60"/>
      <x:c r="I7" s="24"/>
      <x:c r="J7" s="90" t="str">
        <x:f t="shared" si="0"/>
      </x:c>
      <x:c r="K7" s="90" t="str">
        <x:f t="shared" si="1"/>
      </x:c>
      <x:c r="L7" s="90" t="str">
        <x:f t="shared" si="2"/>
      </x:c>
      <x:c r="M7" s="88" t="str">
        <x:f t="shared" si="3"/>
      </x:c>
      <x:c r="N7" s="25" t="str">
        <x:f>IF($A7="","",IFERROR(INDEX('Analize meciuri'!$GV$4:$GV$103,MATCH($A7,'Analize meciuri'!$A$4:$A$103,0)),""))</x:f>
      </x:c>
      <x:c r="O7" s="1" t="str">
        <x:f>IF($A7="","",IFERROR(INDEX('Analize meciuri'!$GN$4:$GN$103,MATCH($A7,'Analize meciuri'!$A$4:$A$103,0)),""))</x:f>
      </x:c>
      <x:c r="P7" s="8" t="s">
        <x:v>861</x:v>
      </x:c>
      <x:c r="Q7" s="92" t="str">
        <x:f>IFERROR(AVERAGE(K4:K203),"")</x:f>
      </x:c>
      <x:c r="R7" s="1"/>
      <x:c r="S7" s="1"/>
      <x:c r="T7" s="1"/>
      <x:c r="U7" s="139" t="s">
        <x:v>871</x:v>
      </x:c>
      <x:c r="V7" s="139" t="n">
        <x:f>COUNTIF($O$4:$O$203,$U7)</x:f>
        <x:v>0</x:v>
      </x:c>
      <x:c r="W7" s="140" t="str">
        <x:f>IFERROR(AVERAGEIF($O$4:$O$203,$U7,$K$4:$K$203),"")</x:f>
      </x:c>
      <x:c r="X7" s="140" t="str">
        <x:f>IFERROR(AVERAGEIF($O$4:$O$203,$U7,$L$4:$L$203),"")</x:f>
      </x:c>
      <x:c r="Y7" s="140" t="str">
        <x:f>IFERROR(AVERAGEIF($O$4:$O$203,$U7,$E$4:$E$203),"")</x:f>
      </x:c>
      <x:c r="Z7" s="140" t="str">
        <x:f>IFERROR(AVERAGEIF($O$4:$O$203,$U7,$I$4:$I$203),"")</x:f>
      </x:c>
    </x:row>
    <x:row r="8" ht="15">
      <x:c r="A8" s="58"/>
      <x:c r="B8" s="87" t="str">
        <x:f>IF($A8="","",IFERROR(INDEX('Analize meciuri'!$C$4:$C$103,MATCH($A8,'Analize meciuri'!$A$4:$A$103,0)),""))</x:f>
      </x:c>
      <x:c r="C8" s="35" t="str">
        <x:f>IF($A8="","",IFERROR(INDEX('Analize meciuri'!$G$4:$G$103,MATCH($A8,'Analize meciuri'!$A$4:$A$103,0)),""))</x:f>
      </x:c>
      <x:c r="D8" s="35" t="str">
        <x:f>IF($A8="","",IFERROR(INDEX('Analize meciuri'!$H$4:$H$103,MATCH($A8,'Analize meciuri'!$A$4:$A$103,0)),""))</x:f>
      </x:c>
      <x:c r="E8" s="88" t="str">
        <x:f>IF($A8="","",IFERROR(INDEX('Analize meciuri'!$GP$4:$GP$103,MATCH($A8,'Analize meciuri'!$A$4:$A$103,0)),""))</x:f>
      </x:c>
      <x:c r="F8" s="89" t="str">
        <x:f>IF($A8="","",IFERROR(INDEX('Analize meciuri'!$GT$4:$GT$103,MATCH($A8,'Analize meciuri'!$A$4:$A$103,0)),""))</x:f>
      </x:c>
      <x:c r="G8" s="60"/>
      <x:c r="H8" s="60"/>
      <x:c r="I8" s="24"/>
      <x:c r="J8" s="90" t="str">
        <x:f t="shared" si="0"/>
      </x:c>
      <x:c r="K8" s="90" t="str">
        <x:f t="shared" si="1"/>
      </x:c>
      <x:c r="L8" s="90" t="str">
        <x:f t="shared" si="2"/>
      </x:c>
      <x:c r="M8" s="88" t="str">
        <x:f t="shared" si="3"/>
      </x:c>
      <x:c r="N8" s="25" t="str">
        <x:f>IF($A8="","",IFERROR(INDEX('Analize meciuri'!$GV$4:$GV$103,MATCH($A8,'Analize meciuri'!$A$4:$A$103,0)),""))</x:f>
      </x:c>
      <x:c r="O8" s="1" t="str">
        <x:f>IF($A8="","",IFERROR(INDEX('Analize meciuri'!$GN$4:$GN$103,MATCH($A8,'Analize meciuri'!$A$4:$A$103,0)),""))</x:f>
      </x:c>
      <x:c r="P8" s="12" t="s">
        <x:v>872</x:v>
      </x:c>
      <x:c r="Q8" s="93" t="str">
        <x:f>IFERROR(AVERAGE(M4:M203),"")</x:f>
      </x:c>
      <x:c r="R8" s="1"/>
      <x:c r="S8" s="1"/>
      <x:c r="T8" s="1"/>
    </x:row>
    <x:row r="9" ht="15">
      <x:c r="A9" s="58"/>
      <x:c r="B9" s="87" t="str">
        <x:f>IF($A9="","",IFERROR(INDEX('Analize meciuri'!$C$4:$C$103,MATCH($A9,'Analize meciuri'!$A$4:$A$103,0)),""))</x:f>
      </x:c>
      <x:c r="C9" s="35" t="str">
        <x:f>IF($A9="","",IFERROR(INDEX('Analize meciuri'!$G$4:$G$103,MATCH($A9,'Analize meciuri'!$A$4:$A$103,0)),""))</x:f>
      </x:c>
      <x:c r="D9" s="35" t="str">
        <x:f>IF($A9="","",IFERROR(INDEX('Analize meciuri'!$H$4:$H$103,MATCH($A9,'Analize meciuri'!$A$4:$A$103,0)),""))</x:f>
      </x:c>
      <x:c r="E9" s="88" t="str">
        <x:f>IF($A9="","",IFERROR(INDEX('Analize meciuri'!$GP$4:$GP$103,MATCH($A9,'Analize meciuri'!$A$4:$A$103,0)),""))</x:f>
      </x:c>
      <x:c r="F9" s="89" t="str">
        <x:f>IF($A9="","",IFERROR(INDEX('Analize meciuri'!$GT$4:$GT$103,MATCH($A9,'Analize meciuri'!$A$4:$A$103,0)),""))</x:f>
      </x:c>
      <x:c r="G9" s="60"/>
      <x:c r="H9" s="60"/>
      <x:c r="I9" s="24"/>
      <x:c r="J9" s="90" t="str">
        <x:f t="shared" si="0"/>
      </x:c>
      <x:c r="K9" s="90" t="str">
        <x:f t="shared" si="1"/>
      </x:c>
      <x:c r="L9" s="90" t="str">
        <x:f t="shared" si="2"/>
      </x:c>
      <x:c r="M9" s="88" t="str">
        <x:f t="shared" si="3"/>
      </x:c>
      <x:c r="N9" s="25" t="str">
        <x:f>IF($A9="","",IFERROR(INDEX('Analize meciuri'!$GV$4:$GV$103,MATCH($A9,'Analize meciuri'!$A$4:$A$103,0)),""))</x:f>
      </x:c>
      <x:c r="O9" s="1" t="str">
        <x:f>IF($A9="","",IFERROR(INDEX('Analize meciuri'!$GN$4:$GN$103,MATCH($A9,'Analize meciuri'!$A$4:$A$103,0)),""))</x:f>
      </x:c>
      <x:c r="P9" s="1"/>
      <x:c r="Q9" s="1"/>
      <x:c r="R9" s="1"/>
      <x:c r="S9" s="1"/>
      <x:c r="T9" s="1"/>
    </x:row>
    <x:row r="10" ht="30">
      <x:c r="A10" s="58"/>
      <x:c r="B10" s="87" t="str">
        <x:f>IF($A10="","",IFERROR(INDEX('Analize meciuri'!$C$4:$C$103,MATCH($A10,'Analize meciuri'!$A$4:$A$103,0)),""))</x:f>
      </x:c>
      <x:c r="C10" s="35" t="str">
        <x:f>IF($A10="","",IFERROR(INDEX('Analize meciuri'!$G$4:$G$103,MATCH($A10,'Analize meciuri'!$A$4:$A$103,0)),""))</x:f>
      </x:c>
      <x:c r="D10" s="35" t="str">
        <x:f>IF($A10="","",IFERROR(INDEX('Analize meciuri'!$H$4:$H$103,MATCH($A10,'Analize meciuri'!$A$4:$A$103,0)),""))</x:f>
      </x:c>
      <x:c r="E10" s="88" t="str">
        <x:f>IF($A10="","",IFERROR(INDEX('Analize meciuri'!$GP$4:$GP$103,MATCH($A10,'Analize meciuri'!$A$4:$A$103,0)),""))</x:f>
      </x:c>
      <x:c r="F10" s="89" t="str">
        <x:f>IF($A10="","",IFERROR(INDEX('Analize meciuri'!$GT$4:$GT$103,MATCH($A10,'Analize meciuri'!$A$4:$A$103,0)),""))</x:f>
      </x:c>
      <x:c r="G10" s="60"/>
      <x:c r="H10" s="60"/>
      <x:c r="I10" s="24"/>
      <x:c r="J10" s="90" t="str">
        <x:f t="shared" si="0"/>
      </x:c>
      <x:c r="K10" s="90" t="str">
        <x:f t="shared" si="1"/>
      </x:c>
      <x:c r="L10" s="90" t="str">
        <x:f t="shared" si="2"/>
      </x:c>
      <x:c r="M10" s="88" t="str">
        <x:f t="shared" si="3"/>
      </x:c>
      <x:c r="N10" s="25" t="str">
        <x:f>IF($A10="","",IFERROR(INDEX('Analize meciuri'!$GV$4:$GV$103,MATCH($A10,'Analize meciuri'!$A$4:$A$103,0)),""))</x:f>
      </x:c>
      <x:c r="O10" s="1" t="str">
        <x:f>IF($A10="","",IFERROR(INDEX('Analize meciuri'!$GN$4:$GN$103,MATCH($A10,'Analize meciuri'!$A$4:$A$103,0)),""))</x:f>
      </x:c>
      <x:c r="P10" s="2" t="s">
        <x:v>873</x:v>
      </x:c>
      <x:c r="Q10" s="2" t="s">
        <x:v>497</x:v>
      </x:c>
      <x:c r="R10" s="2" t="s">
        <x:v>863</x:v>
      </x:c>
      <x:c r="S10" s="2" t="s">
        <x:v>864</x:v>
      </x:c>
      <x:c r="T10" s="2" t="s">
        <x:v>874</x:v>
      </x:c>
    </x:row>
    <x:row r="11" ht="15">
      <x:c r="A11" s="58"/>
      <x:c r="B11" s="87" t="str">
        <x:f>IF($A11="","",IFERROR(INDEX('Analize meciuri'!$C$4:$C$103,MATCH($A11,'Analize meciuri'!$A$4:$A$103,0)),""))</x:f>
      </x:c>
      <x:c r="C11" s="35" t="str">
        <x:f>IF($A11="","",IFERROR(INDEX('Analize meciuri'!$G$4:$G$103,MATCH($A11,'Analize meciuri'!$A$4:$A$103,0)),""))</x:f>
      </x:c>
      <x:c r="D11" s="35" t="str">
        <x:f>IF($A11="","",IFERROR(INDEX('Analize meciuri'!$H$4:$H$103,MATCH($A11,'Analize meciuri'!$A$4:$A$103,0)),""))</x:f>
      </x:c>
      <x:c r="E11" s="88" t="str">
        <x:f>IF($A11="","",IFERROR(INDEX('Analize meciuri'!$GP$4:$GP$103,MATCH($A11,'Analize meciuri'!$A$4:$A$103,0)),""))</x:f>
      </x:c>
      <x:c r="F11" s="89" t="str">
        <x:f>IF($A11="","",IFERROR(INDEX('Analize meciuri'!$GT$4:$GT$103,MATCH($A11,'Analize meciuri'!$A$4:$A$103,0)),""))</x:f>
      </x:c>
      <x:c r="G11" s="60"/>
      <x:c r="H11" s="60"/>
      <x:c r="I11" s="24"/>
      <x:c r="J11" s="90" t="str">
        <x:f t="shared" si="0"/>
      </x:c>
      <x:c r="K11" s="90" t="str">
        <x:f t="shared" si="1"/>
      </x:c>
      <x:c r="L11" s="90" t="str">
        <x:f t="shared" si="2"/>
      </x:c>
      <x:c r="M11" s="88" t="str">
        <x:f t="shared" si="3"/>
      </x:c>
      <x:c r="N11" s="25" t="str">
        <x:f>IF($A11="","",IFERROR(INDEX('Analize meciuri'!$GV$4:$GV$103,MATCH($A11,'Analize meciuri'!$A$4:$A$103,0)),""))</x:f>
      </x:c>
      <x:c r="O11" s="1" t="str">
        <x:f>IF($A11="","",IFERROR(INDEX('Analize meciuri'!$GN$4:$GN$103,MATCH($A11,'Analize meciuri'!$A$4:$A$103,0)),""))</x:f>
      </x:c>
      <x:c r="P11" s="3" t="s">
        <x:v>875</x:v>
      </x:c>
      <x:c r="Q11" s="34" t="n">
        <x:f>COUNTIFS($E$4:$E$203,"&gt;="&amp;0.75,$E$4:$E$203,"&lt;"&amp;0.8,$I$4:$I$203,"&lt;&gt;")</x:f>
        <x:v>0</x:v>
      </x:c>
      <x:c r="R11" s="84" t="str">
        <x:f>IFERROR(AVERAGEIFS($E$4:$E$203,$E$4:$E$203,"&gt;="&amp;0.75,$E$4:$E$203,"&lt;"&amp;0.8,$I$4:$I$203,"&lt;&gt;"),"")</x:f>
      </x:c>
      <x:c r="S11" s="84" t="str">
        <x:f>IFERROR(AVERAGEIFS($I$4:$I$203,$E$4:$E$203,"&gt;="&amp;0.75,$E$4:$E$203,"&lt;"&amp;0.8),"")</x:f>
      </x:c>
      <x:c r="T11" s="94" t="str">
        <x:f t="shared" ref="T11:T19" si="4">IF(Q11=0,"",S11-R11)</x:f>
      </x:c>
    </x:row>
    <x:row r="12" ht="15">
      <x:c r="A12" s="58"/>
      <x:c r="B12" s="87" t="str">
        <x:f>IF($A12="","",IFERROR(INDEX('Analize meciuri'!$C$4:$C$103,MATCH($A12,'Analize meciuri'!$A$4:$A$103,0)),""))</x:f>
      </x:c>
      <x:c r="C12" s="35" t="str">
        <x:f>IF($A12="","",IFERROR(INDEX('Analize meciuri'!$G$4:$G$103,MATCH($A12,'Analize meciuri'!$A$4:$A$103,0)),""))</x:f>
      </x:c>
      <x:c r="D12" s="35" t="str">
        <x:f>IF($A12="","",IFERROR(INDEX('Analize meciuri'!$H$4:$H$103,MATCH($A12,'Analize meciuri'!$A$4:$A$103,0)),""))</x:f>
      </x:c>
      <x:c r="E12" s="88" t="str">
        <x:f>IF($A12="","",IFERROR(INDEX('Analize meciuri'!$GP$4:$GP$103,MATCH($A12,'Analize meciuri'!$A$4:$A$103,0)),""))</x:f>
      </x:c>
      <x:c r="F12" s="89" t="str">
        <x:f>IF($A12="","",IFERROR(INDEX('Analize meciuri'!$GT$4:$GT$103,MATCH($A12,'Analize meciuri'!$A$4:$A$103,0)),""))</x:f>
      </x:c>
      <x:c r="G12" s="60"/>
      <x:c r="H12" s="60"/>
      <x:c r="I12" s="24"/>
      <x:c r="J12" s="90" t="str">
        <x:f t="shared" si="0"/>
      </x:c>
      <x:c r="K12" s="90" t="str">
        <x:f t="shared" si="1"/>
      </x:c>
      <x:c r="L12" s="90" t="str">
        <x:f t="shared" si="2"/>
      </x:c>
      <x:c r="M12" s="88" t="str">
        <x:f t="shared" si="3"/>
      </x:c>
      <x:c r="N12" s="25" t="str">
        <x:f>IF($A12="","",IFERROR(INDEX('Analize meciuri'!$GV$4:$GV$103,MATCH($A12,'Analize meciuri'!$A$4:$A$103,0)),""))</x:f>
      </x:c>
      <x:c r="O12" s="1" t="str">
        <x:f>IF($A12="","",IFERROR(INDEX('Analize meciuri'!$GN$4:$GN$103,MATCH($A12,'Analize meciuri'!$A$4:$A$103,0)),""))</x:f>
      </x:c>
      <x:c r="P12" s="8" t="s">
        <x:v>876</x:v>
      </x:c>
      <x:c r="Q12" s="35" t="n">
        <x:f>COUNTIFS($E$4:$E$203,"&gt;="&amp;0.8,$E$4:$E$203,"&lt;"&amp;0.85,$I$4:$I$203,"&lt;&gt;")</x:f>
        <x:v>0</x:v>
      </x:c>
      <x:c r="R12" s="88" t="str">
        <x:f>IFERROR(AVERAGEIFS($E$4:$E$203,$E$4:$E$203,"&gt;="&amp;0.8,$E$4:$E$203,"&lt;"&amp;0.85,$I$4:$I$203,"&lt;&gt;"),"")</x:f>
      </x:c>
      <x:c r="S12" s="88" t="str">
        <x:f>IFERROR(AVERAGEIFS($I$4:$I$203,$E$4:$E$203,"&gt;="&amp;0.8,$E$4:$E$203,"&lt;"&amp;0.85),"")</x:f>
      </x:c>
      <x:c r="T12" s="91" t="str">
        <x:f t="shared" si="4"/>
      </x:c>
    </x:row>
    <x:row r="13" ht="15">
      <x:c r="A13" s="58"/>
      <x:c r="B13" s="87" t="str">
        <x:f>IF($A13="","",IFERROR(INDEX('Analize meciuri'!$C$4:$C$103,MATCH($A13,'Analize meciuri'!$A$4:$A$103,0)),""))</x:f>
      </x:c>
      <x:c r="C13" s="35" t="str">
        <x:f>IF($A13="","",IFERROR(INDEX('Analize meciuri'!$G$4:$G$103,MATCH($A13,'Analize meciuri'!$A$4:$A$103,0)),""))</x:f>
      </x:c>
      <x:c r="D13" s="35" t="str">
        <x:f>IF($A13="","",IFERROR(INDEX('Analize meciuri'!$H$4:$H$103,MATCH($A13,'Analize meciuri'!$A$4:$A$103,0)),""))</x:f>
      </x:c>
      <x:c r="E13" s="88" t="str">
        <x:f>IF($A13="","",IFERROR(INDEX('Analize meciuri'!$GP$4:$GP$103,MATCH($A13,'Analize meciuri'!$A$4:$A$103,0)),""))</x:f>
      </x:c>
      <x:c r="F13" s="89" t="str">
        <x:f>IF($A13="","",IFERROR(INDEX('Analize meciuri'!$GT$4:$GT$103,MATCH($A13,'Analize meciuri'!$A$4:$A$103,0)),""))</x:f>
      </x:c>
      <x:c r="G13" s="60"/>
      <x:c r="H13" s="60"/>
      <x:c r="I13" s="24"/>
      <x:c r="J13" s="90" t="str">
        <x:f t="shared" si="0"/>
      </x:c>
      <x:c r="K13" s="90" t="str">
        <x:f t="shared" si="1"/>
      </x:c>
      <x:c r="L13" s="90" t="str">
        <x:f t="shared" si="2"/>
      </x:c>
      <x:c r="M13" s="88" t="str">
        <x:f t="shared" si="3"/>
      </x:c>
      <x:c r="N13" s="25" t="str">
        <x:f>IF($A13="","",IFERROR(INDEX('Analize meciuri'!$GV$4:$GV$103,MATCH($A13,'Analize meciuri'!$A$4:$A$103,0)),""))</x:f>
      </x:c>
      <x:c r="O13" s="1" t="str">
        <x:f>IF($A13="","",IFERROR(INDEX('Analize meciuri'!$GN$4:$GN$103,MATCH($A13,'Analize meciuri'!$A$4:$A$103,0)),""))</x:f>
      </x:c>
      <x:c r="P13" s="8" t="s">
        <x:v>877</x:v>
      </x:c>
      <x:c r="Q13" s="35" t="n">
        <x:f>COUNTIFS($E$4:$E$203,"&gt;="&amp;0.85,$E$4:$E$203,"&lt;"&amp;0.88,$I$4:$I$203,"&lt;&gt;")</x:f>
        <x:v>0</x:v>
      </x:c>
      <x:c r="R13" s="88" t="str">
        <x:f>IFERROR(AVERAGEIFS($E$4:$E$203,$E$4:$E$203,"&gt;="&amp;0.85,$E$4:$E$203,"&lt;"&amp;0.88,$I$4:$I$203,"&lt;&gt;"),"")</x:f>
      </x:c>
      <x:c r="S13" s="88" t="str">
        <x:f>IFERROR(AVERAGEIFS($I$4:$I$203,$E$4:$E$203,"&gt;="&amp;0.85,$E$4:$E$203,"&lt;"&amp;0.88),"")</x:f>
      </x:c>
      <x:c r="T13" s="91" t="str">
        <x:f t="shared" si="4"/>
      </x:c>
    </x:row>
    <x:row r="14" ht="15">
      <x:c r="A14" s="58"/>
      <x:c r="B14" s="87" t="str">
        <x:f>IF($A14="","",IFERROR(INDEX('Analize meciuri'!$C$4:$C$103,MATCH($A14,'Analize meciuri'!$A$4:$A$103,0)),""))</x:f>
      </x:c>
      <x:c r="C14" s="35" t="str">
        <x:f>IF($A14="","",IFERROR(INDEX('Analize meciuri'!$G$4:$G$103,MATCH($A14,'Analize meciuri'!$A$4:$A$103,0)),""))</x:f>
      </x:c>
      <x:c r="D14" s="35" t="str">
        <x:f>IF($A14="","",IFERROR(INDEX('Analize meciuri'!$H$4:$H$103,MATCH($A14,'Analize meciuri'!$A$4:$A$103,0)),""))</x:f>
      </x:c>
      <x:c r="E14" s="88" t="str">
        <x:f>IF($A14="","",IFERROR(INDEX('Analize meciuri'!$GP$4:$GP$103,MATCH($A14,'Analize meciuri'!$A$4:$A$103,0)),""))</x:f>
      </x:c>
      <x:c r="F14" s="89" t="str">
        <x:f>IF($A14="","",IFERROR(INDEX('Analize meciuri'!$GT$4:$GT$103,MATCH($A14,'Analize meciuri'!$A$4:$A$103,0)),""))</x:f>
      </x:c>
      <x:c r="G14" s="60"/>
      <x:c r="H14" s="60"/>
      <x:c r="I14" s="24"/>
      <x:c r="J14" s="90" t="str">
        <x:f t="shared" si="0"/>
      </x:c>
      <x:c r="K14" s="90" t="str">
        <x:f t="shared" si="1"/>
      </x:c>
      <x:c r="L14" s="90" t="str">
        <x:f t="shared" si="2"/>
      </x:c>
      <x:c r="M14" s="88" t="str">
        <x:f t="shared" si="3"/>
      </x:c>
      <x:c r="N14" s="25" t="str">
        <x:f>IF($A14="","",IFERROR(INDEX('Analize meciuri'!$GV$4:$GV$103,MATCH($A14,'Analize meciuri'!$A$4:$A$103,0)),""))</x:f>
      </x:c>
      <x:c r="O14" s="1" t="str">
        <x:f>IF($A14="","",IFERROR(INDEX('Analize meciuri'!$GN$4:$GN$103,MATCH($A14,'Analize meciuri'!$A$4:$A$103,0)),""))</x:f>
      </x:c>
      <x:c r="P14" s="8" t="s">
        <x:v>878</x:v>
      </x:c>
      <x:c r="Q14" s="35" t="n">
        <x:f>COUNTIFS($E$4:$E$203,"&gt;="&amp;0.88,$E$4:$E$203,"&lt;"&amp;0.9,$I$4:$I$203,"&lt;&gt;")</x:f>
        <x:v>0</x:v>
      </x:c>
      <x:c r="R14" s="88" t="str">
        <x:f>IFERROR(AVERAGEIFS($E$4:$E$203,$E$4:$E$203,"&gt;="&amp;0.88,$E$4:$E$203,"&lt;"&amp;0.9,$I$4:$I$203,"&lt;&gt;"),"")</x:f>
      </x:c>
      <x:c r="S14" s="88" t="str">
        <x:f>IFERROR(AVERAGEIFS($I$4:$I$203,$E$4:$E$203,"&gt;="&amp;0.88,$E$4:$E$203,"&lt;"&amp;0.9),"")</x:f>
      </x:c>
      <x:c r="T14" s="91" t="str">
        <x:f t="shared" si="4"/>
      </x:c>
    </x:row>
    <x:row r="15" ht="15">
      <x:c r="A15" s="58"/>
      <x:c r="B15" s="87" t="str">
        <x:f>IF($A15="","",IFERROR(INDEX('Analize meciuri'!$C$4:$C$103,MATCH($A15,'Analize meciuri'!$A$4:$A$103,0)),""))</x:f>
      </x:c>
      <x:c r="C15" s="35" t="str">
        <x:f>IF($A15="","",IFERROR(INDEX('Analize meciuri'!$G$4:$G$103,MATCH($A15,'Analize meciuri'!$A$4:$A$103,0)),""))</x:f>
      </x:c>
      <x:c r="D15" s="35" t="str">
        <x:f>IF($A15="","",IFERROR(INDEX('Analize meciuri'!$H$4:$H$103,MATCH($A15,'Analize meciuri'!$A$4:$A$103,0)),""))</x:f>
      </x:c>
      <x:c r="E15" s="88" t="str">
        <x:f>IF($A15="","",IFERROR(INDEX('Analize meciuri'!$GP$4:$GP$103,MATCH($A15,'Analize meciuri'!$A$4:$A$103,0)),""))</x:f>
      </x:c>
      <x:c r="F15" s="89" t="str">
        <x:f>IF($A15="","",IFERROR(INDEX('Analize meciuri'!$GT$4:$GT$103,MATCH($A15,'Analize meciuri'!$A$4:$A$103,0)),""))</x:f>
      </x:c>
      <x:c r="G15" s="60"/>
      <x:c r="H15" s="60"/>
      <x:c r="I15" s="24"/>
      <x:c r="J15" s="90" t="str">
        <x:f t="shared" si="0"/>
      </x:c>
      <x:c r="K15" s="90" t="str">
        <x:f t="shared" si="1"/>
      </x:c>
      <x:c r="L15" s="90" t="str">
        <x:f t="shared" si="2"/>
      </x:c>
      <x:c r="M15" s="88" t="str">
        <x:f t="shared" si="3"/>
      </x:c>
      <x:c r="N15" s="25" t="str">
        <x:f>IF($A15="","",IFERROR(INDEX('Analize meciuri'!$GV$4:$GV$103,MATCH($A15,'Analize meciuri'!$A$4:$A$103,0)),""))</x:f>
      </x:c>
      <x:c r="O15" s="1" t="str">
        <x:f>IF($A15="","",IFERROR(INDEX('Analize meciuri'!$GN$4:$GN$103,MATCH($A15,'Analize meciuri'!$A$4:$A$103,0)),""))</x:f>
      </x:c>
      <x:c r="P15" s="8" t="s">
        <x:v>879</x:v>
      </x:c>
      <x:c r="Q15" s="35" t="n">
        <x:f>COUNTIFS($E$4:$E$203,"&gt;="&amp;0.9,$E$4:$E$203,"&lt;"&amp;0.92,$I$4:$I$203,"&lt;&gt;")</x:f>
        <x:v>0</x:v>
      </x:c>
      <x:c r="R15" s="88" t="str">
        <x:f>IFERROR(AVERAGEIFS($E$4:$E$203,$E$4:$E$203,"&gt;="&amp;0.9,$E$4:$E$203,"&lt;"&amp;0.92,$I$4:$I$203,"&lt;&gt;"),"")</x:f>
      </x:c>
      <x:c r="S15" s="88" t="str">
        <x:f>IFERROR(AVERAGEIFS($I$4:$I$203,$E$4:$E$203,"&gt;="&amp;0.9,$E$4:$E$203,"&lt;"&amp;0.92),"")</x:f>
      </x:c>
      <x:c r="T15" s="91" t="str">
        <x:f t="shared" si="4"/>
      </x:c>
    </x:row>
    <x:row r="16" ht="15">
      <x:c r="A16" s="58"/>
      <x:c r="B16" s="87" t="str">
        <x:f>IF($A16="","",IFERROR(INDEX('Analize meciuri'!$C$4:$C$103,MATCH($A16,'Analize meciuri'!$A$4:$A$103,0)),""))</x:f>
      </x:c>
      <x:c r="C16" s="35" t="str">
        <x:f>IF($A16="","",IFERROR(INDEX('Analize meciuri'!$G$4:$G$103,MATCH($A16,'Analize meciuri'!$A$4:$A$103,0)),""))</x:f>
      </x:c>
      <x:c r="D16" s="35" t="str">
        <x:f>IF($A16="","",IFERROR(INDEX('Analize meciuri'!$H$4:$H$103,MATCH($A16,'Analize meciuri'!$A$4:$A$103,0)),""))</x:f>
      </x:c>
      <x:c r="E16" s="88" t="str">
        <x:f>IF($A16="","",IFERROR(INDEX('Analize meciuri'!$GP$4:$GP$103,MATCH($A16,'Analize meciuri'!$A$4:$A$103,0)),""))</x:f>
      </x:c>
      <x:c r="F16" s="89" t="str">
        <x:f>IF($A16="","",IFERROR(INDEX('Analize meciuri'!$GT$4:$GT$103,MATCH($A16,'Analize meciuri'!$A$4:$A$103,0)),""))</x:f>
      </x:c>
      <x:c r="G16" s="60"/>
      <x:c r="H16" s="60"/>
      <x:c r="I16" s="24"/>
      <x:c r="J16" s="90" t="str">
        <x:f t="shared" si="0"/>
      </x:c>
      <x:c r="K16" s="90" t="str">
        <x:f t="shared" si="1"/>
      </x:c>
      <x:c r="L16" s="90" t="str">
        <x:f t="shared" si="2"/>
      </x:c>
      <x:c r="M16" s="88" t="str">
        <x:f t="shared" si="3"/>
      </x:c>
      <x:c r="N16" s="25" t="str">
        <x:f>IF($A16="","",IFERROR(INDEX('Analize meciuri'!$GV$4:$GV$103,MATCH($A16,'Analize meciuri'!$A$4:$A$103,0)),""))</x:f>
      </x:c>
      <x:c r="O16" s="1" t="str">
        <x:f>IF($A16="","",IFERROR(INDEX('Analize meciuri'!$GN$4:$GN$103,MATCH($A16,'Analize meciuri'!$A$4:$A$103,0)),""))</x:f>
      </x:c>
      <x:c r="P16" s="8" t="s">
        <x:v>880</x:v>
      </x:c>
      <x:c r="Q16" s="35" t="n">
        <x:f>COUNTIFS($E$4:$E$203,"&gt;="&amp;0.92,$E$4:$E$203,"&lt;"&amp;0.94,$I$4:$I$203,"&lt;&gt;")</x:f>
        <x:v>0</x:v>
      </x:c>
      <x:c r="R16" s="88" t="str">
        <x:f>IFERROR(AVERAGEIFS($E$4:$E$203,$E$4:$E$203,"&gt;="&amp;0.92,$E$4:$E$203,"&lt;"&amp;0.94,$I$4:$I$203,"&lt;&gt;"),"")</x:f>
      </x:c>
      <x:c r="S16" s="88" t="str">
        <x:f>IFERROR(AVERAGEIFS($I$4:$I$203,$E$4:$E$203,"&gt;="&amp;0.92,$E$4:$E$203,"&lt;"&amp;0.94),"")</x:f>
      </x:c>
      <x:c r="T16" s="91" t="str">
        <x:f t="shared" si="4"/>
      </x:c>
    </x:row>
    <x:row r="17" ht="15">
      <x:c r="A17" s="58"/>
      <x:c r="B17" s="87" t="str">
        <x:f>IF($A17="","",IFERROR(INDEX('Analize meciuri'!$C$4:$C$103,MATCH($A17,'Analize meciuri'!$A$4:$A$103,0)),""))</x:f>
      </x:c>
      <x:c r="C17" s="35" t="str">
        <x:f>IF($A17="","",IFERROR(INDEX('Analize meciuri'!$G$4:$G$103,MATCH($A17,'Analize meciuri'!$A$4:$A$103,0)),""))</x:f>
      </x:c>
      <x:c r="D17" s="35" t="str">
        <x:f>IF($A17="","",IFERROR(INDEX('Analize meciuri'!$H$4:$H$103,MATCH($A17,'Analize meciuri'!$A$4:$A$103,0)),""))</x:f>
      </x:c>
      <x:c r="E17" s="88" t="str">
        <x:f>IF($A17="","",IFERROR(INDEX('Analize meciuri'!$GP$4:$GP$103,MATCH($A17,'Analize meciuri'!$A$4:$A$103,0)),""))</x:f>
      </x:c>
      <x:c r="F17" s="89" t="str">
        <x:f>IF($A17="","",IFERROR(INDEX('Analize meciuri'!$GT$4:$GT$103,MATCH($A17,'Analize meciuri'!$A$4:$A$103,0)),""))</x:f>
      </x:c>
      <x:c r="G17" s="60"/>
      <x:c r="H17" s="60"/>
      <x:c r="I17" s="24"/>
      <x:c r="J17" s="90" t="str">
        <x:f t="shared" si="0"/>
      </x:c>
      <x:c r="K17" s="90" t="str">
        <x:f t="shared" si="1"/>
      </x:c>
      <x:c r="L17" s="90" t="str">
        <x:f t="shared" si="2"/>
      </x:c>
      <x:c r="M17" s="88" t="str">
        <x:f t="shared" si="3"/>
      </x:c>
      <x:c r="N17" s="25" t="str">
        <x:f>IF($A17="","",IFERROR(INDEX('Analize meciuri'!$GV$4:$GV$103,MATCH($A17,'Analize meciuri'!$A$4:$A$103,0)),""))</x:f>
      </x:c>
      <x:c r="O17" s="1" t="str">
        <x:f>IF($A17="","",IFERROR(INDEX('Analize meciuri'!$GN$4:$GN$103,MATCH($A17,'Analize meciuri'!$A$4:$A$103,0)),""))</x:f>
      </x:c>
      <x:c r="P17" s="8" t="s">
        <x:v>881</x:v>
      </x:c>
      <x:c r="Q17" s="35" t="n">
        <x:f>COUNTIFS($E$4:$E$203,"&gt;="&amp;0.94,$E$4:$E$203,"&lt;"&amp;0.96,$I$4:$I$203,"&lt;&gt;")</x:f>
        <x:v>0</x:v>
      </x:c>
      <x:c r="R17" s="88" t="str">
        <x:f>IFERROR(AVERAGEIFS($E$4:$E$203,$E$4:$E$203,"&gt;="&amp;0.94,$E$4:$E$203,"&lt;"&amp;0.96,$I$4:$I$203,"&lt;&gt;"),"")</x:f>
      </x:c>
      <x:c r="S17" s="88" t="str">
        <x:f>IFERROR(AVERAGEIFS($I$4:$I$203,$E$4:$E$203,"&gt;="&amp;0.94,$E$4:$E$203,"&lt;"&amp;0.96),"")</x:f>
      </x:c>
      <x:c r="T17" s="91" t="str">
        <x:f t="shared" si="4"/>
      </x:c>
    </x:row>
    <x:row r="18" ht="15">
      <x:c r="A18" s="58"/>
      <x:c r="B18" s="87" t="str">
        <x:f>IF($A18="","",IFERROR(INDEX('Analize meciuri'!$C$4:$C$103,MATCH($A18,'Analize meciuri'!$A$4:$A$103,0)),""))</x:f>
      </x:c>
      <x:c r="C18" s="35" t="str">
        <x:f>IF($A18="","",IFERROR(INDEX('Analize meciuri'!$G$4:$G$103,MATCH($A18,'Analize meciuri'!$A$4:$A$103,0)),""))</x:f>
      </x:c>
      <x:c r="D18" s="35" t="str">
        <x:f>IF($A18="","",IFERROR(INDEX('Analize meciuri'!$H$4:$H$103,MATCH($A18,'Analize meciuri'!$A$4:$A$103,0)),""))</x:f>
      </x:c>
      <x:c r="E18" s="88" t="str">
        <x:f>IF($A18="","",IFERROR(INDEX('Analize meciuri'!$GP$4:$GP$103,MATCH($A18,'Analize meciuri'!$A$4:$A$103,0)),""))</x:f>
      </x:c>
      <x:c r="F18" s="89" t="str">
        <x:f>IF($A18="","",IFERROR(INDEX('Analize meciuri'!$GT$4:$GT$103,MATCH($A18,'Analize meciuri'!$A$4:$A$103,0)),""))</x:f>
      </x:c>
      <x:c r="G18" s="60"/>
      <x:c r="H18" s="60"/>
      <x:c r="I18" s="24"/>
      <x:c r="J18" s="90" t="str">
        <x:f t="shared" si="0"/>
      </x:c>
      <x:c r="K18" s="90" t="str">
        <x:f t="shared" si="1"/>
      </x:c>
      <x:c r="L18" s="90" t="str">
        <x:f t="shared" si="2"/>
      </x:c>
      <x:c r="M18" s="88" t="str">
        <x:f t="shared" si="3"/>
      </x:c>
      <x:c r="N18" s="25" t="str">
        <x:f>IF($A18="","",IFERROR(INDEX('Analize meciuri'!$GV$4:$GV$103,MATCH($A18,'Analize meciuri'!$A$4:$A$103,0)),""))</x:f>
      </x:c>
      <x:c r="O18" s="1" t="str">
        <x:f>IF($A18="","",IFERROR(INDEX('Analize meciuri'!$GN$4:$GN$103,MATCH($A18,'Analize meciuri'!$A$4:$A$103,0)),""))</x:f>
      </x:c>
      <x:c r="P18" s="8" t="s">
        <x:v>882</x:v>
      </x:c>
      <x:c r="Q18" s="35" t="n">
        <x:f>COUNTIFS($E$4:$E$203,"&gt;="&amp;0.96,$E$4:$E$203,"&lt;"&amp;0.98,$I$4:$I$203,"&lt;&gt;")</x:f>
        <x:v>0</x:v>
      </x:c>
      <x:c r="R18" s="88" t="str">
        <x:f>IFERROR(AVERAGEIFS($E$4:$E$203,$E$4:$E$203,"&gt;="&amp;0.96,$E$4:$E$203,"&lt;"&amp;0.98,$I$4:$I$203,"&lt;&gt;"),"")</x:f>
      </x:c>
      <x:c r="S18" s="88" t="str">
        <x:f>IFERROR(AVERAGEIFS($I$4:$I$203,$E$4:$E$203,"&gt;="&amp;0.96,$E$4:$E$203,"&lt;"&amp;0.98),"")</x:f>
      </x:c>
      <x:c r="T18" s="91" t="str">
        <x:f t="shared" si="4"/>
      </x:c>
    </x:row>
    <x:row r="19" ht="15">
      <x:c r="A19" s="58"/>
      <x:c r="B19" s="87" t="str">
        <x:f>IF($A19="","",IFERROR(INDEX('Analize meciuri'!$C$4:$C$103,MATCH($A19,'Analize meciuri'!$A$4:$A$103,0)),""))</x:f>
      </x:c>
      <x:c r="C19" s="35" t="str">
        <x:f>IF($A19="","",IFERROR(INDEX('Analize meciuri'!$G$4:$G$103,MATCH($A19,'Analize meciuri'!$A$4:$A$103,0)),""))</x:f>
      </x:c>
      <x:c r="D19" s="35" t="str">
        <x:f>IF($A19="","",IFERROR(INDEX('Analize meciuri'!$H$4:$H$103,MATCH($A19,'Analize meciuri'!$A$4:$A$103,0)),""))</x:f>
      </x:c>
      <x:c r="E19" s="88" t="str">
        <x:f>IF($A19="","",IFERROR(INDEX('Analize meciuri'!$GP$4:$GP$103,MATCH($A19,'Analize meciuri'!$A$4:$A$103,0)),""))</x:f>
      </x:c>
      <x:c r="F19" s="89" t="str">
        <x:f>IF($A19="","",IFERROR(INDEX('Analize meciuri'!$GT$4:$GT$103,MATCH($A19,'Analize meciuri'!$A$4:$A$103,0)),""))</x:f>
      </x:c>
      <x:c r="G19" s="60"/>
      <x:c r="H19" s="60"/>
      <x:c r="I19" s="24"/>
      <x:c r="J19" s="90" t="str">
        <x:f t="shared" si="0"/>
      </x:c>
      <x:c r="K19" s="90" t="str">
        <x:f t="shared" si="1"/>
      </x:c>
      <x:c r="L19" s="90" t="str">
        <x:f t="shared" si="2"/>
      </x:c>
      <x:c r="M19" s="88" t="str">
        <x:f t="shared" si="3"/>
      </x:c>
      <x:c r="N19" s="25" t="str">
        <x:f>IF($A19="","",IFERROR(INDEX('Analize meciuri'!$GV$4:$GV$103,MATCH($A19,'Analize meciuri'!$A$4:$A$103,0)),""))</x:f>
      </x:c>
      <x:c r="O19" s="1" t="str">
        <x:f>IF($A19="","",IFERROR(INDEX('Analize meciuri'!$GN$4:$GN$103,MATCH($A19,'Analize meciuri'!$A$4:$A$103,0)),""))</x:f>
      </x:c>
      <x:c r="P19" s="12" t="s">
        <x:v>883</x:v>
      </x:c>
      <x:c r="Q19" s="36" t="n">
        <x:f>COUNTIFS($E$4:$E$203,"&gt;="&amp;0.98,$E$4:$E$203,"&lt;"&amp;1.001,$I$4:$I$203,"&lt;&gt;")</x:f>
        <x:v>0</x:v>
      </x:c>
      <x:c r="R19" s="95" t="str">
        <x:f>IFERROR(AVERAGEIFS($E$4:$E$203,$E$4:$E$203,"&gt;="&amp;0.98,$E$4:$E$203,"&lt;"&amp;1.001,$I$4:$I$203,"&lt;&gt;"),"")</x:f>
      </x:c>
      <x:c r="S19" s="95" t="str">
        <x:f>IFERROR(AVERAGEIFS($I$4:$I$203,$E$4:$E$203,"&gt;="&amp;0.98,$E$4:$E$203,"&lt;"&amp;1.001),"")</x:f>
      </x:c>
      <x:c r="T19" s="93" t="str">
        <x:f t="shared" si="4"/>
      </x:c>
    </x:row>
    <x:row r="20" ht="15">
      <x:c r="A20" s="58"/>
      <x:c r="B20" s="87" t="str">
        <x:f>IF($A20="","",IFERROR(INDEX('Analize meciuri'!$C$4:$C$103,MATCH($A20,'Analize meciuri'!$A$4:$A$103,0)),""))</x:f>
      </x:c>
      <x:c r="C20" s="35" t="str">
        <x:f>IF($A20="","",IFERROR(INDEX('Analize meciuri'!$G$4:$G$103,MATCH($A20,'Analize meciuri'!$A$4:$A$103,0)),""))</x:f>
      </x:c>
      <x:c r="D20" s="35" t="str">
        <x:f>IF($A20="","",IFERROR(INDEX('Analize meciuri'!$H$4:$H$103,MATCH($A20,'Analize meciuri'!$A$4:$A$103,0)),""))</x:f>
      </x:c>
      <x:c r="E20" s="88" t="str">
        <x:f>IF($A20="","",IFERROR(INDEX('Analize meciuri'!$GP$4:$GP$103,MATCH($A20,'Analize meciuri'!$A$4:$A$103,0)),""))</x:f>
      </x:c>
      <x:c r="F20" s="89" t="str">
        <x:f>IF($A20="","",IFERROR(INDEX('Analize meciuri'!$GT$4:$GT$103,MATCH($A20,'Analize meciuri'!$A$4:$A$103,0)),""))</x:f>
      </x:c>
      <x:c r="G20" s="60"/>
      <x:c r="H20" s="60"/>
      <x:c r="I20" s="24"/>
      <x:c r="J20" s="90" t="str">
        <x:f t="shared" si="0"/>
      </x:c>
      <x:c r="K20" s="90" t="str">
        <x:f t="shared" si="1"/>
      </x:c>
      <x:c r="L20" s="90" t="str">
        <x:f t="shared" si="2"/>
      </x:c>
      <x:c r="M20" s="88" t="str">
        <x:f t="shared" si="3"/>
      </x:c>
      <x:c r="N20" s="25" t="str">
        <x:f>IF($A20="","",IFERROR(INDEX('Analize meciuri'!$GV$4:$GV$103,MATCH($A20,'Analize meciuri'!$A$4:$A$103,0)),""))</x:f>
      </x:c>
      <x:c r="O20" s="1" t="str">
        <x:f>IF($A20="","",IFERROR(INDEX('Analize meciuri'!$GN$4:$GN$103,MATCH($A20,'Analize meciuri'!$A$4:$A$103,0)),""))</x:f>
      </x:c>
      <x:c r="P20" s="1"/>
      <x:c r="Q20" s="1"/>
      <x:c r="R20" s="1"/>
      <x:c r="S20" s="1"/>
      <x:c r="T20" s="1"/>
    </x:row>
    <x:row r="21" ht="15">
      <x:c r="A21" s="58"/>
      <x:c r="B21" s="87" t="str">
        <x:f>IF($A21="","",IFERROR(INDEX('Analize meciuri'!$C$4:$C$103,MATCH($A21,'Analize meciuri'!$A$4:$A$103,0)),""))</x:f>
      </x:c>
      <x:c r="C21" s="35" t="str">
        <x:f>IF($A21="","",IFERROR(INDEX('Analize meciuri'!$G$4:$G$103,MATCH($A21,'Analize meciuri'!$A$4:$A$103,0)),""))</x:f>
      </x:c>
      <x:c r="D21" s="35" t="str">
        <x:f>IF($A21="","",IFERROR(INDEX('Analize meciuri'!$H$4:$H$103,MATCH($A21,'Analize meciuri'!$A$4:$A$103,0)),""))</x:f>
      </x:c>
      <x:c r="E21" s="88" t="str">
        <x:f>IF($A21="","",IFERROR(INDEX('Analize meciuri'!$GP$4:$GP$103,MATCH($A21,'Analize meciuri'!$A$4:$A$103,0)),""))</x:f>
      </x:c>
      <x:c r="F21" s="89" t="str">
        <x:f>IF($A21="","",IFERROR(INDEX('Analize meciuri'!$GT$4:$GT$103,MATCH($A21,'Analize meciuri'!$A$4:$A$103,0)),""))</x:f>
      </x:c>
      <x:c r="G21" s="60"/>
      <x:c r="H21" s="60"/>
      <x:c r="I21" s="24"/>
      <x:c r="J21" s="90" t="str">
        <x:f t="shared" si="0"/>
      </x:c>
      <x:c r="K21" s="90" t="str">
        <x:f t="shared" si="1"/>
      </x:c>
      <x:c r="L21" s="90" t="str">
        <x:f t="shared" si="2"/>
      </x:c>
      <x:c r="M21" s="88" t="str">
        <x:f t="shared" si="3"/>
      </x:c>
      <x:c r="N21" s="25" t="str">
        <x:f>IF($A21="","",IFERROR(INDEX('Analize meciuri'!$GV$4:$GV$103,MATCH($A21,'Analize meciuri'!$A$4:$A$103,0)),""))</x:f>
      </x:c>
      <x:c r="O21" s="1" t="str">
        <x:f>IF($A21="","",IFERROR(INDEX('Analize meciuri'!$GN$4:$GN$103,MATCH($A21,'Analize meciuri'!$A$4:$A$103,0)),""))</x:f>
      </x:c>
      <x:c r="P21" s="1"/>
      <x:c r="Q21" s="1"/>
      <x:c r="R21" s="1"/>
      <x:c r="S21" s="1"/>
      <x:c r="T21" s="1"/>
    </x:row>
    <x:row r="22" ht="15">
      <x:c r="A22" s="58"/>
      <x:c r="B22" s="87" t="str">
        <x:f>IF($A22="","",IFERROR(INDEX('Analize meciuri'!$C$4:$C$103,MATCH($A22,'Analize meciuri'!$A$4:$A$103,0)),""))</x:f>
      </x:c>
      <x:c r="C22" s="35" t="str">
        <x:f>IF($A22="","",IFERROR(INDEX('Analize meciuri'!$G$4:$G$103,MATCH($A22,'Analize meciuri'!$A$4:$A$103,0)),""))</x:f>
      </x:c>
      <x:c r="D22" s="35" t="str">
        <x:f>IF($A22="","",IFERROR(INDEX('Analize meciuri'!$H$4:$H$103,MATCH($A22,'Analize meciuri'!$A$4:$A$103,0)),""))</x:f>
      </x:c>
      <x:c r="E22" s="88" t="str">
        <x:f>IF($A22="","",IFERROR(INDEX('Analize meciuri'!$GP$4:$GP$103,MATCH($A22,'Analize meciuri'!$A$4:$A$103,0)),""))</x:f>
      </x:c>
      <x:c r="F22" s="89" t="str">
        <x:f>IF($A22="","",IFERROR(INDEX('Analize meciuri'!$GT$4:$GT$103,MATCH($A22,'Analize meciuri'!$A$4:$A$103,0)),""))</x:f>
      </x:c>
      <x:c r="G22" s="60"/>
      <x:c r="H22" s="60"/>
      <x:c r="I22" s="24"/>
      <x:c r="J22" s="90" t="str">
        <x:f t="shared" si="0"/>
      </x:c>
      <x:c r="K22" s="90" t="str">
        <x:f t="shared" si="1"/>
      </x:c>
      <x:c r="L22" s="90" t="str">
        <x:f t="shared" si="2"/>
      </x:c>
      <x:c r="M22" s="88" t="str">
        <x:f t="shared" si="3"/>
      </x:c>
      <x:c r="N22" s="25" t="str">
        <x:f>IF($A22="","",IFERROR(INDEX('Analize meciuri'!$GV$4:$GV$103,MATCH($A22,'Analize meciuri'!$A$4:$A$103,0)),""))</x:f>
      </x:c>
      <x:c r="O22" s="1" t="str">
        <x:f>IF($A22="","",IFERROR(INDEX('Analize meciuri'!$GN$4:$GN$103,MATCH($A22,'Analize meciuri'!$A$4:$A$103,0)),""))</x:f>
      </x:c>
      <x:c r="P22" s="1"/>
      <x:c r="Q22" s="1"/>
      <x:c r="R22" s="1"/>
      <x:c r="S22" s="1"/>
      <x:c r="T22" s="1"/>
    </x:row>
    <x:row r="23" ht="15">
      <x:c r="A23" s="58"/>
      <x:c r="B23" s="87" t="str">
        <x:f>IF($A23="","",IFERROR(INDEX('Analize meciuri'!$C$4:$C$103,MATCH($A23,'Analize meciuri'!$A$4:$A$103,0)),""))</x:f>
      </x:c>
      <x:c r="C23" s="35" t="str">
        <x:f>IF($A23="","",IFERROR(INDEX('Analize meciuri'!$G$4:$G$103,MATCH($A23,'Analize meciuri'!$A$4:$A$103,0)),""))</x:f>
      </x:c>
      <x:c r="D23" s="35" t="str">
        <x:f>IF($A23="","",IFERROR(INDEX('Analize meciuri'!$H$4:$H$103,MATCH($A23,'Analize meciuri'!$A$4:$A$103,0)),""))</x:f>
      </x:c>
      <x:c r="E23" s="88" t="str">
        <x:f>IF($A23="","",IFERROR(INDEX('Analize meciuri'!$GP$4:$GP$103,MATCH($A23,'Analize meciuri'!$A$4:$A$103,0)),""))</x:f>
      </x:c>
      <x:c r="F23" s="89" t="str">
        <x:f>IF($A23="","",IFERROR(INDEX('Analize meciuri'!$GT$4:$GT$103,MATCH($A23,'Analize meciuri'!$A$4:$A$103,0)),""))</x:f>
      </x:c>
      <x:c r="G23" s="60"/>
      <x:c r="H23" s="60"/>
      <x:c r="I23" s="24"/>
      <x:c r="J23" s="90" t="str">
        <x:f t="shared" si="0"/>
      </x:c>
      <x:c r="K23" s="90" t="str">
        <x:f t="shared" si="1"/>
      </x:c>
      <x:c r="L23" s="90" t="str">
        <x:f t="shared" si="2"/>
      </x:c>
      <x:c r="M23" s="88" t="str">
        <x:f t="shared" si="3"/>
      </x:c>
      <x:c r="N23" s="25" t="str">
        <x:f>IF($A23="","",IFERROR(INDEX('Analize meciuri'!$GV$4:$GV$103,MATCH($A23,'Analize meciuri'!$A$4:$A$103,0)),""))</x:f>
      </x:c>
      <x:c r="O23" s="1" t="str">
        <x:f>IF($A23="","",IFERROR(INDEX('Analize meciuri'!$GN$4:$GN$103,MATCH($A23,'Analize meciuri'!$A$4:$A$103,0)),""))</x:f>
      </x:c>
      <x:c r="P23" s="1"/>
      <x:c r="Q23" s="1"/>
      <x:c r="R23" s="1"/>
      <x:c r="S23" s="1"/>
      <x:c r="T23" s="1"/>
    </x:row>
    <x:row r="24" ht="15">
      <x:c r="A24" s="58"/>
      <x:c r="B24" s="87" t="str">
        <x:f>IF($A24="","",IFERROR(INDEX('Analize meciuri'!$C$4:$C$103,MATCH($A24,'Analize meciuri'!$A$4:$A$103,0)),""))</x:f>
      </x:c>
      <x:c r="C24" s="35" t="str">
        <x:f>IF($A24="","",IFERROR(INDEX('Analize meciuri'!$G$4:$G$103,MATCH($A24,'Analize meciuri'!$A$4:$A$103,0)),""))</x:f>
      </x:c>
      <x:c r="D24" s="35" t="str">
        <x:f>IF($A24="","",IFERROR(INDEX('Analize meciuri'!$H$4:$H$103,MATCH($A24,'Analize meciuri'!$A$4:$A$103,0)),""))</x:f>
      </x:c>
      <x:c r="E24" s="88" t="str">
        <x:f>IF($A24="","",IFERROR(INDEX('Analize meciuri'!$GP$4:$GP$103,MATCH($A24,'Analize meciuri'!$A$4:$A$103,0)),""))</x:f>
      </x:c>
      <x:c r="F24" s="89" t="str">
        <x:f>IF($A24="","",IFERROR(INDEX('Analize meciuri'!$GT$4:$GT$103,MATCH($A24,'Analize meciuri'!$A$4:$A$103,0)),""))</x:f>
      </x:c>
      <x:c r="G24" s="60"/>
      <x:c r="H24" s="60"/>
      <x:c r="I24" s="24"/>
      <x:c r="J24" s="90" t="str">
        <x:f t="shared" si="0"/>
      </x:c>
      <x:c r="K24" s="90" t="str">
        <x:f t="shared" si="1"/>
      </x:c>
      <x:c r="L24" s="90" t="str">
        <x:f t="shared" si="2"/>
      </x:c>
      <x:c r="M24" s="88" t="str">
        <x:f t="shared" si="3"/>
      </x:c>
      <x:c r="N24" s="25" t="str">
        <x:f>IF($A24="","",IFERROR(INDEX('Analize meciuri'!$GV$4:$GV$103,MATCH($A24,'Analize meciuri'!$A$4:$A$103,0)),""))</x:f>
      </x:c>
      <x:c r="O24" s="1" t="str">
        <x:f>IF($A24="","",IFERROR(INDEX('Analize meciuri'!$GN$4:$GN$103,MATCH($A24,'Analize meciuri'!$A$4:$A$103,0)),""))</x:f>
      </x:c>
      <x:c r="P24" s="1"/>
      <x:c r="Q24" s="1"/>
      <x:c r="R24" s="1"/>
      <x:c r="S24" s="1"/>
      <x:c r="T24" s="1"/>
    </x:row>
    <x:row r="25" ht="15">
      <x:c r="A25" s="58"/>
      <x:c r="B25" s="87" t="str">
        <x:f>IF($A25="","",IFERROR(INDEX('Analize meciuri'!$C$4:$C$103,MATCH($A25,'Analize meciuri'!$A$4:$A$103,0)),""))</x:f>
      </x:c>
      <x:c r="C25" s="35" t="str">
        <x:f>IF($A25="","",IFERROR(INDEX('Analize meciuri'!$G$4:$G$103,MATCH($A25,'Analize meciuri'!$A$4:$A$103,0)),""))</x:f>
      </x:c>
      <x:c r="D25" s="35" t="str">
        <x:f>IF($A25="","",IFERROR(INDEX('Analize meciuri'!$H$4:$H$103,MATCH($A25,'Analize meciuri'!$A$4:$A$103,0)),""))</x:f>
      </x:c>
      <x:c r="E25" s="88" t="str">
        <x:f>IF($A25="","",IFERROR(INDEX('Analize meciuri'!$GP$4:$GP$103,MATCH($A25,'Analize meciuri'!$A$4:$A$103,0)),""))</x:f>
      </x:c>
      <x:c r="F25" s="89" t="str">
        <x:f>IF($A25="","",IFERROR(INDEX('Analize meciuri'!$GT$4:$GT$103,MATCH($A25,'Analize meciuri'!$A$4:$A$103,0)),""))</x:f>
      </x:c>
      <x:c r="G25" s="60"/>
      <x:c r="H25" s="60"/>
      <x:c r="I25" s="24"/>
      <x:c r="J25" s="90" t="str">
        <x:f t="shared" si="0"/>
      </x:c>
      <x:c r="K25" s="90" t="str">
        <x:f t="shared" si="1"/>
      </x:c>
      <x:c r="L25" s="90" t="str">
        <x:f t="shared" si="2"/>
      </x:c>
      <x:c r="M25" s="88" t="str">
        <x:f t="shared" si="3"/>
      </x:c>
      <x:c r="N25" s="25" t="str">
        <x:f>IF($A25="","",IFERROR(INDEX('Analize meciuri'!$GV$4:$GV$103,MATCH($A25,'Analize meciuri'!$A$4:$A$103,0)),""))</x:f>
      </x:c>
      <x:c r="O25" s="1" t="str">
        <x:f>IF($A25="","",IFERROR(INDEX('Analize meciuri'!$GN$4:$GN$103,MATCH($A25,'Analize meciuri'!$A$4:$A$103,0)),""))</x:f>
      </x:c>
      <x:c r="P25" s="1"/>
      <x:c r="Q25" s="1"/>
      <x:c r="R25" s="1"/>
      <x:c r="S25" s="1"/>
      <x:c r="T25" s="1"/>
    </x:row>
    <x:row r="26" ht="15">
      <x:c r="A26" s="58"/>
      <x:c r="B26" s="87" t="str">
        <x:f>IF($A26="","",IFERROR(INDEX('Analize meciuri'!$C$4:$C$103,MATCH($A26,'Analize meciuri'!$A$4:$A$103,0)),""))</x:f>
      </x:c>
      <x:c r="C26" s="35" t="str">
        <x:f>IF($A26="","",IFERROR(INDEX('Analize meciuri'!$G$4:$G$103,MATCH($A26,'Analize meciuri'!$A$4:$A$103,0)),""))</x:f>
      </x:c>
      <x:c r="D26" s="35" t="str">
        <x:f>IF($A26="","",IFERROR(INDEX('Analize meciuri'!$H$4:$H$103,MATCH($A26,'Analize meciuri'!$A$4:$A$103,0)),""))</x:f>
      </x:c>
      <x:c r="E26" s="88" t="str">
        <x:f>IF($A26="","",IFERROR(INDEX('Analize meciuri'!$GP$4:$GP$103,MATCH($A26,'Analize meciuri'!$A$4:$A$103,0)),""))</x:f>
      </x:c>
      <x:c r="F26" s="89" t="str">
        <x:f>IF($A26="","",IFERROR(INDEX('Analize meciuri'!$GT$4:$GT$103,MATCH($A26,'Analize meciuri'!$A$4:$A$103,0)),""))</x:f>
      </x:c>
      <x:c r="G26" s="60"/>
      <x:c r="H26" s="60"/>
      <x:c r="I26" s="24"/>
      <x:c r="J26" s="90" t="str">
        <x:f t="shared" si="0"/>
      </x:c>
      <x:c r="K26" s="90" t="str">
        <x:f t="shared" si="1"/>
      </x:c>
      <x:c r="L26" s="90" t="str">
        <x:f t="shared" si="2"/>
      </x:c>
      <x:c r="M26" s="88" t="str">
        <x:f t="shared" si="3"/>
      </x:c>
      <x:c r="N26" s="25" t="str">
        <x:f>IF($A26="","",IFERROR(INDEX('Analize meciuri'!$GV$4:$GV$103,MATCH($A26,'Analize meciuri'!$A$4:$A$103,0)),""))</x:f>
      </x:c>
      <x:c r="O26" s="1" t="str">
        <x:f>IF($A26="","",IFERROR(INDEX('Analize meciuri'!$GN$4:$GN$103,MATCH($A26,'Analize meciuri'!$A$4:$A$103,0)),""))</x:f>
      </x:c>
      <x:c r="P26" s="1"/>
      <x:c r="Q26" s="1"/>
      <x:c r="R26" s="1"/>
      <x:c r="S26" s="1"/>
      <x:c r="T26" s="1"/>
    </x:row>
    <x:row r="27" ht="15">
      <x:c r="A27" s="58"/>
      <x:c r="B27" s="87" t="str">
        <x:f>IF($A27="","",IFERROR(INDEX('Analize meciuri'!$C$4:$C$103,MATCH($A27,'Analize meciuri'!$A$4:$A$103,0)),""))</x:f>
      </x:c>
      <x:c r="C27" s="35" t="str">
        <x:f>IF($A27="","",IFERROR(INDEX('Analize meciuri'!$G$4:$G$103,MATCH($A27,'Analize meciuri'!$A$4:$A$103,0)),""))</x:f>
      </x:c>
      <x:c r="D27" s="35" t="str">
        <x:f>IF($A27="","",IFERROR(INDEX('Analize meciuri'!$H$4:$H$103,MATCH($A27,'Analize meciuri'!$A$4:$A$103,0)),""))</x:f>
      </x:c>
      <x:c r="E27" s="88" t="str">
        <x:f>IF($A27="","",IFERROR(INDEX('Analize meciuri'!$GP$4:$GP$103,MATCH($A27,'Analize meciuri'!$A$4:$A$103,0)),""))</x:f>
      </x:c>
      <x:c r="F27" s="89" t="str">
        <x:f>IF($A27="","",IFERROR(INDEX('Analize meciuri'!$GT$4:$GT$103,MATCH($A27,'Analize meciuri'!$A$4:$A$103,0)),""))</x:f>
      </x:c>
      <x:c r="G27" s="60"/>
      <x:c r="H27" s="60"/>
      <x:c r="I27" s="24"/>
      <x:c r="J27" s="90" t="str">
        <x:f t="shared" si="0"/>
      </x:c>
      <x:c r="K27" s="90" t="str">
        <x:f t="shared" si="1"/>
      </x:c>
      <x:c r="L27" s="90" t="str">
        <x:f t="shared" si="2"/>
      </x:c>
      <x:c r="M27" s="88" t="str">
        <x:f t="shared" si="3"/>
      </x:c>
      <x:c r="N27" s="25" t="str">
        <x:f>IF($A27="","",IFERROR(INDEX('Analize meciuri'!$GV$4:$GV$103,MATCH($A27,'Analize meciuri'!$A$4:$A$103,0)),""))</x:f>
      </x:c>
      <x:c r="O27" s="1" t="str">
        <x:f>IF($A27="","",IFERROR(INDEX('Analize meciuri'!$GN$4:$GN$103,MATCH($A27,'Analize meciuri'!$A$4:$A$103,0)),""))</x:f>
      </x:c>
      <x:c r="P27" s="1"/>
      <x:c r="Q27" s="1"/>
      <x:c r="R27" s="1"/>
      <x:c r="S27" s="1"/>
      <x:c r="T27" s="1"/>
    </x:row>
    <x:row r="28" ht="15">
      <x:c r="A28" s="58"/>
      <x:c r="B28" s="87" t="str">
        <x:f>IF($A28="","",IFERROR(INDEX('Analize meciuri'!$C$4:$C$103,MATCH($A28,'Analize meciuri'!$A$4:$A$103,0)),""))</x:f>
      </x:c>
      <x:c r="C28" s="35" t="str">
        <x:f>IF($A28="","",IFERROR(INDEX('Analize meciuri'!$G$4:$G$103,MATCH($A28,'Analize meciuri'!$A$4:$A$103,0)),""))</x:f>
      </x:c>
      <x:c r="D28" s="35" t="str">
        <x:f>IF($A28="","",IFERROR(INDEX('Analize meciuri'!$H$4:$H$103,MATCH($A28,'Analize meciuri'!$A$4:$A$103,0)),""))</x:f>
      </x:c>
      <x:c r="E28" s="88" t="str">
        <x:f>IF($A28="","",IFERROR(INDEX('Analize meciuri'!$GP$4:$GP$103,MATCH($A28,'Analize meciuri'!$A$4:$A$103,0)),""))</x:f>
      </x:c>
      <x:c r="F28" s="89" t="str">
        <x:f>IF($A28="","",IFERROR(INDEX('Analize meciuri'!$GT$4:$GT$103,MATCH($A28,'Analize meciuri'!$A$4:$A$103,0)),""))</x:f>
      </x:c>
      <x:c r="G28" s="60"/>
      <x:c r="H28" s="60"/>
      <x:c r="I28" s="24"/>
      <x:c r="J28" s="90" t="str">
        <x:f t="shared" si="0"/>
      </x:c>
      <x:c r="K28" s="90" t="str">
        <x:f t="shared" si="1"/>
      </x:c>
      <x:c r="L28" s="90" t="str">
        <x:f t="shared" si="2"/>
      </x:c>
      <x:c r="M28" s="88" t="str">
        <x:f t="shared" si="3"/>
      </x:c>
      <x:c r="N28" s="25" t="str">
        <x:f>IF($A28="","",IFERROR(INDEX('Analize meciuri'!$GV$4:$GV$103,MATCH($A28,'Analize meciuri'!$A$4:$A$103,0)),""))</x:f>
      </x:c>
      <x:c r="O28" s="1" t="str">
        <x:f>IF($A28="","",IFERROR(INDEX('Analize meciuri'!$GN$4:$GN$103,MATCH($A28,'Analize meciuri'!$A$4:$A$103,0)),""))</x:f>
      </x:c>
      <x:c r="P28" s="1"/>
      <x:c r="Q28" s="1"/>
      <x:c r="R28" s="1"/>
      <x:c r="S28" s="1"/>
      <x:c r="T28" s="1"/>
    </x:row>
    <x:row r="29" ht="15">
      <x:c r="A29" s="58"/>
      <x:c r="B29" s="87" t="str">
        <x:f>IF($A29="","",IFERROR(INDEX('Analize meciuri'!$C$4:$C$103,MATCH($A29,'Analize meciuri'!$A$4:$A$103,0)),""))</x:f>
      </x:c>
      <x:c r="C29" s="35" t="str">
        <x:f>IF($A29="","",IFERROR(INDEX('Analize meciuri'!$G$4:$G$103,MATCH($A29,'Analize meciuri'!$A$4:$A$103,0)),""))</x:f>
      </x:c>
      <x:c r="D29" s="35" t="str">
        <x:f>IF($A29="","",IFERROR(INDEX('Analize meciuri'!$H$4:$H$103,MATCH($A29,'Analize meciuri'!$A$4:$A$103,0)),""))</x:f>
      </x:c>
      <x:c r="E29" s="88" t="str">
        <x:f>IF($A29="","",IFERROR(INDEX('Analize meciuri'!$GP$4:$GP$103,MATCH($A29,'Analize meciuri'!$A$4:$A$103,0)),""))</x:f>
      </x:c>
      <x:c r="F29" s="89" t="str">
        <x:f>IF($A29="","",IFERROR(INDEX('Analize meciuri'!$GT$4:$GT$103,MATCH($A29,'Analize meciuri'!$A$4:$A$103,0)),""))</x:f>
      </x:c>
      <x:c r="G29" s="60"/>
      <x:c r="H29" s="60"/>
      <x:c r="I29" s="24"/>
      <x:c r="J29" s="90" t="str">
        <x:f t="shared" si="0"/>
      </x:c>
      <x:c r="K29" s="90" t="str">
        <x:f t="shared" si="1"/>
      </x:c>
      <x:c r="L29" s="90" t="str">
        <x:f t="shared" si="2"/>
      </x:c>
      <x:c r="M29" s="88" t="str">
        <x:f t="shared" si="3"/>
      </x:c>
      <x:c r="N29" s="25" t="str">
        <x:f>IF($A29="","",IFERROR(INDEX('Analize meciuri'!$GV$4:$GV$103,MATCH($A29,'Analize meciuri'!$A$4:$A$103,0)),""))</x:f>
      </x:c>
      <x:c r="O29" s="1" t="str">
        <x:f>IF($A29="","",IFERROR(INDEX('Analize meciuri'!$GN$4:$GN$103,MATCH($A29,'Analize meciuri'!$A$4:$A$103,0)),""))</x:f>
      </x:c>
      <x:c r="P29" s="1"/>
      <x:c r="Q29" s="1"/>
      <x:c r="R29" s="1"/>
      <x:c r="S29" s="1"/>
      <x:c r="T29" s="1"/>
    </x:row>
    <x:row r="30" ht="15">
      <x:c r="A30" s="58"/>
      <x:c r="B30" s="87" t="str">
        <x:f>IF($A30="","",IFERROR(INDEX('Analize meciuri'!$C$4:$C$103,MATCH($A30,'Analize meciuri'!$A$4:$A$103,0)),""))</x:f>
      </x:c>
      <x:c r="C30" s="35" t="str">
        <x:f>IF($A30="","",IFERROR(INDEX('Analize meciuri'!$G$4:$G$103,MATCH($A30,'Analize meciuri'!$A$4:$A$103,0)),""))</x:f>
      </x:c>
      <x:c r="D30" s="35" t="str">
        <x:f>IF($A30="","",IFERROR(INDEX('Analize meciuri'!$H$4:$H$103,MATCH($A30,'Analize meciuri'!$A$4:$A$103,0)),""))</x:f>
      </x:c>
      <x:c r="E30" s="88" t="str">
        <x:f>IF($A30="","",IFERROR(INDEX('Analize meciuri'!$GP$4:$GP$103,MATCH($A30,'Analize meciuri'!$A$4:$A$103,0)),""))</x:f>
      </x:c>
      <x:c r="F30" s="89" t="str">
        <x:f>IF($A30="","",IFERROR(INDEX('Analize meciuri'!$GT$4:$GT$103,MATCH($A30,'Analize meciuri'!$A$4:$A$103,0)),""))</x:f>
      </x:c>
      <x:c r="G30" s="60"/>
      <x:c r="H30" s="60"/>
      <x:c r="I30" s="24"/>
      <x:c r="J30" s="90" t="str">
        <x:f t="shared" si="0"/>
      </x:c>
      <x:c r="K30" s="90" t="str">
        <x:f t="shared" si="1"/>
      </x:c>
      <x:c r="L30" s="90" t="str">
        <x:f t="shared" si="2"/>
      </x:c>
      <x:c r="M30" s="88" t="str">
        <x:f t="shared" si="3"/>
      </x:c>
      <x:c r="N30" s="25" t="str">
        <x:f>IF($A30="","",IFERROR(INDEX('Analize meciuri'!$GV$4:$GV$103,MATCH($A30,'Analize meciuri'!$A$4:$A$103,0)),""))</x:f>
      </x:c>
      <x:c r="O30" s="1" t="str">
        <x:f>IF($A30="","",IFERROR(INDEX('Analize meciuri'!$GN$4:$GN$103,MATCH($A30,'Analize meciuri'!$A$4:$A$103,0)),""))</x:f>
      </x:c>
      <x:c r="P30" s="1"/>
      <x:c r="Q30" s="1"/>
      <x:c r="R30" s="1"/>
      <x:c r="S30" s="1"/>
      <x:c r="T30" s="1"/>
    </x:row>
    <x:row r="31" ht="15">
      <x:c r="A31" s="58"/>
      <x:c r="B31" s="87" t="str">
        <x:f>IF($A31="","",IFERROR(INDEX('Analize meciuri'!$C$4:$C$103,MATCH($A31,'Analize meciuri'!$A$4:$A$103,0)),""))</x:f>
      </x:c>
      <x:c r="C31" s="35" t="str">
        <x:f>IF($A31="","",IFERROR(INDEX('Analize meciuri'!$G$4:$G$103,MATCH($A31,'Analize meciuri'!$A$4:$A$103,0)),""))</x:f>
      </x:c>
      <x:c r="D31" s="35" t="str">
        <x:f>IF($A31="","",IFERROR(INDEX('Analize meciuri'!$H$4:$H$103,MATCH($A31,'Analize meciuri'!$A$4:$A$103,0)),""))</x:f>
      </x:c>
      <x:c r="E31" s="88" t="str">
        <x:f>IF($A31="","",IFERROR(INDEX('Analize meciuri'!$GP$4:$GP$103,MATCH($A31,'Analize meciuri'!$A$4:$A$103,0)),""))</x:f>
      </x:c>
      <x:c r="F31" s="89" t="str">
        <x:f>IF($A31="","",IFERROR(INDEX('Analize meciuri'!$GT$4:$GT$103,MATCH($A31,'Analize meciuri'!$A$4:$A$103,0)),""))</x:f>
      </x:c>
      <x:c r="G31" s="60"/>
      <x:c r="H31" s="60"/>
      <x:c r="I31" s="24"/>
      <x:c r="J31" s="90" t="str">
        <x:f t="shared" si="0"/>
      </x:c>
      <x:c r="K31" s="90" t="str">
        <x:f t="shared" si="1"/>
      </x:c>
      <x:c r="L31" s="90" t="str">
        <x:f t="shared" si="2"/>
      </x:c>
      <x:c r="M31" s="88" t="str">
        <x:f t="shared" si="3"/>
      </x:c>
      <x:c r="N31" s="25" t="str">
        <x:f>IF($A31="","",IFERROR(INDEX('Analize meciuri'!$GV$4:$GV$103,MATCH($A31,'Analize meciuri'!$A$4:$A$103,0)),""))</x:f>
      </x:c>
      <x:c r="O31" s="1" t="str">
        <x:f>IF($A31="","",IFERROR(INDEX('Analize meciuri'!$GN$4:$GN$103,MATCH($A31,'Analize meciuri'!$A$4:$A$103,0)),""))</x:f>
      </x:c>
      <x:c r="P31" s="1"/>
      <x:c r="Q31" s="1"/>
      <x:c r="R31" s="1"/>
      <x:c r="S31" s="1"/>
      <x:c r="T31" s="1"/>
    </x:row>
    <x:row r="32" ht="15">
      <x:c r="A32" s="58"/>
      <x:c r="B32" s="87" t="str">
        <x:f>IF($A32="","",IFERROR(INDEX('Analize meciuri'!$C$4:$C$103,MATCH($A32,'Analize meciuri'!$A$4:$A$103,0)),""))</x:f>
      </x:c>
      <x:c r="C32" s="35" t="str">
        <x:f>IF($A32="","",IFERROR(INDEX('Analize meciuri'!$G$4:$G$103,MATCH($A32,'Analize meciuri'!$A$4:$A$103,0)),""))</x:f>
      </x:c>
      <x:c r="D32" s="35" t="str">
        <x:f>IF($A32="","",IFERROR(INDEX('Analize meciuri'!$H$4:$H$103,MATCH($A32,'Analize meciuri'!$A$4:$A$103,0)),""))</x:f>
      </x:c>
      <x:c r="E32" s="88" t="str">
        <x:f>IF($A32="","",IFERROR(INDEX('Analize meciuri'!$GP$4:$GP$103,MATCH($A32,'Analize meciuri'!$A$4:$A$103,0)),""))</x:f>
      </x:c>
      <x:c r="F32" s="89" t="str">
        <x:f>IF($A32="","",IFERROR(INDEX('Analize meciuri'!$GT$4:$GT$103,MATCH($A32,'Analize meciuri'!$A$4:$A$103,0)),""))</x:f>
      </x:c>
      <x:c r="G32" s="60"/>
      <x:c r="H32" s="60"/>
      <x:c r="I32" s="24"/>
      <x:c r="J32" s="90" t="str">
        <x:f t="shared" si="0"/>
      </x:c>
      <x:c r="K32" s="90" t="str">
        <x:f t="shared" si="1"/>
      </x:c>
      <x:c r="L32" s="90" t="str">
        <x:f t="shared" si="2"/>
      </x:c>
      <x:c r="M32" s="88" t="str">
        <x:f t="shared" si="3"/>
      </x:c>
      <x:c r="N32" s="25" t="str">
        <x:f>IF($A32="","",IFERROR(INDEX('Analize meciuri'!$GV$4:$GV$103,MATCH($A32,'Analize meciuri'!$A$4:$A$103,0)),""))</x:f>
      </x:c>
      <x:c r="O32" s="1" t="str">
        <x:f>IF($A32="","",IFERROR(INDEX('Analize meciuri'!$GN$4:$GN$103,MATCH($A32,'Analize meciuri'!$A$4:$A$103,0)),""))</x:f>
      </x:c>
      <x:c r="P32" s="1"/>
      <x:c r="Q32" s="1"/>
      <x:c r="R32" s="1"/>
      <x:c r="S32" s="1"/>
      <x:c r="T32" s="1"/>
    </x:row>
    <x:row r="33" ht="15">
      <x:c r="A33" s="58"/>
      <x:c r="B33" s="87" t="str">
        <x:f>IF($A33="","",IFERROR(INDEX('Analize meciuri'!$C$4:$C$103,MATCH($A33,'Analize meciuri'!$A$4:$A$103,0)),""))</x:f>
      </x:c>
      <x:c r="C33" s="35" t="str">
        <x:f>IF($A33="","",IFERROR(INDEX('Analize meciuri'!$G$4:$G$103,MATCH($A33,'Analize meciuri'!$A$4:$A$103,0)),""))</x:f>
      </x:c>
      <x:c r="D33" s="35" t="str">
        <x:f>IF($A33="","",IFERROR(INDEX('Analize meciuri'!$H$4:$H$103,MATCH($A33,'Analize meciuri'!$A$4:$A$103,0)),""))</x:f>
      </x:c>
      <x:c r="E33" s="88" t="str">
        <x:f>IF($A33="","",IFERROR(INDEX('Analize meciuri'!$GP$4:$GP$103,MATCH($A33,'Analize meciuri'!$A$4:$A$103,0)),""))</x:f>
      </x:c>
      <x:c r="F33" s="89" t="str">
        <x:f>IF($A33="","",IFERROR(INDEX('Analize meciuri'!$GT$4:$GT$103,MATCH($A33,'Analize meciuri'!$A$4:$A$103,0)),""))</x:f>
      </x:c>
      <x:c r="G33" s="60"/>
      <x:c r="H33" s="60"/>
      <x:c r="I33" s="24"/>
      <x:c r="J33" s="90" t="str">
        <x:f t="shared" si="0"/>
      </x:c>
      <x:c r="K33" s="90" t="str">
        <x:f t="shared" si="1"/>
      </x:c>
      <x:c r="L33" s="90" t="str">
        <x:f t="shared" si="2"/>
      </x:c>
      <x:c r="M33" s="88" t="str">
        <x:f t="shared" si="3"/>
      </x:c>
      <x:c r="N33" s="25" t="str">
        <x:f>IF($A33="","",IFERROR(INDEX('Analize meciuri'!$GV$4:$GV$103,MATCH($A33,'Analize meciuri'!$A$4:$A$103,0)),""))</x:f>
      </x:c>
      <x:c r="O33" s="1" t="str">
        <x:f>IF($A33="","",IFERROR(INDEX('Analize meciuri'!$GN$4:$GN$103,MATCH($A33,'Analize meciuri'!$A$4:$A$103,0)),""))</x:f>
      </x:c>
      <x:c r="P33" s="1"/>
      <x:c r="Q33" s="1"/>
      <x:c r="R33" s="1"/>
      <x:c r="S33" s="1"/>
      <x:c r="T33" s="1"/>
    </x:row>
    <x:row r="34" ht="15">
      <x:c r="A34" s="58"/>
      <x:c r="B34" s="87" t="str">
        <x:f>IF($A34="","",IFERROR(INDEX('Analize meciuri'!$C$4:$C$103,MATCH($A34,'Analize meciuri'!$A$4:$A$103,0)),""))</x:f>
      </x:c>
      <x:c r="C34" s="35" t="str">
        <x:f>IF($A34="","",IFERROR(INDEX('Analize meciuri'!$G$4:$G$103,MATCH($A34,'Analize meciuri'!$A$4:$A$103,0)),""))</x:f>
      </x:c>
      <x:c r="D34" s="35" t="str">
        <x:f>IF($A34="","",IFERROR(INDEX('Analize meciuri'!$H$4:$H$103,MATCH($A34,'Analize meciuri'!$A$4:$A$103,0)),""))</x:f>
      </x:c>
      <x:c r="E34" s="88" t="str">
        <x:f>IF($A34="","",IFERROR(INDEX('Analize meciuri'!$GP$4:$GP$103,MATCH($A34,'Analize meciuri'!$A$4:$A$103,0)),""))</x:f>
      </x:c>
      <x:c r="F34" s="89" t="str">
        <x:f>IF($A34="","",IFERROR(INDEX('Analize meciuri'!$GT$4:$GT$103,MATCH($A34,'Analize meciuri'!$A$4:$A$103,0)),""))</x:f>
      </x:c>
      <x:c r="G34" s="60"/>
      <x:c r="H34" s="60"/>
      <x:c r="I34" s="24"/>
      <x:c r="J34" s="90" t="str">
        <x:f t="shared" si="0"/>
      </x:c>
      <x:c r="K34" s="90" t="str">
        <x:f t="shared" si="1"/>
      </x:c>
      <x:c r="L34" s="90" t="str">
        <x:f t="shared" si="2"/>
      </x:c>
      <x:c r="M34" s="88" t="str">
        <x:f t="shared" si="3"/>
      </x:c>
      <x:c r="N34" s="25" t="str">
        <x:f>IF($A34="","",IFERROR(INDEX('Analize meciuri'!$GV$4:$GV$103,MATCH($A34,'Analize meciuri'!$A$4:$A$103,0)),""))</x:f>
      </x:c>
      <x:c r="O34" s="1" t="str">
        <x:f>IF($A34="","",IFERROR(INDEX('Analize meciuri'!$GN$4:$GN$103,MATCH($A34,'Analize meciuri'!$A$4:$A$103,0)),""))</x:f>
      </x:c>
      <x:c r="P34" s="1"/>
      <x:c r="Q34" s="1"/>
      <x:c r="R34" s="1"/>
      <x:c r="S34" s="1"/>
      <x:c r="T34" s="1"/>
    </x:row>
    <x:row r="35" ht="15">
      <x:c r="A35" s="58"/>
      <x:c r="B35" s="87" t="str">
        <x:f>IF($A35="","",IFERROR(INDEX('Analize meciuri'!$C$4:$C$103,MATCH($A35,'Analize meciuri'!$A$4:$A$103,0)),""))</x:f>
      </x:c>
      <x:c r="C35" s="35" t="str">
        <x:f>IF($A35="","",IFERROR(INDEX('Analize meciuri'!$G$4:$G$103,MATCH($A35,'Analize meciuri'!$A$4:$A$103,0)),""))</x:f>
      </x:c>
      <x:c r="D35" s="35" t="str">
        <x:f>IF($A35="","",IFERROR(INDEX('Analize meciuri'!$H$4:$H$103,MATCH($A35,'Analize meciuri'!$A$4:$A$103,0)),""))</x:f>
      </x:c>
      <x:c r="E35" s="88" t="str">
        <x:f>IF($A35="","",IFERROR(INDEX('Analize meciuri'!$GP$4:$GP$103,MATCH($A35,'Analize meciuri'!$A$4:$A$103,0)),""))</x:f>
      </x:c>
      <x:c r="F35" s="89" t="str">
        <x:f>IF($A35="","",IFERROR(INDEX('Analize meciuri'!$GT$4:$GT$103,MATCH($A35,'Analize meciuri'!$A$4:$A$103,0)),""))</x:f>
      </x:c>
      <x:c r="G35" s="60"/>
      <x:c r="H35" s="60"/>
      <x:c r="I35" s="24"/>
      <x:c r="J35" s="90" t="str">
        <x:f t="shared" si="0"/>
      </x:c>
      <x:c r="K35" s="90" t="str">
        <x:f t="shared" si="1"/>
      </x:c>
      <x:c r="L35" s="90" t="str">
        <x:f t="shared" si="2"/>
      </x:c>
      <x:c r="M35" s="88" t="str">
        <x:f t="shared" si="3"/>
      </x:c>
      <x:c r="N35" s="25" t="str">
        <x:f>IF($A35="","",IFERROR(INDEX('Analize meciuri'!$GV$4:$GV$103,MATCH($A35,'Analize meciuri'!$A$4:$A$103,0)),""))</x:f>
      </x:c>
      <x:c r="O35" s="1" t="str">
        <x:f>IF($A35="","",IFERROR(INDEX('Analize meciuri'!$GN$4:$GN$103,MATCH($A35,'Analize meciuri'!$A$4:$A$103,0)),""))</x:f>
      </x:c>
      <x:c r="P35" s="1"/>
      <x:c r="Q35" s="1"/>
      <x:c r="R35" s="1"/>
      <x:c r="S35" s="1"/>
      <x:c r="T35" s="1"/>
    </x:row>
    <x:row r="36" ht="15">
      <x:c r="A36" s="58"/>
      <x:c r="B36" s="87" t="str">
        <x:f>IF($A36="","",IFERROR(INDEX('Analize meciuri'!$C$4:$C$103,MATCH($A36,'Analize meciuri'!$A$4:$A$103,0)),""))</x:f>
      </x:c>
      <x:c r="C36" s="35" t="str">
        <x:f>IF($A36="","",IFERROR(INDEX('Analize meciuri'!$G$4:$G$103,MATCH($A36,'Analize meciuri'!$A$4:$A$103,0)),""))</x:f>
      </x:c>
      <x:c r="D36" s="35" t="str">
        <x:f>IF($A36="","",IFERROR(INDEX('Analize meciuri'!$H$4:$H$103,MATCH($A36,'Analize meciuri'!$A$4:$A$103,0)),""))</x:f>
      </x:c>
      <x:c r="E36" s="88" t="str">
        <x:f>IF($A36="","",IFERROR(INDEX('Analize meciuri'!$GP$4:$GP$103,MATCH($A36,'Analize meciuri'!$A$4:$A$103,0)),""))</x:f>
      </x:c>
      <x:c r="F36" s="89" t="str">
        <x:f>IF($A36="","",IFERROR(INDEX('Analize meciuri'!$GT$4:$GT$103,MATCH($A36,'Analize meciuri'!$A$4:$A$103,0)),""))</x:f>
      </x:c>
      <x:c r="G36" s="60"/>
      <x:c r="H36" s="60"/>
      <x:c r="I36" s="24"/>
      <x:c r="J36" s="90" t="str">
        <x:f t="shared" ref="J36:J67" si="5">IF(OR($A36="",I36="",G36=""),"",IF(I36=1,G36-1,-1))</x:f>
      </x:c>
      <x:c r="K36" s="90" t="str">
        <x:f t="shared" ref="K36:K67" si="6">IF(OR($A36="",I36=""),"",(E36-I36)^2)</x:f>
      </x:c>
      <x:c r="L36" s="90" t="str">
        <x:f t="shared" ref="L36:L67" si="7">IF(OR($A36="",I36=""),"",-(I36*LN(MAX(0.001,E36))+(1-I36)*LN(MAX(0.001,1-E36))))</x:f>
      </x:c>
      <x:c r="M36" s="88" t="str">
        <x:f t="shared" ref="M36:M67" si="8">IF(OR($A36="",G36="",H36=""),"",G36/H36-1)</x:f>
      </x:c>
      <x:c r="N36" s="25" t="str">
        <x:f>IF($A36="","",IFERROR(INDEX('Analize meciuri'!$GV$4:$GV$103,MATCH($A36,'Analize meciuri'!$A$4:$A$103,0)),""))</x:f>
      </x:c>
      <x:c r="O36" s="1" t="str">
        <x:f>IF($A36="","",IFERROR(INDEX('Analize meciuri'!$GN$4:$GN$103,MATCH($A36,'Analize meciuri'!$A$4:$A$103,0)),""))</x:f>
      </x:c>
      <x:c r="P36" s="1"/>
      <x:c r="Q36" s="1"/>
      <x:c r="R36" s="1"/>
      <x:c r="S36" s="1"/>
      <x:c r="T36" s="1"/>
    </x:row>
    <x:row r="37" ht="15">
      <x:c r="A37" s="58"/>
      <x:c r="B37" s="87" t="str">
        <x:f>IF($A37="","",IFERROR(INDEX('Analize meciuri'!$C$4:$C$103,MATCH($A37,'Analize meciuri'!$A$4:$A$103,0)),""))</x:f>
      </x:c>
      <x:c r="C37" s="35" t="str">
        <x:f>IF($A37="","",IFERROR(INDEX('Analize meciuri'!$G$4:$G$103,MATCH($A37,'Analize meciuri'!$A$4:$A$103,0)),""))</x:f>
      </x:c>
      <x:c r="D37" s="35" t="str">
        <x:f>IF($A37="","",IFERROR(INDEX('Analize meciuri'!$H$4:$H$103,MATCH($A37,'Analize meciuri'!$A$4:$A$103,0)),""))</x:f>
      </x:c>
      <x:c r="E37" s="88" t="str">
        <x:f>IF($A37="","",IFERROR(INDEX('Analize meciuri'!$GP$4:$GP$103,MATCH($A37,'Analize meciuri'!$A$4:$A$103,0)),""))</x:f>
      </x:c>
      <x:c r="F37" s="89" t="str">
        <x:f>IF($A37="","",IFERROR(INDEX('Analize meciuri'!$GT$4:$GT$103,MATCH($A37,'Analize meciuri'!$A$4:$A$103,0)),""))</x:f>
      </x:c>
      <x:c r="G37" s="60"/>
      <x:c r="H37" s="60"/>
      <x:c r="I37" s="24"/>
      <x:c r="J37" s="90" t="str">
        <x:f t="shared" si="5"/>
      </x:c>
      <x:c r="K37" s="90" t="str">
        <x:f t="shared" si="6"/>
      </x:c>
      <x:c r="L37" s="90" t="str">
        <x:f t="shared" si="7"/>
      </x:c>
      <x:c r="M37" s="88" t="str">
        <x:f t="shared" si="8"/>
      </x:c>
      <x:c r="N37" s="25" t="str">
        <x:f>IF($A37="","",IFERROR(INDEX('Analize meciuri'!$GV$4:$GV$103,MATCH($A37,'Analize meciuri'!$A$4:$A$103,0)),""))</x:f>
      </x:c>
      <x:c r="O37" s="1" t="str">
        <x:f>IF($A37="","",IFERROR(INDEX('Analize meciuri'!$GN$4:$GN$103,MATCH($A37,'Analize meciuri'!$A$4:$A$103,0)),""))</x:f>
      </x:c>
      <x:c r="P37" s="1"/>
      <x:c r="Q37" s="1"/>
      <x:c r="R37" s="1"/>
      <x:c r="S37" s="1"/>
      <x:c r="T37" s="1"/>
    </x:row>
    <x:row r="38" ht="15">
      <x:c r="A38" s="58"/>
      <x:c r="B38" s="87" t="str">
        <x:f>IF($A38="","",IFERROR(INDEX('Analize meciuri'!$C$4:$C$103,MATCH($A38,'Analize meciuri'!$A$4:$A$103,0)),""))</x:f>
      </x:c>
      <x:c r="C38" s="35" t="str">
        <x:f>IF($A38="","",IFERROR(INDEX('Analize meciuri'!$G$4:$G$103,MATCH($A38,'Analize meciuri'!$A$4:$A$103,0)),""))</x:f>
      </x:c>
      <x:c r="D38" s="35" t="str">
        <x:f>IF($A38="","",IFERROR(INDEX('Analize meciuri'!$H$4:$H$103,MATCH($A38,'Analize meciuri'!$A$4:$A$103,0)),""))</x:f>
      </x:c>
      <x:c r="E38" s="88" t="str">
        <x:f>IF($A38="","",IFERROR(INDEX('Analize meciuri'!$GP$4:$GP$103,MATCH($A38,'Analize meciuri'!$A$4:$A$103,0)),""))</x:f>
      </x:c>
      <x:c r="F38" s="89" t="str">
        <x:f>IF($A38="","",IFERROR(INDEX('Analize meciuri'!$GT$4:$GT$103,MATCH($A38,'Analize meciuri'!$A$4:$A$103,0)),""))</x:f>
      </x:c>
      <x:c r="G38" s="60"/>
      <x:c r="H38" s="60"/>
      <x:c r="I38" s="24"/>
      <x:c r="J38" s="90" t="str">
        <x:f t="shared" si="5"/>
      </x:c>
      <x:c r="K38" s="90" t="str">
        <x:f t="shared" si="6"/>
      </x:c>
      <x:c r="L38" s="90" t="str">
        <x:f t="shared" si="7"/>
      </x:c>
      <x:c r="M38" s="88" t="str">
        <x:f t="shared" si="8"/>
      </x:c>
      <x:c r="N38" s="25" t="str">
        <x:f>IF($A38="","",IFERROR(INDEX('Analize meciuri'!$GV$4:$GV$103,MATCH($A38,'Analize meciuri'!$A$4:$A$103,0)),""))</x:f>
      </x:c>
      <x:c r="O38" s="1" t="str">
        <x:f>IF($A38="","",IFERROR(INDEX('Analize meciuri'!$GN$4:$GN$103,MATCH($A38,'Analize meciuri'!$A$4:$A$103,0)),""))</x:f>
      </x:c>
      <x:c r="P38" s="1"/>
      <x:c r="Q38" s="1"/>
      <x:c r="R38" s="1"/>
      <x:c r="S38" s="1"/>
      <x:c r="T38" s="1"/>
    </x:row>
    <x:row r="39" ht="15">
      <x:c r="A39" s="58"/>
      <x:c r="B39" s="87" t="str">
        <x:f>IF($A39="","",IFERROR(INDEX('Analize meciuri'!$C$4:$C$103,MATCH($A39,'Analize meciuri'!$A$4:$A$103,0)),""))</x:f>
      </x:c>
      <x:c r="C39" s="35" t="str">
        <x:f>IF($A39="","",IFERROR(INDEX('Analize meciuri'!$G$4:$G$103,MATCH($A39,'Analize meciuri'!$A$4:$A$103,0)),""))</x:f>
      </x:c>
      <x:c r="D39" s="35" t="str">
        <x:f>IF($A39="","",IFERROR(INDEX('Analize meciuri'!$H$4:$H$103,MATCH($A39,'Analize meciuri'!$A$4:$A$103,0)),""))</x:f>
      </x:c>
      <x:c r="E39" s="88" t="str">
        <x:f>IF($A39="","",IFERROR(INDEX('Analize meciuri'!$GP$4:$GP$103,MATCH($A39,'Analize meciuri'!$A$4:$A$103,0)),""))</x:f>
      </x:c>
      <x:c r="F39" s="89" t="str">
        <x:f>IF($A39="","",IFERROR(INDEX('Analize meciuri'!$GT$4:$GT$103,MATCH($A39,'Analize meciuri'!$A$4:$A$103,0)),""))</x:f>
      </x:c>
      <x:c r="G39" s="60"/>
      <x:c r="H39" s="60"/>
      <x:c r="I39" s="24"/>
      <x:c r="J39" s="90" t="str">
        <x:f t="shared" si="5"/>
      </x:c>
      <x:c r="K39" s="90" t="str">
        <x:f t="shared" si="6"/>
      </x:c>
      <x:c r="L39" s="90" t="str">
        <x:f t="shared" si="7"/>
      </x:c>
      <x:c r="M39" s="88" t="str">
        <x:f t="shared" si="8"/>
      </x:c>
      <x:c r="N39" s="25" t="str">
        <x:f>IF($A39="","",IFERROR(INDEX('Analize meciuri'!$GV$4:$GV$103,MATCH($A39,'Analize meciuri'!$A$4:$A$103,0)),""))</x:f>
      </x:c>
      <x:c r="O39" s="1" t="str">
        <x:f>IF($A39="","",IFERROR(INDEX('Analize meciuri'!$GN$4:$GN$103,MATCH($A39,'Analize meciuri'!$A$4:$A$103,0)),""))</x:f>
      </x:c>
      <x:c r="P39" s="1"/>
      <x:c r="Q39" s="1"/>
      <x:c r="R39" s="1"/>
      <x:c r="S39" s="1"/>
      <x:c r="T39" s="1"/>
    </x:row>
    <x:row r="40" ht="15">
      <x:c r="A40" s="58"/>
      <x:c r="B40" s="87" t="str">
        <x:f>IF($A40="","",IFERROR(INDEX('Analize meciuri'!$C$4:$C$103,MATCH($A40,'Analize meciuri'!$A$4:$A$103,0)),""))</x:f>
      </x:c>
      <x:c r="C40" s="35" t="str">
        <x:f>IF($A40="","",IFERROR(INDEX('Analize meciuri'!$G$4:$G$103,MATCH($A40,'Analize meciuri'!$A$4:$A$103,0)),""))</x:f>
      </x:c>
      <x:c r="D40" s="35" t="str">
        <x:f>IF($A40="","",IFERROR(INDEX('Analize meciuri'!$H$4:$H$103,MATCH($A40,'Analize meciuri'!$A$4:$A$103,0)),""))</x:f>
      </x:c>
      <x:c r="E40" s="88" t="str">
        <x:f>IF($A40="","",IFERROR(INDEX('Analize meciuri'!$GP$4:$GP$103,MATCH($A40,'Analize meciuri'!$A$4:$A$103,0)),""))</x:f>
      </x:c>
      <x:c r="F40" s="89" t="str">
        <x:f>IF($A40="","",IFERROR(INDEX('Analize meciuri'!$GT$4:$GT$103,MATCH($A40,'Analize meciuri'!$A$4:$A$103,0)),""))</x:f>
      </x:c>
      <x:c r="G40" s="60"/>
      <x:c r="H40" s="60"/>
      <x:c r="I40" s="24"/>
      <x:c r="J40" s="90" t="str">
        <x:f t="shared" si="5"/>
      </x:c>
      <x:c r="K40" s="90" t="str">
        <x:f t="shared" si="6"/>
      </x:c>
      <x:c r="L40" s="90" t="str">
        <x:f t="shared" si="7"/>
      </x:c>
      <x:c r="M40" s="88" t="str">
        <x:f t="shared" si="8"/>
      </x:c>
      <x:c r="N40" s="25" t="str">
        <x:f>IF($A40="","",IFERROR(INDEX('Analize meciuri'!$GV$4:$GV$103,MATCH($A40,'Analize meciuri'!$A$4:$A$103,0)),""))</x:f>
      </x:c>
      <x:c r="O40" s="1" t="str">
        <x:f>IF($A40="","",IFERROR(INDEX('Analize meciuri'!$GN$4:$GN$103,MATCH($A40,'Analize meciuri'!$A$4:$A$103,0)),""))</x:f>
      </x:c>
      <x:c r="P40" s="1"/>
      <x:c r="Q40" s="1"/>
      <x:c r="R40" s="1"/>
      <x:c r="S40" s="1"/>
      <x:c r="T40" s="1"/>
    </x:row>
    <x:row r="41" ht="15">
      <x:c r="A41" s="58"/>
      <x:c r="B41" s="87" t="str">
        <x:f>IF($A41="","",IFERROR(INDEX('Analize meciuri'!$C$4:$C$103,MATCH($A41,'Analize meciuri'!$A$4:$A$103,0)),""))</x:f>
      </x:c>
      <x:c r="C41" s="35" t="str">
        <x:f>IF($A41="","",IFERROR(INDEX('Analize meciuri'!$G$4:$G$103,MATCH($A41,'Analize meciuri'!$A$4:$A$103,0)),""))</x:f>
      </x:c>
      <x:c r="D41" s="35" t="str">
        <x:f>IF($A41="","",IFERROR(INDEX('Analize meciuri'!$H$4:$H$103,MATCH($A41,'Analize meciuri'!$A$4:$A$103,0)),""))</x:f>
      </x:c>
      <x:c r="E41" s="88" t="str">
        <x:f>IF($A41="","",IFERROR(INDEX('Analize meciuri'!$GP$4:$GP$103,MATCH($A41,'Analize meciuri'!$A$4:$A$103,0)),""))</x:f>
      </x:c>
      <x:c r="F41" s="89" t="str">
        <x:f>IF($A41="","",IFERROR(INDEX('Analize meciuri'!$GT$4:$GT$103,MATCH($A41,'Analize meciuri'!$A$4:$A$103,0)),""))</x:f>
      </x:c>
      <x:c r="G41" s="60"/>
      <x:c r="H41" s="60"/>
      <x:c r="I41" s="24"/>
      <x:c r="J41" s="90" t="str">
        <x:f t="shared" si="5"/>
      </x:c>
      <x:c r="K41" s="90" t="str">
        <x:f t="shared" si="6"/>
      </x:c>
      <x:c r="L41" s="90" t="str">
        <x:f t="shared" si="7"/>
      </x:c>
      <x:c r="M41" s="88" t="str">
        <x:f t="shared" si="8"/>
      </x:c>
      <x:c r="N41" s="25" t="str">
        <x:f>IF($A41="","",IFERROR(INDEX('Analize meciuri'!$GV$4:$GV$103,MATCH($A41,'Analize meciuri'!$A$4:$A$103,0)),""))</x:f>
      </x:c>
      <x:c r="O41" s="1" t="str">
        <x:f>IF($A41="","",IFERROR(INDEX('Analize meciuri'!$GN$4:$GN$103,MATCH($A41,'Analize meciuri'!$A$4:$A$103,0)),""))</x:f>
      </x:c>
      <x:c r="P41" s="1"/>
      <x:c r="Q41" s="1"/>
      <x:c r="R41" s="1"/>
      <x:c r="S41" s="1"/>
      <x:c r="T41" s="1"/>
    </x:row>
    <x:row r="42" ht="15">
      <x:c r="A42" s="58"/>
      <x:c r="B42" s="87" t="str">
        <x:f>IF($A42="","",IFERROR(INDEX('Analize meciuri'!$C$4:$C$103,MATCH($A42,'Analize meciuri'!$A$4:$A$103,0)),""))</x:f>
      </x:c>
      <x:c r="C42" s="35" t="str">
        <x:f>IF($A42="","",IFERROR(INDEX('Analize meciuri'!$G$4:$G$103,MATCH($A42,'Analize meciuri'!$A$4:$A$103,0)),""))</x:f>
      </x:c>
      <x:c r="D42" s="35" t="str">
        <x:f>IF($A42="","",IFERROR(INDEX('Analize meciuri'!$H$4:$H$103,MATCH($A42,'Analize meciuri'!$A$4:$A$103,0)),""))</x:f>
      </x:c>
      <x:c r="E42" s="88" t="str">
        <x:f>IF($A42="","",IFERROR(INDEX('Analize meciuri'!$GP$4:$GP$103,MATCH($A42,'Analize meciuri'!$A$4:$A$103,0)),""))</x:f>
      </x:c>
      <x:c r="F42" s="89" t="str">
        <x:f>IF($A42="","",IFERROR(INDEX('Analize meciuri'!$GT$4:$GT$103,MATCH($A42,'Analize meciuri'!$A$4:$A$103,0)),""))</x:f>
      </x:c>
      <x:c r="G42" s="60"/>
      <x:c r="H42" s="60"/>
      <x:c r="I42" s="24"/>
      <x:c r="J42" s="90" t="str">
        <x:f t="shared" si="5"/>
      </x:c>
      <x:c r="K42" s="90" t="str">
        <x:f t="shared" si="6"/>
      </x:c>
      <x:c r="L42" s="90" t="str">
        <x:f t="shared" si="7"/>
      </x:c>
      <x:c r="M42" s="88" t="str">
        <x:f t="shared" si="8"/>
      </x:c>
      <x:c r="N42" s="25" t="str">
        <x:f>IF($A42="","",IFERROR(INDEX('Analize meciuri'!$GV$4:$GV$103,MATCH($A42,'Analize meciuri'!$A$4:$A$103,0)),""))</x:f>
      </x:c>
      <x:c r="O42" s="1" t="str">
        <x:f>IF($A42="","",IFERROR(INDEX('Analize meciuri'!$GN$4:$GN$103,MATCH($A42,'Analize meciuri'!$A$4:$A$103,0)),""))</x:f>
      </x:c>
      <x:c r="P42" s="1"/>
      <x:c r="Q42" s="1"/>
      <x:c r="R42" s="1"/>
      <x:c r="S42" s="1"/>
      <x:c r="T42" s="1"/>
    </x:row>
    <x:row r="43" ht="15">
      <x:c r="A43" s="58"/>
      <x:c r="B43" s="87" t="str">
        <x:f>IF($A43="","",IFERROR(INDEX('Analize meciuri'!$C$4:$C$103,MATCH($A43,'Analize meciuri'!$A$4:$A$103,0)),""))</x:f>
      </x:c>
      <x:c r="C43" s="35" t="str">
        <x:f>IF($A43="","",IFERROR(INDEX('Analize meciuri'!$G$4:$G$103,MATCH($A43,'Analize meciuri'!$A$4:$A$103,0)),""))</x:f>
      </x:c>
      <x:c r="D43" s="35" t="str">
        <x:f>IF($A43="","",IFERROR(INDEX('Analize meciuri'!$H$4:$H$103,MATCH($A43,'Analize meciuri'!$A$4:$A$103,0)),""))</x:f>
      </x:c>
      <x:c r="E43" s="88" t="str">
        <x:f>IF($A43="","",IFERROR(INDEX('Analize meciuri'!$GP$4:$GP$103,MATCH($A43,'Analize meciuri'!$A$4:$A$103,0)),""))</x:f>
      </x:c>
      <x:c r="F43" s="89" t="str">
        <x:f>IF($A43="","",IFERROR(INDEX('Analize meciuri'!$GT$4:$GT$103,MATCH($A43,'Analize meciuri'!$A$4:$A$103,0)),""))</x:f>
      </x:c>
      <x:c r="G43" s="60"/>
      <x:c r="H43" s="60"/>
      <x:c r="I43" s="24"/>
      <x:c r="J43" s="90" t="str">
        <x:f t="shared" si="5"/>
      </x:c>
      <x:c r="K43" s="90" t="str">
        <x:f t="shared" si="6"/>
      </x:c>
      <x:c r="L43" s="90" t="str">
        <x:f t="shared" si="7"/>
      </x:c>
      <x:c r="M43" s="88" t="str">
        <x:f t="shared" si="8"/>
      </x:c>
      <x:c r="N43" s="25" t="str">
        <x:f>IF($A43="","",IFERROR(INDEX('Analize meciuri'!$GV$4:$GV$103,MATCH($A43,'Analize meciuri'!$A$4:$A$103,0)),""))</x:f>
      </x:c>
      <x:c r="O43" s="1" t="str">
        <x:f>IF($A43="","",IFERROR(INDEX('Analize meciuri'!$GN$4:$GN$103,MATCH($A43,'Analize meciuri'!$A$4:$A$103,0)),""))</x:f>
      </x:c>
      <x:c r="P43" s="1"/>
      <x:c r="Q43" s="1"/>
      <x:c r="R43" s="1"/>
      <x:c r="S43" s="1"/>
      <x:c r="T43" s="1"/>
    </x:row>
    <x:row r="44" ht="15">
      <x:c r="A44" s="58"/>
      <x:c r="B44" s="87" t="str">
        <x:f>IF($A44="","",IFERROR(INDEX('Analize meciuri'!$C$4:$C$103,MATCH($A44,'Analize meciuri'!$A$4:$A$103,0)),""))</x:f>
      </x:c>
      <x:c r="C44" s="35" t="str">
        <x:f>IF($A44="","",IFERROR(INDEX('Analize meciuri'!$G$4:$G$103,MATCH($A44,'Analize meciuri'!$A$4:$A$103,0)),""))</x:f>
      </x:c>
      <x:c r="D44" s="35" t="str">
        <x:f>IF($A44="","",IFERROR(INDEX('Analize meciuri'!$H$4:$H$103,MATCH($A44,'Analize meciuri'!$A$4:$A$103,0)),""))</x:f>
      </x:c>
      <x:c r="E44" s="88" t="str">
        <x:f>IF($A44="","",IFERROR(INDEX('Analize meciuri'!$GP$4:$GP$103,MATCH($A44,'Analize meciuri'!$A$4:$A$103,0)),""))</x:f>
      </x:c>
      <x:c r="F44" s="89" t="str">
        <x:f>IF($A44="","",IFERROR(INDEX('Analize meciuri'!$GT$4:$GT$103,MATCH($A44,'Analize meciuri'!$A$4:$A$103,0)),""))</x:f>
      </x:c>
      <x:c r="G44" s="60"/>
      <x:c r="H44" s="60"/>
      <x:c r="I44" s="24"/>
      <x:c r="J44" s="90" t="str">
        <x:f t="shared" si="5"/>
      </x:c>
      <x:c r="K44" s="90" t="str">
        <x:f t="shared" si="6"/>
      </x:c>
      <x:c r="L44" s="90" t="str">
        <x:f t="shared" si="7"/>
      </x:c>
      <x:c r="M44" s="88" t="str">
        <x:f t="shared" si="8"/>
      </x:c>
      <x:c r="N44" s="25" t="str">
        <x:f>IF($A44="","",IFERROR(INDEX('Analize meciuri'!$GV$4:$GV$103,MATCH($A44,'Analize meciuri'!$A$4:$A$103,0)),""))</x:f>
      </x:c>
      <x:c r="O44" s="1" t="str">
        <x:f>IF($A44="","",IFERROR(INDEX('Analize meciuri'!$GN$4:$GN$103,MATCH($A44,'Analize meciuri'!$A$4:$A$103,0)),""))</x:f>
      </x:c>
      <x:c r="P44" s="1"/>
      <x:c r="Q44" s="1"/>
      <x:c r="R44" s="1"/>
      <x:c r="S44" s="1"/>
      <x:c r="T44" s="1"/>
    </x:row>
    <x:row r="45" ht="15">
      <x:c r="A45" s="58"/>
      <x:c r="B45" s="87" t="str">
        <x:f>IF($A45="","",IFERROR(INDEX('Analize meciuri'!$C$4:$C$103,MATCH($A45,'Analize meciuri'!$A$4:$A$103,0)),""))</x:f>
      </x:c>
      <x:c r="C45" s="35" t="str">
        <x:f>IF($A45="","",IFERROR(INDEX('Analize meciuri'!$G$4:$G$103,MATCH($A45,'Analize meciuri'!$A$4:$A$103,0)),""))</x:f>
      </x:c>
      <x:c r="D45" s="35" t="str">
        <x:f>IF($A45="","",IFERROR(INDEX('Analize meciuri'!$H$4:$H$103,MATCH($A45,'Analize meciuri'!$A$4:$A$103,0)),""))</x:f>
      </x:c>
      <x:c r="E45" s="88" t="str">
        <x:f>IF($A45="","",IFERROR(INDEX('Analize meciuri'!$GP$4:$GP$103,MATCH($A45,'Analize meciuri'!$A$4:$A$103,0)),""))</x:f>
      </x:c>
      <x:c r="F45" s="89" t="str">
        <x:f>IF($A45="","",IFERROR(INDEX('Analize meciuri'!$GT$4:$GT$103,MATCH($A45,'Analize meciuri'!$A$4:$A$103,0)),""))</x:f>
      </x:c>
      <x:c r="G45" s="60"/>
      <x:c r="H45" s="60"/>
      <x:c r="I45" s="24"/>
      <x:c r="J45" s="90" t="str">
        <x:f t="shared" si="5"/>
      </x:c>
      <x:c r="K45" s="90" t="str">
        <x:f t="shared" si="6"/>
      </x:c>
      <x:c r="L45" s="90" t="str">
        <x:f t="shared" si="7"/>
      </x:c>
      <x:c r="M45" s="88" t="str">
        <x:f t="shared" si="8"/>
      </x:c>
      <x:c r="N45" s="25" t="str">
        <x:f>IF($A45="","",IFERROR(INDEX('Analize meciuri'!$GV$4:$GV$103,MATCH($A45,'Analize meciuri'!$A$4:$A$103,0)),""))</x:f>
      </x:c>
      <x:c r="O45" s="1" t="str">
        <x:f>IF($A45="","",IFERROR(INDEX('Analize meciuri'!$GN$4:$GN$103,MATCH($A45,'Analize meciuri'!$A$4:$A$103,0)),""))</x:f>
      </x:c>
      <x:c r="P45" s="1"/>
      <x:c r="Q45" s="1"/>
      <x:c r="R45" s="1"/>
      <x:c r="S45" s="1"/>
      <x:c r="T45" s="1"/>
    </x:row>
    <x:row r="46" ht="15">
      <x:c r="A46" s="58"/>
      <x:c r="B46" s="87" t="str">
        <x:f>IF($A46="","",IFERROR(INDEX('Analize meciuri'!$C$4:$C$103,MATCH($A46,'Analize meciuri'!$A$4:$A$103,0)),""))</x:f>
      </x:c>
      <x:c r="C46" s="35" t="str">
        <x:f>IF($A46="","",IFERROR(INDEX('Analize meciuri'!$G$4:$G$103,MATCH($A46,'Analize meciuri'!$A$4:$A$103,0)),""))</x:f>
      </x:c>
      <x:c r="D46" s="35" t="str">
        <x:f>IF($A46="","",IFERROR(INDEX('Analize meciuri'!$H$4:$H$103,MATCH($A46,'Analize meciuri'!$A$4:$A$103,0)),""))</x:f>
      </x:c>
      <x:c r="E46" s="88" t="str">
        <x:f>IF($A46="","",IFERROR(INDEX('Analize meciuri'!$GP$4:$GP$103,MATCH($A46,'Analize meciuri'!$A$4:$A$103,0)),""))</x:f>
      </x:c>
      <x:c r="F46" s="89" t="str">
        <x:f>IF($A46="","",IFERROR(INDEX('Analize meciuri'!$GT$4:$GT$103,MATCH($A46,'Analize meciuri'!$A$4:$A$103,0)),""))</x:f>
      </x:c>
      <x:c r="G46" s="60"/>
      <x:c r="H46" s="60"/>
      <x:c r="I46" s="24"/>
      <x:c r="J46" s="90" t="str">
        <x:f t="shared" si="5"/>
      </x:c>
      <x:c r="K46" s="90" t="str">
        <x:f t="shared" si="6"/>
      </x:c>
      <x:c r="L46" s="90" t="str">
        <x:f t="shared" si="7"/>
      </x:c>
      <x:c r="M46" s="88" t="str">
        <x:f t="shared" si="8"/>
      </x:c>
      <x:c r="N46" s="25" t="str">
        <x:f>IF($A46="","",IFERROR(INDEX('Analize meciuri'!$GV$4:$GV$103,MATCH($A46,'Analize meciuri'!$A$4:$A$103,0)),""))</x:f>
      </x:c>
      <x:c r="O46" s="1" t="str">
        <x:f>IF($A46="","",IFERROR(INDEX('Analize meciuri'!$GN$4:$GN$103,MATCH($A46,'Analize meciuri'!$A$4:$A$103,0)),""))</x:f>
      </x:c>
      <x:c r="P46" s="1"/>
      <x:c r="Q46" s="1"/>
      <x:c r="R46" s="1"/>
      <x:c r="S46" s="1"/>
      <x:c r="T46" s="1"/>
    </x:row>
    <x:row r="47" ht="15">
      <x:c r="A47" s="58"/>
      <x:c r="B47" s="87" t="str">
        <x:f>IF($A47="","",IFERROR(INDEX('Analize meciuri'!$C$4:$C$103,MATCH($A47,'Analize meciuri'!$A$4:$A$103,0)),""))</x:f>
      </x:c>
      <x:c r="C47" s="35" t="str">
        <x:f>IF($A47="","",IFERROR(INDEX('Analize meciuri'!$G$4:$G$103,MATCH($A47,'Analize meciuri'!$A$4:$A$103,0)),""))</x:f>
      </x:c>
      <x:c r="D47" s="35" t="str">
        <x:f>IF($A47="","",IFERROR(INDEX('Analize meciuri'!$H$4:$H$103,MATCH($A47,'Analize meciuri'!$A$4:$A$103,0)),""))</x:f>
      </x:c>
      <x:c r="E47" s="88" t="str">
        <x:f>IF($A47="","",IFERROR(INDEX('Analize meciuri'!$GP$4:$GP$103,MATCH($A47,'Analize meciuri'!$A$4:$A$103,0)),""))</x:f>
      </x:c>
      <x:c r="F47" s="89" t="str">
        <x:f>IF($A47="","",IFERROR(INDEX('Analize meciuri'!$GT$4:$GT$103,MATCH($A47,'Analize meciuri'!$A$4:$A$103,0)),""))</x:f>
      </x:c>
      <x:c r="G47" s="60"/>
      <x:c r="H47" s="60"/>
      <x:c r="I47" s="24"/>
      <x:c r="J47" s="90" t="str">
        <x:f t="shared" si="5"/>
      </x:c>
      <x:c r="K47" s="90" t="str">
        <x:f t="shared" si="6"/>
      </x:c>
      <x:c r="L47" s="90" t="str">
        <x:f t="shared" si="7"/>
      </x:c>
      <x:c r="M47" s="88" t="str">
        <x:f t="shared" si="8"/>
      </x:c>
      <x:c r="N47" s="25" t="str">
        <x:f>IF($A47="","",IFERROR(INDEX('Analize meciuri'!$GV$4:$GV$103,MATCH($A47,'Analize meciuri'!$A$4:$A$103,0)),""))</x:f>
      </x:c>
      <x:c r="O47" s="1" t="str">
        <x:f>IF($A47="","",IFERROR(INDEX('Analize meciuri'!$GN$4:$GN$103,MATCH($A47,'Analize meciuri'!$A$4:$A$103,0)),""))</x:f>
      </x:c>
      <x:c r="P47" s="1"/>
      <x:c r="Q47" s="1"/>
      <x:c r="R47" s="1"/>
      <x:c r="S47" s="1"/>
      <x:c r="T47" s="1"/>
    </x:row>
    <x:row r="48" ht="15">
      <x:c r="A48" s="58"/>
      <x:c r="B48" s="87" t="str">
        <x:f>IF($A48="","",IFERROR(INDEX('Analize meciuri'!$C$4:$C$103,MATCH($A48,'Analize meciuri'!$A$4:$A$103,0)),""))</x:f>
      </x:c>
      <x:c r="C48" s="35" t="str">
        <x:f>IF($A48="","",IFERROR(INDEX('Analize meciuri'!$G$4:$G$103,MATCH($A48,'Analize meciuri'!$A$4:$A$103,0)),""))</x:f>
      </x:c>
      <x:c r="D48" s="35" t="str">
        <x:f>IF($A48="","",IFERROR(INDEX('Analize meciuri'!$H$4:$H$103,MATCH($A48,'Analize meciuri'!$A$4:$A$103,0)),""))</x:f>
      </x:c>
      <x:c r="E48" s="88" t="str">
        <x:f>IF($A48="","",IFERROR(INDEX('Analize meciuri'!$GP$4:$GP$103,MATCH($A48,'Analize meciuri'!$A$4:$A$103,0)),""))</x:f>
      </x:c>
      <x:c r="F48" s="89" t="str">
        <x:f>IF($A48="","",IFERROR(INDEX('Analize meciuri'!$GT$4:$GT$103,MATCH($A48,'Analize meciuri'!$A$4:$A$103,0)),""))</x:f>
      </x:c>
      <x:c r="G48" s="60"/>
      <x:c r="H48" s="60"/>
      <x:c r="I48" s="24"/>
      <x:c r="J48" s="90" t="str">
        <x:f t="shared" si="5"/>
      </x:c>
      <x:c r="K48" s="90" t="str">
        <x:f t="shared" si="6"/>
      </x:c>
      <x:c r="L48" s="90" t="str">
        <x:f t="shared" si="7"/>
      </x:c>
      <x:c r="M48" s="88" t="str">
        <x:f t="shared" si="8"/>
      </x:c>
      <x:c r="N48" s="25" t="str">
        <x:f>IF($A48="","",IFERROR(INDEX('Analize meciuri'!$GV$4:$GV$103,MATCH($A48,'Analize meciuri'!$A$4:$A$103,0)),""))</x:f>
      </x:c>
      <x:c r="O48" s="1" t="str">
        <x:f>IF($A48="","",IFERROR(INDEX('Analize meciuri'!$GN$4:$GN$103,MATCH($A48,'Analize meciuri'!$A$4:$A$103,0)),""))</x:f>
      </x:c>
      <x:c r="P48" s="1"/>
      <x:c r="Q48" s="1"/>
      <x:c r="R48" s="1"/>
      <x:c r="S48" s="1"/>
      <x:c r="T48" s="1"/>
    </x:row>
    <x:row r="49" ht="15">
      <x:c r="A49" s="58"/>
      <x:c r="B49" s="87" t="str">
        <x:f>IF($A49="","",IFERROR(INDEX('Analize meciuri'!$C$4:$C$103,MATCH($A49,'Analize meciuri'!$A$4:$A$103,0)),""))</x:f>
      </x:c>
      <x:c r="C49" s="35" t="str">
        <x:f>IF($A49="","",IFERROR(INDEX('Analize meciuri'!$G$4:$G$103,MATCH($A49,'Analize meciuri'!$A$4:$A$103,0)),""))</x:f>
      </x:c>
      <x:c r="D49" s="35" t="str">
        <x:f>IF($A49="","",IFERROR(INDEX('Analize meciuri'!$H$4:$H$103,MATCH($A49,'Analize meciuri'!$A$4:$A$103,0)),""))</x:f>
      </x:c>
      <x:c r="E49" s="88" t="str">
        <x:f>IF($A49="","",IFERROR(INDEX('Analize meciuri'!$GP$4:$GP$103,MATCH($A49,'Analize meciuri'!$A$4:$A$103,0)),""))</x:f>
      </x:c>
      <x:c r="F49" s="89" t="str">
        <x:f>IF($A49="","",IFERROR(INDEX('Analize meciuri'!$GT$4:$GT$103,MATCH($A49,'Analize meciuri'!$A$4:$A$103,0)),""))</x:f>
      </x:c>
      <x:c r="G49" s="60"/>
      <x:c r="H49" s="60"/>
      <x:c r="I49" s="24"/>
      <x:c r="J49" s="90" t="str">
        <x:f t="shared" si="5"/>
      </x:c>
      <x:c r="K49" s="90" t="str">
        <x:f t="shared" si="6"/>
      </x:c>
      <x:c r="L49" s="90" t="str">
        <x:f t="shared" si="7"/>
      </x:c>
      <x:c r="M49" s="88" t="str">
        <x:f t="shared" si="8"/>
      </x:c>
      <x:c r="N49" s="25" t="str">
        <x:f>IF($A49="","",IFERROR(INDEX('Analize meciuri'!$GV$4:$GV$103,MATCH($A49,'Analize meciuri'!$A$4:$A$103,0)),""))</x:f>
      </x:c>
      <x:c r="O49" s="1" t="str">
        <x:f>IF($A49="","",IFERROR(INDEX('Analize meciuri'!$GN$4:$GN$103,MATCH($A49,'Analize meciuri'!$A$4:$A$103,0)),""))</x:f>
      </x:c>
      <x:c r="P49" s="1"/>
      <x:c r="Q49" s="1"/>
      <x:c r="R49" s="1"/>
      <x:c r="S49" s="1"/>
      <x:c r="T49" s="1"/>
    </x:row>
    <x:row r="50" ht="15">
      <x:c r="A50" s="58"/>
      <x:c r="B50" s="87" t="str">
        <x:f>IF($A50="","",IFERROR(INDEX('Analize meciuri'!$C$4:$C$103,MATCH($A50,'Analize meciuri'!$A$4:$A$103,0)),""))</x:f>
      </x:c>
      <x:c r="C50" s="35" t="str">
        <x:f>IF($A50="","",IFERROR(INDEX('Analize meciuri'!$G$4:$G$103,MATCH($A50,'Analize meciuri'!$A$4:$A$103,0)),""))</x:f>
      </x:c>
      <x:c r="D50" s="35" t="str">
        <x:f>IF($A50="","",IFERROR(INDEX('Analize meciuri'!$H$4:$H$103,MATCH($A50,'Analize meciuri'!$A$4:$A$103,0)),""))</x:f>
      </x:c>
      <x:c r="E50" s="88" t="str">
        <x:f>IF($A50="","",IFERROR(INDEX('Analize meciuri'!$GP$4:$GP$103,MATCH($A50,'Analize meciuri'!$A$4:$A$103,0)),""))</x:f>
      </x:c>
      <x:c r="F50" s="89" t="str">
        <x:f>IF($A50="","",IFERROR(INDEX('Analize meciuri'!$GT$4:$GT$103,MATCH($A50,'Analize meciuri'!$A$4:$A$103,0)),""))</x:f>
      </x:c>
      <x:c r="G50" s="60"/>
      <x:c r="H50" s="60"/>
      <x:c r="I50" s="24"/>
      <x:c r="J50" s="90" t="str">
        <x:f t="shared" si="5"/>
      </x:c>
      <x:c r="K50" s="90" t="str">
        <x:f t="shared" si="6"/>
      </x:c>
      <x:c r="L50" s="90" t="str">
        <x:f t="shared" si="7"/>
      </x:c>
      <x:c r="M50" s="88" t="str">
        <x:f t="shared" si="8"/>
      </x:c>
      <x:c r="N50" s="25" t="str">
        <x:f>IF($A50="","",IFERROR(INDEX('Analize meciuri'!$GV$4:$GV$103,MATCH($A50,'Analize meciuri'!$A$4:$A$103,0)),""))</x:f>
      </x:c>
      <x:c r="O50" s="1" t="str">
        <x:f>IF($A50="","",IFERROR(INDEX('Analize meciuri'!$GN$4:$GN$103,MATCH($A50,'Analize meciuri'!$A$4:$A$103,0)),""))</x:f>
      </x:c>
      <x:c r="P50" s="1"/>
      <x:c r="Q50" s="1"/>
      <x:c r="R50" s="1"/>
      <x:c r="S50" s="1"/>
      <x:c r="T50" s="1"/>
    </x:row>
    <x:row r="51" ht="15">
      <x:c r="A51" s="58"/>
      <x:c r="B51" s="87" t="str">
        <x:f>IF($A51="","",IFERROR(INDEX('Analize meciuri'!$C$4:$C$103,MATCH($A51,'Analize meciuri'!$A$4:$A$103,0)),""))</x:f>
      </x:c>
      <x:c r="C51" s="35" t="str">
        <x:f>IF($A51="","",IFERROR(INDEX('Analize meciuri'!$G$4:$G$103,MATCH($A51,'Analize meciuri'!$A$4:$A$103,0)),""))</x:f>
      </x:c>
      <x:c r="D51" s="35" t="str">
        <x:f>IF($A51="","",IFERROR(INDEX('Analize meciuri'!$H$4:$H$103,MATCH($A51,'Analize meciuri'!$A$4:$A$103,0)),""))</x:f>
      </x:c>
      <x:c r="E51" s="88" t="str">
        <x:f>IF($A51="","",IFERROR(INDEX('Analize meciuri'!$GP$4:$GP$103,MATCH($A51,'Analize meciuri'!$A$4:$A$103,0)),""))</x:f>
      </x:c>
      <x:c r="F51" s="89" t="str">
        <x:f>IF($A51="","",IFERROR(INDEX('Analize meciuri'!$GT$4:$GT$103,MATCH($A51,'Analize meciuri'!$A$4:$A$103,0)),""))</x:f>
      </x:c>
      <x:c r="G51" s="60"/>
      <x:c r="H51" s="60"/>
      <x:c r="I51" s="24"/>
      <x:c r="J51" s="90" t="str">
        <x:f t="shared" si="5"/>
      </x:c>
      <x:c r="K51" s="90" t="str">
        <x:f t="shared" si="6"/>
      </x:c>
      <x:c r="L51" s="90" t="str">
        <x:f t="shared" si="7"/>
      </x:c>
      <x:c r="M51" s="88" t="str">
        <x:f t="shared" si="8"/>
      </x:c>
      <x:c r="N51" s="25" t="str">
        <x:f>IF($A51="","",IFERROR(INDEX('Analize meciuri'!$GV$4:$GV$103,MATCH($A51,'Analize meciuri'!$A$4:$A$103,0)),""))</x:f>
      </x:c>
      <x:c r="O51" s="1" t="str">
        <x:f>IF($A51="","",IFERROR(INDEX('Analize meciuri'!$GN$4:$GN$103,MATCH($A51,'Analize meciuri'!$A$4:$A$103,0)),""))</x:f>
      </x:c>
      <x:c r="P51" s="1"/>
      <x:c r="Q51" s="1"/>
      <x:c r="R51" s="1"/>
      <x:c r="S51" s="1"/>
      <x:c r="T51" s="1"/>
    </x:row>
    <x:row r="52" ht="15">
      <x:c r="A52" s="58"/>
      <x:c r="B52" s="87" t="str">
        <x:f>IF($A52="","",IFERROR(INDEX('Analize meciuri'!$C$4:$C$103,MATCH($A52,'Analize meciuri'!$A$4:$A$103,0)),""))</x:f>
      </x:c>
      <x:c r="C52" s="35" t="str">
        <x:f>IF($A52="","",IFERROR(INDEX('Analize meciuri'!$G$4:$G$103,MATCH($A52,'Analize meciuri'!$A$4:$A$103,0)),""))</x:f>
      </x:c>
      <x:c r="D52" s="35" t="str">
        <x:f>IF($A52="","",IFERROR(INDEX('Analize meciuri'!$H$4:$H$103,MATCH($A52,'Analize meciuri'!$A$4:$A$103,0)),""))</x:f>
      </x:c>
      <x:c r="E52" s="88" t="str">
        <x:f>IF($A52="","",IFERROR(INDEX('Analize meciuri'!$GP$4:$GP$103,MATCH($A52,'Analize meciuri'!$A$4:$A$103,0)),""))</x:f>
      </x:c>
      <x:c r="F52" s="89" t="str">
        <x:f>IF($A52="","",IFERROR(INDEX('Analize meciuri'!$GT$4:$GT$103,MATCH($A52,'Analize meciuri'!$A$4:$A$103,0)),""))</x:f>
      </x:c>
      <x:c r="G52" s="60"/>
      <x:c r="H52" s="60"/>
      <x:c r="I52" s="24"/>
      <x:c r="J52" s="90" t="str">
        <x:f t="shared" si="5"/>
      </x:c>
      <x:c r="K52" s="90" t="str">
        <x:f t="shared" si="6"/>
      </x:c>
      <x:c r="L52" s="90" t="str">
        <x:f t="shared" si="7"/>
      </x:c>
      <x:c r="M52" s="88" t="str">
        <x:f t="shared" si="8"/>
      </x:c>
      <x:c r="N52" s="25" t="str">
        <x:f>IF($A52="","",IFERROR(INDEX('Analize meciuri'!$GV$4:$GV$103,MATCH($A52,'Analize meciuri'!$A$4:$A$103,0)),""))</x:f>
      </x:c>
      <x:c r="O52" s="1" t="str">
        <x:f>IF($A52="","",IFERROR(INDEX('Analize meciuri'!$GN$4:$GN$103,MATCH($A52,'Analize meciuri'!$A$4:$A$103,0)),""))</x:f>
      </x:c>
      <x:c r="P52" s="1"/>
      <x:c r="Q52" s="1"/>
      <x:c r="R52" s="1"/>
      <x:c r="S52" s="1"/>
      <x:c r="T52" s="1"/>
    </x:row>
    <x:row r="53" ht="15">
      <x:c r="A53" s="58"/>
      <x:c r="B53" s="87" t="str">
        <x:f>IF($A53="","",IFERROR(INDEX('Analize meciuri'!$C$4:$C$103,MATCH($A53,'Analize meciuri'!$A$4:$A$103,0)),""))</x:f>
      </x:c>
      <x:c r="C53" s="35" t="str">
        <x:f>IF($A53="","",IFERROR(INDEX('Analize meciuri'!$G$4:$G$103,MATCH($A53,'Analize meciuri'!$A$4:$A$103,0)),""))</x:f>
      </x:c>
      <x:c r="D53" s="35" t="str">
        <x:f>IF($A53="","",IFERROR(INDEX('Analize meciuri'!$H$4:$H$103,MATCH($A53,'Analize meciuri'!$A$4:$A$103,0)),""))</x:f>
      </x:c>
      <x:c r="E53" s="88" t="str">
        <x:f>IF($A53="","",IFERROR(INDEX('Analize meciuri'!$GP$4:$GP$103,MATCH($A53,'Analize meciuri'!$A$4:$A$103,0)),""))</x:f>
      </x:c>
      <x:c r="F53" s="89" t="str">
        <x:f>IF($A53="","",IFERROR(INDEX('Analize meciuri'!$GT$4:$GT$103,MATCH($A53,'Analize meciuri'!$A$4:$A$103,0)),""))</x:f>
      </x:c>
      <x:c r="G53" s="60"/>
      <x:c r="H53" s="60"/>
      <x:c r="I53" s="24"/>
      <x:c r="J53" s="90" t="str">
        <x:f t="shared" si="5"/>
      </x:c>
      <x:c r="K53" s="90" t="str">
        <x:f t="shared" si="6"/>
      </x:c>
      <x:c r="L53" s="90" t="str">
        <x:f t="shared" si="7"/>
      </x:c>
      <x:c r="M53" s="88" t="str">
        <x:f t="shared" si="8"/>
      </x:c>
      <x:c r="N53" s="25" t="str">
        <x:f>IF($A53="","",IFERROR(INDEX('Analize meciuri'!$GV$4:$GV$103,MATCH($A53,'Analize meciuri'!$A$4:$A$103,0)),""))</x:f>
      </x:c>
      <x:c r="O53" s="1" t="str">
        <x:f>IF($A53="","",IFERROR(INDEX('Analize meciuri'!$GN$4:$GN$103,MATCH($A53,'Analize meciuri'!$A$4:$A$103,0)),""))</x:f>
      </x:c>
      <x:c r="P53" s="1"/>
      <x:c r="Q53" s="1"/>
      <x:c r="R53" s="1"/>
      <x:c r="S53" s="1"/>
      <x:c r="T53" s="1"/>
    </x:row>
    <x:row r="54" ht="15">
      <x:c r="A54" s="58"/>
      <x:c r="B54" s="87" t="str">
        <x:f>IF($A54="","",IFERROR(INDEX('Analize meciuri'!$C$4:$C$103,MATCH($A54,'Analize meciuri'!$A$4:$A$103,0)),""))</x:f>
      </x:c>
      <x:c r="C54" s="35" t="str">
        <x:f>IF($A54="","",IFERROR(INDEX('Analize meciuri'!$G$4:$G$103,MATCH($A54,'Analize meciuri'!$A$4:$A$103,0)),""))</x:f>
      </x:c>
      <x:c r="D54" s="35" t="str">
        <x:f>IF($A54="","",IFERROR(INDEX('Analize meciuri'!$H$4:$H$103,MATCH($A54,'Analize meciuri'!$A$4:$A$103,0)),""))</x:f>
      </x:c>
      <x:c r="E54" s="88" t="str">
        <x:f>IF($A54="","",IFERROR(INDEX('Analize meciuri'!$GP$4:$GP$103,MATCH($A54,'Analize meciuri'!$A$4:$A$103,0)),""))</x:f>
      </x:c>
      <x:c r="F54" s="89" t="str">
        <x:f>IF($A54="","",IFERROR(INDEX('Analize meciuri'!$GT$4:$GT$103,MATCH($A54,'Analize meciuri'!$A$4:$A$103,0)),""))</x:f>
      </x:c>
      <x:c r="G54" s="60"/>
      <x:c r="H54" s="60"/>
      <x:c r="I54" s="24"/>
      <x:c r="J54" s="90" t="str">
        <x:f t="shared" si="5"/>
      </x:c>
      <x:c r="K54" s="90" t="str">
        <x:f t="shared" si="6"/>
      </x:c>
      <x:c r="L54" s="90" t="str">
        <x:f t="shared" si="7"/>
      </x:c>
      <x:c r="M54" s="88" t="str">
        <x:f t="shared" si="8"/>
      </x:c>
      <x:c r="N54" s="25" t="str">
        <x:f>IF($A54="","",IFERROR(INDEX('Analize meciuri'!$GV$4:$GV$103,MATCH($A54,'Analize meciuri'!$A$4:$A$103,0)),""))</x:f>
      </x:c>
      <x:c r="O54" s="1" t="str">
        <x:f>IF($A54="","",IFERROR(INDEX('Analize meciuri'!$GN$4:$GN$103,MATCH($A54,'Analize meciuri'!$A$4:$A$103,0)),""))</x:f>
      </x:c>
      <x:c r="P54" s="1"/>
      <x:c r="Q54" s="1"/>
      <x:c r="R54" s="1"/>
      <x:c r="S54" s="1"/>
      <x:c r="T54" s="1"/>
    </x:row>
    <x:row r="55" ht="15">
      <x:c r="A55" s="58"/>
      <x:c r="B55" s="87" t="str">
        <x:f>IF($A55="","",IFERROR(INDEX('Analize meciuri'!$C$4:$C$103,MATCH($A55,'Analize meciuri'!$A$4:$A$103,0)),""))</x:f>
      </x:c>
      <x:c r="C55" s="35" t="str">
        <x:f>IF($A55="","",IFERROR(INDEX('Analize meciuri'!$G$4:$G$103,MATCH($A55,'Analize meciuri'!$A$4:$A$103,0)),""))</x:f>
      </x:c>
      <x:c r="D55" s="35" t="str">
        <x:f>IF($A55="","",IFERROR(INDEX('Analize meciuri'!$H$4:$H$103,MATCH($A55,'Analize meciuri'!$A$4:$A$103,0)),""))</x:f>
      </x:c>
      <x:c r="E55" s="88" t="str">
        <x:f>IF($A55="","",IFERROR(INDEX('Analize meciuri'!$GP$4:$GP$103,MATCH($A55,'Analize meciuri'!$A$4:$A$103,0)),""))</x:f>
      </x:c>
      <x:c r="F55" s="89" t="str">
        <x:f>IF($A55="","",IFERROR(INDEX('Analize meciuri'!$GT$4:$GT$103,MATCH($A55,'Analize meciuri'!$A$4:$A$103,0)),""))</x:f>
      </x:c>
      <x:c r="G55" s="60"/>
      <x:c r="H55" s="60"/>
      <x:c r="I55" s="24"/>
      <x:c r="J55" s="90" t="str">
        <x:f t="shared" si="5"/>
      </x:c>
      <x:c r="K55" s="90" t="str">
        <x:f t="shared" si="6"/>
      </x:c>
      <x:c r="L55" s="90" t="str">
        <x:f t="shared" si="7"/>
      </x:c>
      <x:c r="M55" s="88" t="str">
        <x:f t="shared" si="8"/>
      </x:c>
      <x:c r="N55" s="25" t="str">
        <x:f>IF($A55="","",IFERROR(INDEX('Analize meciuri'!$GV$4:$GV$103,MATCH($A55,'Analize meciuri'!$A$4:$A$103,0)),""))</x:f>
      </x:c>
      <x:c r="O55" s="1" t="str">
        <x:f>IF($A55="","",IFERROR(INDEX('Analize meciuri'!$GN$4:$GN$103,MATCH($A55,'Analize meciuri'!$A$4:$A$103,0)),""))</x:f>
      </x:c>
      <x:c r="P55" s="1"/>
      <x:c r="Q55" s="1"/>
      <x:c r="R55" s="1"/>
      <x:c r="S55" s="1"/>
      <x:c r="T55" s="1"/>
    </x:row>
    <x:row r="56" ht="15">
      <x:c r="A56" s="58"/>
      <x:c r="B56" s="87" t="str">
        <x:f>IF($A56="","",IFERROR(INDEX('Analize meciuri'!$C$4:$C$103,MATCH($A56,'Analize meciuri'!$A$4:$A$103,0)),""))</x:f>
      </x:c>
      <x:c r="C56" s="35" t="str">
        <x:f>IF($A56="","",IFERROR(INDEX('Analize meciuri'!$G$4:$G$103,MATCH($A56,'Analize meciuri'!$A$4:$A$103,0)),""))</x:f>
      </x:c>
      <x:c r="D56" s="35" t="str">
        <x:f>IF($A56="","",IFERROR(INDEX('Analize meciuri'!$H$4:$H$103,MATCH($A56,'Analize meciuri'!$A$4:$A$103,0)),""))</x:f>
      </x:c>
      <x:c r="E56" s="88" t="str">
        <x:f>IF($A56="","",IFERROR(INDEX('Analize meciuri'!$GP$4:$GP$103,MATCH($A56,'Analize meciuri'!$A$4:$A$103,0)),""))</x:f>
      </x:c>
      <x:c r="F56" s="89" t="str">
        <x:f>IF($A56="","",IFERROR(INDEX('Analize meciuri'!$GT$4:$GT$103,MATCH($A56,'Analize meciuri'!$A$4:$A$103,0)),""))</x:f>
      </x:c>
      <x:c r="G56" s="60"/>
      <x:c r="H56" s="60"/>
      <x:c r="I56" s="24"/>
      <x:c r="J56" s="90" t="str">
        <x:f t="shared" si="5"/>
      </x:c>
      <x:c r="K56" s="90" t="str">
        <x:f t="shared" si="6"/>
      </x:c>
      <x:c r="L56" s="90" t="str">
        <x:f t="shared" si="7"/>
      </x:c>
      <x:c r="M56" s="88" t="str">
        <x:f t="shared" si="8"/>
      </x:c>
      <x:c r="N56" s="25" t="str">
        <x:f>IF($A56="","",IFERROR(INDEX('Analize meciuri'!$GV$4:$GV$103,MATCH($A56,'Analize meciuri'!$A$4:$A$103,0)),""))</x:f>
      </x:c>
      <x:c r="O56" s="1" t="str">
        <x:f>IF($A56="","",IFERROR(INDEX('Analize meciuri'!$GN$4:$GN$103,MATCH($A56,'Analize meciuri'!$A$4:$A$103,0)),""))</x:f>
      </x:c>
      <x:c r="P56" s="1"/>
      <x:c r="Q56" s="1"/>
      <x:c r="R56" s="1"/>
      <x:c r="S56" s="1"/>
      <x:c r="T56" s="1"/>
    </x:row>
    <x:row r="57" ht="15">
      <x:c r="A57" s="58"/>
      <x:c r="B57" s="87" t="str">
        <x:f>IF($A57="","",IFERROR(INDEX('Analize meciuri'!$C$4:$C$103,MATCH($A57,'Analize meciuri'!$A$4:$A$103,0)),""))</x:f>
      </x:c>
      <x:c r="C57" s="35" t="str">
        <x:f>IF($A57="","",IFERROR(INDEX('Analize meciuri'!$G$4:$G$103,MATCH($A57,'Analize meciuri'!$A$4:$A$103,0)),""))</x:f>
      </x:c>
      <x:c r="D57" s="35" t="str">
        <x:f>IF($A57="","",IFERROR(INDEX('Analize meciuri'!$H$4:$H$103,MATCH($A57,'Analize meciuri'!$A$4:$A$103,0)),""))</x:f>
      </x:c>
      <x:c r="E57" s="88" t="str">
        <x:f>IF($A57="","",IFERROR(INDEX('Analize meciuri'!$GP$4:$GP$103,MATCH($A57,'Analize meciuri'!$A$4:$A$103,0)),""))</x:f>
      </x:c>
      <x:c r="F57" s="89" t="str">
        <x:f>IF($A57="","",IFERROR(INDEX('Analize meciuri'!$GT$4:$GT$103,MATCH($A57,'Analize meciuri'!$A$4:$A$103,0)),""))</x:f>
      </x:c>
      <x:c r="G57" s="60"/>
      <x:c r="H57" s="60"/>
      <x:c r="I57" s="24"/>
      <x:c r="J57" s="90" t="str">
        <x:f t="shared" si="5"/>
      </x:c>
      <x:c r="K57" s="90" t="str">
        <x:f t="shared" si="6"/>
      </x:c>
      <x:c r="L57" s="90" t="str">
        <x:f t="shared" si="7"/>
      </x:c>
      <x:c r="M57" s="88" t="str">
        <x:f t="shared" si="8"/>
      </x:c>
      <x:c r="N57" s="25" t="str">
        <x:f>IF($A57="","",IFERROR(INDEX('Analize meciuri'!$GV$4:$GV$103,MATCH($A57,'Analize meciuri'!$A$4:$A$103,0)),""))</x:f>
      </x:c>
      <x:c r="O57" s="1" t="str">
        <x:f>IF($A57="","",IFERROR(INDEX('Analize meciuri'!$GN$4:$GN$103,MATCH($A57,'Analize meciuri'!$A$4:$A$103,0)),""))</x:f>
      </x:c>
      <x:c r="P57" s="1"/>
      <x:c r="Q57" s="1"/>
      <x:c r="R57" s="1"/>
      <x:c r="S57" s="1"/>
      <x:c r="T57" s="1"/>
    </x:row>
    <x:row r="58" ht="15">
      <x:c r="A58" s="58"/>
      <x:c r="B58" s="87" t="str">
        <x:f>IF($A58="","",IFERROR(INDEX('Analize meciuri'!$C$4:$C$103,MATCH($A58,'Analize meciuri'!$A$4:$A$103,0)),""))</x:f>
      </x:c>
      <x:c r="C58" s="35" t="str">
        <x:f>IF($A58="","",IFERROR(INDEX('Analize meciuri'!$G$4:$G$103,MATCH($A58,'Analize meciuri'!$A$4:$A$103,0)),""))</x:f>
      </x:c>
      <x:c r="D58" s="35" t="str">
        <x:f>IF($A58="","",IFERROR(INDEX('Analize meciuri'!$H$4:$H$103,MATCH($A58,'Analize meciuri'!$A$4:$A$103,0)),""))</x:f>
      </x:c>
      <x:c r="E58" s="88" t="str">
        <x:f>IF($A58="","",IFERROR(INDEX('Analize meciuri'!$GP$4:$GP$103,MATCH($A58,'Analize meciuri'!$A$4:$A$103,0)),""))</x:f>
      </x:c>
      <x:c r="F58" s="89" t="str">
        <x:f>IF($A58="","",IFERROR(INDEX('Analize meciuri'!$GT$4:$GT$103,MATCH($A58,'Analize meciuri'!$A$4:$A$103,0)),""))</x:f>
      </x:c>
      <x:c r="G58" s="60"/>
      <x:c r="H58" s="60"/>
      <x:c r="I58" s="24"/>
      <x:c r="J58" s="90" t="str">
        <x:f t="shared" si="5"/>
      </x:c>
      <x:c r="K58" s="90" t="str">
        <x:f t="shared" si="6"/>
      </x:c>
      <x:c r="L58" s="90" t="str">
        <x:f t="shared" si="7"/>
      </x:c>
      <x:c r="M58" s="88" t="str">
        <x:f t="shared" si="8"/>
      </x:c>
      <x:c r="N58" s="25" t="str">
        <x:f>IF($A58="","",IFERROR(INDEX('Analize meciuri'!$GV$4:$GV$103,MATCH($A58,'Analize meciuri'!$A$4:$A$103,0)),""))</x:f>
      </x:c>
      <x:c r="O58" s="1" t="str">
        <x:f>IF($A58="","",IFERROR(INDEX('Analize meciuri'!$GN$4:$GN$103,MATCH($A58,'Analize meciuri'!$A$4:$A$103,0)),""))</x:f>
      </x:c>
      <x:c r="P58" s="1"/>
      <x:c r="Q58" s="1"/>
      <x:c r="R58" s="1"/>
      <x:c r="S58" s="1"/>
      <x:c r="T58" s="1"/>
    </x:row>
    <x:row r="59" ht="15">
      <x:c r="A59" s="58"/>
      <x:c r="B59" s="87" t="str">
        <x:f>IF($A59="","",IFERROR(INDEX('Analize meciuri'!$C$4:$C$103,MATCH($A59,'Analize meciuri'!$A$4:$A$103,0)),""))</x:f>
      </x:c>
      <x:c r="C59" s="35" t="str">
        <x:f>IF($A59="","",IFERROR(INDEX('Analize meciuri'!$G$4:$G$103,MATCH($A59,'Analize meciuri'!$A$4:$A$103,0)),""))</x:f>
      </x:c>
      <x:c r="D59" s="35" t="str">
        <x:f>IF($A59="","",IFERROR(INDEX('Analize meciuri'!$H$4:$H$103,MATCH($A59,'Analize meciuri'!$A$4:$A$103,0)),""))</x:f>
      </x:c>
      <x:c r="E59" s="88" t="str">
        <x:f>IF($A59="","",IFERROR(INDEX('Analize meciuri'!$GP$4:$GP$103,MATCH($A59,'Analize meciuri'!$A$4:$A$103,0)),""))</x:f>
      </x:c>
      <x:c r="F59" s="89" t="str">
        <x:f>IF($A59="","",IFERROR(INDEX('Analize meciuri'!$GT$4:$GT$103,MATCH($A59,'Analize meciuri'!$A$4:$A$103,0)),""))</x:f>
      </x:c>
      <x:c r="G59" s="60"/>
      <x:c r="H59" s="60"/>
      <x:c r="I59" s="24"/>
      <x:c r="J59" s="90" t="str">
        <x:f t="shared" si="5"/>
      </x:c>
      <x:c r="K59" s="90" t="str">
        <x:f t="shared" si="6"/>
      </x:c>
      <x:c r="L59" s="90" t="str">
        <x:f t="shared" si="7"/>
      </x:c>
      <x:c r="M59" s="88" t="str">
        <x:f t="shared" si="8"/>
      </x:c>
      <x:c r="N59" s="25" t="str">
        <x:f>IF($A59="","",IFERROR(INDEX('Analize meciuri'!$GV$4:$GV$103,MATCH($A59,'Analize meciuri'!$A$4:$A$103,0)),""))</x:f>
      </x:c>
      <x:c r="O59" s="1" t="str">
        <x:f>IF($A59="","",IFERROR(INDEX('Analize meciuri'!$GN$4:$GN$103,MATCH($A59,'Analize meciuri'!$A$4:$A$103,0)),""))</x:f>
      </x:c>
      <x:c r="P59" s="1"/>
      <x:c r="Q59" s="1"/>
      <x:c r="R59" s="1"/>
      <x:c r="S59" s="1"/>
      <x:c r="T59" s="1"/>
    </x:row>
    <x:row r="60" ht="15">
      <x:c r="A60" s="58"/>
      <x:c r="B60" s="87" t="str">
        <x:f>IF($A60="","",IFERROR(INDEX('Analize meciuri'!$C$4:$C$103,MATCH($A60,'Analize meciuri'!$A$4:$A$103,0)),""))</x:f>
      </x:c>
      <x:c r="C60" s="35" t="str">
        <x:f>IF($A60="","",IFERROR(INDEX('Analize meciuri'!$G$4:$G$103,MATCH($A60,'Analize meciuri'!$A$4:$A$103,0)),""))</x:f>
      </x:c>
      <x:c r="D60" s="35" t="str">
        <x:f>IF($A60="","",IFERROR(INDEX('Analize meciuri'!$H$4:$H$103,MATCH($A60,'Analize meciuri'!$A$4:$A$103,0)),""))</x:f>
      </x:c>
      <x:c r="E60" s="88" t="str">
        <x:f>IF($A60="","",IFERROR(INDEX('Analize meciuri'!$GP$4:$GP$103,MATCH($A60,'Analize meciuri'!$A$4:$A$103,0)),""))</x:f>
      </x:c>
      <x:c r="F60" s="89" t="str">
        <x:f>IF($A60="","",IFERROR(INDEX('Analize meciuri'!$GT$4:$GT$103,MATCH($A60,'Analize meciuri'!$A$4:$A$103,0)),""))</x:f>
      </x:c>
      <x:c r="G60" s="60"/>
      <x:c r="H60" s="60"/>
      <x:c r="I60" s="24"/>
      <x:c r="J60" s="90" t="str">
        <x:f t="shared" si="5"/>
      </x:c>
      <x:c r="K60" s="90" t="str">
        <x:f t="shared" si="6"/>
      </x:c>
      <x:c r="L60" s="90" t="str">
        <x:f t="shared" si="7"/>
      </x:c>
      <x:c r="M60" s="88" t="str">
        <x:f t="shared" si="8"/>
      </x:c>
      <x:c r="N60" s="25" t="str">
        <x:f>IF($A60="","",IFERROR(INDEX('Analize meciuri'!$GV$4:$GV$103,MATCH($A60,'Analize meciuri'!$A$4:$A$103,0)),""))</x:f>
      </x:c>
      <x:c r="O60" s="1" t="str">
        <x:f>IF($A60="","",IFERROR(INDEX('Analize meciuri'!$GN$4:$GN$103,MATCH($A60,'Analize meciuri'!$A$4:$A$103,0)),""))</x:f>
      </x:c>
      <x:c r="P60" s="1"/>
      <x:c r="Q60" s="1"/>
      <x:c r="R60" s="1"/>
      <x:c r="S60" s="1"/>
      <x:c r="T60" s="1"/>
    </x:row>
    <x:row r="61" ht="15">
      <x:c r="A61" s="58"/>
      <x:c r="B61" s="87" t="str">
        <x:f>IF($A61="","",IFERROR(INDEX('Analize meciuri'!$C$4:$C$103,MATCH($A61,'Analize meciuri'!$A$4:$A$103,0)),""))</x:f>
      </x:c>
      <x:c r="C61" s="35" t="str">
        <x:f>IF($A61="","",IFERROR(INDEX('Analize meciuri'!$G$4:$G$103,MATCH($A61,'Analize meciuri'!$A$4:$A$103,0)),""))</x:f>
      </x:c>
      <x:c r="D61" s="35" t="str">
        <x:f>IF($A61="","",IFERROR(INDEX('Analize meciuri'!$H$4:$H$103,MATCH($A61,'Analize meciuri'!$A$4:$A$103,0)),""))</x:f>
      </x:c>
      <x:c r="E61" s="88" t="str">
        <x:f>IF($A61="","",IFERROR(INDEX('Analize meciuri'!$GP$4:$GP$103,MATCH($A61,'Analize meciuri'!$A$4:$A$103,0)),""))</x:f>
      </x:c>
      <x:c r="F61" s="89" t="str">
        <x:f>IF($A61="","",IFERROR(INDEX('Analize meciuri'!$GT$4:$GT$103,MATCH($A61,'Analize meciuri'!$A$4:$A$103,0)),""))</x:f>
      </x:c>
      <x:c r="G61" s="60"/>
      <x:c r="H61" s="60"/>
      <x:c r="I61" s="24"/>
      <x:c r="J61" s="90" t="str">
        <x:f t="shared" si="5"/>
      </x:c>
      <x:c r="K61" s="90" t="str">
        <x:f t="shared" si="6"/>
      </x:c>
      <x:c r="L61" s="90" t="str">
        <x:f t="shared" si="7"/>
      </x:c>
      <x:c r="M61" s="88" t="str">
        <x:f t="shared" si="8"/>
      </x:c>
      <x:c r="N61" s="25" t="str">
        <x:f>IF($A61="","",IFERROR(INDEX('Analize meciuri'!$GV$4:$GV$103,MATCH($A61,'Analize meciuri'!$A$4:$A$103,0)),""))</x:f>
      </x:c>
      <x:c r="O61" s="1" t="str">
        <x:f>IF($A61="","",IFERROR(INDEX('Analize meciuri'!$GN$4:$GN$103,MATCH($A61,'Analize meciuri'!$A$4:$A$103,0)),""))</x:f>
      </x:c>
      <x:c r="P61" s="1"/>
      <x:c r="Q61" s="1"/>
      <x:c r="R61" s="1"/>
      <x:c r="S61" s="1"/>
      <x:c r="T61" s="1"/>
    </x:row>
    <x:row r="62" ht="15">
      <x:c r="A62" s="58"/>
      <x:c r="B62" s="87" t="str">
        <x:f>IF($A62="","",IFERROR(INDEX('Analize meciuri'!$C$4:$C$103,MATCH($A62,'Analize meciuri'!$A$4:$A$103,0)),""))</x:f>
      </x:c>
      <x:c r="C62" s="35" t="str">
        <x:f>IF($A62="","",IFERROR(INDEX('Analize meciuri'!$G$4:$G$103,MATCH($A62,'Analize meciuri'!$A$4:$A$103,0)),""))</x:f>
      </x:c>
      <x:c r="D62" s="35" t="str">
        <x:f>IF($A62="","",IFERROR(INDEX('Analize meciuri'!$H$4:$H$103,MATCH($A62,'Analize meciuri'!$A$4:$A$103,0)),""))</x:f>
      </x:c>
      <x:c r="E62" s="88" t="str">
        <x:f>IF($A62="","",IFERROR(INDEX('Analize meciuri'!$GP$4:$GP$103,MATCH($A62,'Analize meciuri'!$A$4:$A$103,0)),""))</x:f>
      </x:c>
      <x:c r="F62" s="89" t="str">
        <x:f>IF($A62="","",IFERROR(INDEX('Analize meciuri'!$GT$4:$GT$103,MATCH($A62,'Analize meciuri'!$A$4:$A$103,0)),""))</x:f>
      </x:c>
      <x:c r="G62" s="60"/>
      <x:c r="H62" s="60"/>
      <x:c r="I62" s="24"/>
      <x:c r="J62" s="90" t="str">
        <x:f t="shared" si="5"/>
      </x:c>
      <x:c r="K62" s="90" t="str">
        <x:f t="shared" si="6"/>
      </x:c>
      <x:c r="L62" s="90" t="str">
        <x:f t="shared" si="7"/>
      </x:c>
      <x:c r="M62" s="88" t="str">
        <x:f t="shared" si="8"/>
      </x:c>
      <x:c r="N62" s="25" t="str">
        <x:f>IF($A62="","",IFERROR(INDEX('Analize meciuri'!$GV$4:$GV$103,MATCH($A62,'Analize meciuri'!$A$4:$A$103,0)),""))</x:f>
      </x:c>
      <x:c r="O62" s="1" t="str">
        <x:f>IF($A62="","",IFERROR(INDEX('Analize meciuri'!$GN$4:$GN$103,MATCH($A62,'Analize meciuri'!$A$4:$A$103,0)),""))</x:f>
      </x:c>
      <x:c r="P62" s="1"/>
      <x:c r="Q62" s="1"/>
      <x:c r="R62" s="1"/>
      <x:c r="S62" s="1"/>
      <x:c r="T62" s="1"/>
    </x:row>
    <x:row r="63" ht="15">
      <x:c r="A63" s="58"/>
      <x:c r="B63" s="87" t="str">
        <x:f>IF($A63="","",IFERROR(INDEX('Analize meciuri'!$C$4:$C$103,MATCH($A63,'Analize meciuri'!$A$4:$A$103,0)),""))</x:f>
      </x:c>
      <x:c r="C63" s="35" t="str">
        <x:f>IF($A63="","",IFERROR(INDEX('Analize meciuri'!$G$4:$G$103,MATCH($A63,'Analize meciuri'!$A$4:$A$103,0)),""))</x:f>
      </x:c>
      <x:c r="D63" s="35" t="str">
        <x:f>IF($A63="","",IFERROR(INDEX('Analize meciuri'!$H$4:$H$103,MATCH($A63,'Analize meciuri'!$A$4:$A$103,0)),""))</x:f>
      </x:c>
      <x:c r="E63" s="88" t="str">
        <x:f>IF($A63="","",IFERROR(INDEX('Analize meciuri'!$GP$4:$GP$103,MATCH($A63,'Analize meciuri'!$A$4:$A$103,0)),""))</x:f>
      </x:c>
      <x:c r="F63" s="89" t="str">
        <x:f>IF($A63="","",IFERROR(INDEX('Analize meciuri'!$GT$4:$GT$103,MATCH($A63,'Analize meciuri'!$A$4:$A$103,0)),""))</x:f>
      </x:c>
      <x:c r="G63" s="60"/>
      <x:c r="H63" s="60"/>
      <x:c r="I63" s="24"/>
      <x:c r="J63" s="90" t="str">
        <x:f t="shared" si="5"/>
      </x:c>
      <x:c r="K63" s="90" t="str">
        <x:f t="shared" si="6"/>
      </x:c>
      <x:c r="L63" s="90" t="str">
        <x:f t="shared" si="7"/>
      </x:c>
      <x:c r="M63" s="88" t="str">
        <x:f t="shared" si="8"/>
      </x:c>
      <x:c r="N63" s="25" t="str">
        <x:f>IF($A63="","",IFERROR(INDEX('Analize meciuri'!$GV$4:$GV$103,MATCH($A63,'Analize meciuri'!$A$4:$A$103,0)),""))</x:f>
      </x:c>
      <x:c r="O63" s="1" t="str">
        <x:f>IF($A63="","",IFERROR(INDEX('Analize meciuri'!$GN$4:$GN$103,MATCH($A63,'Analize meciuri'!$A$4:$A$103,0)),""))</x:f>
      </x:c>
      <x:c r="P63" s="1"/>
      <x:c r="Q63" s="1"/>
      <x:c r="R63" s="1"/>
      <x:c r="S63" s="1"/>
      <x:c r="T63" s="1"/>
    </x:row>
    <x:row r="64" ht="15">
      <x:c r="A64" s="58"/>
      <x:c r="B64" s="87" t="str">
        <x:f>IF($A64="","",IFERROR(INDEX('Analize meciuri'!$C$4:$C$103,MATCH($A64,'Analize meciuri'!$A$4:$A$103,0)),""))</x:f>
      </x:c>
      <x:c r="C64" s="35" t="str">
        <x:f>IF($A64="","",IFERROR(INDEX('Analize meciuri'!$G$4:$G$103,MATCH($A64,'Analize meciuri'!$A$4:$A$103,0)),""))</x:f>
      </x:c>
      <x:c r="D64" s="35" t="str">
        <x:f>IF($A64="","",IFERROR(INDEX('Analize meciuri'!$H$4:$H$103,MATCH($A64,'Analize meciuri'!$A$4:$A$103,0)),""))</x:f>
      </x:c>
      <x:c r="E64" s="88" t="str">
        <x:f>IF($A64="","",IFERROR(INDEX('Analize meciuri'!$GP$4:$GP$103,MATCH($A64,'Analize meciuri'!$A$4:$A$103,0)),""))</x:f>
      </x:c>
      <x:c r="F64" s="89" t="str">
        <x:f>IF($A64="","",IFERROR(INDEX('Analize meciuri'!$GT$4:$GT$103,MATCH($A64,'Analize meciuri'!$A$4:$A$103,0)),""))</x:f>
      </x:c>
      <x:c r="G64" s="60"/>
      <x:c r="H64" s="60"/>
      <x:c r="I64" s="24"/>
      <x:c r="J64" s="90" t="str">
        <x:f t="shared" si="5"/>
      </x:c>
      <x:c r="K64" s="90" t="str">
        <x:f t="shared" si="6"/>
      </x:c>
      <x:c r="L64" s="90" t="str">
        <x:f t="shared" si="7"/>
      </x:c>
      <x:c r="M64" s="88" t="str">
        <x:f t="shared" si="8"/>
      </x:c>
      <x:c r="N64" s="25" t="str">
        <x:f>IF($A64="","",IFERROR(INDEX('Analize meciuri'!$GV$4:$GV$103,MATCH($A64,'Analize meciuri'!$A$4:$A$103,0)),""))</x:f>
      </x:c>
      <x:c r="O64" s="1" t="str">
        <x:f>IF($A64="","",IFERROR(INDEX('Analize meciuri'!$GN$4:$GN$103,MATCH($A64,'Analize meciuri'!$A$4:$A$103,0)),""))</x:f>
      </x:c>
      <x:c r="P64" s="1"/>
      <x:c r="Q64" s="1"/>
      <x:c r="R64" s="1"/>
      <x:c r="S64" s="1"/>
      <x:c r="T64" s="1"/>
    </x:row>
    <x:row r="65" ht="15">
      <x:c r="A65" s="58"/>
      <x:c r="B65" s="87" t="str">
        <x:f>IF($A65="","",IFERROR(INDEX('Analize meciuri'!$C$4:$C$103,MATCH($A65,'Analize meciuri'!$A$4:$A$103,0)),""))</x:f>
      </x:c>
      <x:c r="C65" s="35" t="str">
        <x:f>IF($A65="","",IFERROR(INDEX('Analize meciuri'!$G$4:$G$103,MATCH($A65,'Analize meciuri'!$A$4:$A$103,0)),""))</x:f>
      </x:c>
      <x:c r="D65" s="35" t="str">
        <x:f>IF($A65="","",IFERROR(INDEX('Analize meciuri'!$H$4:$H$103,MATCH($A65,'Analize meciuri'!$A$4:$A$103,0)),""))</x:f>
      </x:c>
      <x:c r="E65" s="88" t="str">
        <x:f>IF($A65="","",IFERROR(INDEX('Analize meciuri'!$GP$4:$GP$103,MATCH($A65,'Analize meciuri'!$A$4:$A$103,0)),""))</x:f>
      </x:c>
      <x:c r="F65" s="89" t="str">
        <x:f>IF($A65="","",IFERROR(INDEX('Analize meciuri'!$GT$4:$GT$103,MATCH($A65,'Analize meciuri'!$A$4:$A$103,0)),""))</x:f>
      </x:c>
      <x:c r="G65" s="60"/>
      <x:c r="H65" s="60"/>
      <x:c r="I65" s="24"/>
      <x:c r="J65" s="90" t="str">
        <x:f t="shared" si="5"/>
      </x:c>
      <x:c r="K65" s="90" t="str">
        <x:f t="shared" si="6"/>
      </x:c>
      <x:c r="L65" s="90" t="str">
        <x:f t="shared" si="7"/>
      </x:c>
      <x:c r="M65" s="88" t="str">
        <x:f t="shared" si="8"/>
      </x:c>
      <x:c r="N65" s="25" t="str">
        <x:f>IF($A65="","",IFERROR(INDEX('Analize meciuri'!$GV$4:$GV$103,MATCH($A65,'Analize meciuri'!$A$4:$A$103,0)),""))</x:f>
      </x:c>
      <x:c r="O65" s="1" t="str">
        <x:f>IF($A65="","",IFERROR(INDEX('Analize meciuri'!$GN$4:$GN$103,MATCH($A65,'Analize meciuri'!$A$4:$A$103,0)),""))</x:f>
      </x:c>
      <x:c r="P65" s="1"/>
      <x:c r="Q65" s="1"/>
      <x:c r="R65" s="1"/>
      <x:c r="S65" s="1"/>
      <x:c r="T65" s="1"/>
    </x:row>
    <x:row r="66" ht="15">
      <x:c r="A66" s="58"/>
      <x:c r="B66" s="87" t="str">
        <x:f>IF($A66="","",IFERROR(INDEX('Analize meciuri'!$C$4:$C$103,MATCH($A66,'Analize meciuri'!$A$4:$A$103,0)),""))</x:f>
      </x:c>
      <x:c r="C66" s="35" t="str">
        <x:f>IF($A66="","",IFERROR(INDEX('Analize meciuri'!$G$4:$G$103,MATCH($A66,'Analize meciuri'!$A$4:$A$103,0)),""))</x:f>
      </x:c>
      <x:c r="D66" s="35" t="str">
        <x:f>IF($A66="","",IFERROR(INDEX('Analize meciuri'!$H$4:$H$103,MATCH($A66,'Analize meciuri'!$A$4:$A$103,0)),""))</x:f>
      </x:c>
      <x:c r="E66" s="88" t="str">
        <x:f>IF($A66="","",IFERROR(INDEX('Analize meciuri'!$GP$4:$GP$103,MATCH($A66,'Analize meciuri'!$A$4:$A$103,0)),""))</x:f>
      </x:c>
      <x:c r="F66" s="89" t="str">
        <x:f>IF($A66="","",IFERROR(INDEX('Analize meciuri'!$GT$4:$GT$103,MATCH($A66,'Analize meciuri'!$A$4:$A$103,0)),""))</x:f>
      </x:c>
      <x:c r="G66" s="60"/>
      <x:c r="H66" s="60"/>
      <x:c r="I66" s="24"/>
      <x:c r="J66" s="90" t="str">
        <x:f t="shared" si="5"/>
      </x:c>
      <x:c r="K66" s="90" t="str">
        <x:f t="shared" si="6"/>
      </x:c>
      <x:c r="L66" s="90" t="str">
        <x:f t="shared" si="7"/>
      </x:c>
      <x:c r="M66" s="88" t="str">
        <x:f t="shared" si="8"/>
      </x:c>
      <x:c r="N66" s="25" t="str">
        <x:f>IF($A66="","",IFERROR(INDEX('Analize meciuri'!$GV$4:$GV$103,MATCH($A66,'Analize meciuri'!$A$4:$A$103,0)),""))</x:f>
      </x:c>
      <x:c r="O66" s="1" t="str">
        <x:f>IF($A66="","",IFERROR(INDEX('Analize meciuri'!$GN$4:$GN$103,MATCH($A66,'Analize meciuri'!$A$4:$A$103,0)),""))</x:f>
      </x:c>
      <x:c r="P66" s="1"/>
      <x:c r="Q66" s="1"/>
      <x:c r="R66" s="1"/>
      <x:c r="S66" s="1"/>
      <x:c r="T66" s="1"/>
    </x:row>
    <x:row r="67" ht="15">
      <x:c r="A67" s="58"/>
      <x:c r="B67" s="87" t="str">
        <x:f>IF($A67="","",IFERROR(INDEX('Analize meciuri'!$C$4:$C$103,MATCH($A67,'Analize meciuri'!$A$4:$A$103,0)),""))</x:f>
      </x:c>
      <x:c r="C67" s="35" t="str">
        <x:f>IF($A67="","",IFERROR(INDEX('Analize meciuri'!$G$4:$G$103,MATCH($A67,'Analize meciuri'!$A$4:$A$103,0)),""))</x:f>
      </x:c>
      <x:c r="D67" s="35" t="str">
        <x:f>IF($A67="","",IFERROR(INDEX('Analize meciuri'!$H$4:$H$103,MATCH($A67,'Analize meciuri'!$A$4:$A$103,0)),""))</x:f>
      </x:c>
      <x:c r="E67" s="88" t="str">
        <x:f>IF($A67="","",IFERROR(INDEX('Analize meciuri'!$GP$4:$GP$103,MATCH($A67,'Analize meciuri'!$A$4:$A$103,0)),""))</x:f>
      </x:c>
      <x:c r="F67" s="89" t="str">
        <x:f>IF($A67="","",IFERROR(INDEX('Analize meciuri'!$GT$4:$GT$103,MATCH($A67,'Analize meciuri'!$A$4:$A$103,0)),""))</x:f>
      </x:c>
      <x:c r="G67" s="60"/>
      <x:c r="H67" s="60"/>
      <x:c r="I67" s="24"/>
      <x:c r="J67" s="90" t="str">
        <x:f t="shared" si="5"/>
      </x:c>
      <x:c r="K67" s="90" t="str">
        <x:f t="shared" si="6"/>
      </x:c>
      <x:c r="L67" s="90" t="str">
        <x:f t="shared" si="7"/>
      </x:c>
      <x:c r="M67" s="88" t="str">
        <x:f t="shared" si="8"/>
      </x:c>
      <x:c r="N67" s="25" t="str">
        <x:f>IF($A67="","",IFERROR(INDEX('Analize meciuri'!$GV$4:$GV$103,MATCH($A67,'Analize meciuri'!$A$4:$A$103,0)),""))</x:f>
      </x:c>
      <x:c r="O67" s="1" t="str">
        <x:f>IF($A67="","",IFERROR(INDEX('Analize meciuri'!$GN$4:$GN$103,MATCH($A67,'Analize meciuri'!$A$4:$A$103,0)),""))</x:f>
      </x:c>
      <x:c r="P67" s="1"/>
      <x:c r="Q67" s="1"/>
      <x:c r="R67" s="1"/>
      <x:c r="S67" s="1"/>
      <x:c r="T67" s="1"/>
    </x:row>
    <x:row r="68" ht="15">
      <x:c r="A68" s="58"/>
      <x:c r="B68" s="87" t="str">
        <x:f>IF($A68="","",IFERROR(INDEX('Analize meciuri'!$C$4:$C$103,MATCH($A68,'Analize meciuri'!$A$4:$A$103,0)),""))</x:f>
      </x:c>
      <x:c r="C68" s="35" t="str">
        <x:f>IF($A68="","",IFERROR(INDEX('Analize meciuri'!$G$4:$G$103,MATCH($A68,'Analize meciuri'!$A$4:$A$103,0)),""))</x:f>
      </x:c>
      <x:c r="D68" s="35" t="str">
        <x:f>IF($A68="","",IFERROR(INDEX('Analize meciuri'!$H$4:$H$103,MATCH($A68,'Analize meciuri'!$A$4:$A$103,0)),""))</x:f>
      </x:c>
      <x:c r="E68" s="88" t="str">
        <x:f>IF($A68="","",IFERROR(INDEX('Analize meciuri'!$GP$4:$GP$103,MATCH($A68,'Analize meciuri'!$A$4:$A$103,0)),""))</x:f>
      </x:c>
      <x:c r="F68" s="89" t="str">
        <x:f>IF($A68="","",IFERROR(INDEX('Analize meciuri'!$GT$4:$GT$103,MATCH($A68,'Analize meciuri'!$A$4:$A$103,0)),""))</x:f>
      </x:c>
      <x:c r="G68" s="60"/>
      <x:c r="H68" s="60"/>
      <x:c r="I68" s="24"/>
      <x:c r="J68" s="90" t="str">
        <x:f t="shared" ref="J68:J99" si="9">IF(OR($A68="",I68="",G68=""),"",IF(I68=1,G68-1,-1))</x:f>
      </x:c>
      <x:c r="K68" s="90" t="str">
        <x:f t="shared" ref="K68:K99" si="10">IF(OR($A68="",I68=""),"",(E68-I68)^2)</x:f>
      </x:c>
      <x:c r="L68" s="90" t="str">
        <x:f t="shared" ref="L68:L99" si="11">IF(OR($A68="",I68=""),"",-(I68*LN(MAX(0.001,E68))+(1-I68)*LN(MAX(0.001,1-E68))))</x:f>
      </x:c>
      <x:c r="M68" s="88" t="str">
        <x:f t="shared" ref="M68:M99" si="12">IF(OR($A68="",G68="",H68=""),"",G68/H68-1)</x:f>
      </x:c>
      <x:c r="N68" s="25" t="str">
        <x:f>IF($A68="","",IFERROR(INDEX('Analize meciuri'!$GV$4:$GV$103,MATCH($A68,'Analize meciuri'!$A$4:$A$103,0)),""))</x:f>
      </x:c>
      <x:c r="O68" s="1" t="str">
        <x:f>IF($A68="","",IFERROR(INDEX('Analize meciuri'!$GN$4:$GN$103,MATCH($A68,'Analize meciuri'!$A$4:$A$103,0)),""))</x:f>
      </x:c>
      <x:c r="P68" s="1"/>
      <x:c r="Q68" s="1"/>
      <x:c r="R68" s="1"/>
      <x:c r="S68" s="1"/>
      <x:c r="T68" s="1"/>
    </x:row>
    <x:row r="69" ht="15">
      <x:c r="A69" s="58"/>
      <x:c r="B69" s="87" t="str">
        <x:f>IF($A69="","",IFERROR(INDEX('Analize meciuri'!$C$4:$C$103,MATCH($A69,'Analize meciuri'!$A$4:$A$103,0)),""))</x:f>
      </x:c>
      <x:c r="C69" s="35" t="str">
        <x:f>IF($A69="","",IFERROR(INDEX('Analize meciuri'!$G$4:$G$103,MATCH($A69,'Analize meciuri'!$A$4:$A$103,0)),""))</x:f>
      </x:c>
      <x:c r="D69" s="35" t="str">
        <x:f>IF($A69="","",IFERROR(INDEX('Analize meciuri'!$H$4:$H$103,MATCH($A69,'Analize meciuri'!$A$4:$A$103,0)),""))</x:f>
      </x:c>
      <x:c r="E69" s="88" t="str">
        <x:f>IF($A69="","",IFERROR(INDEX('Analize meciuri'!$GP$4:$GP$103,MATCH($A69,'Analize meciuri'!$A$4:$A$103,0)),""))</x:f>
      </x:c>
      <x:c r="F69" s="89" t="str">
        <x:f>IF($A69="","",IFERROR(INDEX('Analize meciuri'!$GT$4:$GT$103,MATCH($A69,'Analize meciuri'!$A$4:$A$103,0)),""))</x:f>
      </x:c>
      <x:c r="G69" s="60"/>
      <x:c r="H69" s="60"/>
      <x:c r="I69" s="24"/>
      <x:c r="J69" s="90" t="str">
        <x:f t="shared" si="9"/>
      </x:c>
      <x:c r="K69" s="90" t="str">
        <x:f t="shared" si="10"/>
      </x:c>
      <x:c r="L69" s="90" t="str">
        <x:f t="shared" si="11"/>
      </x:c>
      <x:c r="M69" s="88" t="str">
        <x:f t="shared" si="12"/>
      </x:c>
      <x:c r="N69" s="25" t="str">
        <x:f>IF($A69="","",IFERROR(INDEX('Analize meciuri'!$GV$4:$GV$103,MATCH($A69,'Analize meciuri'!$A$4:$A$103,0)),""))</x:f>
      </x:c>
      <x:c r="O69" s="1" t="str">
        <x:f>IF($A69="","",IFERROR(INDEX('Analize meciuri'!$GN$4:$GN$103,MATCH($A69,'Analize meciuri'!$A$4:$A$103,0)),""))</x:f>
      </x:c>
      <x:c r="P69" s="1"/>
      <x:c r="Q69" s="1"/>
      <x:c r="R69" s="1"/>
      <x:c r="S69" s="1"/>
      <x:c r="T69" s="1"/>
    </x:row>
    <x:row r="70" ht="15">
      <x:c r="A70" s="58"/>
      <x:c r="B70" s="87" t="str">
        <x:f>IF($A70="","",IFERROR(INDEX('Analize meciuri'!$C$4:$C$103,MATCH($A70,'Analize meciuri'!$A$4:$A$103,0)),""))</x:f>
      </x:c>
      <x:c r="C70" s="35" t="str">
        <x:f>IF($A70="","",IFERROR(INDEX('Analize meciuri'!$G$4:$G$103,MATCH($A70,'Analize meciuri'!$A$4:$A$103,0)),""))</x:f>
      </x:c>
      <x:c r="D70" s="35" t="str">
        <x:f>IF($A70="","",IFERROR(INDEX('Analize meciuri'!$H$4:$H$103,MATCH($A70,'Analize meciuri'!$A$4:$A$103,0)),""))</x:f>
      </x:c>
      <x:c r="E70" s="88" t="str">
        <x:f>IF($A70="","",IFERROR(INDEX('Analize meciuri'!$GP$4:$GP$103,MATCH($A70,'Analize meciuri'!$A$4:$A$103,0)),""))</x:f>
      </x:c>
      <x:c r="F70" s="89" t="str">
        <x:f>IF($A70="","",IFERROR(INDEX('Analize meciuri'!$GT$4:$GT$103,MATCH($A70,'Analize meciuri'!$A$4:$A$103,0)),""))</x:f>
      </x:c>
      <x:c r="G70" s="60"/>
      <x:c r="H70" s="60"/>
      <x:c r="I70" s="24"/>
      <x:c r="J70" s="90" t="str">
        <x:f t="shared" si="9"/>
      </x:c>
      <x:c r="K70" s="90" t="str">
        <x:f t="shared" si="10"/>
      </x:c>
      <x:c r="L70" s="90" t="str">
        <x:f t="shared" si="11"/>
      </x:c>
      <x:c r="M70" s="88" t="str">
        <x:f t="shared" si="12"/>
      </x:c>
      <x:c r="N70" s="25" t="str">
        <x:f>IF($A70="","",IFERROR(INDEX('Analize meciuri'!$GV$4:$GV$103,MATCH($A70,'Analize meciuri'!$A$4:$A$103,0)),""))</x:f>
      </x:c>
      <x:c r="O70" s="1" t="str">
        <x:f>IF($A70="","",IFERROR(INDEX('Analize meciuri'!$GN$4:$GN$103,MATCH($A70,'Analize meciuri'!$A$4:$A$103,0)),""))</x:f>
      </x:c>
      <x:c r="P70" s="1"/>
      <x:c r="Q70" s="1"/>
      <x:c r="R70" s="1"/>
      <x:c r="S70" s="1"/>
      <x:c r="T70" s="1"/>
    </x:row>
    <x:row r="71" ht="15">
      <x:c r="A71" s="58"/>
      <x:c r="B71" s="87" t="str">
        <x:f>IF($A71="","",IFERROR(INDEX('Analize meciuri'!$C$4:$C$103,MATCH($A71,'Analize meciuri'!$A$4:$A$103,0)),""))</x:f>
      </x:c>
      <x:c r="C71" s="35" t="str">
        <x:f>IF($A71="","",IFERROR(INDEX('Analize meciuri'!$G$4:$G$103,MATCH($A71,'Analize meciuri'!$A$4:$A$103,0)),""))</x:f>
      </x:c>
      <x:c r="D71" s="35" t="str">
        <x:f>IF($A71="","",IFERROR(INDEX('Analize meciuri'!$H$4:$H$103,MATCH($A71,'Analize meciuri'!$A$4:$A$103,0)),""))</x:f>
      </x:c>
      <x:c r="E71" s="88" t="str">
        <x:f>IF($A71="","",IFERROR(INDEX('Analize meciuri'!$GP$4:$GP$103,MATCH($A71,'Analize meciuri'!$A$4:$A$103,0)),""))</x:f>
      </x:c>
      <x:c r="F71" s="89" t="str">
        <x:f>IF($A71="","",IFERROR(INDEX('Analize meciuri'!$GT$4:$GT$103,MATCH($A71,'Analize meciuri'!$A$4:$A$103,0)),""))</x:f>
      </x:c>
      <x:c r="G71" s="60"/>
      <x:c r="H71" s="60"/>
      <x:c r="I71" s="24"/>
      <x:c r="J71" s="90" t="str">
        <x:f t="shared" si="9"/>
      </x:c>
      <x:c r="K71" s="90" t="str">
        <x:f t="shared" si="10"/>
      </x:c>
      <x:c r="L71" s="90" t="str">
        <x:f t="shared" si="11"/>
      </x:c>
      <x:c r="M71" s="88" t="str">
        <x:f t="shared" si="12"/>
      </x:c>
      <x:c r="N71" s="25" t="str">
        <x:f>IF($A71="","",IFERROR(INDEX('Analize meciuri'!$GV$4:$GV$103,MATCH($A71,'Analize meciuri'!$A$4:$A$103,0)),""))</x:f>
      </x:c>
      <x:c r="O71" s="1" t="str">
        <x:f>IF($A71="","",IFERROR(INDEX('Analize meciuri'!$GN$4:$GN$103,MATCH($A71,'Analize meciuri'!$A$4:$A$103,0)),""))</x:f>
      </x:c>
      <x:c r="P71" s="1"/>
      <x:c r="Q71" s="1"/>
      <x:c r="R71" s="1"/>
      <x:c r="S71" s="1"/>
      <x:c r="T71" s="1"/>
    </x:row>
    <x:row r="72" ht="15">
      <x:c r="A72" s="58"/>
      <x:c r="B72" s="87" t="str">
        <x:f>IF($A72="","",IFERROR(INDEX('Analize meciuri'!$C$4:$C$103,MATCH($A72,'Analize meciuri'!$A$4:$A$103,0)),""))</x:f>
      </x:c>
      <x:c r="C72" s="35" t="str">
        <x:f>IF($A72="","",IFERROR(INDEX('Analize meciuri'!$G$4:$G$103,MATCH($A72,'Analize meciuri'!$A$4:$A$103,0)),""))</x:f>
      </x:c>
      <x:c r="D72" s="35" t="str">
        <x:f>IF($A72="","",IFERROR(INDEX('Analize meciuri'!$H$4:$H$103,MATCH($A72,'Analize meciuri'!$A$4:$A$103,0)),""))</x:f>
      </x:c>
      <x:c r="E72" s="88" t="str">
        <x:f>IF($A72="","",IFERROR(INDEX('Analize meciuri'!$GP$4:$GP$103,MATCH($A72,'Analize meciuri'!$A$4:$A$103,0)),""))</x:f>
      </x:c>
      <x:c r="F72" s="89" t="str">
        <x:f>IF($A72="","",IFERROR(INDEX('Analize meciuri'!$GT$4:$GT$103,MATCH($A72,'Analize meciuri'!$A$4:$A$103,0)),""))</x:f>
      </x:c>
      <x:c r="G72" s="60"/>
      <x:c r="H72" s="60"/>
      <x:c r="I72" s="24"/>
      <x:c r="J72" s="90" t="str">
        <x:f t="shared" si="9"/>
      </x:c>
      <x:c r="K72" s="90" t="str">
        <x:f t="shared" si="10"/>
      </x:c>
      <x:c r="L72" s="90" t="str">
        <x:f t="shared" si="11"/>
      </x:c>
      <x:c r="M72" s="88" t="str">
        <x:f t="shared" si="12"/>
      </x:c>
      <x:c r="N72" s="25" t="str">
        <x:f>IF($A72="","",IFERROR(INDEX('Analize meciuri'!$GV$4:$GV$103,MATCH($A72,'Analize meciuri'!$A$4:$A$103,0)),""))</x:f>
      </x:c>
      <x:c r="O72" s="1" t="str">
        <x:f>IF($A72="","",IFERROR(INDEX('Analize meciuri'!$GN$4:$GN$103,MATCH($A72,'Analize meciuri'!$A$4:$A$103,0)),""))</x:f>
      </x:c>
      <x:c r="P72" s="1"/>
      <x:c r="Q72" s="1"/>
      <x:c r="R72" s="1"/>
      <x:c r="S72" s="1"/>
      <x:c r="T72" s="1"/>
    </x:row>
    <x:row r="73" ht="15">
      <x:c r="A73" s="58"/>
      <x:c r="B73" s="87" t="str">
        <x:f>IF($A73="","",IFERROR(INDEX('Analize meciuri'!$C$4:$C$103,MATCH($A73,'Analize meciuri'!$A$4:$A$103,0)),""))</x:f>
      </x:c>
      <x:c r="C73" s="35" t="str">
        <x:f>IF($A73="","",IFERROR(INDEX('Analize meciuri'!$G$4:$G$103,MATCH($A73,'Analize meciuri'!$A$4:$A$103,0)),""))</x:f>
      </x:c>
      <x:c r="D73" s="35" t="str">
        <x:f>IF($A73="","",IFERROR(INDEX('Analize meciuri'!$H$4:$H$103,MATCH($A73,'Analize meciuri'!$A$4:$A$103,0)),""))</x:f>
      </x:c>
      <x:c r="E73" s="88" t="str">
        <x:f>IF($A73="","",IFERROR(INDEX('Analize meciuri'!$GP$4:$GP$103,MATCH($A73,'Analize meciuri'!$A$4:$A$103,0)),""))</x:f>
      </x:c>
      <x:c r="F73" s="89" t="str">
        <x:f>IF($A73="","",IFERROR(INDEX('Analize meciuri'!$GT$4:$GT$103,MATCH($A73,'Analize meciuri'!$A$4:$A$103,0)),""))</x:f>
      </x:c>
      <x:c r="G73" s="60"/>
      <x:c r="H73" s="60"/>
      <x:c r="I73" s="24"/>
      <x:c r="J73" s="90" t="str">
        <x:f t="shared" si="9"/>
      </x:c>
      <x:c r="K73" s="90" t="str">
        <x:f t="shared" si="10"/>
      </x:c>
      <x:c r="L73" s="90" t="str">
        <x:f t="shared" si="11"/>
      </x:c>
      <x:c r="M73" s="88" t="str">
        <x:f t="shared" si="12"/>
      </x:c>
      <x:c r="N73" s="25" t="str">
        <x:f>IF($A73="","",IFERROR(INDEX('Analize meciuri'!$GV$4:$GV$103,MATCH($A73,'Analize meciuri'!$A$4:$A$103,0)),""))</x:f>
      </x:c>
      <x:c r="O73" s="1" t="str">
        <x:f>IF($A73="","",IFERROR(INDEX('Analize meciuri'!$GN$4:$GN$103,MATCH($A73,'Analize meciuri'!$A$4:$A$103,0)),""))</x:f>
      </x:c>
      <x:c r="P73" s="1"/>
      <x:c r="Q73" s="1"/>
      <x:c r="R73" s="1"/>
      <x:c r="S73" s="1"/>
      <x:c r="T73" s="1"/>
    </x:row>
    <x:row r="74" ht="15">
      <x:c r="A74" s="58"/>
      <x:c r="B74" s="87" t="str">
        <x:f>IF($A74="","",IFERROR(INDEX('Analize meciuri'!$C$4:$C$103,MATCH($A74,'Analize meciuri'!$A$4:$A$103,0)),""))</x:f>
      </x:c>
      <x:c r="C74" s="35" t="str">
        <x:f>IF($A74="","",IFERROR(INDEX('Analize meciuri'!$G$4:$G$103,MATCH($A74,'Analize meciuri'!$A$4:$A$103,0)),""))</x:f>
      </x:c>
      <x:c r="D74" s="35" t="str">
        <x:f>IF($A74="","",IFERROR(INDEX('Analize meciuri'!$H$4:$H$103,MATCH($A74,'Analize meciuri'!$A$4:$A$103,0)),""))</x:f>
      </x:c>
      <x:c r="E74" s="88" t="str">
        <x:f>IF($A74="","",IFERROR(INDEX('Analize meciuri'!$GP$4:$GP$103,MATCH($A74,'Analize meciuri'!$A$4:$A$103,0)),""))</x:f>
      </x:c>
      <x:c r="F74" s="89" t="str">
        <x:f>IF($A74="","",IFERROR(INDEX('Analize meciuri'!$GT$4:$GT$103,MATCH($A74,'Analize meciuri'!$A$4:$A$103,0)),""))</x:f>
      </x:c>
      <x:c r="G74" s="60"/>
      <x:c r="H74" s="60"/>
      <x:c r="I74" s="24"/>
      <x:c r="J74" s="90" t="str">
        <x:f t="shared" si="9"/>
      </x:c>
      <x:c r="K74" s="90" t="str">
        <x:f t="shared" si="10"/>
      </x:c>
      <x:c r="L74" s="90" t="str">
        <x:f t="shared" si="11"/>
      </x:c>
      <x:c r="M74" s="88" t="str">
        <x:f t="shared" si="12"/>
      </x:c>
      <x:c r="N74" s="25" t="str">
        <x:f>IF($A74="","",IFERROR(INDEX('Analize meciuri'!$GV$4:$GV$103,MATCH($A74,'Analize meciuri'!$A$4:$A$103,0)),""))</x:f>
      </x:c>
      <x:c r="O74" s="1" t="str">
        <x:f>IF($A74="","",IFERROR(INDEX('Analize meciuri'!$GN$4:$GN$103,MATCH($A74,'Analize meciuri'!$A$4:$A$103,0)),""))</x:f>
      </x:c>
      <x:c r="P74" s="1"/>
      <x:c r="Q74" s="1"/>
      <x:c r="R74" s="1"/>
      <x:c r="S74" s="1"/>
      <x:c r="T74" s="1"/>
    </x:row>
    <x:row r="75" ht="15">
      <x:c r="A75" s="58"/>
      <x:c r="B75" s="87" t="str">
        <x:f>IF($A75="","",IFERROR(INDEX('Analize meciuri'!$C$4:$C$103,MATCH($A75,'Analize meciuri'!$A$4:$A$103,0)),""))</x:f>
      </x:c>
      <x:c r="C75" s="35" t="str">
        <x:f>IF($A75="","",IFERROR(INDEX('Analize meciuri'!$G$4:$G$103,MATCH($A75,'Analize meciuri'!$A$4:$A$103,0)),""))</x:f>
      </x:c>
      <x:c r="D75" s="35" t="str">
        <x:f>IF($A75="","",IFERROR(INDEX('Analize meciuri'!$H$4:$H$103,MATCH($A75,'Analize meciuri'!$A$4:$A$103,0)),""))</x:f>
      </x:c>
      <x:c r="E75" s="88" t="str">
        <x:f>IF($A75="","",IFERROR(INDEX('Analize meciuri'!$GP$4:$GP$103,MATCH($A75,'Analize meciuri'!$A$4:$A$103,0)),""))</x:f>
      </x:c>
      <x:c r="F75" s="89" t="str">
        <x:f>IF($A75="","",IFERROR(INDEX('Analize meciuri'!$GT$4:$GT$103,MATCH($A75,'Analize meciuri'!$A$4:$A$103,0)),""))</x:f>
      </x:c>
      <x:c r="G75" s="60"/>
      <x:c r="H75" s="60"/>
      <x:c r="I75" s="24"/>
      <x:c r="J75" s="90" t="str">
        <x:f t="shared" si="9"/>
      </x:c>
      <x:c r="K75" s="90" t="str">
        <x:f t="shared" si="10"/>
      </x:c>
      <x:c r="L75" s="90" t="str">
        <x:f t="shared" si="11"/>
      </x:c>
      <x:c r="M75" s="88" t="str">
        <x:f t="shared" si="12"/>
      </x:c>
      <x:c r="N75" s="25" t="str">
        <x:f>IF($A75="","",IFERROR(INDEX('Analize meciuri'!$GV$4:$GV$103,MATCH($A75,'Analize meciuri'!$A$4:$A$103,0)),""))</x:f>
      </x:c>
      <x:c r="O75" s="1" t="str">
        <x:f>IF($A75="","",IFERROR(INDEX('Analize meciuri'!$GN$4:$GN$103,MATCH($A75,'Analize meciuri'!$A$4:$A$103,0)),""))</x:f>
      </x:c>
      <x:c r="P75" s="1"/>
      <x:c r="Q75" s="1"/>
      <x:c r="R75" s="1"/>
      <x:c r="S75" s="1"/>
      <x:c r="T75" s="1"/>
    </x:row>
    <x:row r="76" ht="15">
      <x:c r="A76" s="58"/>
      <x:c r="B76" s="87" t="str">
        <x:f>IF($A76="","",IFERROR(INDEX('Analize meciuri'!$C$4:$C$103,MATCH($A76,'Analize meciuri'!$A$4:$A$103,0)),""))</x:f>
      </x:c>
      <x:c r="C76" s="35" t="str">
        <x:f>IF($A76="","",IFERROR(INDEX('Analize meciuri'!$G$4:$G$103,MATCH($A76,'Analize meciuri'!$A$4:$A$103,0)),""))</x:f>
      </x:c>
      <x:c r="D76" s="35" t="str">
        <x:f>IF($A76="","",IFERROR(INDEX('Analize meciuri'!$H$4:$H$103,MATCH($A76,'Analize meciuri'!$A$4:$A$103,0)),""))</x:f>
      </x:c>
      <x:c r="E76" s="88" t="str">
        <x:f>IF($A76="","",IFERROR(INDEX('Analize meciuri'!$GP$4:$GP$103,MATCH($A76,'Analize meciuri'!$A$4:$A$103,0)),""))</x:f>
      </x:c>
      <x:c r="F76" s="89" t="str">
        <x:f>IF($A76="","",IFERROR(INDEX('Analize meciuri'!$GT$4:$GT$103,MATCH($A76,'Analize meciuri'!$A$4:$A$103,0)),""))</x:f>
      </x:c>
      <x:c r="G76" s="60"/>
      <x:c r="H76" s="60"/>
      <x:c r="I76" s="24"/>
      <x:c r="J76" s="90" t="str">
        <x:f t="shared" si="9"/>
      </x:c>
      <x:c r="K76" s="90" t="str">
        <x:f t="shared" si="10"/>
      </x:c>
      <x:c r="L76" s="90" t="str">
        <x:f t="shared" si="11"/>
      </x:c>
      <x:c r="M76" s="88" t="str">
        <x:f t="shared" si="12"/>
      </x:c>
      <x:c r="N76" s="25" t="str">
        <x:f>IF($A76="","",IFERROR(INDEX('Analize meciuri'!$GV$4:$GV$103,MATCH($A76,'Analize meciuri'!$A$4:$A$103,0)),""))</x:f>
      </x:c>
      <x:c r="O76" s="1" t="str">
        <x:f>IF($A76="","",IFERROR(INDEX('Analize meciuri'!$GN$4:$GN$103,MATCH($A76,'Analize meciuri'!$A$4:$A$103,0)),""))</x:f>
      </x:c>
      <x:c r="P76" s="1"/>
      <x:c r="Q76" s="1"/>
      <x:c r="R76" s="1"/>
      <x:c r="S76" s="1"/>
      <x:c r="T76" s="1"/>
    </x:row>
    <x:row r="77" ht="15">
      <x:c r="A77" s="58"/>
      <x:c r="B77" s="87" t="str">
        <x:f>IF($A77="","",IFERROR(INDEX('Analize meciuri'!$C$4:$C$103,MATCH($A77,'Analize meciuri'!$A$4:$A$103,0)),""))</x:f>
      </x:c>
      <x:c r="C77" s="35" t="str">
        <x:f>IF($A77="","",IFERROR(INDEX('Analize meciuri'!$G$4:$G$103,MATCH($A77,'Analize meciuri'!$A$4:$A$103,0)),""))</x:f>
      </x:c>
      <x:c r="D77" s="35" t="str">
        <x:f>IF($A77="","",IFERROR(INDEX('Analize meciuri'!$H$4:$H$103,MATCH($A77,'Analize meciuri'!$A$4:$A$103,0)),""))</x:f>
      </x:c>
      <x:c r="E77" s="88" t="str">
        <x:f>IF($A77="","",IFERROR(INDEX('Analize meciuri'!$GP$4:$GP$103,MATCH($A77,'Analize meciuri'!$A$4:$A$103,0)),""))</x:f>
      </x:c>
      <x:c r="F77" s="89" t="str">
        <x:f>IF($A77="","",IFERROR(INDEX('Analize meciuri'!$GT$4:$GT$103,MATCH($A77,'Analize meciuri'!$A$4:$A$103,0)),""))</x:f>
      </x:c>
      <x:c r="G77" s="60"/>
      <x:c r="H77" s="60"/>
      <x:c r="I77" s="24"/>
      <x:c r="J77" s="90" t="str">
        <x:f t="shared" si="9"/>
      </x:c>
      <x:c r="K77" s="90" t="str">
        <x:f t="shared" si="10"/>
      </x:c>
      <x:c r="L77" s="90" t="str">
        <x:f t="shared" si="11"/>
      </x:c>
      <x:c r="M77" s="88" t="str">
        <x:f t="shared" si="12"/>
      </x:c>
      <x:c r="N77" s="25" t="str">
        <x:f>IF($A77="","",IFERROR(INDEX('Analize meciuri'!$GV$4:$GV$103,MATCH($A77,'Analize meciuri'!$A$4:$A$103,0)),""))</x:f>
      </x:c>
      <x:c r="O77" s="1" t="str">
        <x:f>IF($A77="","",IFERROR(INDEX('Analize meciuri'!$GN$4:$GN$103,MATCH($A77,'Analize meciuri'!$A$4:$A$103,0)),""))</x:f>
      </x:c>
      <x:c r="P77" s="1"/>
      <x:c r="Q77" s="1"/>
      <x:c r="R77" s="1"/>
      <x:c r="S77" s="1"/>
      <x:c r="T77" s="1"/>
    </x:row>
    <x:row r="78" ht="15">
      <x:c r="A78" s="58"/>
      <x:c r="B78" s="87" t="str">
        <x:f>IF($A78="","",IFERROR(INDEX('Analize meciuri'!$C$4:$C$103,MATCH($A78,'Analize meciuri'!$A$4:$A$103,0)),""))</x:f>
      </x:c>
      <x:c r="C78" s="35" t="str">
        <x:f>IF($A78="","",IFERROR(INDEX('Analize meciuri'!$G$4:$G$103,MATCH($A78,'Analize meciuri'!$A$4:$A$103,0)),""))</x:f>
      </x:c>
      <x:c r="D78" s="35" t="str">
        <x:f>IF($A78="","",IFERROR(INDEX('Analize meciuri'!$H$4:$H$103,MATCH($A78,'Analize meciuri'!$A$4:$A$103,0)),""))</x:f>
      </x:c>
      <x:c r="E78" s="88" t="str">
        <x:f>IF($A78="","",IFERROR(INDEX('Analize meciuri'!$GP$4:$GP$103,MATCH($A78,'Analize meciuri'!$A$4:$A$103,0)),""))</x:f>
      </x:c>
      <x:c r="F78" s="89" t="str">
        <x:f>IF($A78="","",IFERROR(INDEX('Analize meciuri'!$GT$4:$GT$103,MATCH($A78,'Analize meciuri'!$A$4:$A$103,0)),""))</x:f>
      </x:c>
      <x:c r="G78" s="60"/>
      <x:c r="H78" s="60"/>
      <x:c r="I78" s="24"/>
      <x:c r="J78" s="90" t="str">
        <x:f t="shared" si="9"/>
      </x:c>
      <x:c r="K78" s="90" t="str">
        <x:f t="shared" si="10"/>
      </x:c>
      <x:c r="L78" s="90" t="str">
        <x:f t="shared" si="11"/>
      </x:c>
      <x:c r="M78" s="88" t="str">
        <x:f t="shared" si="12"/>
      </x:c>
      <x:c r="N78" s="25" t="str">
        <x:f>IF($A78="","",IFERROR(INDEX('Analize meciuri'!$GV$4:$GV$103,MATCH($A78,'Analize meciuri'!$A$4:$A$103,0)),""))</x:f>
      </x:c>
      <x:c r="O78" s="1" t="str">
        <x:f>IF($A78="","",IFERROR(INDEX('Analize meciuri'!$GN$4:$GN$103,MATCH($A78,'Analize meciuri'!$A$4:$A$103,0)),""))</x:f>
      </x:c>
      <x:c r="P78" s="1"/>
      <x:c r="Q78" s="1"/>
      <x:c r="R78" s="1"/>
      <x:c r="S78" s="1"/>
      <x:c r="T78" s="1"/>
    </x:row>
    <x:row r="79" ht="15">
      <x:c r="A79" s="58"/>
      <x:c r="B79" s="87" t="str">
        <x:f>IF($A79="","",IFERROR(INDEX('Analize meciuri'!$C$4:$C$103,MATCH($A79,'Analize meciuri'!$A$4:$A$103,0)),""))</x:f>
      </x:c>
      <x:c r="C79" s="35" t="str">
        <x:f>IF($A79="","",IFERROR(INDEX('Analize meciuri'!$G$4:$G$103,MATCH($A79,'Analize meciuri'!$A$4:$A$103,0)),""))</x:f>
      </x:c>
      <x:c r="D79" s="35" t="str">
        <x:f>IF($A79="","",IFERROR(INDEX('Analize meciuri'!$H$4:$H$103,MATCH($A79,'Analize meciuri'!$A$4:$A$103,0)),""))</x:f>
      </x:c>
      <x:c r="E79" s="88" t="str">
        <x:f>IF($A79="","",IFERROR(INDEX('Analize meciuri'!$GP$4:$GP$103,MATCH($A79,'Analize meciuri'!$A$4:$A$103,0)),""))</x:f>
      </x:c>
      <x:c r="F79" s="89" t="str">
        <x:f>IF($A79="","",IFERROR(INDEX('Analize meciuri'!$GT$4:$GT$103,MATCH($A79,'Analize meciuri'!$A$4:$A$103,0)),""))</x:f>
      </x:c>
      <x:c r="G79" s="60"/>
      <x:c r="H79" s="60"/>
      <x:c r="I79" s="24"/>
      <x:c r="J79" s="90" t="str">
        <x:f t="shared" si="9"/>
      </x:c>
      <x:c r="K79" s="90" t="str">
        <x:f t="shared" si="10"/>
      </x:c>
      <x:c r="L79" s="90" t="str">
        <x:f t="shared" si="11"/>
      </x:c>
      <x:c r="M79" s="88" t="str">
        <x:f t="shared" si="12"/>
      </x:c>
      <x:c r="N79" s="25" t="str">
        <x:f>IF($A79="","",IFERROR(INDEX('Analize meciuri'!$GV$4:$GV$103,MATCH($A79,'Analize meciuri'!$A$4:$A$103,0)),""))</x:f>
      </x:c>
      <x:c r="O79" s="1" t="str">
        <x:f>IF($A79="","",IFERROR(INDEX('Analize meciuri'!$GN$4:$GN$103,MATCH($A79,'Analize meciuri'!$A$4:$A$103,0)),""))</x:f>
      </x:c>
      <x:c r="P79" s="1"/>
      <x:c r="Q79" s="1"/>
      <x:c r="R79" s="1"/>
      <x:c r="S79" s="1"/>
      <x:c r="T79" s="1"/>
    </x:row>
    <x:row r="80" ht="15">
      <x:c r="A80" s="58"/>
      <x:c r="B80" s="87" t="str">
        <x:f>IF($A80="","",IFERROR(INDEX('Analize meciuri'!$C$4:$C$103,MATCH($A80,'Analize meciuri'!$A$4:$A$103,0)),""))</x:f>
      </x:c>
      <x:c r="C80" s="35" t="str">
        <x:f>IF($A80="","",IFERROR(INDEX('Analize meciuri'!$G$4:$G$103,MATCH($A80,'Analize meciuri'!$A$4:$A$103,0)),""))</x:f>
      </x:c>
      <x:c r="D80" s="35" t="str">
        <x:f>IF($A80="","",IFERROR(INDEX('Analize meciuri'!$H$4:$H$103,MATCH($A80,'Analize meciuri'!$A$4:$A$103,0)),""))</x:f>
      </x:c>
      <x:c r="E80" s="88" t="str">
        <x:f>IF($A80="","",IFERROR(INDEX('Analize meciuri'!$GP$4:$GP$103,MATCH($A80,'Analize meciuri'!$A$4:$A$103,0)),""))</x:f>
      </x:c>
      <x:c r="F80" s="89" t="str">
        <x:f>IF($A80="","",IFERROR(INDEX('Analize meciuri'!$GT$4:$GT$103,MATCH($A80,'Analize meciuri'!$A$4:$A$103,0)),""))</x:f>
      </x:c>
      <x:c r="G80" s="60"/>
      <x:c r="H80" s="60"/>
      <x:c r="I80" s="24"/>
      <x:c r="J80" s="90" t="str">
        <x:f t="shared" si="9"/>
      </x:c>
      <x:c r="K80" s="90" t="str">
        <x:f t="shared" si="10"/>
      </x:c>
      <x:c r="L80" s="90" t="str">
        <x:f t="shared" si="11"/>
      </x:c>
      <x:c r="M80" s="88" t="str">
        <x:f t="shared" si="12"/>
      </x:c>
      <x:c r="N80" s="25" t="str">
        <x:f>IF($A80="","",IFERROR(INDEX('Analize meciuri'!$GV$4:$GV$103,MATCH($A80,'Analize meciuri'!$A$4:$A$103,0)),""))</x:f>
      </x:c>
      <x:c r="O80" s="1" t="str">
        <x:f>IF($A80="","",IFERROR(INDEX('Analize meciuri'!$GN$4:$GN$103,MATCH($A80,'Analize meciuri'!$A$4:$A$103,0)),""))</x:f>
      </x:c>
      <x:c r="P80" s="1"/>
      <x:c r="Q80" s="1"/>
      <x:c r="R80" s="1"/>
      <x:c r="S80" s="1"/>
      <x:c r="T80" s="1"/>
    </x:row>
    <x:row r="81" ht="15">
      <x:c r="A81" s="58"/>
      <x:c r="B81" s="87" t="str">
        <x:f>IF($A81="","",IFERROR(INDEX('Analize meciuri'!$C$4:$C$103,MATCH($A81,'Analize meciuri'!$A$4:$A$103,0)),""))</x:f>
      </x:c>
      <x:c r="C81" s="35" t="str">
        <x:f>IF($A81="","",IFERROR(INDEX('Analize meciuri'!$G$4:$G$103,MATCH($A81,'Analize meciuri'!$A$4:$A$103,0)),""))</x:f>
      </x:c>
      <x:c r="D81" s="35" t="str">
        <x:f>IF($A81="","",IFERROR(INDEX('Analize meciuri'!$H$4:$H$103,MATCH($A81,'Analize meciuri'!$A$4:$A$103,0)),""))</x:f>
      </x:c>
      <x:c r="E81" s="88" t="str">
        <x:f>IF($A81="","",IFERROR(INDEX('Analize meciuri'!$GP$4:$GP$103,MATCH($A81,'Analize meciuri'!$A$4:$A$103,0)),""))</x:f>
      </x:c>
      <x:c r="F81" s="89" t="str">
        <x:f>IF($A81="","",IFERROR(INDEX('Analize meciuri'!$GT$4:$GT$103,MATCH($A81,'Analize meciuri'!$A$4:$A$103,0)),""))</x:f>
      </x:c>
      <x:c r="G81" s="60"/>
      <x:c r="H81" s="60"/>
      <x:c r="I81" s="24"/>
      <x:c r="J81" s="90" t="str">
        <x:f t="shared" si="9"/>
      </x:c>
      <x:c r="K81" s="90" t="str">
        <x:f t="shared" si="10"/>
      </x:c>
      <x:c r="L81" s="90" t="str">
        <x:f t="shared" si="11"/>
      </x:c>
      <x:c r="M81" s="88" t="str">
        <x:f t="shared" si="12"/>
      </x:c>
      <x:c r="N81" s="25" t="str">
        <x:f>IF($A81="","",IFERROR(INDEX('Analize meciuri'!$GV$4:$GV$103,MATCH($A81,'Analize meciuri'!$A$4:$A$103,0)),""))</x:f>
      </x:c>
      <x:c r="O81" s="1" t="str">
        <x:f>IF($A81="","",IFERROR(INDEX('Analize meciuri'!$GN$4:$GN$103,MATCH($A81,'Analize meciuri'!$A$4:$A$103,0)),""))</x:f>
      </x:c>
      <x:c r="P81" s="1"/>
      <x:c r="Q81" s="1"/>
      <x:c r="R81" s="1"/>
      <x:c r="S81" s="1"/>
      <x:c r="T81" s="1"/>
    </x:row>
    <x:row r="82" ht="15">
      <x:c r="A82" s="58"/>
      <x:c r="B82" s="87" t="str">
        <x:f>IF($A82="","",IFERROR(INDEX('Analize meciuri'!$C$4:$C$103,MATCH($A82,'Analize meciuri'!$A$4:$A$103,0)),""))</x:f>
      </x:c>
      <x:c r="C82" s="35" t="str">
        <x:f>IF($A82="","",IFERROR(INDEX('Analize meciuri'!$G$4:$G$103,MATCH($A82,'Analize meciuri'!$A$4:$A$103,0)),""))</x:f>
      </x:c>
      <x:c r="D82" s="35" t="str">
        <x:f>IF($A82="","",IFERROR(INDEX('Analize meciuri'!$H$4:$H$103,MATCH($A82,'Analize meciuri'!$A$4:$A$103,0)),""))</x:f>
      </x:c>
      <x:c r="E82" s="88" t="str">
        <x:f>IF($A82="","",IFERROR(INDEX('Analize meciuri'!$GP$4:$GP$103,MATCH($A82,'Analize meciuri'!$A$4:$A$103,0)),""))</x:f>
      </x:c>
      <x:c r="F82" s="89" t="str">
        <x:f>IF($A82="","",IFERROR(INDEX('Analize meciuri'!$GT$4:$GT$103,MATCH($A82,'Analize meciuri'!$A$4:$A$103,0)),""))</x:f>
      </x:c>
      <x:c r="G82" s="60"/>
      <x:c r="H82" s="60"/>
      <x:c r="I82" s="24"/>
      <x:c r="J82" s="90" t="str">
        <x:f t="shared" si="9"/>
      </x:c>
      <x:c r="K82" s="90" t="str">
        <x:f t="shared" si="10"/>
      </x:c>
      <x:c r="L82" s="90" t="str">
        <x:f t="shared" si="11"/>
      </x:c>
      <x:c r="M82" s="88" t="str">
        <x:f t="shared" si="12"/>
      </x:c>
      <x:c r="N82" s="25" t="str">
        <x:f>IF($A82="","",IFERROR(INDEX('Analize meciuri'!$GV$4:$GV$103,MATCH($A82,'Analize meciuri'!$A$4:$A$103,0)),""))</x:f>
      </x:c>
      <x:c r="O82" s="1" t="str">
        <x:f>IF($A82="","",IFERROR(INDEX('Analize meciuri'!$GN$4:$GN$103,MATCH($A82,'Analize meciuri'!$A$4:$A$103,0)),""))</x:f>
      </x:c>
      <x:c r="P82" s="1"/>
      <x:c r="Q82" s="1"/>
      <x:c r="R82" s="1"/>
      <x:c r="S82" s="1"/>
      <x:c r="T82" s="1"/>
    </x:row>
    <x:row r="83" ht="15">
      <x:c r="A83" s="58"/>
      <x:c r="B83" s="87" t="str">
        <x:f>IF($A83="","",IFERROR(INDEX('Analize meciuri'!$C$4:$C$103,MATCH($A83,'Analize meciuri'!$A$4:$A$103,0)),""))</x:f>
      </x:c>
      <x:c r="C83" s="35" t="str">
        <x:f>IF($A83="","",IFERROR(INDEX('Analize meciuri'!$G$4:$G$103,MATCH($A83,'Analize meciuri'!$A$4:$A$103,0)),""))</x:f>
      </x:c>
      <x:c r="D83" s="35" t="str">
        <x:f>IF($A83="","",IFERROR(INDEX('Analize meciuri'!$H$4:$H$103,MATCH($A83,'Analize meciuri'!$A$4:$A$103,0)),""))</x:f>
      </x:c>
      <x:c r="E83" s="88" t="str">
        <x:f>IF($A83="","",IFERROR(INDEX('Analize meciuri'!$GP$4:$GP$103,MATCH($A83,'Analize meciuri'!$A$4:$A$103,0)),""))</x:f>
      </x:c>
      <x:c r="F83" s="89" t="str">
        <x:f>IF($A83="","",IFERROR(INDEX('Analize meciuri'!$GT$4:$GT$103,MATCH($A83,'Analize meciuri'!$A$4:$A$103,0)),""))</x:f>
      </x:c>
      <x:c r="G83" s="60"/>
      <x:c r="H83" s="60"/>
      <x:c r="I83" s="24"/>
      <x:c r="J83" s="90" t="str">
        <x:f t="shared" si="9"/>
      </x:c>
      <x:c r="K83" s="90" t="str">
        <x:f t="shared" si="10"/>
      </x:c>
      <x:c r="L83" s="90" t="str">
        <x:f t="shared" si="11"/>
      </x:c>
      <x:c r="M83" s="88" t="str">
        <x:f t="shared" si="12"/>
      </x:c>
      <x:c r="N83" s="25" t="str">
        <x:f>IF($A83="","",IFERROR(INDEX('Analize meciuri'!$GV$4:$GV$103,MATCH($A83,'Analize meciuri'!$A$4:$A$103,0)),""))</x:f>
      </x:c>
      <x:c r="O83" s="1" t="str">
        <x:f>IF($A83="","",IFERROR(INDEX('Analize meciuri'!$GN$4:$GN$103,MATCH($A83,'Analize meciuri'!$A$4:$A$103,0)),""))</x:f>
      </x:c>
      <x:c r="P83" s="1"/>
      <x:c r="Q83" s="1"/>
      <x:c r="R83" s="1"/>
      <x:c r="S83" s="1"/>
      <x:c r="T83" s="1"/>
    </x:row>
    <x:row r="84" ht="15">
      <x:c r="A84" s="58"/>
      <x:c r="B84" s="87" t="str">
        <x:f>IF($A84="","",IFERROR(INDEX('Analize meciuri'!$C$4:$C$103,MATCH($A84,'Analize meciuri'!$A$4:$A$103,0)),""))</x:f>
      </x:c>
      <x:c r="C84" s="35" t="str">
        <x:f>IF($A84="","",IFERROR(INDEX('Analize meciuri'!$G$4:$G$103,MATCH($A84,'Analize meciuri'!$A$4:$A$103,0)),""))</x:f>
      </x:c>
      <x:c r="D84" s="35" t="str">
        <x:f>IF($A84="","",IFERROR(INDEX('Analize meciuri'!$H$4:$H$103,MATCH($A84,'Analize meciuri'!$A$4:$A$103,0)),""))</x:f>
      </x:c>
      <x:c r="E84" s="88" t="str">
        <x:f>IF($A84="","",IFERROR(INDEX('Analize meciuri'!$GP$4:$GP$103,MATCH($A84,'Analize meciuri'!$A$4:$A$103,0)),""))</x:f>
      </x:c>
      <x:c r="F84" s="89" t="str">
        <x:f>IF($A84="","",IFERROR(INDEX('Analize meciuri'!$GT$4:$GT$103,MATCH($A84,'Analize meciuri'!$A$4:$A$103,0)),""))</x:f>
      </x:c>
      <x:c r="G84" s="60"/>
      <x:c r="H84" s="60"/>
      <x:c r="I84" s="24"/>
      <x:c r="J84" s="90" t="str">
        <x:f t="shared" si="9"/>
      </x:c>
      <x:c r="K84" s="90" t="str">
        <x:f t="shared" si="10"/>
      </x:c>
      <x:c r="L84" s="90" t="str">
        <x:f t="shared" si="11"/>
      </x:c>
      <x:c r="M84" s="88" t="str">
        <x:f t="shared" si="12"/>
      </x:c>
      <x:c r="N84" s="25" t="str">
        <x:f>IF($A84="","",IFERROR(INDEX('Analize meciuri'!$GV$4:$GV$103,MATCH($A84,'Analize meciuri'!$A$4:$A$103,0)),""))</x:f>
      </x:c>
      <x:c r="O84" s="1" t="str">
        <x:f>IF($A84="","",IFERROR(INDEX('Analize meciuri'!$GN$4:$GN$103,MATCH($A84,'Analize meciuri'!$A$4:$A$103,0)),""))</x:f>
      </x:c>
      <x:c r="P84" s="1"/>
      <x:c r="Q84" s="1"/>
      <x:c r="R84" s="1"/>
      <x:c r="S84" s="1"/>
      <x:c r="T84" s="1"/>
    </x:row>
    <x:row r="85" ht="15">
      <x:c r="A85" s="58"/>
      <x:c r="B85" s="87" t="str">
        <x:f>IF($A85="","",IFERROR(INDEX('Analize meciuri'!$C$4:$C$103,MATCH($A85,'Analize meciuri'!$A$4:$A$103,0)),""))</x:f>
      </x:c>
      <x:c r="C85" s="35" t="str">
        <x:f>IF($A85="","",IFERROR(INDEX('Analize meciuri'!$G$4:$G$103,MATCH($A85,'Analize meciuri'!$A$4:$A$103,0)),""))</x:f>
      </x:c>
      <x:c r="D85" s="35" t="str">
        <x:f>IF($A85="","",IFERROR(INDEX('Analize meciuri'!$H$4:$H$103,MATCH($A85,'Analize meciuri'!$A$4:$A$103,0)),""))</x:f>
      </x:c>
      <x:c r="E85" s="88" t="str">
        <x:f>IF($A85="","",IFERROR(INDEX('Analize meciuri'!$GP$4:$GP$103,MATCH($A85,'Analize meciuri'!$A$4:$A$103,0)),""))</x:f>
      </x:c>
      <x:c r="F85" s="89" t="str">
        <x:f>IF($A85="","",IFERROR(INDEX('Analize meciuri'!$GT$4:$GT$103,MATCH($A85,'Analize meciuri'!$A$4:$A$103,0)),""))</x:f>
      </x:c>
      <x:c r="G85" s="60"/>
      <x:c r="H85" s="60"/>
      <x:c r="I85" s="24"/>
      <x:c r="J85" s="90" t="str">
        <x:f t="shared" si="9"/>
      </x:c>
      <x:c r="K85" s="90" t="str">
        <x:f t="shared" si="10"/>
      </x:c>
      <x:c r="L85" s="90" t="str">
        <x:f t="shared" si="11"/>
      </x:c>
      <x:c r="M85" s="88" t="str">
        <x:f t="shared" si="12"/>
      </x:c>
      <x:c r="N85" s="25" t="str">
        <x:f>IF($A85="","",IFERROR(INDEX('Analize meciuri'!$GV$4:$GV$103,MATCH($A85,'Analize meciuri'!$A$4:$A$103,0)),""))</x:f>
      </x:c>
      <x:c r="O85" s="1" t="str">
        <x:f>IF($A85="","",IFERROR(INDEX('Analize meciuri'!$GN$4:$GN$103,MATCH($A85,'Analize meciuri'!$A$4:$A$103,0)),""))</x:f>
      </x:c>
      <x:c r="P85" s="1"/>
      <x:c r="Q85" s="1"/>
      <x:c r="R85" s="1"/>
      <x:c r="S85" s="1"/>
      <x:c r="T85" s="1"/>
    </x:row>
    <x:row r="86" ht="15">
      <x:c r="A86" s="58"/>
      <x:c r="B86" s="87" t="str">
        <x:f>IF($A86="","",IFERROR(INDEX('Analize meciuri'!$C$4:$C$103,MATCH($A86,'Analize meciuri'!$A$4:$A$103,0)),""))</x:f>
      </x:c>
      <x:c r="C86" s="35" t="str">
        <x:f>IF($A86="","",IFERROR(INDEX('Analize meciuri'!$G$4:$G$103,MATCH($A86,'Analize meciuri'!$A$4:$A$103,0)),""))</x:f>
      </x:c>
      <x:c r="D86" s="35" t="str">
        <x:f>IF($A86="","",IFERROR(INDEX('Analize meciuri'!$H$4:$H$103,MATCH($A86,'Analize meciuri'!$A$4:$A$103,0)),""))</x:f>
      </x:c>
      <x:c r="E86" s="88" t="str">
        <x:f>IF($A86="","",IFERROR(INDEX('Analize meciuri'!$GP$4:$GP$103,MATCH($A86,'Analize meciuri'!$A$4:$A$103,0)),""))</x:f>
      </x:c>
      <x:c r="F86" s="89" t="str">
        <x:f>IF($A86="","",IFERROR(INDEX('Analize meciuri'!$GT$4:$GT$103,MATCH($A86,'Analize meciuri'!$A$4:$A$103,0)),""))</x:f>
      </x:c>
      <x:c r="G86" s="60"/>
      <x:c r="H86" s="60"/>
      <x:c r="I86" s="24"/>
      <x:c r="J86" s="90" t="str">
        <x:f t="shared" si="9"/>
      </x:c>
      <x:c r="K86" s="90" t="str">
        <x:f t="shared" si="10"/>
      </x:c>
      <x:c r="L86" s="90" t="str">
        <x:f t="shared" si="11"/>
      </x:c>
      <x:c r="M86" s="88" t="str">
        <x:f t="shared" si="12"/>
      </x:c>
      <x:c r="N86" s="25" t="str">
        <x:f>IF($A86="","",IFERROR(INDEX('Analize meciuri'!$GV$4:$GV$103,MATCH($A86,'Analize meciuri'!$A$4:$A$103,0)),""))</x:f>
      </x:c>
      <x:c r="O86" s="1" t="str">
        <x:f>IF($A86="","",IFERROR(INDEX('Analize meciuri'!$GN$4:$GN$103,MATCH($A86,'Analize meciuri'!$A$4:$A$103,0)),""))</x:f>
      </x:c>
      <x:c r="P86" s="1"/>
      <x:c r="Q86" s="1"/>
      <x:c r="R86" s="1"/>
      <x:c r="S86" s="1"/>
      <x:c r="T86" s="1"/>
    </x:row>
    <x:row r="87" ht="15">
      <x:c r="A87" s="58"/>
      <x:c r="B87" s="87" t="str">
        <x:f>IF($A87="","",IFERROR(INDEX('Analize meciuri'!$C$4:$C$103,MATCH($A87,'Analize meciuri'!$A$4:$A$103,0)),""))</x:f>
      </x:c>
      <x:c r="C87" s="35" t="str">
        <x:f>IF($A87="","",IFERROR(INDEX('Analize meciuri'!$G$4:$G$103,MATCH($A87,'Analize meciuri'!$A$4:$A$103,0)),""))</x:f>
      </x:c>
      <x:c r="D87" s="35" t="str">
        <x:f>IF($A87="","",IFERROR(INDEX('Analize meciuri'!$H$4:$H$103,MATCH($A87,'Analize meciuri'!$A$4:$A$103,0)),""))</x:f>
      </x:c>
      <x:c r="E87" s="88" t="str">
        <x:f>IF($A87="","",IFERROR(INDEX('Analize meciuri'!$GP$4:$GP$103,MATCH($A87,'Analize meciuri'!$A$4:$A$103,0)),""))</x:f>
      </x:c>
      <x:c r="F87" s="89" t="str">
        <x:f>IF($A87="","",IFERROR(INDEX('Analize meciuri'!$GT$4:$GT$103,MATCH($A87,'Analize meciuri'!$A$4:$A$103,0)),""))</x:f>
      </x:c>
      <x:c r="G87" s="60"/>
      <x:c r="H87" s="60"/>
      <x:c r="I87" s="24"/>
      <x:c r="J87" s="90" t="str">
        <x:f t="shared" si="9"/>
      </x:c>
      <x:c r="K87" s="90" t="str">
        <x:f t="shared" si="10"/>
      </x:c>
      <x:c r="L87" s="90" t="str">
        <x:f t="shared" si="11"/>
      </x:c>
      <x:c r="M87" s="88" t="str">
        <x:f t="shared" si="12"/>
      </x:c>
      <x:c r="N87" s="25" t="str">
        <x:f>IF($A87="","",IFERROR(INDEX('Analize meciuri'!$GV$4:$GV$103,MATCH($A87,'Analize meciuri'!$A$4:$A$103,0)),""))</x:f>
      </x:c>
      <x:c r="O87" s="1" t="str">
        <x:f>IF($A87="","",IFERROR(INDEX('Analize meciuri'!$GN$4:$GN$103,MATCH($A87,'Analize meciuri'!$A$4:$A$103,0)),""))</x:f>
      </x:c>
      <x:c r="P87" s="1"/>
      <x:c r="Q87" s="1"/>
      <x:c r="R87" s="1"/>
      <x:c r="S87" s="1"/>
      <x:c r="T87" s="1"/>
    </x:row>
    <x:row r="88" ht="15">
      <x:c r="A88" s="58"/>
      <x:c r="B88" s="87" t="str">
        <x:f>IF($A88="","",IFERROR(INDEX('Analize meciuri'!$C$4:$C$103,MATCH($A88,'Analize meciuri'!$A$4:$A$103,0)),""))</x:f>
      </x:c>
      <x:c r="C88" s="35" t="str">
        <x:f>IF($A88="","",IFERROR(INDEX('Analize meciuri'!$G$4:$G$103,MATCH($A88,'Analize meciuri'!$A$4:$A$103,0)),""))</x:f>
      </x:c>
      <x:c r="D88" s="35" t="str">
        <x:f>IF($A88="","",IFERROR(INDEX('Analize meciuri'!$H$4:$H$103,MATCH($A88,'Analize meciuri'!$A$4:$A$103,0)),""))</x:f>
      </x:c>
      <x:c r="E88" s="88" t="str">
        <x:f>IF($A88="","",IFERROR(INDEX('Analize meciuri'!$GP$4:$GP$103,MATCH($A88,'Analize meciuri'!$A$4:$A$103,0)),""))</x:f>
      </x:c>
      <x:c r="F88" s="89" t="str">
        <x:f>IF($A88="","",IFERROR(INDEX('Analize meciuri'!$GT$4:$GT$103,MATCH($A88,'Analize meciuri'!$A$4:$A$103,0)),""))</x:f>
      </x:c>
      <x:c r="G88" s="60"/>
      <x:c r="H88" s="60"/>
      <x:c r="I88" s="24"/>
      <x:c r="J88" s="90" t="str">
        <x:f t="shared" si="9"/>
      </x:c>
      <x:c r="K88" s="90" t="str">
        <x:f t="shared" si="10"/>
      </x:c>
      <x:c r="L88" s="90" t="str">
        <x:f t="shared" si="11"/>
      </x:c>
      <x:c r="M88" s="88" t="str">
        <x:f t="shared" si="12"/>
      </x:c>
      <x:c r="N88" s="25" t="str">
        <x:f>IF($A88="","",IFERROR(INDEX('Analize meciuri'!$GV$4:$GV$103,MATCH($A88,'Analize meciuri'!$A$4:$A$103,0)),""))</x:f>
      </x:c>
      <x:c r="O88" s="1" t="str">
        <x:f>IF($A88="","",IFERROR(INDEX('Analize meciuri'!$GN$4:$GN$103,MATCH($A88,'Analize meciuri'!$A$4:$A$103,0)),""))</x:f>
      </x:c>
      <x:c r="P88" s="1"/>
      <x:c r="Q88" s="1"/>
      <x:c r="R88" s="1"/>
      <x:c r="S88" s="1"/>
      <x:c r="T88" s="1"/>
    </x:row>
    <x:row r="89" ht="15">
      <x:c r="A89" s="58"/>
      <x:c r="B89" s="87" t="str">
        <x:f>IF($A89="","",IFERROR(INDEX('Analize meciuri'!$C$4:$C$103,MATCH($A89,'Analize meciuri'!$A$4:$A$103,0)),""))</x:f>
      </x:c>
      <x:c r="C89" s="35" t="str">
        <x:f>IF($A89="","",IFERROR(INDEX('Analize meciuri'!$G$4:$G$103,MATCH($A89,'Analize meciuri'!$A$4:$A$103,0)),""))</x:f>
      </x:c>
      <x:c r="D89" s="35" t="str">
        <x:f>IF($A89="","",IFERROR(INDEX('Analize meciuri'!$H$4:$H$103,MATCH($A89,'Analize meciuri'!$A$4:$A$103,0)),""))</x:f>
      </x:c>
      <x:c r="E89" s="88" t="str">
        <x:f>IF($A89="","",IFERROR(INDEX('Analize meciuri'!$GP$4:$GP$103,MATCH($A89,'Analize meciuri'!$A$4:$A$103,0)),""))</x:f>
      </x:c>
      <x:c r="F89" s="89" t="str">
        <x:f>IF($A89="","",IFERROR(INDEX('Analize meciuri'!$GT$4:$GT$103,MATCH($A89,'Analize meciuri'!$A$4:$A$103,0)),""))</x:f>
      </x:c>
      <x:c r="G89" s="60"/>
      <x:c r="H89" s="60"/>
      <x:c r="I89" s="24"/>
      <x:c r="J89" s="90" t="str">
        <x:f t="shared" si="9"/>
      </x:c>
      <x:c r="K89" s="90" t="str">
        <x:f t="shared" si="10"/>
      </x:c>
      <x:c r="L89" s="90" t="str">
        <x:f t="shared" si="11"/>
      </x:c>
      <x:c r="M89" s="88" t="str">
        <x:f t="shared" si="12"/>
      </x:c>
      <x:c r="N89" s="25" t="str">
        <x:f>IF($A89="","",IFERROR(INDEX('Analize meciuri'!$GV$4:$GV$103,MATCH($A89,'Analize meciuri'!$A$4:$A$103,0)),""))</x:f>
      </x:c>
      <x:c r="O89" s="1" t="str">
        <x:f>IF($A89="","",IFERROR(INDEX('Analize meciuri'!$GN$4:$GN$103,MATCH($A89,'Analize meciuri'!$A$4:$A$103,0)),""))</x:f>
      </x:c>
      <x:c r="P89" s="1"/>
      <x:c r="Q89" s="1"/>
      <x:c r="R89" s="1"/>
      <x:c r="S89" s="1"/>
      <x:c r="T89" s="1"/>
    </x:row>
    <x:row r="90" ht="15">
      <x:c r="A90" s="58"/>
      <x:c r="B90" s="87" t="str">
        <x:f>IF($A90="","",IFERROR(INDEX('Analize meciuri'!$C$4:$C$103,MATCH($A90,'Analize meciuri'!$A$4:$A$103,0)),""))</x:f>
      </x:c>
      <x:c r="C90" s="35" t="str">
        <x:f>IF($A90="","",IFERROR(INDEX('Analize meciuri'!$G$4:$G$103,MATCH($A90,'Analize meciuri'!$A$4:$A$103,0)),""))</x:f>
      </x:c>
      <x:c r="D90" s="35" t="str">
        <x:f>IF($A90="","",IFERROR(INDEX('Analize meciuri'!$H$4:$H$103,MATCH($A90,'Analize meciuri'!$A$4:$A$103,0)),""))</x:f>
      </x:c>
      <x:c r="E90" s="88" t="str">
        <x:f>IF($A90="","",IFERROR(INDEX('Analize meciuri'!$GP$4:$GP$103,MATCH($A90,'Analize meciuri'!$A$4:$A$103,0)),""))</x:f>
      </x:c>
      <x:c r="F90" s="89" t="str">
        <x:f>IF($A90="","",IFERROR(INDEX('Analize meciuri'!$GT$4:$GT$103,MATCH($A90,'Analize meciuri'!$A$4:$A$103,0)),""))</x:f>
      </x:c>
      <x:c r="G90" s="60"/>
      <x:c r="H90" s="60"/>
      <x:c r="I90" s="24"/>
      <x:c r="J90" s="90" t="str">
        <x:f t="shared" si="9"/>
      </x:c>
      <x:c r="K90" s="90" t="str">
        <x:f t="shared" si="10"/>
      </x:c>
      <x:c r="L90" s="90" t="str">
        <x:f t="shared" si="11"/>
      </x:c>
      <x:c r="M90" s="88" t="str">
        <x:f t="shared" si="12"/>
      </x:c>
      <x:c r="N90" s="25" t="str">
        <x:f>IF($A90="","",IFERROR(INDEX('Analize meciuri'!$GV$4:$GV$103,MATCH($A90,'Analize meciuri'!$A$4:$A$103,0)),""))</x:f>
      </x:c>
      <x:c r="O90" s="1" t="str">
        <x:f>IF($A90="","",IFERROR(INDEX('Analize meciuri'!$GN$4:$GN$103,MATCH($A90,'Analize meciuri'!$A$4:$A$103,0)),""))</x:f>
      </x:c>
      <x:c r="P90" s="1"/>
      <x:c r="Q90" s="1"/>
      <x:c r="R90" s="1"/>
      <x:c r="S90" s="1"/>
      <x:c r="T90" s="1"/>
    </x:row>
    <x:row r="91" ht="15">
      <x:c r="A91" s="58"/>
      <x:c r="B91" s="87" t="str">
        <x:f>IF($A91="","",IFERROR(INDEX('Analize meciuri'!$C$4:$C$103,MATCH($A91,'Analize meciuri'!$A$4:$A$103,0)),""))</x:f>
      </x:c>
      <x:c r="C91" s="35" t="str">
        <x:f>IF($A91="","",IFERROR(INDEX('Analize meciuri'!$G$4:$G$103,MATCH($A91,'Analize meciuri'!$A$4:$A$103,0)),""))</x:f>
      </x:c>
      <x:c r="D91" s="35" t="str">
        <x:f>IF($A91="","",IFERROR(INDEX('Analize meciuri'!$H$4:$H$103,MATCH($A91,'Analize meciuri'!$A$4:$A$103,0)),""))</x:f>
      </x:c>
      <x:c r="E91" s="88" t="str">
        <x:f>IF($A91="","",IFERROR(INDEX('Analize meciuri'!$GP$4:$GP$103,MATCH($A91,'Analize meciuri'!$A$4:$A$103,0)),""))</x:f>
      </x:c>
      <x:c r="F91" s="89" t="str">
        <x:f>IF($A91="","",IFERROR(INDEX('Analize meciuri'!$GT$4:$GT$103,MATCH($A91,'Analize meciuri'!$A$4:$A$103,0)),""))</x:f>
      </x:c>
      <x:c r="G91" s="60"/>
      <x:c r="H91" s="60"/>
      <x:c r="I91" s="24"/>
      <x:c r="J91" s="90" t="str">
        <x:f t="shared" si="9"/>
      </x:c>
      <x:c r="K91" s="90" t="str">
        <x:f t="shared" si="10"/>
      </x:c>
      <x:c r="L91" s="90" t="str">
        <x:f t="shared" si="11"/>
      </x:c>
      <x:c r="M91" s="88" t="str">
        <x:f t="shared" si="12"/>
      </x:c>
      <x:c r="N91" s="25" t="str">
        <x:f>IF($A91="","",IFERROR(INDEX('Analize meciuri'!$GV$4:$GV$103,MATCH($A91,'Analize meciuri'!$A$4:$A$103,0)),""))</x:f>
      </x:c>
      <x:c r="O91" s="1" t="str">
        <x:f>IF($A91="","",IFERROR(INDEX('Analize meciuri'!$GN$4:$GN$103,MATCH($A91,'Analize meciuri'!$A$4:$A$103,0)),""))</x:f>
      </x:c>
      <x:c r="P91" s="1"/>
      <x:c r="Q91" s="1"/>
      <x:c r="R91" s="1"/>
      <x:c r="S91" s="1"/>
      <x:c r="T91" s="1"/>
    </x:row>
    <x:row r="92" ht="15">
      <x:c r="A92" s="58"/>
      <x:c r="B92" s="87" t="str">
        <x:f>IF($A92="","",IFERROR(INDEX('Analize meciuri'!$C$4:$C$103,MATCH($A92,'Analize meciuri'!$A$4:$A$103,0)),""))</x:f>
      </x:c>
      <x:c r="C92" s="35" t="str">
        <x:f>IF($A92="","",IFERROR(INDEX('Analize meciuri'!$G$4:$G$103,MATCH($A92,'Analize meciuri'!$A$4:$A$103,0)),""))</x:f>
      </x:c>
      <x:c r="D92" s="35" t="str">
        <x:f>IF($A92="","",IFERROR(INDEX('Analize meciuri'!$H$4:$H$103,MATCH($A92,'Analize meciuri'!$A$4:$A$103,0)),""))</x:f>
      </x:c>
      <x:c r="E92" s="88" t="str">
        <x:f>IF($A92="","",IFERROR(INDEX('Analize meciuri'!$GP$4:$GP$103,MATCH($A92,'Analize meciuri'!$A$4:$A$103,0)),""))</x:f>
      </x:c>
      <x:c r="F92" s="89" t="str">
        <x:f>IF($A92="","",IFERROR(INDEX('Analize meciuri'!$GT$4:$GT$103,MATCH($A92,'Analize meciuri'!$A$4:$A$103,0)),""))</x:f>
      </x:c>
      <x:c r="G92" s="60"/>
      <x:c r="H92" s="60"/>
      <x:c r="I92" s="24"/>
      <x:c r="J92" s="90" t="str">
        <x:f t="shared" si="9"/>
      </x:c>
      <x:c r="K92" s="90" t="str">
        <x:f t="shared" si="10"/>
      </x:c>
      <x:c r="L92" s="90" t="str">
        <x:f t="shared" si="11"/>
      </x:c>
      <x:c r="M92" s="88" t="str">
        <x:f t="shared" si="12"/>
      </x:c>
      <x:c r="N92" s="25" t="str">
        <x:f>IF($A92="","",IFERROR(INDEX('Analize meciuri'!$GV$4:$GV$103,MATCH($A92,'Analize meciuri'!$A$4:$A$103,0)),""))</x:f>
      </x:c>
      <x:c r="O92" s="1" t="str">
        <x:f>IF($A92="","",IFERROR(INDEX('Analize meciuri'!$GN$4:$GN$103,MATCH($A92,'Analize meciuri'!$A$4:$A$103,0)),""))</x:f>
      </x:c>
      <x:c r="P92" s="1"/>
      <x:c r="Q92" s="1"/>
      <x:c r="R92" s="1"/>
      <x:c r="S92" s="1"/>
      <x:c r="T92" s="1"/>
    </x:row>
    <x:row r="93" ht="15">
      <x:c r="A93" s="58"/>
      <x:c r="B93" s="87" t="str">
        <x:f>IF($A93="","",IFERROR(INDEX('Analize meciuri'!$C$4:$C$103,MATCH($A93,'Analize meciuri'!$A$4:$A$103,0)),""))</x:f>
      </x:c>
      <x:c r="C93" s="35" t="str">
        <x:f>IF($A93="","",IFERROR(INDEX('Analize meciuri'!$G$4:$G$103,MATCH($A93,'Analize meciuri'!$A$4:$A$103,0)),""))</x:f>
      </x:c>
      <x:c r="D93" s="35" t="str">
        <x:f>IF($A93="","",IFERROR(INDEX('Analize meciuri'!$H$4:$H$103,MATCH($A93,'Analize meciuri'!$A$4:$A$103,0)),""))</x:f>
      </x:c>
      <x:c r="E93" s="88" t="str">
        <x:f>IF($A93="","",IFERROR(INDEX('Analize meciuri'!$GP$4:$GP$103,MATCH($A93,'Analize meciuri'!$A$4:$A$103,0)),""))</x:f>
      </x:c>
      <x:c r="F93" s="89" t="str">
        <x:f>IF($A93="","",IFERROR(INDEX('Analize meciuri'!$GT$4:$GT$103,MATCH($A93,'Analize meciuri'!$A$4:$A$103,0)),""))</x:f>
      </x:c>
      <x:c r="G93" s="60"/>
      <x:c r="H93" s="60"/>
      <x:c r="I93" s="24"/>
      <x:c r="J93" s="90" t="str">
        <x:f t="shared" si="9"/>
      </x:c>
      <x:c r="K93" s="90" t="str">
        <x:f t="shared" si="10"/>
      </x:c>
      <x:c r="L93" s="90" t="str">
        <x:f t="shared" si="11"/>
      </x:c>
      <x:c r="M93" s="88" t="str">
        <x:f t="shared" si="12"/>
      </x:c>
      <x:c r="N93" s="25" t="str">
        <x:f>IF($A93="","",IFERROR(INDEX('Analize meciuri'!$GV$4:$GV$103,MATCH($A93,'Analize meciuri'!$A$4:$A$103,0)),""))</x:f>
      </x:c>
      <x:c r="O93" s="1" t="str">
        <x:f>IF($A93="","",IFERROR(INDEX('Analize meciuri'!$GN$4:$GN$103,MATCH($A93,'Analize meciuri'!$A$4:$A$103,0)),""))</x:f>
      </x:c>
      <x:c r="P93" s="1"/>
      <x:c r="Q93" s="1"/>
      <x:c r="R93" s="1"/>
      <x:c r="S93" s="1"/>
      <x:c r="T93" s="1"/>
    </x:row>
    <x:row r="94" ht="15">
      <x:c r="A94" s="58"/>
      <x:c r="B94" s="87" t="str">
        <x:f>IF($A94="","",IFERROR(INDEX('Analize meciuri'!$C$4:$C$103,MATCH($A94,'Analize meciuri'!$A$4:$A$103,0)),""))</x:f>
      </x:c>
      <x:c r="C94" s="35" t="str">
        <x:f>IF($A94="","",IFERROR(INDEX('Analize meciuri'!$G$4:$G$103,MATCH($A94,'Analize meciuri'!$A$4:$A$103,0)),""))</x:f>
      </x:c>
      <x:c r="D94" s="35" t="str">
        <x:f>IF($A94="","",IFERROR(INDEX('Analize meciuri'!$H$4:$H$103,MATCH($A94,'Analize meciuri'!$A$4:$A$103,0)),""))</x:f>
      </x:c>
      <x:c r="E94" s="88" t="str">
        <x:f>IF($A94="","",IFERROR(INDEX('Analize meciuri'!$GP$4:$GP$103,MATCH($A94,'Analize meciuri'!$A$4:$A$103,0)),""))</x:f>
      </x:c>
      <x:c r="F94" s="89" t="str">
        <x:f>IF($A94="","",IFERROR(INDEX('Analize meciuri'!$GT$4:$GT$103,MATCH($A94,'Analize meciuri'!$A$4:$A$103,0)),""))</x:f>
      </x:c>
      <x:c r="G94" s="60"/>
      <x:c r="H94" s="60"/>
      <x:c r="I94" s="24"/>
      <x:c r="J94" s="90" t="str">
        <x:f t="shared" si="9"/>
      </x:c>
      <x:c r="K94" s="90" t="str">
        <x:f t="shared" si="10"/>
      </x:c>
      <x:c r="L94" s="90" t="str">
        <x:f t="shared" si="11"/>
      </x:c>
      <x:c r="M94" s="88" t="str">
        <x:f t="shared" si="12"/>
      </x:c>
      <x:c r="N94" s="25" t="str">
        <x:f>IF($A94="","",IFERROR(INDEX('Analize meciuri'!$GV$4:$GV$103,MATCH($A94,'Analize meciuri'!$A$4:$A$103,0)),""))</x:f>
      </x:c>
      <x:c r="O94" s="1" t="str">
        <x:f>IF($A94="","",IFERROR(INDEX('Analize meciuri'!$GN$4:$GN$103,MATCH($A94,'Analize meciuri'!$A$4:$A$103,0)),""))</x:f>
      </x:c>
      <x:c r="P94" s="1"/>
      <x:c r="Q94" s="1"/>
      <x:c r="R94" s="1"/>
      <x:c r="S94" s="1"/>
      <x:c r="T94" s="1"/>
    </x:row>
    <x:row r="95" ht="15">
      <x:c r="A95" s="58"/>
      <x:c r="B95" s="87" t="str">
        <x:f>IF($A95="","",IFERROR(INDEX('Analize meciuri'!$C$4:$C$103,MATCH($A95,'Analize meciuri'!$A$4:$A$103,0)),""))</x:f>
      </x:c>
      <x:c r="C95" s="35" t="str">
        <x:f>IF($A95="","",IFERROR(INDEX('Analize meciuri'!$G$4:$G$103,MATCH($A95,'Analize meciuri'!$A$4:$A$103,0)),""))</x:f>
      </x:c>
      <x:c r="D95" s="35" t="str">
        <x:f>IF($A95="","",IFERROR(INDEX('Analize meciuri'!$H$4:$H$103,MATCH($A95,'Analize meciuri'!$A$4:$A$103,0)),""))</x:f>
      </x:c>
      <x:c r="E95" s="88" t="str">
        <x:f>IF($A95="","",IFERROR(INDEX('Analize meciuri'!$GP$4:$GP$103,MATCH($A95,'Analize meciuri'!$A$4:$A$103,0)),""))</x:f>
      </x:c>
      <x:c r="F95" s="89" t="str">
        <x:f>IF($A95="","",IFERROR(INDEX('Analize meciuri'!$GT$4:$GT$103,MATCH($A95,'Analize meciuri'!$A$4:$A$103,0)),""))</x:f>
      </x:c>
      <x:c r="G95" s="60"/>
      <x:c r="H95" s="60"/>
      <x:c r="I95" s="24"/>
      <x:c r="J95" s="90" t="str">
        <x:f t="shared" si="9"/>
      </x:c>
      <x:c r="K95" s="90" t="str">
        <x:f t="shared" si="10"/>
      </x:c>
      <x:c r="L95" s="90" t="str">
        <x:f t="shared" si="11"/>
      </x:c>
      <x:c r="M95" s="88" t="str">
        <x:f t="shared" si="12"/>
      </x:c>
      <x:c r="N95" s="25" t="str">
        <x:f>IF($A95="","",IFERROR(INDEX('Analize meciuri'!$GV$4:$GV$103,MATCH($A95,'Analize meciuri'!$A$4:$A$103,0)),""))</x:f>
      </x:c>
      <x:c r="O95" s="1" t="str">
        <x:f>IF($A95="","",IFERROR(INDEX('Analize meciuri'!$GN$4:$GN$103,MATCH($A95,'Analize meciuri'!$A$4:$A$103,0)),""))</x:f>
      </x:c>
      <x:c r="P95" s="1"/>
      <x:c r="Q95" s="1"/>
      <x:c r="R95" s="1"/>
      <x:c r="S95" s="1"/>
      <x:c r="T95" s="1"/>
    </x:row>
    <x:row r="96" ht="15">
      <x:c r="A96" s="58"/>
      <x:c r="B96" s="87" t="str">
        <x:f>IF($A96="","",IFERROR(INDEX('Analize meciuri'!$C$4:$C$103,MATCH($A96,'Analize meciuri'!$A$4:$A$103,0)),""))</x:f>
      </x:c>
      <x:c r="C96" s="35" t="str">
        <x:f>IF($A96="","",IFERROR(INDEX('Analize meciuri'!$G$4:$G$103,MATCH($A96,'Analize meciuri'!$A$4:$A$103,0)),""))</x:f>
      </x:c>
      <x:c r="D96" s="35" t="str">
        <x:f>IF($A96="","",IFERROR(INDEX('Analize meciuri'!$H$4:$H$103,MATCH($A96,'Analize meciuri'!$A$4:$A$103,0)),""))</x:f>
      </x:c>
      <x:c r="E96" s="88" t="str">
        <x:f>IF($A96="","",IFERROR(INDEX('Analize meciuri'!$GP$4:$GP$103,MATCH($A96,'Analize meciuri'!$A$4:$A$103,0)),""))</x:f>
      </x:c>
      <x:c r="F96" s="89" t="str">
        <x:f>IF($A96="","",IFERROR(INDEX('Analize meciuri'!$GT$4:$GT$103,MATCH($A96,'Analize meciuri'!$A$4:$A$103,0)),""))</x:f>
      </x:c>
      <x:c r="G96" s="60"/>
      <x:c r="H96" s="60"/>
      <x:c r="I96" s="24"/>
      <x:c r="J96" s="90" t="str">
        <x:f t="shared" si="9"/>
      </x:c>
      <x:c r="K96" s="90" t="str">
        <x:f t="shared" si="10"/>
      </x:c>
      <x:c r="L96" s="90" t="str">
        <x:f t="shared" si="11"/>
      </x:c>
      <x:c r="M96" s="88" t="str">
        <x:f t="shared" si="12"/>
      </x:c>
      <x:c r="N96" s="25" t="str">
        <x:f>IF($A96="","",IFERROR(INDEX('Analize meciuri'!$GV$4:$GV$103,MATCH($A96,'Analize meciuri'!$A$4:$A$103,0)),""))</x:f>
      </x:c>
      <x:c r="O96" s="1" t="str">
        <x:f>IF($A96="","",IFERROR(INDEX('Analize meciuri'!$GN$4:$GN$103,MATCH($A96,'Analize meciuri'!$A$4:$A$103,0)),""))</x:f>
      </x:c>
      <x:c r="P96" s="1"/>
      <x:c r="Q96" s="1"/>
      <x:c r="R96" s="1"/>
      <x:c r="S96" s="1"/>
      <x:c r="T96" s="1"/>
    </x:row>
    <x:row r="97" ht="15">
      <x:c r="A97" s="58"/>
      <x:c r="B97" s="87" t="str">
        <x:f>IF($A97="","",IFERROR(INDEX('Analize meciuri'!$C$4:$C$103,MATCH($A97,'Analize meciuri'!$A$4:$A$103,0)),""))</x:f>
      </x:c>
      <x:c r="C97" s="35" t="str">
        <x:f>IF($A97="","",IFERROR(INDEX('Analize meciuri'!$G$4:$G$103,MATCH($A97,'Analize meciuri'!$A$4:$A$103,0)),""))</x:f>
      </x:c>
      <x:c r="D97" s="35" t="str">
        <x:f>IF($A97="","",IFERROR(INDEX('Analize meciuri'!$H$4:$H$103,MATCH($A97,'Analize meciuri'!$A$4:$A$103,0)),""))</x:f>
      </x:c>
      <x:c r="E97" s="88" t="str">
        <x:f>IF($A97="","",IFERROR(INDEX('Analize meciuri'!$GP$4:$GP$103,MATCH($A97,'Analize meciuri'!$A$4:$A$103,0)),""))</x:f>
      </x:c>
      <x:c r="F97" s="89" t="str">
        <x:f>IF($A97="","",IFERROR(INDEX('Analize meciuri'!$GT$4:$GT$103,MATCH($A97,'Analize meciuri'!$A$4:$A$103,0)),""))</x:f>
      </x:c>
      <x:c r="G97" s="60"/>
      <x:c r="H97" s="60"/>
      <x:c r="I97" s="24"/>
      <x:c r="J97" s="90" t="str">
        <x:f t="shared" si="9"/>
      </x:c>
      <x:c r="K97" s="90" t="str">
        <x:f t="shared" si="10"/>
      </x:c>
      <x:c r="L97" s="90" t="str">
        <x:f t="shared" si="11"/>
      </x:c>
      <x:c r="M97" s="88" t="str">
        <x:f t="shared" si="12"/>
      </x:c>
      <x:c r="N97" s="25" t="str">
        <x:f>IF($A97="","",IFERROR(INDEX('Analize meciuri'!$GV$4:$GV$103,MATCH($A97,'Analize meciuri'!$A$4:$A$103,0)),""))</x:f>
      </x:c>
      <x:c r="O97" s="1" t="str">
        <x:f>IF($A97="","",IFERROR(INDEX('Analize meciuri'!$GN$4:$GN$103,MATCH($A97,'Analize meciuri'!$A$4:$A$103,0)),""))</x:f>
      </x:c>
      <x:c r="P97" s="1"/>
      <x:c r="Q97" s="1"/>
      <x:c r="R97" s="1"/>
      <x:c r="S97" s="1"/>
      <x:c r="T97" s="1"/>
    </x:row>
    <x:row r="98" ht="15">
      <x:c r="A98" s="58"/>
      <x:c r="B98" s="87" t="str">
        <x:f>IF($A98="","",IFERROR(INDEX('Analize meciuri'!$C$4:$C$103,MATCH($A98,'Analize meciuri'!$A$4:$A$103,0)),""))</x:f>
      </x:c>
      <x:c r="C98" s="35" t="str">
        <x:f>IF($A98="","",IFERROR(INDEX('Analize meciuri'!$G$4:$G$103,MATCH($A98,'Analize meciuri'!$A$4:$A$103,0)),""))</x:f>
      </x:c>
      <x:c r="D98" s="35" t="str">
        <x:f>IF($A98="","",IFERROR(INDEX('Analize meciuri'!$H$4:$H$103,MATCH($A98,'Analize meciuri'!$A$4:$A$103,0)),""))</x:f>
      </x:c>
      <x:c r="E98" s="88" t="str">
        <x:f>IF($A98="","",IFERROR(INDEX('Analize meciuri'!$GP$4:$GP$103,MATCH($A98,'Analize meciuri'!$A$4:$A$103,0)),""))</x:f>
      </x:c>
      <x:c r="F98" s="89" t="str">
        <x:f>IF($A98="","",IFERROR(INDEX('Analize meciuri'!$GT$4:$GT$103,MATCH($A98,'Analize meciuri'!$A$4:$A$103,0)),""))</x:f>
      </x:c>
      <x:c r="G98" s="60"/>
      <x:c r="H98" s="60"/>
      <x:c r="I98" s="24"/>
      <x:c r="J98" s="90" t="str">
        <x:f t="shared" si="9"/>
      </x:c>
      <x:c r="K98" s="90" t="str">
        <x:f t="shared" si="10"/>
      </x:c>
      <x:c r="L98" s="90" t="str">
        <x:f t="shared" si="11"/>
      </x:c>
      <x:c r="M98" s="88" t="str">
        <x:f t="shared" si="12"/>
      </x:c>
      <x:c r="N98" s="25" t="str">
        <x:f>IF($A98="","",IFERROR(INDEX('Analize meciuri'!$GV$4:$GV$103,MATCH($A98,'Analize meciuri'!$A$4:$A$103,0)),""))</x:f>
      </x:c>
      <x:c r="O98" s="1" t="str">
        <x:f>IF($A98="","",IFERROR(INDEX('Analize meciuri'!$GN$4:$GN$103,MATCH($A98,'Analize meciuri'!$A$4:$A$103,0)),""))</x:f>
      </x:c>
      <x:c r="P98" s="1"/>
      <x:c r="Q98" s="1"/>
      <x:c r="R98" s="1"/>
      <x:c r="S98" s="1"/>
      <x:c r="T98" s="1"/>
    </x:row>
    <x:row r="99" ht="15">
      <x:c r="A99" s="58"/>
      <x:c r="B99" s="87" t="str">
        <x:f>IF($A99="","",IFERROR(INDEX('Analize meciuri'!$C$4:$C$103,MATCH($A99,'Analize meciuri'!$A$4:$A$103,0)),""))</x:f>
      </x:c>
      <x:c r="C99" s="35" t="str">
        <x:f>IF($A99="","",IFERROR(INDEX('Analize meciuri'!$G$4:$G$103,MATCH($A99,'Analize meciuri'!$A$4:$A$103,0)),""))</x:f>
      </x:c>
      <x:c r="D99" s="35" t="str">
        <x:f>IF($A99="","",IFERROR(INDEX('Analize meciuri'!$H$4:$H$103,MATCH($A99,'Analize meciuri'!$A$4:$A$103,0)),""))</x:f>
      </x:c>
      <x:c r="E99" s="88" t="str">
        <x:f>IF($A99="","",IFERROR(INDEX('Analize meciuri'!$GP$4:$GP$103,MATCH($A99,'Analize meciuri'!$A$4:$A$103,0)),""))</x:f>
      </x:c>
      <x:c r="F99" s="89" t="str">
        <x:f>IF($A99="","",IFERROR(INDEX('Analize meciuri'!$GT$4:$GT$103,MATCH($A99,'Analize meciuri'!$A$4:$A$103,0)),""))</x:f>
      </x:c>
      <x:c r="G99" s="60"/>
      <x:c r="H99" s="60"/>
      <x:c r="I99" s="24"/>
      <x:c r="J99" s="90" t="str">
        <x:f t="shared" si="9"/>
      </x:c>
      <x:c r="K99" s="90" t="str">
        <x:f t="shared" si="10"/>
      </x:c>
      <x:c r="L99" s="90" t="str">
        <x:f t="shared" si="11"/>
      </x:c>
      <x:c r="M99" s="88" t="str">
        <x:f t="shared" si="12"/>
      </x:c>
      <x:c r="N99" s="25" t="str">
        <x:f>IF($A99="","",IFERROR(INDEX('Analize meciuri'!$GV$4:$GV$103,MATCH($A99,'Analize meciuri'!$A$4:$A$103,0)),""))</x:f>
      </x:c>
      <x:c r="O99" s="1" t="str">
        <x:f>IF($A99="","",IFERROR(INDEX('Analize meciuri'!$GN$4:$GN$103,MATCH($A99,'Analize meciuri'!$A$4:$A$103,0)),""))</x:f>
      </x:c>
      <x:c r="P99" s="1"/>
      <x:c r="Q99" s="1"/>
      <x:c r="R99" s="1"/>
      <x:c r="S99" s="1"/>
      <x:c r="T99" s="1"/>
    </x:row>
    <x:row r="100" ht="15">
      <x:c r="A100" s="58"/>
      <x:c r="B100" s="87" t="str">
        <x:f>IF($A100="","",IFERROR(INDEX('Analize meciuri'!$C$4:$C$103,MATCH($A100,'Analize meciuri'!$A$4:$A$103,0)),""))</x:f>
      </x:c>
      <x:c r="C100" s="35" t="str">
        <x:f>IF($A100="","",IFERROR(INDEX('Analize meciuri'!$G$4:$G$103,MATCH($A100,'Analize meciuri'!$A$4:$A$103,0)),""))</x:f>
      </x:c>
      <x:c r="D100" s="35" t="str">
        <x:f>IF($A100="","",IFERROR(INDEX('Analize meciuri'!$H$4:$H$103,MATCH($A100,'Analize meciuri'!$A$4:$A$103,0)),""))</x:f>
      </x:c>
      <x:c r="E100" s="88" t="str">
        <x:f>IF($A100="","",IFERROR(INDEX('Analize meciuri'!$GP$4:$GP$103,MATCH($A100,'Analize meciuri'!$A$4:$A$103,0)),""))</x:f>
      </x:c>
      <x:c r="F100" s="89" t="str">
        <x:f>IF($A100="","",IFERROR(INDEX('Analize meciuri'!$GT$4:$GT$103,MATCH($A100,'Analize meciuri'!$A$4:$A$103,0)),""))</x:f>
      </x:c>
      <x:c r="G100" s="60"/>
      <x:c r="H100" s="60"/>
      <x:c r="I100" s="24"/>
      <x:c r="J100" s="90" t="str">
        <x:f t="shared" ref="J100:J131" si="13">IF(OR($A100="",I100="",G100=""),"",IF(I100=1,G100-1,-1))</x:f>
      </x:c>
      <x:c r="K100" s="90" t="str">
        <x:f t="shared" ref="K100:K131" si="14">IF(OR($A100="",I100=""),"",(E100-I100)^2)</x:f>
      </x:c>
      <x:c r="L100" s="90" t="str">
        <x:f t="shared" ref="L100:L131" si="15">IF(OR($A100="",I100=""),"",-(I100*LN(MAX(0.001,E100))+(1-I100)*LN(MAX(0.001,1-E100))))</x:f>
      </x:c>
      <x:c r="M100" s="88" t="str">
        <x:f t="shared" ref="M100:M131" si="16">IF(OR($A100="",G100="",H100=""),"",G100/H100-1)</x:f>
      </x:c>
      <x:c r="N100" s="25" t="str">
        <x:f>IF($A100="","",IFERROR(INDEX('Analize meciuri'!$GV$4:$GV$103,MATCH($A100,'Analize meciuri'!$A$4:$A$103,0)),""))</x:f>
      </x:c>
      <x:c r="O100" s="1" t="str">
        <x:f>IF($A100="","",IFERROR(INDEX('Analize meciuri'!$GN$4:$GN$103,MATCH($A100,'Analize meciuri'!$A$4:$A$103,0)),""))</x:f>
      </x:c>
      <x:c r="P100" s="1"/>
      <x:c r="Q100" s="1"/>
      <x:c r="R100" s="1"/>
      <x:c r="S100" s="1"/>
      <x:c r="T100" s="1"/>
    </x:row>
    <x:row r="101" ht="15">
      <x:c r="A101" s="58"/>
      <x:c r="B101" s="87" t="str">
        <x:f>IF($A101="","",IFERROR(INDEX('Analize meciuri'!$C$4:$C$103,MATCH($A101,'Analize meciuri'!$A$4:$A$103,0)),""))</x:f>
      </x:c>
      <x:c r="C101" s="35" t="str">
        <x:f>IF($A101="","",IFERROR(INDEX('Analize meciuri'!$G$4:$G$103,MATCH($A101,'Analize meciuri'!$A$4:$A$103,0)),""))</x:f>
      </x:c>
      <x:c r="D101" s="35" t="str">
        <x:f>IF($A101="","",IFERROR(INDEX('Analize meciuri'!$H$4:$H$103,MATCH($A101,'Analize meciuri'!$A$4:$A$103,0)),""))</x:f>
      </x:c>
      <x:c r="E101" s="88" t="str">
        <x:f>IF($A101="","",IFERROR(INDEX('Analize meciuri'!$GP$4:$GP$103,MATCH($A101,'Analize meciuri'!$A$4:$A$103,0)),""))</x:f>
      </x:c>
      <x:c r="F101" s="89" t="str">
        <x:f>IF($A101="","",IFERROR(INDEX('Analize meciuri'!$GT$4:$GT$103,MATCH($A101,'Analize meciuri'!$A$4:$A$103,0)),""))</x:f>
      </x:c>
      <x:c r="G101" s="60"/>
      <x:c r="H101" s="60"/>
      <x:c r="I101" s="24"/>
      <x:c r="J101" s="90" t="str">
        <x:f t="shared" si="13"/>
      </x:c>
      <x:c r="K101" s="90" t="str">
        <x:f t="shared" si="14"/>
      </x:c>
      <x:c r="L101" s="90" t="str">
        <x:f t="shared" si="15"/>
      </x:c>
      <x:c r="M101" s="88" t="str">
        <x:f t="shared" si="16"/>
      </x:c>
      <x:c r="N101" s="25" t="str">
        <x:f>IF($A101="","",IFERROR(INDEX('Analize meciuri'!$GV$4:$GV$103,MATCH($A101,'Analize meciuri'!$A$4:$A$103,0)),""))</x:f>
      </x:c>
      <x:c r="O101" s="1" t="str">
        <x:f>IF($A101="","",IFERROR(INDEX('Analize meciuri'!$GN$4:$GN$103,MATCH($A101,'Analize meciuri'!$A$4:$A$103,0)),""))</x:f>
      </x:c>
      <x:c r="P101" s="1"/>
      <x:c r="Q101" s="1"/>
      <x:c r="R101" s="1"/>
      <x:c r="S101" s="1"/>
      <x:c r="T101" s="1"/>
    </x:row>
    <x:row r="102" ht="15">
      <x:c r="A102" s="58"/>
      <x:c r="B102" s="87" t="str">
        <x:f>IF($A102="","",IFERROR(INDEX('Analize meciuri'!$C$4:$C$103,MATCH($A102,'Analize meciuri'!$A$4:$A$103,0)),""))</x:f>
      </x:c>
      <x:c r="C102" s="35" t="str">
        <x:f>IF($A102="","",IFERROR(INDEX('Analize meciuri'!$G$4:$G$103,MATCH($A102,'Analize meciuri'!$A$4:$A$103,0)),""))</x:f>
      </x:c>
      <x:c r="D102" s="35" t="str">
        <x:f>IF($A102="","",IFERROR(INDEX('Analize meciuri'!$H$4:$H$103,MATCH($A102,'Analize meciuri'!$A$4:$A$103,0)),""))</x:f>
      </x:c>
      <x:c r="E102" s="88" t="str">
        <x:f>IF($A102="","",IFERROR(INDEX('Analize meciuri'!$GP$4:$GP$103,MATCH($A102,'Analize meciuri'!$A$4:$A$103,0)),""))</x:f>
      </x:c>
      <x:c r="F102" s="89" t="str">
        <x:f>IF($A102="","",IFERROR(INDEX('Analize meciuri'!$GT$4:$GT$103,MATCH($A102,'Analize meciuri'!$A$4:$A$103,0)),""))</x:f>
      </x:c>
      <x:c r="G102" s="60"/>
      <x:c r="H102" s="60"/>
      <x:c r="I102" s="24"/>
      <x:c r="J102" s="90" t="str">
        <x:f t="shared" si="13"/>
      </x:c>
      <x:c r="K102" s="90" t="str">
        <x:f t="shared" si="14"/>
      </x:c>
      <x:c r="L102" s="90" t="str">
        <x:f t="shared" si="15"/>
      </x:c>
      <x:c r="M102" s="88" t="str">
        <x:f t="shared" si="16"/>
      </x:c>
      <x:c r="N102" s="25" t="str">
        <x:f>IF($A102="","",IFERROR(INDEX('Analize meciuri'!$GV$4:$GV$103,MATCH($A102,'Analize meciuri'!$A$4:$A$103,0)),""))</x:f>
      </x:c>
      <x:c r="O102" s="1" t="str">
        <x:f>IF($A102="","",IFERROR(INDEX('Analize meciuri'!$GN$4:$GN$103,MATCH($A102,'Analize meciuri'!$A$4:$A$103,0)),""))</x:f>
      </x:c>
      <x:c r="P102" s="1"/>
      <x:c r="Q102" s="1"/>
      <x:c r="R102" s="1"/>
      <x:c r="S102" s="1"/>
      <x:c r="T102" s="1"/>
    </x:row>
    <x:row r="103" ht="15">
      <x:c r="A103" s="58"/>
      <x:c r="B103" s="87" t="str">
        <x:f>IF($A103="","",IFERROR(INDEX('Analize meciuri'!$C$4:$C$103,MATCH($A103,'Analize meciuri'!$A$4:$A$103,0)),""))</x:f>
      </x:c>
      <x:c r="C103" s="35" t="str">
        <x:f>IF($A103="","",IFERROR(INDEX('Analize meciuri'!$G$4:$G$103,MATCH($A103,'Analize meciuri'!$A$4:$A$103,0)),""))</x:f>
      </x:c>
      <x:c r="D103" s="35" t="str">
        <x:f>IF($A103="","",IFERROR(INDEX('Analize meciuri'!$H$4:$H$103,MATCH($A103,'Analize meciuri'!$A$4:$A$103,0)),""))</x:f>
      </x:c>
      <x:c r="E103" s="88" t="str">
        <x:f>IF($A103="","",IFERROR(INDEX('Analize meciuri'!$GP$4:$GP$103,MATCH($A103,'Analize meciuri'!$A$4:$A$103,0)),""))</x:f>
      </x:c>
      <x:c r="F103" s="89" t="str">
        <x:f>IF($A103="","",IFERROR(INDEX('Analize meciuri'!$GT$4:$GT$103,MATCH($A103,'Analize meciuri'!$A$4:$A$103,0)),""))</x:f>
      </x:c>
      <x:c r="G103" s="60"/>
      <x:c r="H103" s="60"/>
      <x:c r="I103" s="24"/>
      <x:c r="J103" s="90" t="str">
        <x:f t="shared" si="13"/>
      </x:c>
      <x:c r="K103" s="90" t="str">
        <x:f t="shared" si="14"/>
      </x:c>
      <x:c r="L103" s="90" t="str">
        <x:f t="shared" si="15"/>
      </x:c>
      <x:c r="M103" s="88" t="str">
        <x:f t="shared" si="16"/>
      </x:c>
      <x:c r="N103" s="25" t="str">
        <x:f>IF($A103="","",IFERROR(INDEX('Analize meciuri'!$GV$4:$GV$103,MATCH($A103,'Analize meciuri'!$A$4:$A$103,0)),""))</x:f>
      </x:c>
      <x:c r="O103" s="1" t="str">
        <x:f>IF($A103="","",IFERROR(INDEX('Analize meciuri'!$GN$4:$GN$103,MATCH($A103,'Analize meciuri'!$A$4:$A$103,0)),""))</x:f>
      </x:c>
      <x:c r="P103" s="1"/>
      <x:c r="Q103" s="1"/>
      <x:c r="R103" s="1"/>
      <x:c r="S103" s="1"/>
      <x:c r="T103" s="1"/>
    </x:row>
    <x:row r="104" ht="15">
      <x:c r="A104" s="58"/>
      <x:c r="B104" s="87" t="str">
        <x:f>IF($A104="","",IFERROR(INDEX('Analize meciuri'!$C$4:$C$103,MATCH($A104,'Analize meciuri'!$A$4:$A$103,0)),""))</x:f>
      </x:c>
      <x:c r="C104" s="35" t="str">
        <x:f>IF($A104="","",IFERROR(INDEX('Analize meciuri'!$G$4:$G$103,MATCH($A104,'Analize meciuri'!$A$4:$A$103,0)),""))</x:f>
      </x:c>
      <x:c r="D104" s="35" t="str">
        <x:f>IF($A104="","",IFERROR(INDEX('Analize meciuri'!$H$4:$H$103,MATCH($A104,'Analize meciuri'!$A$4:$A$103,0)),""))</x:f>
      </x:c>
      <x:c r="E104" s="88" t="str">
        <x:f>IF($A104="","",IFERROR(INDEX('Analize meciuri'!$GP$4:$GP$103,MATCH($A104,'Analize meciuri'!$A$4:$A$103,0)),""))</x:f>
      </x:c>
      <x:c r="F104" s="89" t="str">
        <x:f>IF($A104="","",IFERROR(INDEX('Analize meciuri'!$GT$4:$GT$103,MATCH($A104,'Analize meciuri'!$A$4:$A$103,0)),""))</x:f>
      </x:c>
      <x:c r="G104" s="60"/>
      <x:c r="H104" s="60"/>
      <x:c r="I104" s="24"/>
      <x:c r="J104" s="90" t="str">
        <x:f t="shared" si="13"/>
      </x:c>
      <x:c r="K104" s="90" t="str">
        <x:f t="shared" si="14"/>
      </x:c>
      <x:c r="L104" s="90" t="str">
        <x:f t="shared" si="15"/>
      </x:c>
      <x:c r="M104" s="88" t="str">
        <x:f t="shared" si="16"/>
      </x:c>
      <x:c r="N104" s="25" t="str">
        <x:f>IF($A104="","",IFERROR(INDEX('Analize meciuri'!$GV$4:$GV$103,MATCH($A104,'Analize meciuri'!$A$4:$A$103,0)),""))</x:f>
      </x:c>
      <x:c r="O104" s="1" t="str">
        <x:f>IF($A104="","",IFERROR(INDEX('Analize meciuri'!$GN$4:$GN$103,MATCH($A104,'Analize meciuri'!$A$4:$A$103,0)),""))</x:f>
      </x:c>
      <x:c r="P104" s="1"/>
      <x:c r="Q104" s="1"/>
      <x:c r="R104" s="1"/>
      <x:c r="S104" s="1"/>
      <x:c r="T104" s="1"/>
    </x:row>
    <x:row r="105" ht="15">
      <x:c r="A105" s="58"/>
      <x:c r="B105" s="87" t="str">
        <x:f>IF($A105="","",IFERROR(INDEX('Analize meciuri'!$C$4:$C$103,MATCH($A105,'Analize meciuri'!$A$4:$A$103,0)),""))</x:f>
      </x:c>
      <x:c r="C105" s="35" t="str">
        <x:f>IF($A105="","",IFERROR(INDEX('Analize meciuri'!$G$4:$G$103,MATCH($A105,'Analize meciuri'!$A$4:$A$103,0)),""))</x:f>
      </x:c>
      <x:c r="D105" s="35" t="str">
        <x:f>IF($A105="","",IFERROR(INDEX('Analize meciuri'!$H$4:$H$103,MATCH($A105,'Analize meciuri'!$A$4:$A$103,0)),""))</x:f>
      </x:c>
      <x:c r="E105" s="88" t="str">
        <x:f>IF($A105="","",IFERROR(INDEX('Analize meciuri'!$GP$4:$GP$103,MATCH($A105,'Analize meciuri'!$A$4:$A$103,0)),""))</x:f>
      </x:c>
      <x:c r="F105" s="89" t="str">
        <x:f>IF($A105="","",IFERROR(INDEX('Analize meciuri'!$GT$4:$GT$103,MATCH($A105,'Analize meciuri'!$A$4:$A$103,0)),""))</x:f>
      </x:c>
      <x:c r="G105" s="60"/>
      <x:c r="H105" s="60"/>
      <x:c r="I105" s="24"/>
      <x:c r="J105" s="90" t="str">
        <x:f t="shared" si="13"/>
      </x:c>
      <x:c r="K105" s="90" t="str">
        <x:f t="shared" si="14"/>
      </x:c>
      <x:c r="L105" s="90" t="str">
        <x:f t="shared" si="15"/>
      </x:c>
      <x:c r="M105" s="88" t="str">
        <x:f t="shared" si="16"/>
      </x:c>
      <x:c r="N105" s="25" t="str">
        <x:f>IF($A105="","",IFERROR(INDEX('Analize meciuri'!$GV$4:$GV$103,MATCH($A105,'Analize meciuri'!$A$4:$A$103,0)),""))</x:f>
      </x:c>
      <x:c r="O105" s="1" t="str">
        <x:f>IF($A105="","",IFERROR(INDEX('Analize meciuri'!$GN$4:$GN$103,MATCH($A105,'Analize meciuri'!$A$4:$A$103,0)),""))</x:f>
      </x:c>
      <x:c r="P105" s="1"/>
      <x:c r="Q105" s="1"/>
      <x:c r="R105" s="1"/>
      <x:c r="S105" s="1"/>
      <x:c r="T105" s="1"/>
    </x:row>
    <x:row r="106" ht="15">
      <x:c r="A106" s="58"/>
      <x:c r="B106" s="87" t="str">
        <x:f>IF($A106="","",IFERROR(INDEX('Analize meciuri'!$C$4:$C$103,MATCH($A106,'Analize meciuri'!$A$4:$A$103,0)),""))</x:f>
      </x:c>
      <x:c r="C106" s="35" t="str">
        <x:f>IF($A106="","",IFERROR(INDEX('Analize meciuri'!$G$4:$G$103,MATCH($A106,'Analize meciuri'!$A$4:$A$103,0)),""))</x:f>
      </x:c>
      <x:c r="D106" s="35" t="str">
        <x:f>IF($A106="","",IFERROR(INDEX('Analize meciuri'!$H$4:$H$103,MATCH($A106,'Analize meciuri'!$A$4:$A$103,0)),""))</x:f>
      </x:c>
      <x:c r="E106" s="88" t="str">
        <x:f>IF($A106="","",IFERROR(INDEX('Analize meciuri'!$GP$4:$GP$103,MATCH($A106,'Analize meciuri'!$A$4:$A$103,0)),""))</x:f>
      </x:c>
      <x:c r="F106" s="89" t="str">
        <x:f>IF($A106="","",IFERROR(INDEX('Analize meciuri'!$GT$4:$GT$103,MATCH($A106,'Analize meciuri'!$A$4:$A$103,0)),""))</x:f>
      </x:c>
      <x:c r="G106" s="60"/>
      <x:c r="H106" s="60"/>
      <x:c r="I106" s="24"/>
      <x:c r="J106" s="90" t="str">
        <x:f t="shared" si="13"/>
      </x:c>
      <x:c r="K106" s="90" t="str">
        <x:f t="shared" si="14"/>
      </x:c>
      <x:c r="L106" s="90" t="str">
        <x:f t="shared" si="15"/>
      </x:c>
      <x:c r="M106" s="88" t="str">
        <x:f t="shared" si="16"/>
      </x:c>
      <x:c r="N106" s="25" t="str">
        <x:f>IF($A106="","",IFERROR(INDEX('Analize meciuri'!$GV$4:$GV$103,MATCH($A106,'Analize meciuri'!$A$4:$A$103,0)),""))</x:f>
      </x:c>
      <x:c r="O106" s="1" t="str">
        <x:f>IF($A106="","",IFERROR(INDEX('Analize meciuri'!$GN$4:$GN$103,MATCH($A106,'Analize meciuri'!$A$4:$A$103,0)),""))</x:f>
      </x:c>
      <x:c r="P106" s="1"/>
      <x:c r="Q106" s="1"/>
      <x:c r="R106" s="1"/>
      <x:c r="S106" s="1"/>
      <x:c r="T106" s="1"/>
    </x:row>
    <x:row r="107" ht="15">
      <x:c r="A107" s="58"/>
      <x:c r="B107" s="87" t="str">
        <x:f>IF($A107="","",IFERROR(INDEX('Analize meciuri'!$C$4:$C$103,MATCH($A107,'Analize meciuri'!$A$4:$A$103,0)),""))</x:f>
      </x:c>
      <x:c r="C107" s="35" t="str">
        <x:f>IF($A107="","",IFERROR(INDEX('Analize meciuri'!$G$4:$G$103,MATCH($A107,'Analize meciuri'!$A$4:$A$103,0)),""))</x:f>
      </x:c>
      <x:c r="D107" s="35" t="str">
        <x:f>IF($A107="","",IFERROR(INDEX('Analize meciuri'!$H$4:$H$103,MATCH($A107,'Analize meciuri'!$A$4:$A$103,0)),""))</x:f>
      </x:c>
      <x:c r="E107" s="88" t="str">
        <x:f>IF($A107="","",IFERROR(INDEX('Analize meciuri'!$GP$4:$GP$103,MATCH($A107,'Analize meciuri'!$A$4:$A$103,0)),""))</x:f>
      </x:c>
      <x:c r="F107" s="89" t="str">
        <x:f>IF($A107="","",IFERROR(INDEX('Analize meciuri'!$GT$4:$GT$103,MATCH($A107,'Analize meciuri'!$A$4:$A$103,0)),""))</x:f>
      </x:c>
      <x:c r="G107" s="60"/>
      <x:c r="H107" s="60"/>
      <x:c r="I107" s="24"/>
      <x:c r="J107" s="90" t="str">
        <x:f t="shared" si="13"/>
      </x:c>
      <x:c r="K107" s="90" t="str">
        <x:f t="shared" si="14"/>
      </x:c>
      <x:c r="L107" s="90" t="str">
        <x:f t="shared" si="15"/>
      </x:c>
      <x:c r="M107" s="88" t="str">
        <x:f t="shared" si="16"/>
      </x:c>
      <x:c r="N107" s="25" t="str">
        <x:f>IF($A107="","",IFERROR(INDEX('Analize meciuri'!$GV$4:$GV$103,MATCH($A107,'Analize meciuri'!$A$4:$A$103,0)),""))</x:f>
      </x:c>
      <x:c r="O107" s="1" t="str">
        <x:f>IF($A107="","",IFERROR(INDEX('Analize meciuri'!$GN$4:$GN$103,MATCH($A107,'Analize meciuri'!$A$4:$A$103,0)),""))</x:f>
      </x:c>
      <x:c r="P107" s="1"/>
      <x:c r="Q107" s="1"/>
      <x:c r="R107" s="1"/>
      <x:c r="S107" s="1"/>
      <x:c r="T107" s="1"/>
    </x:row>
    <x:row r="108" ht="15">
      <x:c r="A108" s="58"/>
      <x:c r="B108" s="87" t="str">
        <x:f>IF($A108="","",IFERROR(INDEX('Analize meciuri'!$C$4:$C$103,MATCH($A108,'Analize meciuri'!$A$4:$A$103,0)),""))</x:f>
      </x:c>
      <x:c r="C108" s="35" t="str">
        <x:f>IF($A108="","",IFERROR(INDEX('Analize meciuri'!$G$4:$G$103,MATCH($A108,'Analize meciuri'!$A$4:$A$103,0)),""))</x:f>
      </x:c>
      <x:c r="D108" s="35" t="str">
        <x:f>IF($A108="","",IFERROR(INDEX('Analize meciuri'!$H$4:$H$103,MATCH($A108,'Analize meciuri'!$A$4:$A$103,0)),""))</x:f>
      </x:c>
      <x:c r="E108" s="88" t="str">
        <x:f>IF($A108="","",IFERROR(INDEX('Analize meciuri'!$GP$4:$GP$103,MATCH($A108,'Analize meciuri'!$A$4:$A$103,0)),""))</x:f>
      </x:c>
      <x:c r="F108" s="89" t="str">
        <x:f>IF($A108="","",IFERROR(INDEX('Analize meciuri'!$GT$4:$GT$103,MATCH($A108,'Analize meciuri'!$A$4:$A$103,0)),""))</x:f>
      </x:c>
      <x:c r="G108" s="60"/>
      <x:c r="H108" s="60"/>
      <x:c r="I108" s="24"/>
      <x:c r="J108" s="90" t="str">
        <x:f t="shared" si="13"/>
      </x:c>
      <x:c r="K108" s="90" t="str">
        <x:f t="shared" si="14"/>
      </x:c>
      <x:c r="L108" s="90" t="str">
        <x:f t="shared" si="15"/>
      </x:c>
      <x:c r="M108" s="88" t="str">
        <x:f t="shared" si="16"/>
      </x:c>
      <x:c r="N108" s="25" t="str">
        <x:f>IF($A108="","",IFERROR(INDEX('Analize meciuri'!$GV$4:$GV$103,MATCH($A108,'Analize meciuri'!$A$4:$A$103,0)),""))</x:f>
      </x:c>
      <x:c r="O108" s="1" t="str">
        <x:f>IF($A108="","",IFERROR(INDEX('Analize meciuri'!$GN$4:$GN$103,MATCH($A108,'Analize meciuri'!$A$4:$A$103,0)),""))</x:f>
      </x:c>
      <x:c r="P108" s="1"/>
      <x:c r="Q108" s="1"/>
      <x:c r="R108" s="1"/>
      <x:c r="S108" s="1"/>
      <x:c r="T108" s="1"/>
    </x:row>
    <x:row r="109" ht="15">
      <x:c r="A109" s="58"/>
      <x:c r="B109" s="87" t="str">
        <x:f>IF($A109="","",IFERROR(INDEX('Analize meciuri'!$C$4:$C$103,MATCH($A109,'Analize meciuri'!$A$4:$A$103,0)),""))</x:f>
      </x:c>
      <x:c r="C109" s="35" t="str">
        <x:f>IF($A109="","",IFERROR(INDEX('Analize meciuri'!$G$4:$G$103,MATCH($A109,'Analize meciuri'!$A$4:$A$103,0)),""))</x:f>
      </x:c>
      <x:c r="D109" s="35" t="str">
        <x:f>IF($A109="","",IFERROR(INDEX('Analize meciuri'!$H$4:$H$103,MATCH($A109,'Analize meciuri'!$A$4:$A$103,0)),""))</x:f>
      </x:c>
      <x:c r="E109" s="88" t="str">
        <x:f>IF($A109="","",IFERROR(INDEX('Analize meciuri'!$GP$4:$GP$103,MATCH($A109,'Analize meciuri'!$A$4:$A$103,0)),""))</x:f>
      </x:c>
      <x:c r="F109" s="89" t="str">
        <x:f>IF($A109="","",IFERROR(INDEX('Analize meciuri'!$GT$4:$GT$103,MATCH($A109,'Analize meciuri'!$A$4:$A$103,0)),""))</x:f>
      </x:c>
      <x:c r="G109" s="60"/>
      <x:c r="H109" s="60"/>
      <x:c r="I109" s="24"/>
      <x:c r="J109" s="90" t="str">
        <x:f t="shared" si="13"/>
      </x:c>
      <x:c r="K109" s="90" t="str">
        <x:f t="shared" si="14"/>
      </x:c>
      <x:c r="L109" s="90" t="str">
        <x:f t="shared" si="15"/>
      </x:c>
      <x:c r="M109" s="88" t="str">
        <x:f t="shared" si="16"/>
      </x:c>
      <x:c r="N109" s="25" t="str">
        <x:f>IF($A109="","",IFERROR(INDEX('Analize meciuri'!$GV$4:$GV$103,MATCH($A109,'Analize meciuri'!$A$4:$A$103,0)),""))</x:f>
      </x:c>
      <x:c r="O109" s="1" t="str">
        <x:f>IF($A109="","",IFERROR(INDEX('Analize meciuri'!$GN$4:$GN$103,MATCH($A109,'Analize meciuri'!$A$4:$A$103,0)),""))</x:f>
      </x:c>
      <x:c r="P109" s="1"/>
      <x:c r="Q109" s="1"/>
      <x:c r="R109" s="1"/>
      <x:c r="S109" s="1"/>
      <x:c r="T109" s="1"/>
    </x:row>
    <x:row r="110" ht="15">
      <x:c r="A110" s="58"/>
      <x:c r="B110" s="87" t="str">
        <x:f>IF($A110="","",IFERROR(INDEX('Analize meciuri'!$C$4:$C$103,MATCH($A110,'Analize meciuri'!$A$4:$A$103,0)),""))</x:f>
      </x:c>
      <x:c r="C110" s="35" t="str">
        <x:f>IF($A110="","",IFERROR(INDEX('Analize meciuri'!$G$4:$G$103,MATCH($A110,'Analize meciuri'!$A$4:$A$103,0)),""))</x:f>
      </x:c>
      <x:c r="D110" s="35" t="str">
        <x:f>IF($A110="","",IFERROR(INDEX('Analize meciuri'!$H$4:$H$103,MATCH($A110,'Analize meciuri'!$A$4:$A$103,0)),""))</x:f>
      </x:c>
      <x:c r="E110" s="88" t="str">
        <x:f>IF($A110="","",IFERROR(INDEX('Analize meciuri'!$GP$4:$GP$103,MATCH($A110,'Analize meciuri'!$A$4:$A$103,0)),""))</x:f>
      </x:c>
      <x:c r="F110" s="89" t="str">
        <x:f>IF($A110="","",IFERROR(INDEX('Analize meciuri'!$GT$4:$GT$103,MATCH($A110,'Analize meciuri'!$A$4:$A$103,0)),""))</x:f>
      </x:c>
      <x:c r="G110" s="60"/>
      <x:c r="H110" s="60"/>
      <x:c r="I110" s="24"/>
      <x:c r="J110" s="90" t="str">
        <x:f t="shared" si="13"/>
      </x:c>
      <x:c r="K110" s="90" t="str">
        <x:f t="shared" si="14"/>
      </x:c>
      <x:c r="L110" s="90" t="str">
        <x:f t="shared" si="15"/>
      </x:c>
      <x:c r="M110" s="88" t="str">
        <x:f t="shared" si="16"/>
      </x:c>
      <x:c r="N110" s="25" t="str">
        <x:f>IF($A110="","",IFERROR(INDEX('Analize meciuri'!$GV$4:$GV$103,MATCH($A110,'Analize meciuri'!$A$4:$A$103,0)),""))</x:f>
      </x:c>
      <x:c r="O110" s="1" t="str">
        <x:f>IF($A110="","",IFERROR(INDEX('Analize meciuri'!$GN$4:$GN$103,MATCH($A110,'Analize meciuri'!$A$4:$A$103,0)),""))</x:f>
      </x:c>
      <x:c r="P110" s="1"/>
      <x:c r="Q110" s="1"/>
      <x:c r="R110" s="1"/>
      <x:c r="S110" s="1"/>
      <x:c r="T110" s="1"/>
    </x:row>
    <x:row r="111" ht="15">
      <x:c r="A111" s="58"/>
      <x:c r="B111" s="87" t="str">
        <x:f>IF($A111="","",IFERROR(INDEX('Analize meciuri'!$C$4:$C$103,MATCH($A111,'Analize meciuri'!$A$4:$A$103,0)),""))</x:f>
      </x:c>
      <x:c r="C111" s="35" t="str">
        <x:f>IF($A111="","",IFERROR(INDEX('Analize meciuri'!$G$4:$G$103,MATCH($A111,'Analize meciuri'!$A$4:$A$103,0)),""))</x:f>
      </x:c>
      <x:c r="D111" s="35" t="str">
        <x:f>IF($A111="","",IFERROR(INDEX('Analize meciuri'!$H$4:$H$103,MATCH($A111,'Analize meciuri'!$A$4:$A$103,0)),""))</x:f>
      </x:c>
      <x:c r="E111" s="88" t="str">
        <x:f>IF($A111="","",IFERROR(INDEX('Analize meciuri'!$GP$4:$GP$103,MATCH($A111,'Analize meciuri'!$A$4:$A$103,0)),""))</x:f>
      </x:c>
      <x:c r="F111" s="89" t="str">
        <x:f>IF($A111="","",IFERROR(INDEX('Analize meciuri'!$GT$4:$GT$103,MATCH($A111,'Analize meciuri'!$A$4:$A$103,0)),""))</x:f>
      </x:c>
      <x:c r="G111" s="60"/>
      <x:c r="H111" s="60"/>
      <x:c r="I111" s="24"/>
      <x:c r="J111" s="90" t="str">
        <x:f t="shared" si="13"/>
      </x:c>
      <x:c r="K111" s="90" t="str">
        <x:f t="shared" si="14"/>
      </x:c>
      <x:c r="L111" s="90" t="str">
        <x:f t="shared" si="15"/>
      </x:c>
      <x:c r="M111" s="88" t="str">
        <x:f t="shared" si="16"/>
      </x:c>
      <x:c r="N111" s="25" t="str">
        <x:f>IF($A111="","",IFERROR(INDEX('Analize meciuri'!$GV$4:$GV$103,MATCH($A111,'Analize meciuri'!$A$4:$A$103,0)),""))</x:f>
      </x:c>
      <x:c r="O111" s="1" t="str">
        <x:f>IF($A111="","",IFERROR(INDEX('Analize meciuri'!$GN$4:$GN$103,MATCH($A111,'Analize meciuri'!$A$4:$A$103,0)),""))</x:f>
      </x:c>
      <x:c r="P111" s="1"/>
      <x:c r="Q111" s="1"/>
      <x:c r="R111" s="1"/>
      <x:c r="S111" s="1"/>
      <x:c r="T111" s="1"/>
    </x:row>
    <x:row r="112" ht="15">
      <x:c r="A112" s="58"/>
      <x:c r="B112" s="87" t="str">
        <x:f>IF($A112="","",IFERROR(INDEX('Analize meciuri'!$C$4:$C$103,MATCH($A112,'Analize meciuri'!$A$4:$A$103,0)),""))</x:f>
      </x:c>
      <x:c r="C112" s="35" t="str">
        <x:f>IF($A112="","",IFERROR(INDEX('Analize meciuri'!$G$4:$G$103,MATCH($A112,'Analize meciuri'!$A$4:$A$103,0)),""))</x:f>
      </x:c>
      <x:c r="D112" s="35" t="str">
        <x:f>IF($A112="","",IFERROR(INDEX('Analize meciuri'!$H$4:$H$103,MATCH($A112,'Analize meciuri'!$A$4:$A$103,0)),""))</x:f>
      </x:c>
      <x:c r="E112" s="88" t="str">
        <x:f>IF($A112="","",IFERROR(INDEX('Analize meciuri'!$GP$4:$GP$103,MATCH($A112,'Analize meciuri'!$A$4:$A$103,0)),""))</x:f>
      </x:c>
      <x:c r="F112" s="89" t="str">
        <x:f>IF($A112="","",IFERROR(INDEX('Analize meciuri'!$GT$4:$GT$103,MATCH($A112,'Analize meciuri'!$A$4:$A$103,0)),""))</x:f>
      </x:c>
      <x:c r="G112" s="60"/>
      <x:c r="H112" s="60"/>
      <x:c r="I112" s="24"/>
      <x:c r="J112" s="90" t="str">
        <x:f t="shared" si="13"/>
      </x:c>
      <x:c r="K112" s="90" t="str">
        <x:f t="shared" si="14"/>
      </x:c>
      <x:c r="L112" s="90" t="str">
        <x:f t="shared" si="15"/>
      </x:c>
      <x:c r="M112" s="88" t="str">
        <x:f t="shared" si="16"/>
      </x:c>
      <x:c r="N112" s="25" t="str">
        <x:f>IF($A112="","",IFERROR(INDEX('Analize meciuri'!$GV$4:$GV$103,MATCH($A112,'Analize meciuri'!$A$4:$A$103,0)),""))</x:f>
      </x:c>
      <x:c r="O112" s="1" t="str">
        <x:f>IF($A112="","",IFERROR(INDEX('Analize meciuri'!$GN$4:$GN$103,MATCH($A112,'Analize meciuri'!$A$4:$A$103,0)),""))</x:f>
      </x:c>
      <x:c r="P112" s="1"/>
      <x:c r="Q112" s="1"/>
      <x:c r="R112" s="1"/>
      <x:c r="S112" s="1"/>
      <x:c r="T112" s="1"/>
    </x:row>
    <x:row r="113" ht="15">
      <x:c r="A113" s="58"/>
      <x:c r="B113" s="87" t="str">
        <x:f>IF($A113="","",IFERROR(INDEX('Analize meciuri'!$C$4:$C$103,MATCH($A113,'Analize meciuri'!$A$4:$A$103,0)),""))</x:f>
      </x:c>
      <x:c r="C113" s="35" t="str">
        <x:f>IF($A113="","",IFERROR(INDEX('Analize meciuri'!$G$4:$G$103,MATCH($A113,'Analize meciuri'!$A$4:$A$103,0)),""))</x:f>
      </x:c>
      <x:c r="D113" s="35" t="str">
        <x:f>IF($A113="","",IFERROR(INDEX('Analize meciuri'!$H$4:$H$103,MATCH($A113,'Analize meciuri'!$A$4:$A$103,0)),""))</x:f>
      </x:c>
      <x:c r="E113" s="88" t="str">
        <x:f>IF($A113="","",IFERROR(INDEX('Analize meciuri'!$GP$4:$GP$103,MATCH($A113,'Analize meciuri'!$A$4:$A$103,0)),""))</x:f>
      </x:c>
      <x:c r="F113" s="89" t="str">
        <x:f>IF($A113="","",IFERROR(INDEX('Analize meciuri'!$GT$4:$GT$103,MATCH($A113,'Analize meciuri'!$A$4:$A$103,0)),""))</x:f>
      </x:c>
      <x:c r="G113" s="60"/>
      <x:c r="H113" s="60"/>
      <x:c r="I113" s="24"/>
      <x:c r="J113" s="90" t="str">
        <x:f t="shared" si="13"/>
      </x:c>
      <x:c r="K113" s="90" t="str">
        <x:f t="shared" si="14"/>
      </x:c>
      <x:c r="L113" s="90" t="str">
        <x:f t="shared" si="15"/>
      </x:c>
      <x:c r="M113" s="88" t="str">
        <x:f t="shared" si="16"/>
      </x:c>
      <x:c r="N113" s="25" t="str">
        <x:f>IF($A113="","",IFERROR(INDEX('Analize meciuri'!$GV$4:$GV$103,MATCH($A113,'Analize meciuri'!$A$4:$A$103,0)),""))</x:f>
      </x:c>
      <x:c r="O113" s="1" t="str">
        <x:f>IF($A113="","",IFERROR(INDEX('Analize meciuri'!$GN$4:$GN$103,MATCH($A113,'Analize meciuri'!$A$4:$A$103,0)),""))</x:f>
      </x:c>
      <x:c r="P113" s="1"/>
      <x:c r="Q113" s="1"/>
      <x:c r="R113" s="1"/>
      <x:c r="S113" s="1"/>
      <x:c r="T113" s="1"/>
    </x:row>
    <x:row r="114" ht="15">
      <x:c r="A114" s="58"/>
      <x:c r="B114" s="87" t="str">
        <x:f>IF($A114="","",IFERROR(INDEX('Analize meciuri'!$C$4:$C$103,MATCH($A114,'Analize meciuri'!$A$4:$A$103,0)),""))</x:f>
      </x:c>
      <x:c r="C114" s="35" t="str">
        <x:f>IF($A114="","",IFERROR(INDEX('Analize meciuri'!$G$4:$G$103,MATCH($A114,'Analize meciuri'!$A$4:$A$103,0)),""))</x:f>
      </x:c>
      <x:c r="D114" s="35" t="str">
        <x:f>IF($A114="","",IFERROR(INDEX('Analize meciuri'!$H$4:$H$103,MATCH($A114,'Analize meciuri'!$A$4:$A$103,0)),""))</x:f>
      </x:c>
      <x:c r="E114" s="88" t="str">
        <x:f>IF($A114="","",IFERROR(INDEX('Analize meciuri'!$GP$4:$GP$103,MATCH($A114,'Analize meciuri'!$A$4:$A$103,0)),""))</x:f>
      </x:c>
      <x:c r="F114" s="89" t="str">
        <x:f>IF($A114="","",IFERROR(INDEX('Analize meciuri'!$GT$4:$GT$103,MATCH($A114,'Analize meciuri'!$A$4:$A$103,0)),""))</x:f>
      </x:c>
      <x:c r="G114" s="60"/>
      <x:c r="H114" s="60"/>
      <x:c r="I114" s="24"/>
      <x:c r="J114" s="90" t="str">
        <x:f t="shared" si="13"/>
      </x:c>
      <x:c r="K114" s="90" t="str">
        <x:f t="shared" si="14"/>
      </x:c>
      <x:c r="L114" s="90" t="str">
        <x:f t="shared" si="15"/>
      </x:c>
      <x:c r="M114" s="88" t="str">
        <x:f t="shared" si="16"/>
      </x:c>
      <x:c r="N114" s="25" t="str">
        <x:f>IF($A114="","",IFERROR(INDEX('Analize meciuri'!$GV$4:$GV$103,MATCH($A114,'Analize meciuri'!$A$4:$A$103,0)),""))</x:f>
      </x:c>
      <x:c r="O114" s="1" t="str">
        <x:f>IF($A114="","",IFERROR(INDEX('Analize meciuri'!$GN$4:$GN$103,MATCH($A114,'Analize meciuri'!$A$4:$A$103,0)),""))</x:f>
      </x:c>
      <x:c r="P114" s="1"/>
      <x:c r="Q114" s="1"/>
      <x:c r="R114" s="1"/>
      <x:c r="S114" s="1"/>
      <x:c r="T114" s="1"/>
    </x:row>
    <x:row r="115" ht="15">
      <x:c r="A115" s="58"/>
      <x:c r="B115" s="87" t="str">
        <x:f>IF($A115="","",IFERROR(INDEX('Analize meciuri'!$C$4:$C$103,MATCH($A115,'Analize meciuri'!$A$4:$A$103,0)),""))</x:f>
      </x:c>
      <x:c r="C115" s="35" t="str">
        <x:f>IF($A115="","",IFERROR(INDEX('Analize meciuri'!$G$4:$G$103,MATCH($A115,'Analize meciuri'!$A$4:$A$103,0)),""))</x:f>
      </x:c>
      <x:c r="D115" s="35" t="str">
        <x:f>IF($A115="","",IFERROR(INDEX('Analize meciuri'!$H$4:$H$103,MATCH($A115,'Analize meciuri'!$A$4:$A$103,0)),""))</x:f>
      </x:c>
      <x:c r="E115" s="88" t="str">
        <x:f>IF($A115="","",IFERROR(INDEX('Analize meciuri'!$GP$4:$GP$103,MATCH($A115,'Analize meciuri'!$A$4:$A$103,0)),""))</x:f>
      </x:c>
      <x:c r="F115" s="89" t="str">
        <x:f>IF($A115="","",IFERROR(INDEX('Analize meciuri'!$GT$4:$GT$103,MATCH($A115,'Analize meciuri'!$A$4:$A$103,0)),""))</x:f>
      </x:c>
      <x:c r="G115" s="60"/>
      <x:c r="H115" s="60"/>
      <x:c r="I115" s="24"/>
      <x:c r="J115" s="90" t="str">
        <x:f t="shared" si="13"/>
      </x:c>
      <x:c r="K115" s="90" t="str">
        <x:f t="shared" si="14"/>
      </x:c>
      <x:c r="L115" s="90" t="str">
        <x:f t="shared" si="15"/>
      </x:c>
      <x:c r="M115" s="88" t="str">
        <x:f t="shared" si="16"/>
      </x:c>
      <x:c r="N115" s="25" t="str">
        <x:f>IF($A115="","",IFERROR(INDEX('Analize meciuri'!$GV$4:$GV$103,MATCH($A115,'Analize meciuri'!$A$4:$A$103,0)),""))</x:f>
      </x:c>
      <x:c r="O115" s="1" t="str">
        <x:f>IF($A115="","",IFERROR(INDEX('Analize meciuri'!$GN$4:$GN$103,MATCH($A115,'Analize meciuri'!$A$4:$A$103,0)),""))</x:f>
      </x:c>
      <x:c r="P115" s="1"/>
      <x:c r="Q115" s="1"/>
      <x:c r="R115" s="1"/>
      <x:c r="S115" s="1"/>
      <x:c r="T115" s="1"/>
    </x:row>
    <x:row r="116" ht="15">
      <x:c r="A116" s="58"/>
      <x:c r="B116" s="87" t="str">
        <x:f>IF($A116="","",IFERROR(INDEX('Analize meciuri'!$C$4:$C$103,MATCH($A116,'Analize meciuri'!$A$4:$A$103,0)),""))</x:f>
      </x:c>
      <x:c r="C116" s="35" t="str">
        <x:f>IF($A116="","",IFERROR(INDEX('Analize meciuri'!$G$4:$G$103,MATCH($A116,'Analize meciuri'!$A$4:$A$103,0)),""))</x:f>
      </x:c>
      <x:c r="D116" s="35" t="str">
        <x:f>IF($A116="","",IFERROR(INDEX('Analize meciuri'!$H$4:$H$103,MATCH($A116,'Analize meciuri'!$A$4:$A$103,0)),""))</x:f>
      </x:c>
      <x:c r="E116" s="88" t="str">
        <x:f>IF($A116="","",IFERROR(INDEX('Analize meciuri'!$GP$4:$GP$103,MATCH($A116,'Analize meciuri'!$A$4:$A$103,0)),""))</x:f>
      </x:c>
      <x:c r="F116" s="89" t="str">
        <x:f>IF($A116="","",IFERROR(INDEX('Analize meciuri'!$GT$4:$GT$103,MATCH($A116,'Analize meciuri'!$A$4:$A$103,0)),""))</x:f>
      </x:c>
      <x:c r="G116" s="60"/>
      <x:c r="H116" s="60"/>
      <x:c r="I116" s="24"/>
      <x:c r="J116" s="90" t="str">
        <x:f t="shared" si="13"/>
      </x:c>
      <x:c r="K116" s="90" t="str">
        <x:f t="shared" si="14"/>
      </x:c>
      <x:c r="L116" s="90" t="str">
        <x:f t="shared" si="15"/>
      </x:c>
      <x:c r="M116" s="88" t="str">
        <x:f t="shared" si="16"/>
      </x:c>
      <x:c r="N116" s="25" t="str">
        <x:f>IF($A116="","",IFERROR(INDEX('Analize meciuri'!$GV$4:$GV$103,MATCH($A116,'Analize meciuri'!$A$4:$A$103,0)),""))</x:f>
      </x:c>
      <x:c r="O116" s="1" t="str">
        <x:f>IF($A116="","",IFERROR(INDEX('Analize meciuri'!$GN$4:$GN$103,MATCH($A116,'Analize meciuri'!$A$4:$A$103,0)),""))</x:f>
      </x:c>
      <x:c r="P116" s="1"/>
      <x:c r="Q116" s="1"/>
      <x:c r="R116" s="1"/>
      <x:c r="S116" s="1"/>
      <x:c r="T116" s="1"/>
    </x:row>
    <x:row r="117" ht="15">
      <x:c r="A117" s="58"/>
      <x:c r="B117" s="87" t="str">
        <x:f>IF($A117="","",IFERROR(INDEX('Analize meciuri'!$C$4:$C$103,MATCH($A117,'Analize meciuri'!$A$4:$A$103,0)),""))</x:f>
      </x:c>
      <x:c r="C117" s="35" t="str">
        <x:f>IF($A117="","",IFERROR(INDEX('Analize meciuri'!$G$4:$G$103,MATCH($A117,'Analize meciuri'!$A$4:$A$103,0)),""))</x:f>
      </x:c>
      <x:c r="D117" s="35" t="str">
        <x:f>IF($A117="","",IFERROR(INDEX('Analize meciuri'!$H$4:$H$103,MATCH($A117,'Analize meciuri'!$A$4:$A$103,0)),""))</x:f>
      </x:c>
      <x:c r="E117" s="88" t="str">
        <x:f>IF($A117="","",IFERROR(INDEX('Analize meciuri'!$GP$4:$GP$103,MATCH($A117,'Analize meciuri'!$A$4:$A$103,0)),""))</x:f>
      </x:c>
      <x:c r="F117" s="89" t="str">
        <x:f>IF($A117="","",IFERROR(INDEX('Analize meciuri'!$GT$4:$GT$103,MATCH($A117,'Analize meciuri'!$A$4:$A$103,0)),""))</x:f>
      </x:c>
      <x:c r="G117" s="60"/>
      <x:c r="H117" s="60"/>
      <x:c r="I117" s="24"/>
      <x:c r="J117" s="90" t="str">
        <x:f t="shared" si="13"/>
      </x:c>
      <x:c r="K117" s="90" t="str">
        <x:f t="shared" si="14"/>
      </x:c>
      <x:c r="L117" s="90" t="str">
        <x:f t="shared" si="15"/>
      </x:c>
      <x:c r="M117" s="88" t="str">
        <x:f t="shared" si="16"/>
      </x:c>
      <x:c r="N117" s="25" t="str">
        <x:f>IF($A117="","",IFERROR(INDEX('Analize meciuri'!$GV$4:$GV$103,MATCH($A117,'Analize meciuri'!$A$4:$A$103,0)),""))</x:f>
      </x:c>
      <x:c r="O117" s="1" t="str">
        <x:f>IF($A117="","",IFERROR(INDEX('Analize meciuri'!$GN$4:$GN$103,MATCH($A117,'Analize meciuri'!$A$4:$A$103,0)),""))</x:f>
      </x:c>
      <x:c r="P117" s="1"/>
      <x:c r="Q117" s="1"/>
      <x:c r="R117" s="1"/>
      <x:c r="S117" s="1"/>
      <x:c r="T117" s="1"/>
    </x:row>
    <x:row r="118" ht="15">
      <x:c r="A118" s="58"/>
      <x:c r="B118" s="87" t="str">
        <x:f>IF($A118="","",IFERROR(INDEX('Analize meciuri'!$C$4:$C$103,MATCH($A118,'Analize meciuri'!$A$4:$A$103,0)),""))</x:f>
      </x:c>
      <x:c r="C118" s="35" t="str">
        <x:f>IF($A118="","",IFERROR(INDEX('Analize meciuri'!$G$4:$G$103,MATCH($A118,'Analize meciuri'!$A$4:$A$103,0)),""))</x:f>
      </x:c>
      <x:c r="D118" s="35" t="str">
        <x:f>IF($A118="","",IFERROR(INDEX('Analize meciuri'!$H$4:$H$103,MATCH($A118,'Analize meciuri'!$A$4:$A$103,0)),""))</x:f>
      </x:c>
      <x:c r="E118" s="88" t="str">
        <x:f>IF($A118="","",IFERROR(INDEX('Analize meciuri'!$GP$4:$GP$103,MATCH($A118,'Analize meciuri'!$A$4:$A$103,0)),""))</x:f>
      </x:c>
      <x:c r="F118" s="89" t="str">
        <x:f>IF($A118="","",IFERROR(INDEX('Analize meciuri'!$GT$4:$GT$103,MATCH($A118,'Analize meciuri'!$A$4:$A$103,0)),""))</x:f>
      </x:c>
      <x:c r="G118" s="60"/>
      <x:c r="H118" s="60"/>
      <x:c r="I118" s="24"/>
      <x:c r="J118" s="90" t="str">
        <x:f t="shared" si="13"/>
      </x:c>
      <x:c r="K118" s="90" t="str">
        <x:f t="shared" si="14"/>
      </x:c>
      <x:c r="L118" s="90" t="str">
        <x:f t="shared" si="15"/>
      </x:c>
      <x:c r="M118" s="88" t="str">
        <x:f t="shared" si="16"/>
      </x:c>
      <x:c r="N118" s="25" t="str">
        <x:f>IF($A118="","",IFERROR(INDEX('Analize meciuri'!$GV$4:$GV$103,MATCH($A118,'Analize meciuri'!$A$4:$A$103,0)),""))</x:f>
      </x:c>
      <x:c r="O118" s="1" t="str">
        <x:f>IF($A118="","",IFERROR(INDEX('Analize meciuri'!$GN$4:$GN$103,MATCH($A118,'Analize meciuri'!$A$4:$A$103,0)),""))</x:f>
      </x:c>
      <x:c r="P118" s="1"/>
      <x:c r="Q118" s="1"/>
      <x:c r="R118" s="1"/>
      <x:c r="S118" s="1"/>
      <x:c r="T118" s="1"/>
    </x:row>
    <x:row r="119" ht="15">
      <x:c r="A119" s="58"/>
      <x:c r="B119" s="87" t="str">
        <x:f>IF($A119="","",IFERROR(INDEX('Analize meciuri'!$C$4:$C$103,MATCH($A119,'Analize meciuri'!$A$4:$A$103,0)),""))</x:f>
      </x:c>
      <x:c r="C119" s="35" t="str">
        <x:f>IF($A119="","",IFERROR(INDEX('Analize meciuri'!$G$4:$G$103,MATCH($A119,'Analize meciuri'!$A$4:$A$103,0)),""))</x:f>
      </x:c>
      <x:c r="D119" s="35" t="str">
        <x:f>IF($A119="","",IFERROR(INDEX('Analize meciuri'!$H$4:$H$103,MATCH($A119,'Analize meciuri'!$A$4:$A$103,0)),""))</x:f>
      </x:c>
      <x:c r="E119" s="88" t="str">
        <x:f>IF($A119="","",IFERROR(INDEX('Analize meciuri'!$GP$4:$GP$103,MATCH($A119,'Analize meciuri'!$A$4:$A$103,0)),""))</x:f>
      </x:c>
      <x:c r="F119" s="89" t="str">
        <x:f>IF($A119="","",IFERROR(INDEX('Analize meciuri'!$GT$4:$GT$103,MATCH($A119,'Analize meciuri'!$A$4:$A$103,0)),""))</x:f>
      </x:c>
      <x:c r="G119" s="60"/>
      <x:c r="H119" s="60"/>
      <x:c r="I119" s="24"/>
      <x:c r="J119" s="90" t="str">
        <x:f t="shared" si="13"/>
      </x:c>
      <x:c r="K119" s="90" t="str">
        <x:f t="shared" si="14"/>
      </x:c>
      <x:c r="L119" s="90" t="str">
        <x:f t="shared" si="15"/>
      </x:c>
      <x:c r="M119" s="88" t="str">
        <x:f t="shared" si="16"/>
      </x:c>
      <x:c r="N119" s="25" t="str">
        <x:f>IF($A119="","",IFERROR(INDEX('Analize meciuri'!$GV$4:$GV$103,MATCH($A119,'Analize meciuri'!$A$4:$A$103,0)),""))</x:f>
      </x:c>
      <x:c r="O119" s="1" t="str">
        <x:f>IF($A119="","",IFERROR(INDEX('Analize meciuri'!$GN$4:$GN$103,MATCH($A119,'Analize meciuri'!$A$4:$A$103,0)),""))</x:f>
      </x:c>
      <x:c r="P119" s="1"/>
      <x:c r="Q119" s="1"/>
      <x:c r="R119" s="1"/>
      <x:c r="S119" s="1"/>
      <x:c r="T119" s="1"/>
    </x:row>
    <x:row r="120" ht="15">
      <x:c r="A120" s="58"/>
      <x:c r="B120" s="87" t="str">
        <x:f>IF($A120="","",IFERROR(INDEX('Analize meciuri'!$C$4:$C$103,MATCH($A120,'Analize meciuri'!$A$4:$A$103,0)),""))</x:f>
      </x:c>
      <x:c r="C120" s="35" t="str">
        <x:f>IF($A120="","",IFERROR(INDEX('Analize meciuri'!$G$4:$G$103,MATCH($A120,'Analize meciuri'!$A$4:$A$103,0)),""))</x:f>
      </x:c>
      <x:c r="D120" s="35" t="str">
        <x:f>IF($A120="","",IFERROR(INDEX('Analize meciuri'!$H$4:$H$103,MATCH($A120,'Analize meciuri'!$A$4:$A$103,0)),""))</x:f>
      </x:c>
      <x:c r="E120" s="88" t="str">
        <x:f>IF($A120="","",IFERROR(INDEX('Analize meciuri'!$GP$4:$GP$103,MATCH($A120,'Analize meciuri'!$A$4:$A$103,0)),""))</x:f>
      </x:c>
      <x:c r="F120" s="89" t="str">
        <x:f>IF($A120="","",IFERROR(INDEX('Analize meciuri'!$GT$4:$GT$103,MATCH($A120,'Analize meciuri'!$A$4:$A$103,0)),""))</x:f>
      </x:c>
      <x:c r="G120" s="60"/>
      <x:c r="H120" s="60"/>
      <x:c r="I120" s="24"/>
      <x:c r="J120" s="90" t="str">
        <x:f t="shared" si="13"/>
      </x:c>
      <x:c r="K120" s="90" t="str">
        <x:f t="shared" si="14"/>
      </x:c>
      <x:c r="L120" s="90" t="str">
        <x:f t="shared" si="15"/>
      </x:c>
      <x:c r="M120" s="88" t="str">
        <x:f t="shared" si="16"/>
      </x:c>
      <x:c r="N120" s="25" t="str">
        <x:f>IF($A120="","",IFERROR(INDEX('Analize meciuri'!$GV$4:$GV$103,MATCH($A120,'Analize meciuri'!$A$4:$A$103,0)),""))</x:f>
      </x:c>
      <x:c r="O120" s="1" t="str">
        <x:f>IF($A120="","",IFERROR(INDEX('Analize meciuri'!$GN$4:$GN$103,MATCH($A120,'Analize meciuri'!$A$4:$A$103,0)),""))</x:f>
      </x:c>
      <x:c r="P120" s="1"/>
      <x:c r="Q120" s="1"/>
      <x:c r="R120" s="1"/>
      <x:c r="S120" s="1"/>
      <x:c r="T120" s="1"/>
    </x:row>
    <x:row r="121" ht="15">
      <x:c r="A121" s="58"/>
      <x:c r="B121" s="87" t="str">
        <x:f>IF($A121="","",IFERROR(INDEX('Analize meciuri'!$C$4:$C$103,MATCH($A121,'Analize meciuri'!$A$4:$A$103,0)),""))</x:f>
      </x:c>
      <x:c r="C121" s="35" t="str">
        <x:f>IF($A121="","",IFERROR(INDEX('Analize meciuri'!$G$4:$G$103,MATCH($A121,'Analize meciuri'!$A$4:$A$103,0)),""))</x:f>
      </x:c>
      <x:c r="D121" s="35" t="str">
        <x:f>IF($A121="","",IFERROR(INDEX('Analize meciuri'!$H$4:$H$103,MATCH($A121,'Analize meciuri'!$A$4:$A$103,0)),""))</x:f>
      </x:c>
      <x:c r="E121" s="88" t="str">
        <x:f>IF($A121="","",IFERROR(INDEX('Analize meciuri'!$GP$4:$GP$103,MATCH($A121,'Analize meciuri'!$A$4:$A$103,0)),""))</x:f>
      </x:c>
      <x:c r="F121" s="89" t="str">
        <x:f>IF($A121="","",IFERROR(INDEX('Analize meciuri'!$GT$4:$GT$103,MATCH($A121,'Analize meciuri'!$A$4:$A$103,0)),""))</x:f>
      </x:c>
      <x:c r="G121" s="60"/>
      <x:c r="H121" s="60"/>
      <x:c r="I121" s="24"/>
      <x:c r="J121" s="90" t="str">
        <x:f t="shared" si="13"/>
      </x:c>
      <x:c r="K121" s="90" t="str">
        <x:f t="shared" si="14"/>
      </x:c>
      <x:c r="L121" s="90" t="str">
        <x:f t="shared" si="15"/>
      </x:c>
      <x:c r="M121" s="88" t="str">
        <x:f t="shared" si="16"/>
      </x:c>
      <x:c r="N121" s="25" t="str">
        <x:f>IF($A121="","",IFERROR(INDEX('Analize meciuri'!$GV$4:$GV$103,MATCH($A121,'Analize meciuri'!$A$4:$A$103,0)),""))</x:f>
      </x:c>
      <x:c r="O121" s="1" t="str">
        <x:f>IF($A121="","",IFERROR(INDEX('Analize meciuri'!$GN$4:$GN$103,MATCH($A121,'Analize meciuri'!$A$4:$A$103,0)),""))</x:f>
      </x:c>
      <x:c r="P121" s="1"/>
      <x:c r="Q121" s="1"/>
      <x:c r="R121" s="1"/>
      <x:c r="S121" s="1"/>
      <x:c r="T121" s="1"/>
    </x:row>
    <x:row r="122" ht="15">
      <x:c r="A122" s="58"/>
      <x:c r="B122" s="87" t="str">
        <x:f>IF($A122="","",IFERROR(INDEX('Analize meciuri'!$C$4:$C$103,MATCH($A122,'Analize meciuri'!$A$4:$A$103,0)),""))</x:f>
      </x:c>
      <x:c r="C122" s="35" t="str">
        <x:f>IF($A122="","",IFERROR(INDEX('Analize meciuri'!$G$4:$G$103,MATCH($A122,'Analize meciuri'!$A$4:$A$103,0)),""))</x:f>
      </x:c>
      <x:c r="D122" s="35" t="str">
        <x:f>IF($A122="","",IFERROR(INDEX('Analize meciuri'!$H$4:$H$103,MATCH($A122,'Analize meciuri'!$A$4:$A$103,0)),""))</x:f>
      </x:c>
      <x:c r="E122" s="88" t="str">
        <x:f>IF($A122="","",IFERROR(INDEX('Analize meciuri'!$GP$4:$GP$103,MATCH($A122,'Analize meciuri'!$A$4:$A$103,0)),""))</x:f>
      </x:c>
      <x:c r="F122" s="89" t="str">
        <x:f>IF($A122="","",IFERROR(INDEX('Analize meciuri'!$GT$4:$GT$103,MATCH($A122,'Analize meciuri'!$A$4:$A$103,0)),""))</x:f>
      </x:c>
      <x:c r="G122" s="60"/>
      <x:c r="H122" s="60"/>
      <x:c r="I122" s="24"/>
      <x:c r="J122" s="90" t="str">
        <x:f t="shared" si="13"/>
      </x:c>
      <x:c r="K122" s="90" t="str">
        <x:f t="shared" si="14"/>
      </x:c>
      <x:c r="L122" s="90" t="str">
        <x:f t="shared" si="15"/>
      </x:c>
      <x:c r="M122" s="88" t="str">
        <x:f t="shared" si="16"/>
      </x:c>
      <x:c r="N122" s="25" t="str">
        <x:f>IF($A122="","",IFERROR(INDEX('Analize meciuri'!$GV$4:$GV$103,MATCH($A122,'Analize meciuri'!$A$4:$A$103,0)),""))</x:f>
      </x:c>
      <x:c r="O122" s="1" t="str">
        <x:f>IF($A122="","",IFERROR(INDEX('Analize meciuri'!$GN$4:$GN$103,MATCH($A122,'Analize meciuri'!$A$4:$A$103,0)),""))</x:f>
      </x:c>
      <x:c r="P122" s="1"/>
      <x:c r="Q122" s="1"/>
      <x:c r="R122" s="1"/>
      <x:c r="S122" s="1"/>
      <x:c r="T122" s="1"/>
    </x:row>
    <x:row r="123" ht="15">
      <x:c r="A123" s="58"/>
      <x:c r="B123" s="87" t="str">
        <x:f>IF($A123="","",IFERROR(INDEX('Analize meciuri'!$C$4:$C$103,MATCH($A123,'Analize meciuri'!$A$4:$A$103,0)),""))</x:f>
      </x:c>
      <x:c r="C123" s="35" t="str">
        <x:f>IF($A123="","",IFERROR(INDEX('Analize meciuri'!$G$4:$G$103,MATCH($A123,'Analize meciuri'!$A$4:$A$103,0)),""))</x:f>
      </x:c>
      <x:c r="D123" s="35" t="str">
        <x:f>IF($A123="","",IFERROR(INDEX('Analize meciuri'!$H$4:$H$103,MATCH($A123,'Analize meciuri'!$A$4:$A$103,0)),""))</x:f>
      </x:c>
      <x:c r="E123" s="88" t="str">
        <x:f>IF($A123="","",IFERROR(INDEX('Analize meciuri'!$GP$4:$GP$103,MATCH($A123,'Analize meciuri'!$A$4:$A$103,0)),""))</x:f>
      </x:c>
      <x:c r="F123" s="89" t="str">
        <x:f>IF($A123="","",IFERROR(INDEX('Analize meciuri'!$GT$4:$GT$103,MATCH($A123,'Analize meciuri'!$A$4:$A$103,0)),""))</x:f>
      </x:c>
      <x:c r="G123" s="60"/>
      <x:c r="H123" s="60"/>
      <x:c r="I123" s="24"/>
      <x:c r="J123" s="90" t="str">
        <x:f t="shared" si="13"/>
      </x:c>
      <x:c r="K123" s="90" t="str">
        <x:f t="shared" si="14"/>
      </x:c>
      <x:c r="L123" s="90" t="str">
        <x:f t="shared" si="15"/>
      </x:c>
      <x:c r="M123" s="88" t="str">
        <x:f t="shared" si="16"/>
      </x:c>
      <x:c r="N123" s="25" t="str">
        <x:f>IF($A123="","",IFERROR(INDEX('Analize meciuri'!$GV$4:$GV$103,MATCH($A123,'Analize meciuri'!$A$4:$A$103,0)),""))</x:f>
      </x:c>
      <x:c r="O123" s="1" t="str">
        <x:f>IF($A123="","",IFERROR(INDEX('Analize meciuri'!$GN$4:$GN$103,MATCH($A123,'Analize meciuri'!$A$4:$A$103,0)),""))</x:f>
      </x:c>
      <x:c r="P123" s="1"/>
      <x:c r="Q123" s="1"/>
      <x:c r="R123" s="1"/>
      <x:c r="S123" s="1"/>
      <x:c r="T123" s="1"/>
    </x:row>
    <x:row r="124" ht="15">
      <x:c r="A124" s="58"/>
      <x:c r="B124" s="87" t="str">
        <x:f>IF($A124="","",IFERROR(INDEX('Analize meciuri'!$C$4:$C$103,MATCH($A124,'Analize meciuri'!$A$4:$A$103,0)),""))</x:f>
      </x:c>
      <x:c r="C124" s="35" t="str">
        <x:f>IF($A124="","",IFERROR(INDEX('Analize meciuri'!$G$4:$G$103,MATCH($A124,'Analize meciuri'!$A$4:$A$103,0)),""))</x:f>
      </x:c>
      <x:c r="D124" s="35" t="str">
        <x:f>IF($A124="","",IFERROR(INDEX('Analize meciuri'!$H$4:$H$103,MATCH($A124,'Analize meciuri'!$A$4:$A$103,0)),""))</x:f>
      </x:c>
      <x:c r="E124" s="88" t="str">
        <x:f>IF($A124="","",IFERROR(INDEX('Analize meciuri'!$GP$4:$GP$103,MATCH($A124,'Analize meciuri'!$A$4:$A$103,0)),""))</x:f>
      </x:c>
      <x:c r="F124" s="89" t="str">
        <x:f>IF($A124="","",IFERROR(INDEX('Analize meciuri'!$GT$4:$GT$103,MATCH($A124,'Analize meciuri'!$A$4:$A$103,0)),""))</x:f>
      </x:c>
      <x:c r="G124" s="60"/>
      <x:c r="H124" s="60"/>
      <x:c r="I124" s="24"/>
      <x:c r="J124" s="90" t="str">
        <x:f t="shared" si="13"/>
      </x:c>
      <x:c r="K124" s="90" t="str">
        <x:f t="shared" si="14"/>
      </x:c>
      <x:c r="L124" s="90" t="str">
        <x:f t="shared" si="15"/>
      </x:c>
      <x:c r="M124" s="88" t="str">
        <x:f t="shared" si="16"/>
      </x:c>
      <x:c r="N124" s="25" t="str">
        <x:f>IF($A124="","",IFERROR(INDEX('Analize meciuri'!$GV$4:$GV$103,MATCH($A124,'Analize meciuri'!$A$4:$A$103,0)),""))</x:f>
      </x:c>
      <x:c r="O124" s="1" t="str">
        <x:f>IF($A124="","",IFERROR(INDEX('Analize meciuri'!$GN$4:$GN$103,MATCH($A124,'Analize meciuri'!$A$4:$A$103,0)),""))</x:f>
      </x:c>
      <x:c r="P124" s="1"/>
      <x:c r="Q124" s="1"/>
      <x:c r="R124" s="1"/>
      <x:c r="S124" s="1"/>
      <x:c r="T124" s="1"/>
    </x:row>
    <x:row r="125" ht="15">
      <x:c r="A125" s="58"/>
      <x:c r="B125" s="87" t="str">
        <x:f>IF($A125="","",IFERROR(INDEX('Analize meciuri'!$C$4:$C$103,MATCH($A125,'Analize meciuri'!$A$4:$A$103,0)),""))</x:f>
      </x:c>
      <x:c r="C125" s="35" t="str">
        <x:f>IF($A125="","",IFERROR(INDEX('Analize meciuri'!$G$4:$G$103,MATCH($A125,'Analize meciuri'!$A$4:$A$103,0)),""))</x:f>
      </x:c>
      <x:c r="D125" s="35" t="str">
        <x:f>IF($A125="","",IFERROR(INDEX('Analize meciuri'!$H$4:$H$103,MATCH($A125,'Analize meciuri'!$A$4:$A$103,0)),""))</x:f>
      </x:c>
      <x:c r="E125" s="88" t="str">
        <x:f>IF($A125="","",IFERROR(INDEX('Analize meciuri'!$GP$4:$GP$103,MATCH($A125,'Analize meciuri'!$A$4:$A$103,0)),""))</x:f>
      </x:c>
      <x:c r="F125" s="89" t="str">
        <x:f>IF($A125="","",IFERROR(INDEX('Analize meciuri'!$GT$4:$GT$103,MATCH($A125,'Analize meciuri'!$A$4:$A$103,0)),""))</x:f>
      </x:c>
      <x:c r="G125" s="60"/>
      <x:c r="H125" s="60"/>
      <x:c r="I125" s="24"/>
      <x:c r="J125" s="90" t="str">
        <x:f t="shared" si="13"/>
      </x:c>
      <x:c r="K125" s="90" t="str">
        <x:f t="shared" si="14"/>
      </x:c>
      <x:c r="L125" s="90" t="str">
        <x:f t="shared" si="15"/>
      </x:c>
      <x:c r="M125" s="88" t="str">
        <x:f t="shared" si="16"/>
      </x:c>
      <x:c r="N125" s="25" t="str">
        <x:f>IF($A125="","",IFERROR(INDEX('Analize meciuri'!$GV$4:$GV$103,MATCH($A125,'Analize meciuri'!$A$4:$A$103,0)),""))</x:f>
      </x:c>
      <x:c r="O125" s="1" t="str">
        <x:f>IF($A125="","",IFERROR(INDEX('Analize meciuri'!$GN$4:$GN$103,MATCH($A125,'Analize meciuri'!$A$4:$A$103,0)),""))</x:f>
      </x:c>
      <x:c r="P125" s="1"/>
      <x:c r="Q125" s="1"/>
      <x:c r="R125" s="1"/>
      <x:c r="S125" s="1"/>
      <x:c r="T125" s="1"/>
    </x:row>
    <x:row r="126" ht="15">
      <x:c r="A126" s="58"/>
      <x:c r="B126" s="87" t="str">
        <x:f>IF($A126="","",IFERROR(INDEX('Analize meciuri'!$C$4:$C$103,MATCH($A126,'Analize meciuri'!$A$4:$A$103,0)),""))</x:f>
      </x:c>
      <x:c r="C126" s="35" t="str">
        <x:f>IF($A126="","",IFERROR(INDEX('Analize meciuri'!$G$4:$G$103,MATCH($A126,'Analize meciuri'!$A$4:$A$103,0)),""))</x:f>
      </x:c>
      <x:c r="D126" s="35" t="str">
        <x:f>IF($A126="","",IFERROR(INDEX('Analize meciuri'!$H$4:$H$103,MATCH($A126,'Analize meciuri'!$A$4:$A$103,0)),""))</x:f>
      </x:c>
      <x:c r="E126" s="88" t="str">
        <x:f>IF($A126="","",IFERROR(INDEX('Analize meciuri'!$GP$4:$GP$103,MATCH($A126,'Analize meciuri'!$A$4:$A$103,0)),""))</x:f>
      </x:c>
      <x:c r="F126" s="89" t="str">
        <x:f>IF($A126="","",IFERROR(INDEX('Analize meciuri'!$GT$4:$GT$103,MATCH($A126,'Analize meciuri'!$A$4:$A$103,0)),""))</x:f>
      </x:c>
      <x:c r="G126" s="60"/>
      <x:c r="H126" s="60"/>
      <x:c r="I126" s="24"/>
      <x:c r="J126" s="90" t="str">
        <x:f t="shared" si="13"/>
      </x:c>
      <x:c r="K126" s="90" t="str">
        <x:f t="shared" si="14"/>
      </x:c>
      <x:c r="L126" s="90" t="str">
        <x:f t="shared" si="15"/>
      </x:c>
      <x:c r="M126" s="88" t="str">
        <x:f t="shared" si="16"/>
      </x:c>
      <x:c r="N126" s="25" t="str">
        <x:f>IF($A126="","",IFERROR(INDEX('Analize meciuri'!$GV$4:$GV$103,MATCH($A126,'Analize meciuri'!$A$4:$A$103,0)),""))</x:f>
      </x:c>
      <x:c r="O126" s="1" t="str">
        <x:f>IF($A126="","",IFERROR(INDEX('Analize meciuri'!$GN$4:$GN$103,MATCH($A126,'Analize meciuri'!$A$4:$A$103,0)),""))</x:f>
      </x:c>
      <x:c r="P126" s="1"/>
      <x:c r="Q126" s="1"/>
      <x:c r="R126" s="1"/>
      <x:c r="S126" s="1"/>
      <x:c r="T126" s="1"/>
    </x:row>
    <x:row r="127" ht="15">
      <x:c r="A127" s="58"/>
      <x:c r="B127" s="87" t="str">
        <x:f>IF($A127="","",IFERROR(INDEX('Analize meciuri'!$C$4:$C$103,MATCH($A127,'Analize meciuri'!$A$4:$A$103,0)),""))</x:f>
      </x:c>
      <x:c r="C127" s="35" t="str">
        <x:f>IF($A127="","",IFERROR(INDEX('Analize meciuri'!$G$4:$G$103,MATCH($A127,'Analize meciuri'!$A$4:$A$103,0)),""))</x:f>
      </x:c>
      <x:c r="D127" s="35" t="str">
        <x:f>IF($A127="","",IFERROR(INDEX('Analize meciuri'!$H$4:$H$103,MATCH($A127,'Analize meciuri'!$A$4:$A$103,0)),""))</x:f>
      </x:c>
      <x:c r="E127" s="88" t="str">
        <x:f>IF($A127="","",IFERROR(INDEX('Analize meciuri'!$GP$4:$GP$103,MATCH($A127,'Analize meciuri'!$A$4:$A$103,0)),""))</x:f>
      </x:c>
      <x:c r="F127" s="89" t="str">
        <x:f>IF($A127="","",IFERROR(INDEX('Analize meciuri'!$GT$4:$GT$103,MATCH($A127,'Analize meciuri'!$A$4:$A$103,0)),""))</x:f>
      </x:c>
      <x:c r="G127" s="60"/>
      <x:c r="H127" s="60"/>
      <x:c r="I127" s="24"/>
      <x:c r="J127" s="90" t="str">
        <x:f t="shared" si="13"/>
      </x:c>
      <x:c r="K127" s="90" t="str">
        <x:f t="shared" si="14"/>
      </x:c>
      <x:c r="L127" s="90" t="str">
        <x:f t="shared" si="15"/>
      </x:c>
      <x:c r="M127" s="88" t="str">
        <x:f t="shared" si="16"/>
      </x:c>
      <x:c r="N127" s="25" t="str">
        <x:f>IF($A127="","",IFERROR(INDEX('Analize meciuri'!$GV$4:$GV$103,MATCH($A127,'Analize meciuri'!$A$4:$A$103,0)),""))</x:f>
      </x:c>
      <x:c r="O127" s="1" t="str">
        <x:f>IF($A127="","",IFERROR(INDEX('Analize meciuri'!$GN$4:$GN$103,MATCH($A127,'Analize meciuri'!$A$4:$A$103,0)),""))</x:f>
      </x:c>
      <x:c r="P127" s="1"/>
      <x:c r="Q127" s="1"/>
      <x:c r="R127" s="1"/>
      <x:c r="S127" s="1"/>
      <x:c r="T127" s="1"/>
    </x:row>
    <x:row r="128" ht="15">
      <x:c r="A128" s="58"/>
      <x:c r="B128" s="87" t="str">
        <x:f>IF($A128="","",IFERROR(INDEX('Analize meciuri'!$C$4:$C$103,MATCH($A128,'Analize meciuri'!$A$4:$A$103,0)),""))</x:f>
      </x:c>
      <x:c r="C128" s="35" t="str">
        <x:f>IF($A128="","",IFERROR(INDEX('Analize meciuri'!$G$4:$G$103,MATCH($A128,'Analize meciuri'!$A$4:$A$103,0)),""))</x:f>
      </x:c>
      <x:c r="D128" s="35" t="str">
        <x:f>IF($A128="","",IFERROR(INDEX('Analize meciuri'!$H$4:$H$103,MATCH($A128,'Analize meciuri'!$A$4:$A$103,0)),""))</x:f>
      </x:c>
      <x:c r="E128" s="88" t="str">
        <x:f>IF($A128="","",IFERROR(INDEX('Analize meciuri'!$GP$4:$GP$103,MATCH($A128,'Analize meciuri'!$A$4:$A$103,0)),""))</x:f>
      </x:c>
      <x:c r="F128" s="89" t="str">
        <x:f>IF($A128="","",IFERROR(INDEX('Analize meciuri'!$GT$4:$GT$103,MATCH($A128,'Analize meciuri'!$A$4:$A$103,0)),""))</x:f>
      </x:c>
      <x:c r="G128" s="60"/>
      <x:c r="H128" s="60"/>
      <x:c r="I128" s="24"/>
      <x:c r="J128" s="90" t="str">
        <x:f t="shared" si="13"/>
      </x:c>
      <x:c r="K128" s="90" t="str">
        <x:f t="shared" si="14"/>
      </x:c>
      <x:c r="L128" s="90" t="str">
        <x:f t="shared" si="15"/>
      </x:c>
      <x:c r="M128" s="88" t="str">
        <x:f t="shared" si="16"/>
      </x:c>
      <x:c r="N128" s="25" t="str">
        <x:f>IF($A128="","",IFERROR(INDEX('Analize meciuri'!$GV$4:$GV$103,MATCH($A128,'Analize meciuri'!$A$4:$A$103,0)),""))</x:f>
      </x:c>
      <x:c r="O128" s="1" t="str">
        <x:f>IF($A128="","",IFERROR(INDEX('Analize meciuri'!$GN$4:$GN$103,MATCH($A128,'Analize meciuri'!$A$4:$A$103,0)),""))</x:f>
      </x:c>
      <x:c r="P128" s="1"/>
      <x:c r="Q128" s="1"/>
      <x:c r="R128" s="1"/>
      <x:c r="S128" s="1"/>
      <x:c r="T128" s="1"/>
    </x:row>
    <x:row r="129" ht="15">
      <x:c r="A129" s="58"/>
      <x:c r="B129" s="87" t="str">
        <x:f>IF($A129="","",IFERROR(INDEX('Analize meciuri'!$C$4:$C$103,MATCH($A129,'Analize meciuri'!$A$4:$A$103,0)),""))</x:f>
      </x:c>
      <x:c r="C129" s="35" t="str">
        <x:f>IF($A129="","",IFERROR(INDEX('Analize meciuri'!$G$4:$G$103,MATCH($A129,'Analize meciuri'!$A$4:$A$103,0)),""))</x:f>
      </x:c>
      <x:c r="D129" s="35" t="str">
        <x:f>IF($A129="","",IFERROR(INDEX('Analize meciuri'!$H$4:$H$103,MATCH($A129,'Analize meciuri'!$A$4:$A$103,0)),""))</x:f>
      </x:c>
      <x:c r="E129" s="88" t="str">
        <x:f>IF($A129="","",IFERROR(INDEX('Analize meciuri'!$GP$4:$GP$103,MATCH($A129,'Analize meciuri'!$A$4:$A$103,0)),""))</x:f>
      </x:c>
      <x:c r="F129" s="89" t="str">
        <x:f>IF($A129="","",IFERROR(INDEX('Analize meciuri'!$GT$4:$GT$103,MATCH($A129,'Analize meciuri'!$A$4:$A$103,0)),""))</x:f>
      </x:c>
      <x:c r="G129" s="60"/>
      <x:c r="H129" s="60"/>
      <x:c r="I129" s="24"/>
      <x:c r="J129" s="90" t="str">
        <x:f t="shared" si="13"/>
      </x:c>
      <x:c r="K129" s="90" t="str">
        <x:f t="shared" si="14"/>
      </x:c>
      <x:c r="L129" s="90" t="str">
        <x:f t="shared" si="15"/>
      </x:c>
      <x:c r="M129" s="88" t="str">
        <x:f t="shared" si="16"/>
      </x:c>
      <x:c r="N129" s="25" t="str">
        <x:f>IF($A129="","",IFERROR(INDEX('Analize meciuri'!$GV$4:$GV$103,MATCH($A129,'Analize meciuri'!$A$4:$A$103,0)),""))</x:f>
      </x:c>
      <x:c r="O129" s="1" t="str">
        <x:f>IF($A129="","",IFERROR(INDEX('Analize meciuri'!$GN$4:$GN$103,MATCH($A129,'Analize meciuri'!$A$4:$A$103,0)),""))</x:f>
      </x:c>
      <x:c r="P129" s="1"/>
      <x:c r="Q129" s="1"/>
      <x:c r="R129" s="1"/>
      <x:c r="S129" s="1"/>
      <x:c r="T129" s="1"/>
    </x:row>
    <x:row r="130" ht="15">
      <x:c r="A130" s="58"/>
      <x:c r="B130" s="87" t="str">
        <x:f>IF($A130="","",IFERROR(INDEX('Analize meciuri'!$C$4:$C$103,MATCH($A130,'Analize meciuri'!$A$4:$A$103,0)),""))</x:f>
      </x:c>
      <x:c r="C130" s="35" t="str">
        <x:f>IF($A130="","",IFERROR(INDEX('Analize meciuri'!$G$4:$G$103,MATCH($A130,'Analize meciuri'!$A$4:$A$103,0)),""))</x:f>
      </x:c>
      <x:c r="D130" s="35" t="str">
        <x:f>IF($A130="","",IFERROR(INDEX('Analize meciuri'!$H$4:$H$103,MATCH($A130,'Analize meciuri'!$A$4:$A$103,0)),""))</x:f>
      </x:c>
      <x:c r="E130" s="88" t="str">
        <x:f>IF($A130="","",IFERROR(INDEX('Analize meciuri'!$GP$4:$GP$103,MATCH($A130,'Analize meciuri'!$A$4:$A$103,0)),""))</x:f>
      </x:c>
      <x:c r="F130" s="89" t="str">
        <x:f>IF($A130="","",IFERROR(INDEX('Analize meciuri'!$GT$4:$GT$103,MATCH($A130,'Analize meciuri'!$A$4:$A$103,0)),""))</x:f>
      </x:c>
      <x:c r="G130" s="60"/>
      <x:c r="H130" s="60"/>
      <x:c r="I130" s="24"/>
      <x:c r="J130" s="90" t="str">
        <x:f t="shared" si="13"/>
      </x:c>
      <x:c r="K130" s="90" t="str">
        <x:f t="shared" si="14"/>
      </x:c>
      <x:c r="L130" s="90" t="str">
        <x:f t="shared" si="15"/>
      </x:c>
      <x:c r="M130" s="88" t="str">
        <x:f t="shared" si="16"/>
      </x:c>
      <x:c r="N130" s="25" t="str">
        <x:f>IF($A130="","",IFERROR(INDEX('Analize meciuri'!$GV$4:$GV$103,MATCH($A130,'Analize meciuri'!$A$4:$A$103,0)),""))</x:f>
      </x:c>
      <x:c r="O130" s="1" t="str">
        <x:f>IF($A130="","",IFERROR(INDEX('Analize meciuri'!$GN$4:$GN$103,MATCH($A130,'Analize meciuri'!$A$4:$A$103,0)),""))</x:f>
      </x:c>
      <x:c r="P130" s="1"/>
      <x:c r="Q130" s="1"/>
      <x:c r="R130" s="1"/>
      <x:c r="S130" s="1"/>
      <x:c r="T130" s="1"/>
    </x:row>
    <x:row r="131" ht="15">
      <x:c r="A131" s="58"/>
      <x:c r="B131" s="87" t="str">
        <x:f>IF($A131="","",IFERROR(INDEX('Analize meciuri'!$C$4:$C$103,MATCH($A131,'Analize meciuri'!$A$4:$A$103,0)),""))</x:f>
      </x:c>
      <x:c r="C131" s="35" t="str">
        <x:f>IF($A131="","",IFERROR(INDEX('Analize meciuri'!$G$4:$G$103,MATCH($A131,'Analize meciuri'!$A$4:$A$103,0)),""))</x:f>
      </x:c>
      <x:c r="D131" s="35" t="str">
        <x:f>IF($A131="","",IFERROR(INDEX('Analize meciuri'!$H$4:$H$103,MATCH($A131,'Analize meciuri'!$A$4:$A$103,0)),""))</x:f>
      </x:c>
      <x:c r="E131" s="88" t="str">
        <x:f>IF($A131="","",IFERROR(INDEX('Analize meciuri'!$GP$4:$GP$103,MATCH($A131,'Analize meciuri'!$A$4:$A$103,0)),""))</x:f>
      </x:c>
      <x:c r="F131" s="89" t="str">
        <x:f>IF($A131="","",IFERROR(INDEX('Analize meciuri'!$GT$4:$GT$103,MATCH($A131,'Analize meciuri'!$A$4:$A$103,0)),""))</x:f>
      </x:c>
      <x:c r="G131" s="60"/>
      <x:c r="H131" s="60"/>
      <x:c r="I131" s="24"/>
      <x:c r="J131" s="90" t="str">
        <x:f t="shared" si="13"/>
      </x:c>
      <x:c r="K131" s="90" t="str">
        <x:f t="shared" si="14"/>
      </x:c>
      <x:c r="L131" s="90" t="str">
        <x:f t="shared" si="15"/>
      </x:c>
      <x:c r="M131" s="88" t="str">
        <x:f t="shared" si="16"/>
      </x:c>
      <x:c r="N131" s="25" t="str">
        <x:f>IF($A131="","",IFERROR(INDEX('Analize meciuri'!$GV$4:$GV$103,MATCH($A131,'Analize meciuri'!$A$4:$A$103,0)),""))</x:f>
      </x:c>
      <x:c r="O131" s="1" t="str">
        <x:f>IF($A131="","",IFERROR(INDEX('Analize meciuri'!$GN$4:$GN$103,MATCH($A131,'Analize meciuri'!$A$4:$A$103,0)),""))</x:f>
      </x:c>
      <x:c r="P131" s="1"/>
      <x:c r="Q131" s="1"/>
      <x:c r="R131" s="1"/>
      <x:c r="S131" s="1"/>
      <x:c r="T131" s="1"/>
    </x:row>
    <x:row r="132" ht="15">
      <x:c r="A132" s="58"/>
      <x:c r="B132" s="87" t="str">
        <x:f>IF($A132="","",IFERROR(INDEX('Analize meciuri'!$C$4:$C$103,MATCH($A132,'Analize meciuri'!$A$4:$A$103,0)),""))</x:f>
      </x:c>
      <x:c r="C132" s="35" t="str">
        <x:f>IF($A132="","",IFERROR(INDEX('Analize meciuri'!$G$4:$G$103,MATCH($A132,'Analize meciuri'!$A$4:$A$103,0)),""))</x:f>
      </x:c>
      <x:c r="D132" s="35" t="str">
        <x:f>IF($A132="","",IFERROR(INDEX('Analize meciuri'!$H$4:$H$103,MATCH($A132,'Analize meciuri'!$A$4:$A$103,0)),""))</x:f>
      </x:c>
      <x:c r="E132" s="88" t="str">
        <x:f>IF($A132="","",IFERROR(INDEX('Analize meciuri'!$GP$4:$GP$103,MATCH($A132,'Analize meciuri'!$A$4:$A$103,0)),""))</x:f>
      </x:c>
      <x:c r="F132" s="89" t="str">
        <x:f>IF($A132="","",IFERROR(INDEX('Analize meciuri'!$GT$4:$GT$103,MATCH($A132,'Analize meciuri'!$A$4:$A$103,0)),""))</x:f>
      </x:c>
      <x:c r="G132" s="60"/>
      <x:c r="H132" s="60"/>
      <x:c r="I132" s="24"/>
      <x:c r="J132" s="90" t="str">
        <x:f t="shared" ref="J132:J163" si="17">IF(OR($A132="",I132="",G132=""),"",IF(I132=1,G132-1,-1))</x:f>
      </x:c>
      <x:c r="K132" s="90" t="str">
        <x:f t="shared" ref="K132:K163" si="18">IF(OR($A132="",I132=""),"",(E132-I132)^2)</x:f>
      </x:c>
      <x:c r="L132" s="90" t="str">
        <x:f t="shared" ref="L132:L163" si="19">IF(OR($A132="",I132=""),"",-(I132*LN(MAX(0.001,E132))+(1-I132)*LN(MAX(0.001,1-E132))))</x:f>
      </x:c>
      <x:c r="M132" s="88" t="str">
        <x:f t="shared" ref="M132:M163" si="20">IF(OR($A132="",G132="",H132=""),"",G132/H132-1)</x:f>
      </x:c>
      <x:c r="N132" s="25" t="str">
        <x:f>IF($A132="","",IFERROR(INDEX('Analize meciuri'!$GV$4:$GV$103,MATCH($A132,'Analize meciuri'!$A$4:$A$103,0)),""))</x:f>
      </x:c>
      <x:c r="O132" s="1" t="str">
        <x:f>IF($A132="","",IFERROR(INDEX('Analize meciuri'!$GN$4:$GN$103,MATCH($A132,'Analize meciuri'!$A$4:$A$103,0)),""))</x:f>
      </x:c>
      <x:c r="P132" s="1"/>
      <x:c r="Q132" s="1"/>
      <x:c r="R132" s="1"/>
      <x:c r="S132" s="1"/>
      <x:c r="T132" s="1"/>
    </x:row>
    <x:row r="133" ht="15">
      <x:c r="A133" s="58"/>
      <x:c r="B133" s="87" t="str">
        <x:f>IF($A133="","",IFERROR(INDEX('Analize meciuri'!$C$4:$C$103,MATCH($A133,'Analize meciuri'!$A$4:$A$103,0)),""))</x:f>
      </x:c>
      <x:c r="C133" s="35" t="str">
        <x:f>IF($A133="","",IFERROR(INDEX('Analize meciuri'!$G$4:$G$103,MATCH($A133,'Analize meciuri'!$A$4:$A$103,0)),""))</x:f>
      </x:c>
      <x:c r="D133" s="35" t="str">
        <x:f>IF($A133="","",IFERROR(INDEX('Analize meciuri'!$H$4:$H$103,MATCH($A133,'Analize meciuri'!$A$4:$A$103,0)),""))</x:f>
      </x:c>
      <x:c r="E133" s="88" t="str">
        <x:f>IF($A133="","",IFERROR(INDEX('Analize meciuri'!$GP$4:$GP$103,MATCH($A133,'Analize meciuri'!$A$4:$A$103,0)),""))</x:f>
      </x:c>
      <x:c r="F133" s="89" t="str">
        <x:f>IF($A133="","",IFERROR(INDEX('Analize meciuri'!$GT$4:$GT$103,MATCH($A133,'Analize meciuri'!$A$4:$A$103,0)),""))</x:f>
      </x:c>
      <x:c r="G133" s="60"/>
      <x:c r="H133" s="60"/>
      <x:c r="I133" s="24"/>
      <x:c r="J133" s="90" t="str">
        <x:f t="shared" si="17"/>
      </x:c>
      <x:c r="K133" s="90" t="str">
        <x:f t="shared" si="18"/>
      </x:c>
      <x:c r="L133" s="90" t="str">
        <x:f t="shared" si="19"/>
      </x:c>
      <x:c r="M133" s="88" t="str">
        <x:f t="shared" si="20"/>
      </x:c>
      <x:c r="N133" s="25" t="str">
        <x:f>IF($A133="","",IFERROR(INDEX('Analize meciuri'!$GV$4:$GV$103,MATCH($A133,'Analize meciuri'!$A$4:$A$103,0)),""))</x:f>
      </x:c>
      <x:c r="O133" s="1" t="str">
        <x:f>IF($A133="","",IFERROR(INDEX('Analize meciuri'!$GN$4:$GN$103,MATCH($A133,'Analize meciuri'!$A$4:$A$103,0)),""))</x:f>
      </x:c>
      <x:c r="P133" s="1"/>
      <x:c r="Q133" s="1"/>
      <x:c r="R133" s="1"/>
      <x:c r="S133" s="1"/>
      <x:c r="T133" s="1"/>
    </x:row>
    <x:row r="134" ht="15">
      <x:c r="A134" s="58"/>
      <x:c r="B134" s="87" t="str">
        <x:f>IF($A134="","",IFERROR(INDEX('Analize meciuri'!$C$4:$C$103,MATCH($A134,'Analize meciuri'!$A$4:$A$103,0)),""))</x:f>
      </x:c>
      <x:c r="C134" s="35" t="str">
        <x:f>IF($A134="","",IFERROR(INDEX('Analize meciuri'!$G$4:$G$103,MATCH($A134,'Analize meciuri'!$A$4:$A$103,0)),""))</x:f>
      </x:c>
      <x:c r="D134" s="35" t="str">
        <x:f>IF($A134="","",IFERROR(INDEX('Analize meciuri'!$H$4:$H$103,MATCH($A134,'Analize meciuri'!$A$4:$A$103,0)),""))</x:f>
      </x:c>
      <x:c r="E134" s="88" t="str">
        <x:f>IF($A134="","",IFERROR(INDEX('Analize meciuri'!$GP$4:$GP$103,MATCH($A134,'Analize meciuri'!$A$4:$A$103,0)),""))</x:f>
      </x:c>
      <x:c r="F134" s="89" t="str">
        <x:f>IF($A134="","",IFERROR(INDEX('Analize meciuri'!$GT$4:$GT$103,MATCH($A134,'Analize meciuri'!$A$4:$A$103,0)),""))</x:f>
      </x:c>
      <x:c r="G134" s="60"/>
      <x:c r="H134" s="60"/>
      <x:c r="I134" s="24"/>
      <x:c r="J134" s="90" t="str">
        <x:f t="shared" si="17"/>
      </x:c>
      <x:c r="K134" s="90" t="str">
        <x:f t="shared" si="18"/>
      </x:c>
      <x:c r="L134" s="90" t="str">
        <x:f t="shared" si="19"/>
      </x:c>
      <x:c r="M134" s="88" t="str">
        <x:f t="shared" si="20"/>
      </x:c>
      <x:c r="N134" s="25" t="str">
        <x:f>IF($A134="","",IFERROR(INDEX('Analize meciuri'!$GV$4:$GV$103,MATCH($A134,'Analize meciuri'!$A$4:$A$103,0)),""))</x:f>
      </x:c>
      <x:c r="O134" s="1" t="str">
        <x:f>IF($A134="","",IFERROR(INDEX('Analize meciuri'!$GN$4:$GN$103,MATCH($A134,'Analize meciuri'!$A$4:$A$103,0)),""))</x:f>
      </x:c>
      <x:c r="P134" s="1"/>
      <x:c r="Q134" s="1"/>
      <x:c r="R134" s="1"/>
      <x:c r="S134" s="1"/>
      <x:c r="T134" s="1"/>
    </x:row>
    <x:row r="135" ht="15">
      <x:c r="A135" s="58"/>
      <x:c r="B135" s="87" t="str">
        <x:f>IF($A135="","",IFERROR(INDEX('Analize meciuri'!$C$4:$C$103,MATCH($A135,'Analize meciuri'!$A$4:$A$103,0)),""))</x:f>
      </x:c>
      <x:c r="C135" s="35" t="str">
        <x:f>IF($A135="","",IFERROR(INDEX('Analize meciuri'!$G$4:$G$103,MATCH($A135,'Analize meciuri'!$A$4:$A$103,0)),""))</x:f>
      </x:c>
      <x:c r="D135" s="35" t="str">
        <x:f>IF($A135="","",IFERROR(INDEX('Analize meciuri'!$H$4:$H$103,MATCH($A135,'Analize meciuri'!$A$4:$A$103,0)),""))</x:f>
      </x:c>
      <x:c r="E135" s="88" t="str">
        <x:f>IF($A135="","",IFERROR(INDEX('Analize meciuri'!$GP$4:$GP$103,MATCH($A135,'Analize meciuri'!$A$4:$A$103,0)),""))</x:f>
      </x:c>
      <x:c r="F135" s="89" t="str">
        <x:f>IF($A135="","",IFERROR(INDEX('Analize meciuri'!$GT$4:$GT$103,MATCH($A135,'Analize meciuri'!$A$4:$A$103,0)),""))</x:f>
      </x:c>
      <x:c r="G135" s="60"/>
      <x:c r="H135" s="60"/>
      <x:c r="I135" s="24"/>
      <x:c r="J135" s="90" t="str">
        <x:f t="shared" si="17"/>
      </x:c>
      <x:c r="K135" s="90" t="str">
        <x:f t="shared" si="18"/>
      </x:c>
      <x:c r="L135" s="90" t="str">
        <x:f t="shared" si="19"/>
      </x:c>
      <x:c r="M135" s="88" t="str">
        <x:f t="shared" si="20"/>
      </x:c>
      <x:c r="N135" s="25" t="str">
        <x:f>IF($A135="","",IFERROR(INDEX('Analize meciuri'!$GV$4:$GV$103,MATCH($A135,'Analize meciuri'!$A$4:$A$103,0)),""))</x:f>
      </x:c>
      <x:c r="O135" s="1" t="str">
        <x:f>IF($A135="","",IFERROR(INDEX('Analize meciuri'!$GN$4:$GN$103,MATCH($A135,'Analize meciuri'!$A$4:$A$103,0)),""))</x:f>
      </x:c>
      <x:c r="P135" s="1"/>
      <x:c r="Q135" s="1"/>
      <x:c r="R135" s="1"/>
      <x:c r="S135" s="1"/>
      <x:c r="T135" s="1"/>
    </x:row>
    <x:row r="136" ht="15">
      <x:c r="A136" s="58"/>
      <x:c r="B136" s="87" t="str">
        <x:f>IF($A136="","",IFERROR(INDEX('Analize meciuri'!$C$4:$C$103,MATCH($A136,'Analize meciuri'!$A$4:$A$103,0)),""))</x:f>
      </x:c>
      <x:c r="C136" s="35" t="str">
        <x:f>IF($A136="","",IFERROR(INDEX('Analize meciuri'!$G$4:$G$103,MATCH($A136,'Analize meciuri'!$A$4:$A$103,0)),""))</x:f>
      </x:c>
      <x:c r="D136" s="35" t="str">
        <x:f>IF($A136="","",IFERROR(INDEX('Analize meciuri'!$H$4:$H$103,MATCH($A136,'Analize meciuri'!$A$4:$A$103,0)),""))</x:f>
      </x:c>
      <x:c r="E136" s="88" t="str">
        <x:f>IF($A136="","",IFERROR(INDEX('Analize meciuri'!$GP$4:$GP$103,MATCH($A136,'Analize meciuri'!$A$4:$A$103,0)),""))</x:f>
      </x:c>
      <x:c r="F136" s="89" t="str">
        <x:f>IF($A136="","",IFERROR(INDEX('Analize meciuri'!$GT$4:$GT$103,MATCH($A136,'Analize meciuri'!$A$4:$A$103,0)),""))</x:f>
      </x:c>
      <x:c r="G136" s="60"/>
      <x:c r="H136" s="60"/>
      <x:c r="I136" s="24"/>
      <x:c r="J136" s="90" t="str">
        <x:f t="shared" si="17"/>
      </x:c>
      <x:c r="K136" s="90" t="str">
        <x:f t="shared" si="18"/>
      </x:c>
      <x:c r="L136" s="90" t="str">
        <x:f t="shared" si="19"/>
      </x:c>
      <x:c r="M136" s="88" t="str">
        <x:f t="shared" si="20"/>
      </x:c>
      <x:c r="N136" s="25" t="str">
        <x:f>IF($A136="","",IFERROR(INDEX('Analize meciuri'!$GV$4:$GV$103,MATCH($A136,'Analize meciuri'!$A$4:$A$103,0)),""))</x:f>
      </x:c>
      <x:c r="O136" s="1" t="str">
        <x:f>IF($A136="","",IFERROR(INDEX('Analize meciuri'!$GN$4:$GN$103,MATCH($A136,'Analize meciuri'!$A$4:$A$103,0)),""))</x:f>
      </x:c>
      <x:c r="P136" s="1"/>
      <x:c r="Q136" s="1"/>
      <x:c r="R136" s="1"/>
      <x:c r="S136" s="1"/>
      <x:c r="T136" s="1"/>
    </x:row>
    <x:row r="137" ht="15">
      <x:c r="A137" s="58"/>
      <x:c r="B137" s="87" t="str">
        <x:f>IF($A137="","",IFERROR(INDEX('Analize meciuri'!$C$4:$C$103,MATCH($A137,'Analize meciuri'!$A$4:$A$103,0)),""))</x:f>
      </x:c>
      <x:c r="C137" s="35" t="str">
        <x:f>IF($A137="","",IFERROR(INDEX('Analize meciuri'!$G$4:$G$103,MATCH($A137,'Analize meciuri'!$A$4:$A$103,0)),""))</x:f>
      </x:c>
      <x:c r="D137" s="35" t="str">
        <x:f>IF($A137="","",IFERROR(INDEX('Analize meciuri'!$H$4:$H$103,MATCH($A137,'Analize meciuri'!$A$4:$A$103,0)),""))</x:f>
      </x:c>
      <x:c r="E137" s="88" t="str">
        <x:f>IF($A137="","",IFERROR(INDEX('Analize meciuri'!$GP$4:$GP$103,MATCH($A137,'Analize meciuri'!$A$4:$A$103,0)),""))</x:f>
      </x:c>
      <x:c r="F137" s="89" t="str">
        <x:f>IF($A137="","",IFERROR(INDEX('Analize meciuri'!$GT$4:$GT$103,MATCH($A137,'Analize meciuri'!$A$4:$A$103,0)),""))</x:f>
      </x:c>
      <x:c r="G137" s="60"/>
      <x:c r="H137" s="60"/>
      <x:c r="I137" s="24"/>
      <x:c r="J137" s="90" t="str">
        <x:f t="shared" si="17"/>
      </x:c>
      <x:c r="K137" s="90" t="str">
        <x:f t="shared" si="18"/>
      </x:c>
      <x:c r="L137" s="90" t="str">
        <x:f t="shared" si="19"/>
      </x:c>
      <x:c r="M137" s="88" t="str">
        <x:f t="shared" si="20"/>
      </x:c>
      <x:c r="N137" s="25" t="str">
        <x:f>IF($A137="","",IFERROR(INDEX('Analize meciuri'!$GV$4:$GV$103,MATCH($A137,'Analize meciuri'!$A$4:$A$103,0)),""))</x:f>
      </x:c>
      <x:c r="O137" s="1" t="str">
        <x:f>IF($A137="","",IFERROR(INDEX('Analize meciuri'!$GN$4:$GN$103,MATCH($A137,'Analize meciuri'!$A$4:$A$103,0)),""))</x:f>
      </x:c>
      <x:c r="P137" s="1"/>
      <x:c r="Q137" s="1"/>
      <x:c r="R137" s="1"/>
      <x:c r="S137" s="1"/>
      <x:c r="T137" s="1"/>
    </x:row>
    <x:row r="138" ht="15">
      <x:c r="A138" s="58"/>
      <x:c r="B138" s="87" t="str">
        <x:f>IF($A138="","",IFERROR(INDEX('Analize meciuri'!$C$4:$C$103,MATCH($A138,'Analize meciuri'!$A$4:$A$103,0)),""))</x:f>
      </x:c>
      <x:c r="C138" s="35" t="str">
        <x:f>IF($A138="","",IFERROR(INDEX('Analize meciuri'!$G$4:$G$103,MATCH($A138,'Analize meciuri'!$A$4:$A$103,0)),""))</x:f>
      </x:c>
      <x:c r="D138" s="35" t="str">
        <x:f>IF($A138="","",IFERROR(INDEX('Analize meciuri'!$H$4:$H$103,MATCH($A138,'Analize meciuri'!$A$4:$A$103,0)),""))</x:f>
      </x:c>
      <x:c r="E138" s="88" t="str">
        <x:f>IF($A138="","",IFERROR(INDEX('Analize meciuri'!$GP$4:$GP$103,MATCH($A138,'Analize meciuri'!$A$4:$A$103,0)),""))</x:f>
      </x:c>
      <x:c r="F138" s="89" t="str">
        <x:f>IF($A138="","",IFERROR(INDEX('Analize meciuri'!$GT$4:$GT$103,MATCH($A138,'Analize meciuri'!$A$4:$A$103,0)),""))</x:f>
      </x:c>
      <x:c r="G138" s="60"/>
      <x:c r="H138" s="60"/>
      <x:c r="I138" s="24"/>
      <x:c r="J138" s="90" t="str">
        <x:f t="shared" si="17"/>
      </x:c>
      <x:c r="K138" s="90" t="str">
        <x:f t="shared" si="18"/>
      </x:c>
      <x:c r="L138" s="90" t="str">
        <x:f t="shared" si="19"/>
      </x:c>
      <x:c r="M138" s="88" t="str">
        <x:f t="shared" si="20"/>
      </x:c>
      <x:c r="N138" s="25" t="str">
        <x:f>IF($A138="","",IFERROR(INDEX('Analize meciuri'!$GV$4:$GV$103,MATCH($A138,'Analize meciuri'!$A$4:$A$103,0)),""))</x:f>
      </x:c>
      <x:c r="O138" s="1" t="str">
        <x:f>IF($A138="","",IFERROR(INDEX('Analize meciuri'!$GN$4:$GN$103,MATCH($A138,'Analize meciuri'!$A$4:$A$103,0)),""))</x:f>
      </x:c>
      <x:c r="P138" s="1"/>
      <x:c r="Q138" s="1"/>
      <x:c r="R138" s="1"/>
      <x:c r="S138" s="1"/>
      <x:c r="T138" s="1"/>
    </x:row>
    <x:row r="139" ht="15">
      <x:c r="A139" s="58"/>
      <x:c r="B139" s="87" t="str">
        <x:f>IF($A139="","",IFERROR(INDEX('Analize meciuri'!$C$4:$C$103,MATCH($A139,'Analize meciuri'!$A$4:$A$103,0)),""))</x:f>
      </x:c>
      <x:c r="C139" s="35" t="str">
        <x:f>IF($A139="","",IFERROR(INDEX('Analize meciuri'!$G$4:$G$103,MATCH($A139,'Analize meciuri'!$A$4:$A$103,0)),""))</x:f>
      </x:c>
      <x:c r="D139" s="35" t="str">
        <x:f>IF($A139="","",IFERROR(INDEX('Analize meciuri'!$H$4:$H$103,MATCH($A139,'Analize meciuri'!$A$4:$A$103,0)),""))</x:f>
      </x:c>
      <x:c r="E139" s="88" t="str">
        <x:f>IF($A139="","",IFERROR(INDEX('Analize meciuri'!$GP$4:$GP$103,MATCH($A139,'Analize meciuri'!$A$4:$A$103,0)),""))</x:f>
      </x:c>
      <x:c r="F139" s="89" t="str">
        <x:f>IF($A139="","",IFERROR(INDEX('Analize meciuri'!$GT$4:$GT$103,MATCH($A139,'Analize meciuri'!$A$4:$A$103,0)),""))</x:f>
      </x:c>
      <x:c r="G139" s="60"/>
      <x:c r="H139" s="60"/>
      <x:c r="I139" s="24"/>
      <x:c r="J139" s="90" t="str">
        <x:f t="shared" si="17"/>
      </x:c>
      <x:c r="K139" s="90" t="str">
        <x:f t="shared" si="18"/>
      </x:c>
      <x:c r="L139" s="90" t="str">
        <x:f t="shared" si="19"/>
      </x:c>
      <x:c r="M139" s="88" t="str">
        <x:f t="shared" si="20"/>
      </x:c>
      <x:c r="N139" s="25" t="str">
        <x:f>IF($A139="","",IFERROR(INDEX('Analize meciuri'!$GV$4:$GV$103,MATCH($A139,'Analize meciuri'!$A$4:$A$103,0)),""))</x:f>
      </x:c>
      <x:c r="O139" s="1" t="str">
        <x:f>IF($A139="","",IFERROR(INDEX('Analize meciuri'!$GN$4:$GN$103,MATCH($A139,'Analize meciuri'!$A$4:$A$103,0)),""))</x:f>
      </x:c>
      <x:c r="P139" s="1"/>
      <x:c r="Q139" s="1"/>
      <x:c r="R139" s="1"/>
      <x:c r="S139" s="1"/>
      <x:c r="T139" s="1"/>
    </x:row>
    <x:row r="140" ht="15">
      <x:c r="A140" s="58"/>
      <x:c r="B140" s="87" t="str">
        <x:f>IF($A140="","",IFERROR(INDEX('Analize meciuri'!$C$4:$C$103,MATCH($A140,'Analize meciuri'!$A$4:$A$103,0)),""))</x:f>
      </x:c>
      <x:c r="C140" s="35" t="str">
        <x:f>IF($A140="","",IFERROR(INDEX('Analize meciuri'!$G$4:$G$103,MATCH($A140,'Analize meciuri'!$A$4:$A$103,0)),""))</x:f>
      </x:c>
      <x:c r="D140" s="35" t="str">
        <x:f>IF($A140="","",IFERROR(INDEX('Analize meciuri'!$H$4:$H$103,MATCH($A140,'Analize meciuri'!$A$4:$A$103,0)),""))</x:f>
      </x:c>
      <x:c r="E140" s="88" t="str">
        <x:f>IF($A140="","",IFERROR(INDEX('Analize meciuri'!$GP$4:$GP$103,MATCH($A140,'Analize meciuri'!$A$4:$A$103,0)),""))</x:f>
      </x:c>
      <x:c r="F140" s="89" t="str">
        <x:f>IF($A140="","",IFERROR(INDEX('Analize meciuri'!$GT$4:$GT$103,MATCH($A140,'Analize meciuri'!$A$4:$A$103,0)),""))</x:f>
      </x:c>
      <x:c r="G140" s="60"/>
      <x:c r="H140" s="60"/>
      <x:c r="I140" s="24"/>
      <x:c r="J140" s="90" t="str">
        <x:f t="shared" si="17"/>
      </x:c>
      <x:c r="K140" s="90" t="str">
        <x:f t="shared" si="18"/>
      </x:c>
      <x:c r="L140" s="90" t="str">
        <x:f t="shared" si="19"/>
      </x:c>
      <x:c r="M140" s="88" t="str">
        <x:f t="shared" si="20"/>
      </x:c>
      <x:c r="N140" s="25" t="str">
        <x:f>IF($A140="","",IFERROR(INDEX('Analize meciuri'!$GV$4:$GV$103,MATCH($A140,'Analize meciuri'!$A$4:$A$103,0)),""))</x:f>
      </x:c>
      <x:c r="O140" s="1" t="str">
        <x:f>IF($A140="","",IFERROR(INDEX('Analize meciuri'!$GN$4:$GN$103,MATCH($A140,'Analize meciuri'!$A$4:$A$103,0)),""))</x:f>
      </x:c>
      <x:c r="P140" s="1"/>
      <x:c r="Q140" s="1"/>
      <x:c r="R140" s="1"/>
      <x:c r="S140" s="1"/>
      <x:c r="T140" s="1"/>
    </x:row>
    <x:row r="141" ht="15">
      <x:c r="A141" s="58"/>
      <x:c r="B141" s="87" t="str">
        <x:f>IF($A141="","",IFERROR(INDEX('Analize meciuri'!$C$4:$C$103,MATCH($A141,'Analize meciuri'!$A$4:$A$103,0)),""))</x:f>
      </x:c>
      <x:c r="C141" s="35" t="str">
        <x:f>IF($A141="","",IFERROR(INDEX('Analize meciuri'!$G$4:$G$103,MATCH($A141,'Analize meciuri'!$A$4:$A$103,0)),""))</x:f>
      </x:c>
      <x:c r="D141" s="35" t="str">
        <x:f>IF($A141="","",IFERROR(INDEX('Analize meciuri'!$H$4:$H$103,MATCH($A141,'Analize meciuri'!$A$4:$A$103,0)),""))</x:f>
      </x:c>
      <x:c r="E141" s="88" t="str">
        <x:f>IF($A141="","",IFERROR(INDEX('Analize meciuri'!$GP$4:$GP$103,MATCH($A141,'Analize meciuri'!$A$4:$A$103,0)),""))</x:f>
      </x:c>
      <x:c r="F141" s="89" t="str">
        <x:f>IF($A141="","",IFERROR(INDEX('Analize meciuri'!$GT$4:$GT$103,MATCH($A141,'Analize meciuri'!$A$4:$A$103,0)),""))</x:f>
      </x:c>
      <x:c r="G141" s="60"/>
      <x:c r="H141" s="60"/>
      <x:c r="I141" s="24"/>
      <x:c r="J141" s="90" t="str">
        <x:f t="shared" si="17"/>
      </x:c>
      <x:c r="K141" s="90" t="str">
        <x:f t="shared" si="18"/>
      </x:c>
      <x:c r="L141" s="90" t="str">
        <x:f t="shared" si="19"/>
      </x:c>
      <x:c r="M141" s="88" t="str">
        <x:f t="shared" si="20"/>
      </x:c>
      <x:c r="N141" s="25" t="str">
        <x:f>IF($A141="","",IFERROR(INDEX('Analize meciuri'!$GV$4:$GV$103,MATCH($A141,'Analize meciuri'!$A$4:$A$103,0)),""))</x:f>
      </x:c>
      <x:c r="O141" s="1" t="str">
        <x:f>IF($A141="","",IFERROR(INDEX('Analize meciuri'!$GN$4:$GN$103,MATCH($A141,'Analize meciuri'!$A$4:$A$103,0)),""))</x:f>
      </x:c>
      <x:c r="P141" s="1"/>
      <x:c r="Q141" s="1"/>
      <x:c r="R141" s="1"/>
      <x:c r="S141" s="1"/>
      <x:c r="T141" s="1"/>
    </x:row>
    <x:row r="142" ht="15">
      <x:c r="A142" s="58"/>
      <x:c r="B142" s="87" t="str">
        <x:f>IF($A142="","",IFERROR(INDEX('Analize meciuri'!$C$4:$C$103,MATCH($A142,'Analize meciuri'!$A$4:$A$103,0)),""))</x:f>
      </x:c>
      <x:c r="C142" s="35" t="str">
        <x:f>IF($A142="","",IFERROR(INDEX('Analize meciuri'!$G$4:$G$103,MATCH($A142,'Analize meciuri'!$A$4:$A$103,0)),""))</x:f>
      </x:c>
      <x:c r="D142" s="35" t="str">
        <x:f>IF($A142="","",IFERROR(INDEX('Analize meciuri'!$H$4:$H$103,MATCH($A142,'Analize meciuri'!$A$4:$A$103,0)),""))</x:f>
      </x:c>
      <x:c r="E142" s="88" t="str">
        <x:f>IF($A142="","",IFERROR(INDEX('Analize meciuri'!$GP$4:$GP$103,MATCH($A142,'Analize meciuri'!$A$4:$A$103,0)),""))</x:f>
      </x:c>
      <x:c r="F142" s="89" t="str">
        <x:f>IF($A142="","",IFERROR(INDEX('Analize meciuri'!$GT$4:$GT$103,MATCH($A142,'Analize meciuri'!$A$4:$A$103,0)),""))</x:f>
      </x:c>
      <x:c r="G142" s="60"/>
      <x:c r="H142" s="60"/>
      <x:c r="I142" s="24"/>
      <x:c r="J142" s="90" t="str">
        <x:f t="shared" si="17"/>
      </x:c>
      <x:c r="K142" s="90" t="str">
        <x:f t="shared" si="18"/>
      </x:c>
      <x:c r="L142" s="90" t="str">
        <x:f t="shared" si="19"/>
      </x:c>
      <x:c r="M142" s="88" t="str">
        <x:f t="shared" si="20"/>
      </x:c>
      <x:c r="N142" s="25" t="str">
        <x:f>IF($A142="","",IFERROR(INDEX('Analize meciuri'!$GV$4:$GV$103,MATCH($A142,'Analize meciuri'!$A$4:$A$103,0)),""))</x:f>
      </x:c>
      <x:c r="O142" s="1" t="str">
        <x:f>IF($A142="","",IFERROR(INDEX('Analize meciuri'!$GN$4:$GN$103,MATCH($A142,'Analize meciuri'!$A$4:$A$103,0)),""))</x:f>
      </x:c>
      <x:c r="P142" s="1"/>
      <x:c r="Q142" s="1"/>
      <x:c r="R142" s="1"/>
      <x:c r="S142" s="1"/>
      <x:c r="T142" s="1"/>
    </x:row>
    <x:row r="143" ht="15">
      <x:c r="A143" s="58"/>
      <x:c r="B143" s="87" t="str">
        <x:f>IF($A143="","",IFERROR(INDEX('Analize meciuri'!$C$4:$C$103,MATCH($A143,'Analize meciuri'!$A$4:$A$103,0)),""))</x:f>
      </x:c>
      <x:c r="C143" s="35" t="str">
        <x:f>IF($A143="","",IFERROR(INDEX('Analize meciuri'!$G$4:$G$103,MATCH($A143,'Analize meciuri'!$A$4:$A$103,0)),""))</x:f>
      </x:c>
      <x:c r="D143" s="35" t="str">
        <x:f>IF($A143="","",IFERROR(INDEX('Analize meciuri'!$H$4:$H$103,MATCH($A143,'Analize meciuri'!$A$4:$A$103,0)),""))</x:f>
      </x:c>
      <x:c r="E143" s="88" t="str">
        <x:f>IF($A143="","",IFERROR(INDEX('Analize meciuri'!$GP$4:$GP$103,MATCH($A143,'Analize meciuri'!$A$4:$A$103,0)),""))</x:f>
      </x:c>
      <x:c r="F143" s="89" t="str">
        <x:f>IF($A143="","",IFERROR(INDEX('Analize meciuri'!$GT$4:$GT$103,MATCH($A143,'Analize meciuri'!$A$4:$A$103,0)),""))</x:f>
      </x:c>
      <x:c r="G143" s="60"/>
      <x:c r="H143" s="60"/>
      <x:c r="I143" s="24"/>
      <x:c r="J143" s="90" t="str">
        <x:f t="shared" si="17"/>
      </x:c>
      <x:c r="K143" s="90" t="str">
        <x:f t="shared" si="18"/>
      </x:c>
      <x:c r="L143" s="90" t="str">
        <x:f t="shared" si="19"/>
      </x:c>
      <x:c r="M143" s="88" t="str">
        <x:f t="shared" si="20"/>
      </x:c>
      <x:c r="N143" s="25" t="str">
        <x:f>IF($A143="","",IFERROR(INDEX('Analize meciuri'!$GV$4:$GV$103,MATCH($A143,'Analize meciuri'!$A$4:$A$103,0)),""))</x:f>
      </x:c>
      <x:c r="O143" s="1" t="str">
        <x:f>IF($A143="","",IFERROR(INDEX('Analize meciuri'!$GN$4:$GN$103,MATCH($A143,'Analize meciuri'!$A$4:$A$103,0)),""))</x:f>
      </x:c>
      <x:c r="P143" s="1"/>
      <x:c r="Q143" s="1"/>
      <x:c r="R143" s="1"/>
      <x:c r="S143" s="1"/>
      <x:c r="T143" s="1"/>
    </x:row>
    <x:row r="144" ht="15">
      <x:c r="A144" s="58"/>
      <x:c r="B144" s="87" t="str">
        <x:f>IF($A144="","",IFERROR(INDEX('Analize meciuri'!$C$4:$C$103,MATCH($A144,'Analize meciuri'!$A$4:$A$103,0)),""))</x:f>
      </x:c>
      <x:c r="C144" s="35" t="str">
        <x:f>IF($A144="","",IFERROR(INDEX('Analize meciuri'!$G$4:$G$103,MATCH($A144,'Analize meciuri'!$A$4:$A$103,0)),""))</x:f>
      </x:c>
      <x:c r="D144" s="35" t="str">
        <x:f>IF($A144="","",IFERROR(INDEX('Analize meciuri'!$H$4:$H$103,MATCH($A144,'Analize meciuri'!$A$4:$A$103,0)),""))</x:f>
      </x:c>
      <x:c r="E144" s="88" t="str">
        <x:f>IF($A144="","",IFERROR(INDEX('Analize meciuri'!$GP$4:$GP$103,MATCH($A144,'Analize meciuri'!$A$4:$A$103,0)),""))</x:f>
      </x:c>
      <x:c r="F144" s="89" t="str">
        <x:f>IF($A144="","",IFERROR(INDEX('Analize meciuri'!$GT$4:$GT$103,MATCH($A144,'Analize meciuri'!$A$4:$A$103,0)),""))</x:f>
      </x:c>
      <x:c r="G144" s="60"/>
      <x:c r="H144" s="60"/>
      <x:c r="I144" s="24"/>
      <x:c r="J144" s="90" t="str">
        <x:f t="shared" si="17"/>
      </x:c>
      <x:c r="K144" s="90" t="str">
        <x:f t="shared" si="18"/>
      </x:c>
      <x:c r="L144" s="90" t="str">
        <x:f t="shared" si="19"/>
      </x:c>
      <x:c r="M144" s="88" t="str">
        <x:f t="shared" si="20"/>
      </x:c>
      <x:c r="N144" s="25" t="str">
        <x:f>IF($A144="","",IFERROR(INDEX('Analize meciuri'!$GV$4:$GV$103,MATCH($A144,'Analize meciuri'!$A$4:$A$103,0)),""))</x:f>
      </x:c>
      <x:c r="O144" s="1" t="str">
        <x:f>IF($A144="","",IFERROR(INDEX('Analize meciuri'!$GN$4:$GN$103,MATCH($A144,'Analize meciuri'!$A$4:$A$103,0)),""))</x:f>
      </x:c>
      <x:c r="P144" s="1"/>
      <x:c r="Q144" s="1"/>
      <x:c r="R144" s="1"/>
      <x:c r="S144" s="1"/>
      <x:c r="T144" s="1"/>
    </x:row>
    <x:row r="145" ht="15">
      <x:c r="A145" s="58"/>
      <x:c r="B145" s="87" t="str">
        <x:f>IF($A145="","",IFERROR(INDEX('Analize meciuri'!$C$4:$C$103,MATCH($A145,'Analize meciuri'!$A$4:$A$103,0)),""))</x:f>
      </x:c>
      <x:c r="C145" s="35" t="str">
        <x:f>IF($A145="","",IFERROR(INDEX('Analize meciuri'!$G$4:$G$103,MATCH($A145,'Analize meciuri'!$A$4:$A$103,0)),""))</x:f>
      </x:c>
      <x:c r="D145" s="35" t="str">
        <x:f>IF($A145="","",IFERROR(INDEX('Analize meciuri'!$H$4:$H$103,MATCH($A145,'Analize meciuri'!$A$4:$A$103,0)),""))</x:f>
      </x:c>
      <x:c r="E145" s="88" t="str">
        <x:f>IF($A145="","",IFERROR(INDEX('Analize meciuri'!$GP$4:$GP$103,MATCH($A145,'Analize meciuri'!$A$4:$A$103,0)),""))</x:f>
      </x:c>
      <x:c r="F145" s="89" t="str">
        <x:f>IF($A145="","",IFERROR(INDEX('Analize meciuri'!$GT$4:$GT$103,MATCH($A145,'Analize meciuri'!$A$4:$A$103,0)),""))</x:f>
      </x:c>
      <x:c r="G145" s="60"/>
      <x:c r="H145" s="60"/>
      <x:c r="I145" s="24"/>
      <x:c r="J145" s="90" t="str">
        <x:f t="shared" si="17"/>
      </x:c>
      <x:c r="K145" s="90" t="str">
        <x:f t="shared" si="18"/>
      </x:c>
      <x:c r="L145" s="90" t="str">
        <x:f t="shared" si="19"/>
      </x:c>
      <x:c r="M145" s="88" t="str">
        <x:f t="shared" si="20"/>
      </x:c>
      <x:c r="N145" s="25" t="str">
        <x:f>IF($A145="","",IFERROR(INDEX('Analize meciuri'!$GV$4:$GV$103,MATCH($A145,'Analize meciuri'!$A$4:$A$103,0)),""))</x:f>
      </x:c>
      <x:c r="O145" s="1" t="str">
        <x:f>IF($A145="","",IFERROR(INDEX('Analize meciuri'!$GN$4:$GN$103,MATCH($A145,'Analize meciuri'!$A$4:$A$103,0)),""))</x:f>
      </x:c>
      <x:c r="P145" s="1"/>
      <x:c r="Q145" s="1"/>
      <x:c r="R145" s="1"/>
      <x:c r="S145" s="1"/>
      <x:c r="T145" s="1"/>
    </x:row>
    <x:row r="146" ht="15">
      <x:c r="A146" s="58"/>
      <x:c r="B146" s="87" t="str">
        <x:f>IF($A146="","",IFERROR(INDEX('Analize meciuri'!$C$4:$C$103,MATCH($A146,'Analize meciuri'!$A$4:$A$103,0)),""))</x:f>
      </x:c>
      <x:c r="C146" s="35" t="str">
        <x:f>IF($A146="","",IFERROR(INDEX('Analize meciuri'!$G$4:$G$103,MATCH($A146,'Analize meciuri'!$A$4:$A$103,0)),""))</x:f>
      </x:c>
      <x:c r="D146" s="35" t="str">
        <x:f>IF($A146="","",IFERROR(INDEX('Analize meciuri'!$H$4:$H$103,MATCH($A146,'Analize meciuri'!$A$4:$A$103,0)),""))</x:f>
      </x:c>
      <x:c r="E146" s="88" t="str">
        <x:f>IF($A146="","",IFERROR(INDEX('Analize meciuri'!$GP$4:$GP$103,MATCH($A146,'Analize meciuri'!$A$4:$A$103,0)),""))</x:f>
      </x:c>
      <x:c r="F146" s="89" t="str">
        <x:f>IF($A146="","",IFERROR(INDEX('Analize meciuri'!$GT$4:$GT$103,MATCH($A146,'Analize meciuri'!$A$4:$A$103,0)),""))</x:f>
      </x:c>
      <x:c r="G146" s="60"/>
      <x:c r="H146" s="60"/>
      <x:c r="I146" s="24"/>
      <x:c r="J146" s="90" t="str">
        <x:f t="shared" si="17"/>
      </x:c>
      <x:c r="K146" s="90" t="str">
        <x:f t="shared" si="18"/>
      </x:c>
      <x:c r="L146" s="90" t="str">
        <x:f t="shared" si="19"/>
      </x:c>
      <x:c r="M146" s="88" t="str">
        <x:f t="shared" si="20"/>
      </x:c>
      <x:c r="N146" s="25" t="str">
        <x:f>IF($A146="","",IFERROR(INDEX('Analize meciuri'!$GV$4:$GV$103,MATCH($A146,'Analize meciuri'!$A$4:$A$103,0)),""))</x:f>
      </x:c>
      <x:c r="O146" s="1" t="str">
        <x:f>IF($A146="","",IFERROR(INDEX('Analize meciuri'!$GN$4:$GN$103,MATCH($A146,'Analize meciuri'!$A$4:$A$103,0)),""))</x:f>
      </x:c>
      <x:c r="P146" s="1"/>
      <x:c r="Q146" s="1"/>
      <x:c r="R146" s="1"/>
      <x:c r="S146" s="1"/>
      <x:c r="T146" s="1"/>
    </x:row>
    <x:row r="147" ht="15">
      <x:c r="A147" s="58"/>
      <x:c r="B147" s="87" t="str">
        <x:f>IF($A147="","",IFERROR(INDEX('Analize meciuri'!$C$4:$C$103,MATCH($A147,'Analize meciuri'!$A$4:$A$103,0)),""))</x:f>
      </x:c>
      <x:c r="C147" s="35" t="str">
        <x:f>IF($A147="","",IFERROR(INDEX('Analize meciuri'!$G$4:$G$103,MATCH($A147,'Analize meciuri'!$A$4:$A$103,0)),""))</x:f>
      </x:c>
      <x:c r="D147" s="35" t="str">
        <x:f>IF($A147="","",IFERROR(INDEX('Analize meciuri'!$H$4:$H$103,MATCH($A147,'Analize meciuri'!$A$4:$A$103,0)),""))</x:f>
      </x:c>
      <x:c r="E147" s="88" t="str">
        <x:f>IF($A147="","",IFERROR(INDEX('Analize meciuri'!$GP$4:$GP$103,MATCH($A147,'Analize meciuri'!$A$4:$A$103,0)),""))</x:f>
      </x:c>
      <x:c r="F147" s="89" t="str">
        <x:f>IF($A147="","",IFERROR(INDEX('Analize meciuri'!$GT$4:$GT$103,MATCH($A147,'Analize meciuri'!$A$4:$A$103,0)),""))</x:f>
      </x:c>
      <x:c r="G147" s="60"/>
      <x:c r="H147" s="60"/>
      <x:c r="I147" s="24"/>
      <x:c r="J147" s="90" t="str">
        <x:f t="shared" si="17"/>
      </x:c>
      <x:c r="K147" s="90" t="str">
        <x:f t="shared" si="18"/>
      </x:c>
      <x:c r="L147" s="90" t="str">
        <x:f t="shared" si="19"/>
      </x:c>
      <x:c r="M147" s="88" t="str">
        <x:f t="shared" si="20"/>
      </x:c>
      <x:c r="N147" s="25" t="str">
        <x:f>IF($A147="","",IFERROR(INDEX('Analize meciuri'!$GV$4:$GV$103,MATCH($A147,'Analize meciuri'!$A$4:$A$103,0)),""))</x:f>
      </x:c>
      <x:c r="O147" s="1" t="str">
        <x:f>IF($A147="","",IFERROR(INDEX('Analize meciuri'!$GN$4:$GN$103,MATCH($A147,'Analize meciuri'!$A$4:$A$103,0)),""))</x:f>
      </x:c>
      <x:c r="P147" s="1"/>
      <x:c r="Q147" s="1"/>
      <x:c r="R147" s="1"/>
      <x:c r="S147" s="1"/>
      <x:c r="T147" s="1"/>
    </x:row>
    <x:row r="148" ht="15">
      <x:c r="A148" s="58"/>
      <x:c r="B148" s="87" t="str">
        <x:f>IF($A148="","",IFERROR(INDEX('Analize meciuri'!$C$4:$C$103,MATCH($A148,'Analize meciuri'!$A$4:$A$103,0)),""))</x:f>
      </x:c>
      <x:c r="C148" s="35" t="str">
        <x:f>IF($A148="","",IFERROR(INDEX('Analize meciuri'!$G$4:$G$103,MATCH($A148,'Analize meciuri'!$A$4:$A$103,0)),""))</x:f>
      </x:c>
      <x:c r="D148" s="35" t="str">
        <x:f>IF($A148="","",IFERROR(INDEX('Analize meciuri'!$H$4:$H$103,MATCH($A148,'Analize meciuri'!$A$4:$A$103,0)),""))</x:f>
      </x:c>
      <x:c r="E148" s="88" t="str">
        <x:f>IF($A148="","",IFERROR(INDEX('Analize meciuri'!$GP$4:$GP$103,MATCH($A148,'Analize meciuri'!$A$4:$A$103,0)),""))</x:f>
      </x:c>
      <x:c r="F148" s="89" t="str">
        <x:f>IF($A148="","",IFERROR(INDEX('Analize meciuri'!$GT$4:$GT$103,MATCH($A148,'Analize meciuri'!$A$4:$A$103,0)),""))</x:f>
      </x:c>
      <x:c r="G148" s="60"/>
      <x:c r="H148" s="60"/>
      <x:c r="I148" s="24"/>
      <x:c r="J148" s="90" t="str">
        <x:f t="shared" si="17"/>
      </x:c>
      <x:c r="K148" s="90" t="str">
        <x:f t="shared" si="18"/>
      </x:c>
      <x:c r="L148" s="90" t="str">
        <x:f t="shared" si="19"/>
      </x:c>
      <x:c r="M148" s="88" t="str">
        <x:f t="shared" si="20"/>
      </x:c>
      <x:c r="N148" s="25" t="str">
        <x:f>IF($A148="","",IFERROR(INDEX('Analize meciuri'!$GV$4:$GV$103,MATCH($A148,'Analize meciuri'!$A$4:$A$103,0)),""))</x:f>
      </x:c>
      <x:c r="O148" s="1" t="str">
        <x:f>IF($A148="","",IFERROR(INDEX('Analize meciuri'!$GN$4:$GN$103,MATCH($A148,'Analize meciuri'!$A$4:$A$103,0)),""))</x:f>
      </x:c>
      <x:c r="P148" s="1"/>
      <x:c r="Q148" s="1"/>
      <x:c r="R148" s="1"/>
      <x:c r="S148" s="1"/>
      <x:c r="T148" s="1"/>
    </x:row>
    <x:row r="149" ht="15">
      <x:c r="A149" s="58"/>
      <x:c r="B149" s="87" t="str">
        <x:f>IF($A149="","",IFERROR(INDEX('Analize meciuri'!$C$4:$C$103,MATCH($A149,'Analize meciuri'!$A$4:$A$103,0)),""))</x:f>
      </x:c>
      <x:c r="C149" s="35" t="str">
        <x:f>IF($A149="","",IFERROR(INDEX('Analize meciuri'!$G$4:$G$103,MATCH($A149,'Analize meciuri'!$A$4:$A$103,0)),""))</x:f>
      </x:c>
      <x:c r="D149" s="35" t="str">
        <x:f>IF($A149="","",IFERROR(INDEX('Analize meciuri'!$H$4:$H$103,MATCH($A149,'Analize meciuri'!$A$4:$A$103,0)),""))</x:f>
      </x:c>
      <x:c r="E149" s="88" t="str">
        <x:f>IF($A149="","",IFERROR(INDEX('Analize meciuri'!$GP$4:$GP$103,MATCH($A149,'Analize meciuri'!$A$4:$A$103,0)),""))</x:f>
      </x:c>
      <x:c r="F149" s="89" t="str">
        <x:f>IF($A149="","",IFERROR(INDEX('Analize meciuri'!$GT$4:$GT$103,MATCH($A149,'Analize meciuri'!$A$4:$A$103,0)),""))</x:f>
      </x:c>
      <x:c r="G149" s="60"/>
      <x:c r="H149" s="60"/>
      <x:c r="I149" s="24"/>
      <x:c r="J149" s="90" t="str">
        <x:f t="shared" si="17"/>
      </x:c>
      <x:c r="K149" s="90" t="str">
        <x:f t="shared" si="18"/>
      </x:c>
      <x:c r="L149" s="90" t="str">
        <x:f t="shared" si="19"/>
      </x:c>
      <x:c r="M149" s="88" t="str">
        <x:f t="shared" si="20"/>
      </x:c>
      <x:c r="N149" s="25" t="str">
        <x:f>IF($A149="","",IFERROR(INDEX('Analize meciuri'!$GV$4:$GV$103,MATCH($A149,'Analize meciuri'!$A$4:$A$103,0)),""))</x:f>
      </x:c>
      <x:c r="O149" s="1" t="str">
        <x:f>IF($A149="","",IFERROR(INDEX('Analize meciuri'!$GN$4:$GN$103,MATCH($A149,'Analize meciuri'!$A$4:$A$103,0)),""))</x:f>
      </x:c>
      <x:c r="P149" s="1"/>
      <x:c r="Q149" s="1"/>
      <x:c r="R149" s="1"/>
      <x:c r="S149" s="1"/>
      <x:c r="T149" s="1"/>
    </x:row>
    <x:row r="150" ht="15">
      <x:c r="A150" s="58"/>
      <x:c r="B150" s="87" t="str">
        <x:f>IF($A150="","",IFERROR(INDEX('Analize meciuri'!$C$4:$C$103,MATCH($A150,'Analize meciuri'!$A$4:$A$103,0)),""))</x:f>
      </x:c>
      <x:c r="C150" s="35" t="str">
        <x:f>IF($A150="","",IFERROR(INDEX('Analize meciuri'!$G$4:$G$103,MATCH($A150,'Analize meciuri'!$A$4:$A$103,0)),""))</x:f>
      </x:c>
      <x:c r="D150" s="35" t="str">
        <x:f>IF($A150="","",IFERROR(INDEX('Analize meciuri'!$H$4:$H$103,MATCH($A150,'Analize meciuri'!$A$4:$A$103,0)),""))</x:f>
      </x:c>
      <x:c r="E150" s="88" t="str">
        <x:f>IF($A150="","",IFERROR(INDEX('Analize meciuri'!$GP$4:$GP$103,MATCH($A150,'Analize meciuri'!$A$4:$A$103,0)),""))</x:f>
      </x:c>
      <x:c r="F150" s="89" t="str">
        <x:f>IF($A150="","",IFERROR(INDEX('Analize meciuri'!$GT$4:$GT$103,MATCH($A150,'Analize meciuri'!$A$4:$A$103,0)),""))</x:f>
      </x:c>
      <x:c r="G150" s="60"/>
      <x:c r="H150" s="60"/>
      <x:c r="I150" s="24"/>
      <x:c r="J150" s="90" t="str">
        <x:f t="shared" si="17"/>
      </x:c>
      <x:c r="K150" s="90" t="str">
        <x:f t="shared" si="18"/>
      </x:c>
      <x:c r="L150" s="90" t="str">
        <x:f t="shared" si="19"/>
      </x:c>
      <x:c r="M150" s="88" t="str">
        <x:f t="shared" si="20"/>
      </x:c>
      <x:c r="N150" s="25" t="str">
        <x:f>IF($A150="","",IFERROR(INDEX('Analize meciuri'!$GV$4:$GV$103,MATCH($A150,'Analize meciuri'!$A$4:$A$103,0)),""))</x:f>
      </x:c>
      <x:c r="O150" s="1" t="str">
        <x:f>IF($A150="","",IFERROR(INDEX('Analize meciuri'!$GN$4:$GN$103,MATCH($A150,'Analize meciuri'!$A$4:$A$103,0)),""))</x:f>
      </x:c>
      <x:c r="P150" s="1"/>
      <x:c r="Q150" s="1"/>
      <x:c r="R150" s="1"/>
      <x:c r="S150" s="1"/>
      <x:c r="T150" s="1"/>
    </x:row>
    <x:row r="151" ht="15">
      <x:c r="A151" s="58"/>
      <x:c r="B151" s="87" t="str">
        <x:f>IF($A151="","",IFERROR(INDEX('Analize meciuri'!$C$4:$C$103,MATCH($A151,'Analize meciuri'!$A$4:$A$103,0)),""))</x:f>
      </x:c>
      <x:c r="C151" s="35" t="str">
        <x:f>IF($A151="","",IFERROR(INDEX('Analize meciuri'!$G$4:$G$103,MATCH($A151,'Analize meciuri'!$A$4:$A$103,0)),""))</x:f>
      </x:c>
      <x:c r="D151" s="35" t="str">
        <x:f>IF($A151="","",IFERROR(INDEX('Analize meciuri'!$H$4:$H$103,MATCH($A151,'Analize meciuri'!$A$4:$A$103,0)),""))</x:f>
      </x:c>
      <x:c r="E151" s="88" t="str">
        <x:f>IF($A151="","",IFERROR(INDEX('Analize meciuri'!$GP$4:$GP$103,MATCH($A151,'Analize meciuri'!$A$4:$A$103,0)),""))</x:f>
      </x:c>
      <x:c r="F151" s="89" t="str">
        <x:f>IF($A151="","",IFERROR(INDEX('Analize meciuri'!$GT$4:$GT$103,MATCH($A151,'Analize meciuri'!$A$4:$A$103,0)),""))</x:f>
      </x:c>
      <x:c r="G151" s="60"/>
      <x:c r="H151" s="60"/>
      <x:c r="I151" s="24"/>
      <x:c r="J151" s="90" t="str">
        <x:f t="shared" si="17"/>
      </x:c>
      <x:c r="K151" s="90" t="str">
        <x:f t="shared" si="18"/>
      </x:c>
      <x:c r="L151" s="90" t="str">
        <x:f t="shared" si="19"/>
      </x:c>
      <x:c r="M151" s="88" t="str">
        <x:f t="shared" si="20"/>
      </x:c>
      <x:c r="N151" s="25" t="str">
        <x:f>IF($A151="","",IFERROR(INDEX('Analize meciuri'!$GV$4:$GV$103,MATCH($A151,'Analize meciuri'!$A$4:$A$103,0)),""))</x:f>
      </x:c>
      <x:c r="O151" s="1" t="str">
        <x:f>IF($A151="","",IFERROR(INDEX('Analize meciuri'!$GN$4:$GN$103,MATCH($A151,'Analize meciuri'!$A$4:$A$103,0)),""))</x:f>
      </x:c>
      <x:c r="P151" s="1"/>
      <x:c r="Q151" s="1"/>
      <x:c r="R151" s="1"/>
      <x:c r="S151" s="1"/>
      <x:c r="T151" s="1"/>
    </x:row>
    <x:row r="152" ht="15">
      <x:c r="A152" s="58"/>
      <x:c r="B152" s="87" t="str">
        <x:f>IF($A152="","",IFERROR(INDEX('Analize meciuri'!$C$4:$C$103,MATCH($A152,'Analize meciuri'!$A$4:$A$103,0)),""))</x:f>
      </x:c>
      <x:c r="C152" s="35" t="str">
        <x:f>IF($A152="","",IFERROR(INDEX('Analize meciuri'!$G$4:$G$103,MATCH($A152,'Analize meciuri'!$A$4:$A$103,0)),""))</x:f>
      </x:c>
      <x:c r="D152" s="35" t="str">
        <x:f>IF($A152="","",IFERROR(INDEX('Analize meciuri'!$H$4:$H$103,MATCH($A152,'Analize meciuri'!$A$4:$A$103,0)),""))</x:f>
      </x:c>
      <x:c r="E152" s="88" t="str">
        <x:f>IF($A152="","",IFERROR(INDEX('Analize meciuri'!$GP$4:$GP$103,MATCH($A152,'Analize meciuri'!$A$4:$A$103,0)),""))</x:f>
      </x:c>
      <x:c r="F152" s="89" t="str">
        <x:f>IF($A152="","",IFERROR(INDEX('Analize meciuri'!$GT$4:$GT$103,MATCH($A152,'Analize meciuri'!$A$4:$A$103,0)),""))</x:f>
      </x:c>
      <x:c r="G152" s="60"/>
      <x:c r="H152" s="60"/>
      <x:c r="I152" s="24"/>
      <x:c r="J152" s="90" t="str">
        <x:f t="shared" si="17"/>
      </x:c>
      <x:c r="K152" s="90" t="str">
        <x:f t="shared" si="18"/>
      </x:c>
      <x:c r="L152" s="90" t="str">
        <x:f t="shared" si="19"/>
      </x:c>
      <x:c r="M152" s="88" t="str">
        <x:f t="shared" si="20"/>
      </x:c>
      <x:c r="N152" s="25" t="str">
        <x:f>IF($A152="","",IFERROR(INDEX('Analize meciuri'!$GV$4:$GV$103,MATCH($A152,'Analize meciuri'!$A$4:$A$103,0)),""))</x:f>
      </x:c>
      <x:c r="O152" s="1" t="str">
        <x:f>IF($A152="","",IFERROR(INDEX('Analize meciuri'!$GN$4:$GN$103,MATCH($A152,'Analize meciuri'!$A$4:$A$103,0)),""))</x:f>
      </x:c>
      <x:c r="P152" s="1"/>
      <x:c r="Q152" s="1"/>
      <x:c r="R152" s="1"/>
      <x:c r="S152" s="1"/>
      <x:c r="T152" s="1"/>
    </x:row>
    <x:row r="153" ht="15">
      <x:c r="A153" s="58"/>
      <x:c r="B153" s="87" t="str">
        <x:f>IF($A153="","",IFERROR(INDEX('Analize meciuri'!$C$4:$C$103,MATCH($A153,'Analize meciuri'!$A$4:$A$103,0)),""))</x:f>
      </x:c>
      <x:c r="C153" s="35" t="str">
        <x:f>IF($A153="","",IFERROR(INDEX('Analize meciuri'!$G$4:$G$103,MATCH($A153,'Analize meciuri'!$A$4:$A$103,0)),""))</x:f>
      </x:c>
      <x:c r="D153" s="35" t="str">
        <x:f>IF($A153="","",IFERROR(INDEX('Analize meciuri'!$H$4:$H$103,MATCH($A153,'Analize meciuri'!$A$4:$A$103,0)),""))</x:f>
      </x:c>
      <x:c r="E153" s="88" t="str">
        <x:f>IF($A153="","",IFERROR(INDEX('Analize meciuri'!$GP$4:$GP$103,MATCH($A153,'Analize meciuri'!$A$4:$A$103,0)),""))</x:f>
      </x:c>
      <x:c r="F153" s="89" t="str">
        <x:f>IF($A153="","",IFERROR(INDEX('Analize meciuri'!$GT$4:$GT$103,MATCH($A153,'Analize meciuri'!$A$4:$A$103,0)),""))</x:f>
      </x:c>
      <x:c r="G153" s="60"/>
      <x:c r="H153" s="60"/>
      <x:c r="I153" s="24"/>
      <x:c r="J153" s="90" t="str">
        <x:f t="shared" si="17"/>
      </x:c>
      <x:c r="K153" s="90" t="str">
        <x:f t="shared" si="18"/>
      </x:c>
      <x:c r="L153" s="90" t="str">
        <x:f t="shared" si="19"/>
      </x:c>
      <x:c r="M153" s="88" t="str">
        <x:f t="shared" si="20"/>
      </x:c>
      <x:c r="N153" s="25" t="str">
        <x:f>IF($A153="","",IFERROR(INDEX('Analize meciuri'!$GV$4:$GV$103,MATCH($A153,'Analize meciuri'!$A$4:$A$103,0)),""))</x:f>
      </x:c>
      <x:c r="O153" s="1" t="str">
        <x:f>IF($A153="","",IFERROR(INDEX('Analize meciuri'!$GN$4:$GN$103,MATCH($A153,'Analize meciuri'!$A$4:$A$103,0)),""))</x:f>
      </x:c>
      <x:c r="P153" s="1"/>
      <x:c r="Q153" s="1"/>
      <x:c r="R153" s="1"/>
      <x:c r="S153" s="1"/>
      <x:c r="T153" s="1"/>
    </x:row>
    <x:row r="154" ht="15">
      <x:c r="A154" s="58"/>
      <x:c r="B154" s="87" t="str">
        <x:f>IF($A154="","",IFERROR(INDEX('Analize meciuri'!$C$4:$C$103,MATCH($A154,'Analize meciuri'!$A$4:$A$103,0)),""))</x:f>
      </x:c>
      <x:c r="C154" s="35" t="str">
        <x:f>IF($A154="","",IFERROR(INDEX('Analize meciuri'!$G$4:$G$103,MATCH($A154,'Analize meciuri'!$A$4:$A$103,0)),""))</x:f>
      </x:c>
      <x:c r="D154" s="35" t="str">
        <x:f>IF($A154="","",IFERROR(INDEX('Analize meciuri'!$H$4:$H$103,MATCH($A154,'Analize meciuri'!$A$4:$A$103,0)),""))</x:f>
      </x:c>
      <x:c r="E154" s="88" t="str">
        <x:f>IF($A154="","",IFERROR(INDEX('Analize meciuri'!$GP$4:$GP$103,MATCH($A154,'Analize meciuri'!$A$4:$A$103,0)),""))</x:f>
      </x:c>
      <x:c r="F154" s="89" t="str">
        <x:f>IF($A154="","",IFERROR(INDEX('Analize meciuri'!$GT$4:$GT$103,MATCH($A154,'Analize meciuri'!$A$4:$A$103,0)),""))</x:f>
      </x:c>
      <x:c r="G154" s="60"/>
      <x:c r="H154" s="60"/>
      <x:c r="I154" s="24"/>
      <x:c r="J154" s="90" t="str">
        <x:f t="shared" si="17"/>
      </x:c>
      <x:c r="K154" s="90" t="str">
        <x:f t="shared" si="18"/>
      </x:c>
      <x:c r="L154" s="90" t="str">
        <x:f t="shared" si="19"/>
      </x:c>
      <x:c r="M154" s="88" t="str">
        <x:f t="shared" si="20"/>
      </x:c>
      <x:c r="N154" s="25" t="str">
        <x:f>IF($A154="","",IFERROR(INDEX('Analize meciuri'!$GV$4:$GV$103,MATCH($A154,'Analize meciuri'!$A$4:$A$103,0)),""))</x:f>
      </x:c>
      <x:c r="O154" s="1" t="str">
        <x:f>IF($A154="","",IFERROR(INDEX('Analize meciuri'!$GN$4:$GN$103,MATCH($A154,'Analize meciuri'!$A$4:$A$103,0)),""))</x:f>
      </x:c>
      <x:c r="P154" s="1"/>
      <x:c r="Q154" s="1"/>
      <x:c r="R154" s="1"/>
      <x:c r="S154" s="1"/>
      <x:c r="T154" s="1"/>
    </x:row>
    <x:row r="155" ht="15">
      <x:c r="A155" s="58"/>
      <x:c r="B155" s="87" t="str">
        <x:f>IF($A155="","",IFERROR(INDEX('Analize meciuri'!$C$4:$C$103,MATCH($A155,'Analize meciuri'!$A$4:$A$103,0)),""))</x:f>
      </x:c>
      <x:c r="C155" s="35" t="str">
        <x:f>IF($A155="","",IFERROR(INDEX('Analize meciuri'!$G$4:$G$103,MATCH($A155,'Analize meciuri'!$A$4:$A$103,0)),""))</x:f>
      </x:c>
      <x:c r="D155" s="35" t="str">
        <x:f>IF($A155="","",IFERROR(INDEX('Analize meciuri'!$H$4:$H$103,MATCH($A155,'Analize meciuri'!$A$4:$A$103,0)),""))</x:f>
      </x:c>
      <x:c r="E155" s="88" t="str">
        <x:f>IF($A155="","",IFERROR(INDEX('Analize meciuri'!$GP$4:$GP$103,MATCH($A155,'Analize meciuri'!$A$4:$A$103,0)),""))</x:f>
      </x:c>
      <x:c r="F155" s="89" t="str">
        <x:f>IF($A155="","",IFERROR(INDEX('Analize meciuri'!$GT$4:$GT$103,MATCH($A155,'Analize meciuri'!$A$4:$A$103,0)),""))</x:f>
      </x:c>
      <x:c r="G155" s="60"/>
      <x:c r="H155" s="60"/>
      <x:c r="I155" s="24"/>
      <x:c r="J155" s="90" t="str">
        <x:f t="shared" si="17"/>
      </x:c>
      <x:c r="K155" s="90" t="str">
        <x:f t="shared" si="18"/>
      </x:c>
      <x:c r="L155" s="90" t="str">
        <x:f t="shared" si="19"/>
      </x:c>
      <x:c r="M155" s="88" t="str">
        <x:f t="shared" si="20"/>
      </x:c>
      <x:c r="N155" s="25" t="str">
        <x:f>IF($A155="","",IFERROR(INDEX('Analize meciuri'!$GV$4:$GV$103,MATCH($A155,'Analize meciuri'!$A$4:$A$103,0)),""))</x:f>
      </x:c>
      <x:c r="O155" s="1" t="str">
        <x:f>IF($A155="","",IFERROR(INDEX('Analize meciuri'!$GN$4:$GN$103,MATCH($A155,'Analize meciuri'!$A$4:$A$103,0)),""))</x:f>
      </x:c>
      <x:c r="P155" s="1"/>
      <x:c r="Q155" s="1"/>
      <x:c r="R155" s="1"/>
      <x:c r="S155" s="1"/>
      <x:c r="T155" s="1"/>
    </x:row>
    <x:row r="156" ht="15">
      <x:c r="A156" s="58"/>
      <x:c r="B156" s="87" t="str">
        <x:f>IF($A156="","",IFERROR(INDEX('Analize meciuri'!$C$4:$C$103,MATCH($A156,'Analize meciuri'!$A$4:$A$103,0)),""))</x:f>
      </x:c>
      <x:c r="C156" s="35" t="str">
        <x:f>IF($A156="","",IFERROR(INDEX('Analize meciuri'!$G$4:$G$103,MATCH($A156,'Analize meciuri'!$A$4:$A$103,0)),""))</x:f>
      </x:c>
      <x:c r="D156" s="35" t="str">
        <x:f>IF($A156="","",IFERROR(INDEX('Analize meciuri'!$H$4:$H$103,MATCH($A156,'Analize meciuri'!$A$4:$A$103,0)),""))</x:f>
      </x:c>
      <x:c r="E156" s="88" t="str">
        <x:f>IF($A156="","",IFERROR(INDEX('Analize meciuri'!$GP$4:$GP$103,MATCH($A156,'Analize meciuri'!$A$4:$A$103,0)),""))</x:f>
      </x:c>
      <x:c r="F156" s="89" t="str">
        <x:f>IF($A156="","",IFERROR(INDEX('Analize meciuri'!$GT$4:$GT$103,MATCH($A156,'Analize meciuri'!$A$4:$A$103,0)),""))</x:f>
      </x:c>
      <x:c r="G156" s="60"/>
      <x:c r="H156" s="60"/>
      <x:c r="I156" s="24"/>
      <x:c r="J156" s="90" t="str">
        <x:f t="shared" si="17"/>
      </x:c>
      <x:c r="K156" s="90" t="str">
        <x:f t="shared" si="18"/>
      </x:c>
      <x:c r="L156" s="90" t="str">
        <x:f t="shared" si="19"/>
      </x:c>
      <x:c r="M156" s="88" t="str">
        <x:f t="shared" si="20"/>
      </x:c>
      <x:c r="N156" s="25" t="str">
        <x:f>IF($A156="","",IFERROR(INDEX('Analize meciuri'!$GV$4:$GV$103,MATCH($A156,'Analize meciuri'!$A$4:$A$103,0)),""))</x:f>
      </x:c>
      <x:c r="O156" s="1" t="str">
        <x:f>IF($A156="","",IFERROR(INDEX('Analize meciuri'!$GN$4:$GN$103,MATCH($A156,'Analize meciuri'!$A$4:$A$103,0)),""))</x:f>
      </x:c>
      <x:c r="P156" s="1"/>
      <x:c r="Q156" s="1"/>
      <x:c r="R156" s="1"/>
      <x:c r="S156" s="1"/>
      <x:c r="T156" s="1"/>
    </x:row>
    <x:row r="157" ht="15">
      <x:c r="A157" s="58"/>
      <x:c r="B157" s="87" t="str">
        <x:f>IF($A157="","",IFERROR(INDEX('Analize meciuri'!$C$4:$C$103,MATCH($A157,'Analize meciuri'!$A$4:$A$103,0)),""))</x:f>
      </x:c>
      <x:c r="C157" s="35" t="str">
        <x:f>IF($A157="","",IFERROR(INDEX('Analize meciuri'!$G$4:$G$103,MATCH($A157,'Analize meciuri'!$A$4:$A$103,0)),""))</x:f>
      </x:c>
      <x:c r="D157" s="35" t="str">
        <x:f>IF($A157="","",IFERROR(INDEX('Analize meciuri'!$H$4:$H$103,MATCH($A157,'Analize meciuri'!$A$4:$A$103,0)),""))</x:f>
      </x:c>
      <x:c r="E157" s="88" t="str">
        <x:f>IF($A157="","",IFERROR(INDEX('Analize meciuri'!$GP$4:$GP$103,MATCH($A157,'Analize meciuri'!$A$4:$A$103,0)),""))</x:f>
      </x:c>
      <x:c r="F157" s="89" t="str">
        <x:f>IF($A157="","",IFERROR(INDEX('Analize meciuri'!$GT$4:$GT$103,MATCH($A157,'Analize meciuri'!$A$4:$A$103,0)),""))</x:f>
      </x:c>
      <x:c r="G157" s="60"/>
      <x:c r="H157" s="60"/>
      <x:c r="I157" s="24"/>
      <x:c r="J157" s="90" t="str">
        <x:f t="shared" si="17"/>
      </x:c>
      <x:c r="K157" s="90" t="str">
        <x:f t="shared" si="18"/>
      </x:c>
      <x:c r="L157" s="90" t="str">
        <x:f t="shared" si="19"/>
      </x:c>
      <x:c r="M157" s="88" t="str">
        <x:f t="shared" si="20"/>
      </x:c>
      <x:c r="N157" s="25" t="str">
        <x:f>IF($A157="","",IFERROR(INDEX('Analize meciuri'!$GV$4:$GV$103,MATCH($A157,'Analize meciuri'!$A$4:$A$103,0)),""))</x:f>
      </x:c>
      <x:c r="O157" s="1" t="str">
        <x:f>IF($A157="","",IFERROR(INDEX('Analize meciuri'!$GN$4:$GN$103,MATCH($A157,'Analize meciuri'!$A$4:$A$103,0)),""))</x:f>
      </x:c>
      <x:c r="P157" s="1"/>
      <x:c r="Q157" s="1"/>
      <x:c r="R157" s="1"/>
      <x:c r="S157" s="1"/>
      <x:c r="T157" s="1"/>
    </x:row>
    <x:row r="158" ht="15">
      <x:c r="A158" s="58"/>
      <x:c r="B158" s="87" t="str">
        <x:f>IF($A158="","",IFERROR(INDEX('Analize meciuri'!$C$4:$C$103,MATCH($A158,'Analize meciuri'!$A$4:$A$103,0)),""))</x:f>
      </x:c>
      <x:c r="C158" s="35" t="str">
        <x:f>IF($A158="","",IFERROR(INDEX('Analize meciuri'!$G$4:$G$103,MATCH($A158,'Analize meciuri'!$A$4:$A$103,0)),""))</x:f>
      </x:c>
      <x:c r="D158" s="35" t="str">
        <x:f>IF($A158="","",IFERROR(INDEX('Analize meciuri'!$H$4:$H$103,MATCH($A158,'Analize meciuri'!$A$4:$A$103,0)),""))</x:f>
      </x:c>
      <x:c r="E158" s="88" t="str">
        <x:f>IF($A158="","",IFERROR(INDEX('Analize meciuri'!$GP$4:$GP$103,MATCH($A158,'Analize meciuri'!$A$4:$A$103,0)),""))</x:f>
      </x:c>
      <x:c r="F158" s="89" t="str">
        <x:f>IF($A158="","",IFERROR(INDEX('Analize meciuri'!$GT$4:$GT$103,MATCH($A158,'Analize meciuri'!$A$4:$A$103,0)),""))</x:f>
      </x:c>
      <x:c r="G158" s="60"/>
      <x:c r="H158" s="60"/>
      <x:c r="I158" s="24"/>
      <x:c r="J158" s="90" t="str">
        <x:f t="shared" si="17"/>
      </x:c>
      <x:c r="K158" s="90" t="str">
        <x:f t="shared" si="18"/>
      </x:c>
      <x:c r="L158" s="90" t="str">
        <x:f t="shared" si="19"/>
      </x:c>
      <x:c r="M158" s="88" t="str">
        <x:f t="shared" si="20"/>
      </x:c>
      <x:c r="N158" s="25" t="str">
        <x:f>IF($A158="","",IFERROR(INDEX('Analize meciuri'!$GV$4:$GV$103,MATCH($A158,'Analize meciuri'!$A$4:$A$103,0)),""))</x:f>
      </x:c>
      <x:c r="O158" s="1" t="str">
        <x:f>IF($A158="","",IFERROR(INDEX('Analize meciuri'!$GN$4:$GN$103,MATCH($A158,'Analize meciuri'!$A$4:$A$103,0)),""))</x:f>
      </x:c>
      <x:c r="P158" s="1"/>
      <x:c r="Q158" s="1"/>
      <x:c r="R158" s="1"/>
      <x:c r="S158" s="1"/>
      <x:c r="T158" s="1"/>
    </x:row>
    <x:row r="159" ht="15">
      <x:c r="A159" s="58"/>
      <x:c r="B159" s="87" t="str">
        <x:f>IF($A159="","",IFERROR(INDEX('Analize meciuri'!$C$4:$C$103,MATCH($A159,'Analize meciuri'!$A$4:$A$103,0)),""))</x:f>
      </x:c>
      <x:c r="C159" s="35" t="str">
        <x:f>IF($A159="","",IFERROR(INDEX('Analize meciuri'!$G$4:$G$103,MATCH($A159,'Analize meciuri'!$A$4:$A$103,0)),""))</x:f>
      </x:c>
      <x:c r="D159" s="35" t="str">
        <x:f>IF($A159="","",IFERROR(INDEX('Analize meciuri'!$H$4:$H$103,MATCH($A159,'Analize meciuri'!$A$4:$A$103,0)),""))</x:f>
      </x:c>
      <x:c r="E159" s="88" t="str">
        <x:f>IF($A159="","",IFERROR(INDEX('Analize meciuri'!$GP$4:$GP$103,MATCH($A159,'Analize meciuri'!$A$4:$A$103,0)),""))</x:f>
      </x:c>
      <x:c r="F159" s="89" t="str">
        <x:f>IF($A159="","",IFERROR(INDEX('Analize meciuri'!$GT$4:$GT$103,MATCH($A159,'Analize meciuri'!$A$4:$A$103,0)),""))</x:f>
      </x:c>
      <x:c r="G159" s="60"/>
      <x:c r="H159" s="60"/>
      <x:c r="I159" s="24"/>
      <x:c r="J159" s="90" t="str">
        <x:f t="shared" si="17"/>
      </x:c>
      <x:c r="K159" s="90" t="str">
        <x:f t="shared" si="18"/>
      </x:c>
      <x:c r="L159" s="90" t="str">
        <x:f t="shared" si="19"/>
      </x:c>
      <x:c r="M159" s="88" t="str">
        <x:f t="shared" si="20"/>
      </x:c>
      <x:c r="N159" s="25" t="str">
        <x:f>IF($A159="","",IFERROR(INDEX('Analize meciuri'!$GV$4:$GV$103,MATCH($A159,'Analize meciuri'!$A$4:$A$103,0)),""))</x:f>
      </x:c>
      <x:c r="O159" s="1" t="str">
        <x:f>IF($A159="","",IFERROR(INDEX('Analize meciuri'!$GN$4:$GN$103,MATCH($A159,'Analize meciuri'!$A$4:$A$103,0)),""))</x:f>
      </x:c>
      <x:c r="P159" s="1"/>
      <x:c r="Q159" s="1"/>
      <x:c r="R159" s="1"/>
      <x:c r="S159" s="1"/>
      <x:c r="T159" s="1"/>
    </x:row>
    <x:row r="160" ht="15">
      <x:c r="A160" s="58"/>
      <x:c r="B160" s="87" t="str">
        <x:f>IF($A160="","",IFERROR(INDEX('Analize meciuri'!$C$4:$C$103,MATCH($A160,'Analize meciuri'!$A$4:$A$103,0)),""))</x:f>
      </x:c>
      <x:c r="C160" s="35" t="str">
        <x:f>IF($A160="","",IFERROR(INDEX('Analize meciuri'!$G$4:$G$103,MATCH($A160,'Analize meciuri'!$A$4:$A$103,0)),""))</x:f>
      </x:c>
      <x:c r="D160" s="35" t="str">
        <x:f>IF($A160="","",IFERROR(INDEX('Analize meciuri'!$H$4:$H$103,MATCH($A160,'Analize meciuri'!$A$4:$A$103,0)),""))</x:f>
      </x:c>
      <x:c r="E160" s="88" t="str">
        <x:f>IF($A160="","",IFERROR(INDEX('Analize meciuri'!$GP$4:$GP$103,MATCH($A160,'Analize meciuri'!$A$4:$A$103,0)),""))</x:f>
      </x:c>
      <x:c r="F160" s="89" t="str">
        <x:f>IF($A160="","",IFERROR(INDEX('Analize meciuri'!$GT$4:$GT$103,MATCH($A160,'Analize meciuri'!$A$4:$A$103,0)),""))</x:f>
      </x:c>
      <x:c r="G160" s="60"/>
      <x:c r="H160" s="60"/>
      <x:c r="I160" s="24"/>
      <x:c r="J160" s="90" t="str">
        <x:f t="shared" si="17"/>
      </x:c>
      <x:c r="K160" s="90" t="str">
        <x:f t="shared" si="18"/>
      </x:c>
      <x:c r="L160" s="90" t="str">
        <x:f t="shared" si="19"/>
      </x:c>
      <x:c r="M160" s="88" t="str">
        <x:f t="shared" si="20"/>
      </x:c>
      <x:c r="N160" s="25" t="str">
        <x:f>IF($A160="","",IFERROR(INDEX('Analize meciuri'!$GV$4:$GV$103,MATCH($A160,'Analize meciuri'!$A$4:$A$103,0)),""))</x:f>
      </x:c>
      <x:c r="O160" s="1" t="str">
        <x:f>IF($A160="","",IFERROR(INDEX('Analize meciuri'!$GN$4:$GN$103,MATCH($A160,'Analize meciuri'!$A$4:$A$103,0)),""))</x:f>
      </x:c>
      <x:c r="P160" s="1"/>
      <x:c r="Q160" s="1"/>
      <x:c r="R160" s="1"/>
      <x:c r="S160" s="1"/>
      <x:c r="T160" s="1"/>
    </x:row>
    <x:row r="161" ht="15">
      <x:c r="A161" s="58"/>
      <x:c r="B161" s="87" t="str">
        <x:f>IF($A161="","",IFERROR(INDEX('Analize meciuri'!$C$4:$C$103,MATCH($A161,'Analize meciuri'!$A$4:$A$103,0)),""))</x:f>
      </x:c>
      <x:c r="C161" s="35" t="str">
        <x:f>IF($A161="","",IFERROR(INDEX('Analize meciuri'!$G$4:$G$103,MATCH($A161,'Analize meciuri'!$A$4:$A$103,0)),""))</x:f>
      </x:c>
      <x:c r="D161" s="35" t="str">
        <x:f>IF($A161="","",IFERROR(INDEX('Analize meciuri'!$H$4:$H$103,MATCH($A161,'Analize meciuri'!$A$4:$A$103,0)),""))</x:f>
      </x:c>
      <x:c r="E161" s="88" t="str">
        <x:f>IF($A161="","",IFERROR(INDEX('Analize meciuri'!$GP$4:$GP$103,MATCH($A161,'Analize meciuri'!$A$4:$A$103,0)),""))</x:f>
      </x:c>
      <x:c r="F161" s="89" t="str">
        <x:f>IF($A161="","",IFERROR(INDEX('Analize meciuri'!$GT$4:$GT$103,MATCH($A161,'Analize meciuri'!$A$4:$A$103,0)),""))</x:f>
      </x:c>
      <x:c r="G161" s="60"/>
      <x:c r="H161" s="60"/>
      <x:c r="I161" s="24"/>
      <x:c r="J161" s="90" t="str">
        <x:f t="shared" si="17"/>
      </x:c>
      <x:c r="K161" s="90" t="str">
        <x:f t="shared" si="18"/>
      </x:c>
      <x:c r="L161" s="90" t="str">
        <x:f t="shared" si="19"/>
      </x:c>
      <x:c r="M161" s="88" t="str">
        <x:f t="shared" si="20"/>
      </x:c>
      <x:c r="N161" s="25" t="str">
        <x:f>IF($A161="","",IFERROR(INDEX('Analize meciuri'!$GV$4:$GV$103,MATCH($A161,'Analize meciuri'!$A$4:$A$103,0)),""))</x:f>
      </x:c>
      <x:c r="O161" s="1" t="str">
        <x:f>IF($A161="","",IFERROR(INDEX('Analize meciuri'!$GN$4:$GN$103,MATCH($A161,'Analize meciuri'!$A$4:$A$103,0)),""))</x:f>
      </x:c>
      <x:c r="P161" s="1"/>
      <x:c r="Q161" s="1"/>
      <x:c r="R161" s="1"/>
      <x:c r="S161" s="1"/>
      <x:c r="T161" s="1"/>
    </x:row>
    <x:row r="162" ht="15">
      <x:c r="A162" s="58"/>
      <x:c r="B162" s="87" t="str">
        <x:f>IF($A162="","",IFERROR(INDEX('Analize meciuri'!$C$4:$C$103,MATCH($A162,'Analize meciuri'!$A$4:$A$103,0)),""))</x:f>
      </x:c>
      <x:c r="C162" s="35" t="str">
        <x:f>IF($A162="","",IFERROR(INDEX('Analize meciuri'!$G$4:$G$103,MATCH($A162,'Analize meciuri'!$A$4:$A$103,0)),""))</x:f>
      </x:c>
      <x:c r="D162" s="35" t="str">
        <x:f>IF($A162="","",IFERROR(INDEX('Analize meciuri'!$H$4:$H$103,MATCH($A162,'Analize meciuri'!$A$4:$A$103,0)),""))</x:f>
      </x:c>
      <x:c r="E162" s="88" t="str">
        <x:f>IF($A162="","",IFERROR(INDEX('Analize meciuri'!$GP$4:$GP$103,MATCH($A162,'Analize meciuri'!$A$4:$A$103,0)),""))</x:f>
      </x:c>
      <x:c r="F162" s="89" t="str">
        <x:f>IF($A162="","",IFERROR(INDEX('Analize meciuri'!$GT$4:$GT$103,MATCH($A162,'Analize meciuri'!$A$4:$A$103,0)),""))</x:f>
      </x:c>
      <x:c r="G162" s="60"/>
      <x:c r="H162" s="60"/>
      <x:c r="I162" s="24"/>
      <x:c r="J162" s="90" t="str">
        <x:f t="shared" si="17"/>
      </x:c>
      <x:c r="K162" s="90" t="str">
        <x:f t="shared" si="18"/>
      </x:c>
      <x:c r="L162" s="90" t="str">
        <x:f t="shared" si="19"/>
      </x:c>
      <x:c r="M162" s="88" t="str">
        <x:f t="shared" si="20"/>
      </x:c>
      <x:c r="N162" s="25" t="str">
        <x:f>IF($A162="","",IFERROR(INDEX('Analize meciuri'!$GV$4:$GV$103,MATCH($A162,'Analize meciuri'!$A$4:$A$103,0)),""))</x:f>
      </x:c>
      <x:c r="O162" s="1" t="str">
        <x:f>IF($A162="","",IFERROR(INDEX('Analize meciuri'!$GN$4:$GN$103,MATCH($A162,'Analize meciuri'!$A$4:$A$103,0)),""))</x:f>
      </x:c>
      <x:c r="P162" s="1"/>
      <x:c r="Q162" s="1"/>
      <x:c r="R162" s="1"/>
      <x:c r="S162" s="1"/>
      <x:c r="T162" s="1"/>
    </x:row>
    <x:row r="163" ht="15">
      <x:c r="A163" s="58"/>
      <x:c r="B163" s="87" t="str">
        <x:f>IF($A163="","",IFERROR(INDEX('Analize meciuri'!$C$4:$C$103,MATCH($A163,'Analize meciuri'!$A$4:$A$103,0)),""))</x:f>
      </x:c>
      <x:c r="C163" s="35" t="str">
        <x:f>IF($A163="","",IFERROR(INDEX('Analize meciuri'!$G$4:$G$103,MATCH($A163,'Analize meciuri'!$A$4:$A$103,0)),""))</x:f>
      </x:c>
      <x:c r="D163" s="35" t="str">
        <x:f>IF($A163="","",IFERROR(INDEX('Analize meciuri'!$H$4:$H$103,MATCH($A163,'Analize meciuri'!$A$4:$A$103,0)),""))</x:f>
      </x:c>
      <x:c r="E163" s="88" t="str">
        <x:f>IF($A163="","",IFERROR(INDEX('Analize meciuri'!$GP$4:$GP$103,MATCH($A163,'Analize meciuri'!$A$4:$A$103,0)),""))</x:f>
      </x:c>
      <x:c r="F163" s="89" t="str">
        <x:f>IF($A163="","",IFERROR(INDEX('Analize meciuri'!$GT$4:$GT$103,MATCH($A163,'Analize meciuri'!$A$4:$A$103,0)),""))</x:f>
      </x:c>
      <x:c r="G163" s="60"/>
      <x:c r="H163" s="60"/>
      <x:c r="I163" s="24"/>
      <x:c r="J163" s="90" t="str">
        <x:f t="shared" si="17"/>
      </x:c>
      <x:c r="K163" s="90" t="str">
        <x:f t="shared" si="18"/>
      </x:c>
      <x:c r="L163" s="90" t="str">
        <x:f t="shared" si="19"/>
      </x:c>
      <x:c r="M163" s="88" t="str">
        <x:f t="shared" si="20"/>
      </x:c>
      <x:c r="N163" s="25" t="str">
        <x:f>IF($A163="","",IFERROR(INDEX('Analize meciuri'!$GV$4:$GV$103,MATCH($A163,'Analize meciuri'!$A$4:$A$103,0)),""))</x:f>
      </x:c>
      <x:c r="O163" s="1" t="str">
        <x:f>IF($A163="","",IFERROR(INDEX('Analize meciuri'!$GN$4:$GN$103,MATCH($A163,'Analize meciuri'!$A$4:$A$103,0)),""))</x:f>
      </x:c>
      <x:c r="P163" s="1"/>
      <x:c r="Q163" s="1"/>
      <x:c r="R163" s="1"/>
      <x:c r="S163" s="1"/>
      <x:c r="T163" s="1"/>
    </x:row>
    <x:row r="164" ht="15">
      <x:c r="A164" s="58"/>
      <x:c r="B164" s="87" t="str">
        <x:f>IF($A164="","",IFERROR(INDEX('Analize meciuri'!$C$4:$C$103,MATCH($A164,'Analize meciuri'!$A$4:$A$103,0)),""))</x:f>
      </x:c>
      <x:c r="C164" s="35" t="str">
        <x:f>IF($A164="","",IFERROR(INDEX('Analize meciuri'!$G$4:$G$103,MATCH($A164,'Analize meciuri'!$A$4:$A$103,0)),""))</x:f>
      </x:c>
      <x:c r="D164" s="35" t="str">
        <x:f>IF($A164="","",IFERROR(INDEX('Analize meciuri'!$H$4:$H$103,MATCH($A164,'Analize meciuri'!$A$4:$A$103,0)),""))</x:f>
      </x:c>
      <x:c r="E164" s="88" t="str">
        <x:f>IF($A164="","",IFERROR(INDEX('Analize meciuri'!$GP$4:$GP$103,MATCH($A164,'Analize meciuri'!$A$4:$A$103,0)),""))</x:f>
      </x:c>
      <x:c r="F164" s="89" t="str">
        <x:f>IF($A164="","",IFERROR(INDEX('Analize meciuri'!$GT$4:$GT$103,MATCH($A164,'Analize meciuri'!$A$4:$A$103,0)),""))</x:f>
      </x:c>
      <x:c r="G164" s="60"/>
      <x:c r="H164" s="60"/>
      <x:c r="I164" s="24"/>
      <x:c r="J164" s="90" t="str">
        <x:f t="shared" ref="J164:J195" si="21">IF(OR($A164="",I164="",G164=""),"",IF(I164=1,G164-1,-1))</x:f>
      </x:c>
      <x:c r="K164" s="90" t="str">
        <x:f t="shared" ref="K164:K195" si="22">IF(OR($A164="",I164=""),"",(E164-I164)^2)</x:f>
      </x:c>
      <x:c r="L164" s="90" t="str">
        <x:f t="shared" ref="L164:L195" si="23">IF(OR($A164="",I164=""),"",-(I164*LN(MAX(0.001,E164))+(1-I164)*LN(MAX(0.001,1-E164))))</x:f>
      </x:c>
      <x:c r="M164" s="88" t="str">
        <x:f t="shared" ref="M164:M195" si="24">IF(OR($A164="",G164="",H164=""),"",G164/H164-1)</x:f>
      </x:c>
      <x:c r="N164" s="25" t="str">
        <x:f>IF($A164="","",IFERROR(INDEX('Analize meciuri'!$GV$4:$GV$103,MATCH($A164,'Analize meciuri'!$A$4:$A$103,0)),""))</x:f>
      </x:c>
      <x:c r="O164" s="1" t="str">
        <x:f>IF($A164="","",IFERROR(INDEX('Analize meciuri'!$GN$4:$GN$103,MATCH($A164,'Analize meciuri'!$A$4:$A$103,0)),""))</x:f>
      </x:c>
      <x:c r="P164" s="1"/>
      <x:c r="Q164" s="1"/>
      <x:c r="R164" s="1"/>
      <x:c r="S164" s="1"/>
      <x:c r="T164" s="1"/>
    </x:row>
    <x:row r="165" ht="15">
      <x:c r="A165" s="58"/>
      <x:c r="B165" s="87" t="str">
        <x:f>IF($A165="","",IFERROR(INDEX('Analize meciuri'!$C$4:$C$103,MATCH($A165,'Analize meciuri'!$A$4:$A$103,0)),""))</x:f>
      </x:c>
      <x:c r="C165" s="35" t="str">
        <x:f>IF($A165="","",IFERROR(INDEX('Analize meciuri'!$G$4:$G$103,MATCH($A165,'Analize meciuri'!$A$4:$A$103,0)),""))</x:f>
      </x:c>
      <x:c r="D165" s="35" t="str">
        <x:f>IF($A165="","",IFERROR(INDEX('Analize meciuri'!$H$4:$H$103,MATCH($A165,'Analize meciuri'!$A$4:$A$103,0)),""))</x:f>
      </x:c>
      <x:c r="E165" s="88" t="str">
        <x:f>IF($A165="","",IFERROR(INDEX('Analize meciuri'!$GP$4:$GP$103,MATCH($A165,'Analize meciuri'!$A$4:$A$103,0)),""))</x:f>
      </x:c>
      <x:c r="F165" s="89" t="str">
        <x:f>IF($A165="","",IFERROR(INDEX('Analize meciuri'!$GT$4:$GT$103,MATCH($A165,'Analize meciuri'!$A$4:$A$103,0)),""))</x:f>
      </x:c>
      <x:c r="G165" s="60"/>
      <x:c r="H165" s="60"/>
      <x:c r="I165" s="24"/>
      <x:c r="J165" s="90" t="str">
        <x:f t="shared" si="21"/>
      </x:c>
      <x:c r="K165" s="90" t="str">
        <x:f t="shared" si="22"/>
      </x:c>
      <x:c r="L165" s="90" t="str">
        <x:f t="shared" si="23"/>
      </x:c>
      <x:c r="M165" s="88" t="str">
        <x:f t="shared" si="24"/>
      </x:c>
      <x:c r="N165" s="25" t="str">
        <x:f>IF($A165="","",IFERROR(INDEX('Analize meciuri'!$GV$4:$GV$103,MATCH($A165,'Analize meciuri'!$A$4:$A$103,0)),""))</x:f>
      </x:c>
      <x:c r="O165" s="1" t="str">
        <x:f>IF($A165="","",IFERROR(INDEX('Analize meciuri'!$GN$4:$GN$103,MATCH($A165,'Analize meciuri'!$A$4:$A$103,0)),""))</x:f>
      </x:c>
      <x:c r="P165" s="1"/>
      <x:c r="Q165" s="1"/>
      <x:c r="R165" s="1"/>
      <x:c r="S165" s="1"/>
      <x:c r="T165" s="1"/>
    </x:row>
    <x:row r="166" ht="15">
      <x:c r="A166" s="58"/>
      <x:c r="B166" s="87" t="str">
        <x:f>IF($A166="","",IFERROR(INDEX('Analize meciuri'!$C$4:$C$103,MATCH($A166,'Analize meciuri'!$A$4:$A$103,0)),""))</x:f>
      </x:c>
      <x:c r="C166" s="35" t="str">
        <x:f>IF($A166="","",IFERROR(INDEX('Analize meciuri'!$G$4:$G$103,MATCH($A166,'Analize meciuri'!$A$4:$A$103,0)),""))</x:f>
      </x:c>
      <x:c r="D166" s="35" t="str">
        <x:f>IF($A166="","",IFERROR(INDEX('Analize meciuri'!$H$4:$H$103,MATCH($A166,'Analize meciuri'!$A$4:$A$103,0)),""))</x:f>
      </x:c>
      <x:c r="E166" s="88" t="str">
        <x:f>IF($A166="","",IFERROR(INDEX('Analize meciuri'!$GP$4:$GP$103,MATCH($A166,'Analize meciuri'!$A$4:$A$103,0)),""))</x:f>
      </x:c>
      <x:c r="F166" s="89" t="str">
        <x:f>IF($A166="","",IFERROR(INDEX('Analize meciuri'!$GT$4:$GT$103,MATCH($A166,'Analize meciuri'!$A$4:$A$103,0)),""))</x:f>
      </x:c>
      <x:c r="G166" s="60"/>
      <x:c r="H166" s="60"/>
      <x:c r="I166" s="24"/>
      <x:c r="J166" s="90" t="str">
        <x:f t="shared" si="21"/>
      </x:c>
      <x:c r="K166" s="90" t="str">
        <x:f t="shared" si="22"/>
      </x:c>
      <x:c r="L166" s="90" t="str">
        <x:f t="shared" si="23"/>
      </x:c>
      <x:c r="M166" s="88" t="str">
        <x:f t="shared" si="24"/>
      </x:c>
      <x:c r="N166" s="25" t="str">
        <x:f>IF($A166="","",IFERROR(INDEX('Analize meciuri'!$GV$4:$GV$103,MATCH($A166,'Analize meciuri'!$A$4:$A$103,0)),""))</x:f>
      </x:c>
      <x:c r="O166" s="1" t="str">
        <x:f>IF($A166="","",IFERROR(INDEX('Analize meciuri'!$GN$4:$GN$103,MATCH($A166,'Analize meciuri'!$A$4:$A$103,0)),""))</x:f>
      </x:c>
      <x:c r="P166" s="1"/>
      <x:c r="Q166" s="1"/>
      <x:c r="R166" s="1"/>
      <x:c r="S166" s="1"/>
      <x:c r="T166" s="1"/>
    </x:row>
    <x:row r="167" ht="15">
      <x:c r="A167" s="58"/>
      <x:c r="B167" s="87" t="str">
        <x:f>IF($A167="","",IFERROR(INDEX('Analize meciuri'!$C$4:$C$103,MATCH($A167,'Analize meciuri'!$A$4:$A$103,0)),""))</x:f>
      </x:c>
      <x:c r="C167" s="35" t="str">
        <x:f>IF($A167="","",IFERROR(INDEX('Analize meciuri'!$G$4:$G$103,MATCH($A167,'Analize meciuri'!$A$4:$A$103,0)),""))</x:f>
      </x:c>
      <x:c r="D167" s="35" t="str">
        <x:f>IF($A167="","",IFERROR(INDEX('Analize meciuri'!$H$4:$H$103,MATCH($A167,'Analize meciuri'!$A$4:$A$103,0)),""))</x:f>
      </x:c>
      <x:c r="E167" s="88" t="str">
        <x:f>IF($A167="","",IFERROR(INDEX('Analize meciuri'!$GP$4:$GP$103,MATCH($A167,'Analize meciuri'!$A$4:$A$103,0)),""))</x:f>
      </x:c>
      <x:c r="F167" s="89" t="str">
        <x:f>IF($A167="","",IFERROR(INDEX('Analize meciuri'!$GT$4:$GT$103,MATCH($A167,'Analize meciuri'!$A$4:$A$103,0)),""))</x:f>
      </x:c>
      <x:c r="G167" s="60"/>
      <x:c r="H167" s="60"/>
      <x:c r="I167" s="24"/>
      <x:c r="J167" s="90" t="str">
        <x:f t="shared" si="21"/>
      </x:c>
      <x:c r="K167" s="90" t="str">
        <x:f t="shared" si="22"/>
      </x:c>
      <x:c r="L167" s="90" t="str">
        <x:f t="shared" si="23"/>
      </x:c>
      <x:c r="M167" s="88" t="str">
        <x:f t="shared" si="24"/>
      </x:c>
      <x:c r="N167" s="25" t="str">
        <x:f>IF($A167="","",IFERROR(INDEX('Analize meciuri'!$GV$4:$GV$103,MATCH($A167,'Analize meciuri'!$A$4:$A$103,0)),""))</x:f>
      </x:c>
      <x:c r="O167" s="1" t="str">
        <x:f>IF($A167="","",IFERROR(INDEX('Analize meciuri'!$GN$4:$GN$103,MATCH($A167,'Analize meciuri'!$A$4:$A$103,0)),""))</x:f>
      </x:c>
      <x:c r="P167" s="1"/>
      <x:c r="Q167" s="1"/>
      <x:c r="R167" s="1"/>
      <x:c r="S167" s="1"/>
      <x:c r="T167" s="1"/>
    </x:row>
    <x:row r="168" ht="15">
      <x:c r="A168" s="58"/>
      <x:c r="B168" s="87" t="str">
        <x:f>IF($A168="","",IFERROR(INDEX('Analize meciuri'!$C$4:$C$103,MATCH($A168,'Analize meciuri'!$A$4:$A$103,0)),""))</x:f>
      </x:c>
      <x:c r="C168" s="35" t="str">
        <x:f>IF($A168="","",IFERROR(INDEX('Analize meciuri'!$G$4:$G$103,MATCH($A168,'Analize meciuri'!$A$4:$A$103,0)),""))</x:f>
      </x:c>
      <x:c r="D168" s="35" t="str">
        <x:f>IF($A168="","",IFERROR(INDEX('Analize meciuri'!$H$4:$H$103,MATCH($A168,'Analize meciuri'!$A$4:$A$103,0)),""))</x:f>
      </x:c>
      <x:c r="E168" s="88" t="str">
        <x:f>IF($A168="","",IFERROR(INDEX('Analize meciuri'!$GP$4:$GP$103,MATCH($A168,'Analize meciuri'!$A$4:$A$103,0)),""))</x:f>
      </x:c>
      <x:c r="F168" s="89" t="str">
        <x:f>IF($A168="","",IFERROR(INDEX('Analize meciuri'!$GT$4:$GT$103,MATCH($A168,'Analize meciuri'!$A$4:$A$103,0)),""))</x:f>
      </x:c>
      <x:c r="G168" s="60"/>
      <x:c r="H168" s="60"/>
      <x:c r="I168" s="24"/>
      <x:c r="J168" s="90" t="str">
        <x:f t="shared" si="21"/>
      </x:c>
      <x:c r="K168" s="90" t="str">
        <x:f t="shared" si="22"/>
      </x:c>
      <x:c r="L168" s="90" t="str">
        <x:f t="shared" si="23"/>
      </x:c>
      <x:c r="M168" s="88" t="str">
        <x:f t="shared" si="24"/>
      </x:c>
      <x:c r="N168" s="25" t="str">
        <x:f>IF($A168="","",IFERROR(INDEX('Analize meciuri'!$GV$4:$GV$103,MATCH($A168,'Analize meciuri'!$A$4:$A$103,0)),""))</x:f>
      </x:c>
      <x:c r="O168" s="1" t="str">
        <x:f>IF($A168="","",IFERROR(INDEX('Analize meciuri'!$GN$4:$GN$103,MATCH($A168,'Analize meciuri'!$A$4:$A$103,0)),""))</x:f>
      </x:c>
      <x:c r="P168" s="1"/>
      <x:c r="Q168" s="1"/>
      <x:c r="R168" s="1"/>
      <x:c r="S168" s="1"/>
      <x:c r="T168" s="1"/>
    </x:row>
    <x:row r="169" ht="15">
      <x:c r="A169" s="58"/>
      <x:c r="B169" s="87" t="str">
        <x:f>IF($A169="","",IFERROR(INDEX('Analize meciuri'!$C$4:$C$103,MATCH($A169,'Analize meciuri'!$A$4:$A$103,0)),""))</x:f>
      </x:c>
      <x:c r="C169" s="35" t="str">
        <x:f>IF($A169="","",IFERROR(INDEX('Analize meciuri'!$G$4:$G$103,MATCH($A169,'Analize meciuri'!$A$4:$A$103,0)),""))</x:f>
      </x:c>
      <x:c r="D169" s="35" t="str">
        <x:f>IF($A169="","",IFERROR(INDEX('Analize meciuri'!$H$4:$H$103,MATCH($A169,'Analize meciuri'!$A$4:$A$103,0)),""))</x:f>
      </x:c>
      <x:c r="E169" s="88" t="str">
        <x:f>IF($A169="","",IFERROR(INDEX('Analize meciuri'!$GP$4:$GP$103,MATCH($A169,'Analize meciuri'!$A$4:$A$103,0)),""))</x:f>
      </x:c>
      <x:c r="F169" s="89" t="str">
        <x:f>IF($A169="","",IFERROR(INDEX('Analize meciuri'!$GT$4:$GT$103,MATCH($A169,'Analize meciuri'!$A$4:$A$103,0)),""))</x:f>
      </x:c>
      <x:c r="G169" s="60"/>
      <x:c r="H169" s="60"/>
      <x:c r="I169" s="24"/>
      <x:c r="J169" s="90" t="str">
        <x:f t="shared" si="21"/>
      </x:c>
      <x:c r="K169" s="90" t="str">
        <x:f t="shared" si="22"/>
      </x:c>
      <x:c r="L169" s="90" t="str">
        <x:f t="shared" si="23"/>
      </x:c>
      <x:c r="M169" s="88" t="str">
        <x:f t="shared" si="24"/>
      </x:c>
      <x:c r="N169" s="25" t="str">
        <x:f>IF($A169="","",IFERROR(INDEX('Analize meciuri'!$GV$4:$GV$103,MATCH($A169,'Analize meciuri'!$A$4:$A$103,0)),""))</x:f>
      </x:c>
      <x:c r="O169" s="1" t="str">
        <x:f>IF($A169="","",IFERROR(INDEX('Analize meciuri'!$GN$4:$GN$103,MATCH($A169,'Analize meciuri'!$A$4:$A$103,0)),""))</x:f>
      </x:c>
      <x:c r="P169" s="1"/>
      <x:c r="Q169" s="1"/>
      <x:c r="R169" s="1"/>
      <x:c r="S169" s="1"/>
      <x:c r="T169" s="1"/>
    </x:row>
    <x:row r="170" ht="15">
      <x:c r="A170" s="58"/>
      <x:c r="B170" s="87" t="str">
        <x:f>IF($A170="","",IFERROR(INDEX('Analize meciuri'!$C$4:$C$103,MATCH($A170,'Analize meciuri'!$A$4:$A$103,0)),""))</x:f>
      </x:c>
      <x:c r="C170" s="35" t="str">
        <x:f>IF($A170="","",IFERROR(INDEX('Analize meciuri'!$G$4:$G$103,MATCH($A170,'Analize meciuri'!$A$4:$A$103,0)),""))</x:f>
      </x:c>
      <x:c r="D170" s="35" t="str">
        <x:f>IF($A170="","",IFERROR(INDEX('Analize meciuri'!$H$4:$H$103,MATCH($A170,'Analize meciuri'!$A$4:$A$103,0)),""))</x:f>
      </x:c>
      <x:c r="E170" s="88" t="str">
        <x:f>IF($A170="","",IFERROR(INDEX('Analize meciuri'!$GP$4:$GP$103,MATCH($A170,'Analize meciuri'!$A$4:$A$103,0)),""))</x:f>
      </x:c>
      <x:c r="F170" s="89" t="str">
        <x:f>IF($A170="","",IFERROR(INDEX('Analize meciuri'!$GT$4:$GT$103,MATCH($A170,'Analize meciuri'!$A$4:$A$103,0)),""))</x:f>
      </x:c>
      <x:c r="G170" s="60"/>
      <x:c r="H170" s="60"/>
      <x:c r="I170" s="24"/>
      <x:c r="J170" s="90" t="str">
        <x:f t="shared" si="21"/>
      </x:c>
      <x:c r="K170" s="90" t="str">
        <x:f t="shared" si="22"/>
      </x:c>
      <x:c r="L170" s="90" t="str">
        <x:f t="shared" si="23"/>
      </x:c>
      <x:c r="M170" s="88" t="str">
        <x:f t="shared" si="24"/>
      </x:c>
      <x:c r="N170" s="25" t="str">
        <x:f>IF($A170="","",IFERROR(INDEX('Analize meciuri'!$GV$4:$GV$103,MATCH($A170,'Analize meciuri'!$A$4:$A$103,0)),""))</x:f>
      </x:c>
      <x:c r="O170" s="1" t="str">
        <x:f>IF($A170="","",IFERROR(INDEX('Analize meciuri'!$GN$4:$GN$103,MATCH($A170,'Analize meciuri'!$A$4:$A$103,0)),""))</x:f>
      </x:c>
      <x:c r="P170" s="1"/>
      <x:c r="Q170" s="1"/>
      <x:c r="R170" s="1"/>
      <x:c r="S170" s="1"/>
      <x:c r="T170" s="1"/>
    </x:row>
    <x:row r="171" ht="15">
      <x:c r="A171" s="58"/>
      <x:c r="B171" s="87" t="str">
        <x:f>IF($A171="","",IFERROR(INDEX('Analize meciuri'!$C$4:$C$103,MATCH($A171,'Analize meciuri'!$A$4:$A$103,0)),""))</x:f>
      </x:c>
      <x:c r="C171" s="35" t="str">
        <x:f>IF($A171="","",IFERROR(INDEX('Analize meciuri'!$G$4:$G$103,MATCH($A171,'Analize meciuri'!$A$4:$A$103,0)),""))</x:f>
      </x:c>
      <x:c r="D171" s="35" t="str">
        <x:f>IF($A171="","",IFERROR(INDEX('Analize meciuri'!$H$4:$H$103,MATCH($A171,'Analize meciuri'!$A$4:$A$103,0)),""))</x:f>
      </x:c>
      <x:c r="E171" s="88" t="str">
        <x:f>IF($A171="","",IFERROR(INDEX('Analize meciuri'!$GP$4:$GP$103,MATCH($A171,'Analize meciuri'!$A$4:$A$103,0)),""))</x:f>
      </x:c>
      <x:c r="F171" s="89" t="str">
        <x:f>IF($A171="","",IFERROR(INDEX('Analize meciuri'!$GT$4:$GT$103,MATCH($A171,'Analize meciuri'!$A$4:$A$103,0)),""))</x:f>
      </x:c>
      <x:c r="G171" s="60"/>
      <x:c r="H171" s="60"/>
      <x:c r="I171" s="24"/>
      <x:c r="J171" s="90" t="str">
        <x:f t="shared" si="21"/>
      </x:c>
      <x:c r="K171" s="90" t="str">
        <x:f t="shared" si="22"/>
      </x:c>
      <x:c r="L171" s="90" t="str">
        <x:f t="shared" si="23"/>
      </x:c>
      <x:c r="M171" s="88" t="str">
        <x:f t="shared" si="24"/>
      </x:c>
      <x:c r="N171" s="25" t="str">
        <x:f>IF($A171="","",IFERROR(INDEX('Analize meciuri'!$GV$4:$GV$103,MATCH($A171,'Analize meciuri'!$A$4:$A$103,0)),""))</x:f>
      </x:c>
      <x:c r="O171" s="1" t="str">
        <x:f>IF($A171="","",IFERROR(INDEX('Analize meciuri'!$GN$4:$GN$103,MATCH($A171,'Analize meciuri'!$A$4:$A$103,0)),""))</x:f>
      </x:c>
      <x:c r="P171" s="1"/>
      <x:c r="Q171" s="1"/>
      <x:c r="R171" s="1"/>
      <x:c r="S171" s="1"/>
      <x:c r="T171" s="1"/>
    </x:row>
    <x:row r="172" ht="15">
      <x:c r="A172" s="58"/>
      <x:c r="B172" s="87" t="str">
        <x:f>IF($A172="","",IFERROR(INDEX('Analize meciuri'!$C$4:$C$103,MATCH($A172,'Analize meciuri'!$A$4:$A$103,0)),""))</x:f>
      </x:c>
      <x:c r="C172" s="35" t="str">
        <x:f>IF($A172="","",IFERROR(INDEX('Analize meciuri'!$G$4:$G$103,MATCH($A172,'Analize meciuri'!$A$4:$A$103,0)),""))</x:f>
      </x:c>
      <x:c r="D172" s="35" t="str">
        <x:f>IF($A172="","",IFERROR(INDEX('Analize meciuri'!$H$4:$H$103,MATCH($A172,'Analize meciuri'!$A$4:$A$103,0)),""))</x:f>
      </x:c>
      <x:c r="E172" s="88" t="str">
        <x:f>IF($A172="","",IFERROR(INDEX('Analize meciuri'!$GP$4:$GP$103,MATCH($A172,'Analize meciuri'!$A$4:$A$103,0)),""))</x:f>
      </x:c>
      <x:c r="F172" s="89" t="str">
        <x:f>IF($A172="","",IFERROR(INDEX('Analize meciuri'!$GT$4:$GT$103,MATCH($A172,'Analize meciuri'!$A$4:$A$103,0)),""))</x:f>
      </x:c>
      <x:c r="G172" s="60"/>
      <x:c r="H172" s="60"/>
      <x:c r="I172" s="24"/>
      <x:c r="J172" s="90" t="str">
        <x:f t="shared" si="21"/>
      </x:c>
      <x:c r="K172" s="90" t="str">
        <x:f t="shared" si="22"/>
      </x:c>
      <x:c r="L172" s="90" t="str">
        <x:f t="shared" si="23"/>
      </x:c>
      <x:c r="M172" s="88" t="str">
        <x:f t="shared" si="24"/>
      </x:c>
      <x:c r="N172" s="25" t="str">
        <x:f>IF($A172="","",IFERROR(INDEX('Analize meciuri'!$GV$4:$GV$103,MATCH($A172,'Analize meciuri'!$A$4:$A$103,0)),""))</x:f>
      </x:c>
      <x:c r="O172" s="1" t="str">
        <x:f>IF($A172="","",IFERROR(INDEX('Analize meciuri'!$GN$4:$GN$103,MATCH($A172,'Analize meciuri'!$A$4:$A$103,0)),""))</x:f>
      </x:c>
      <x:c r="P172" s="1"/>
      <x:c r="Q172" s="1"/>
      <x:c r="R172" s="1"/>
      <x:c r="S172" s="1"/>
      <x:c r="T172" s="1"/>
    </x:row>
    <x:row r="173" ht="15">
      <x:c r="A173" s="58"/>
      <x:c r="B173" s="87" t="str">
        <x:f>IF($A173="","",IFERROR(INDEX('Analize meciuri'!$C$4:$C$103,MATCH($A173,'Analize meciuri'!$A$4:$A$103,0)),""))</x:f>
      </x:c>
      <x:c r="C173" s="35" t="str">
        <x:f>IF($A173="","",IFERROR(INDEX('Analize meciuri'!$G$4:$G$103,MATCH($A173,'Analize meciuri'!$A$4:$A$103,0)),""))</x:f>
      </x:c>
      <x:c r="D173" s="35" t="str">
        <x:f>IF($A173="","",IFERROR(INDEX('Analize meciuri'!$H$4:$H$103,MATCH($A173,'Analize meciuri'!$A$4:$A$103,0)),""))</x:f>
      </x:c>
      <x:c r="E173" s="88" t="str">
        <x:f>IF($A173="","",IFERROR(INDEX('Analize meciuri'!$GP$4:$GP$103,MATCH($A173,'Analize meciuri'!$A$4:$A$103,0)),""))</x:f>
      </x:c>
      <x:c r="F173" s="89" t="str">
        <x:f>IF($A173="","",IFERROR(INDEX('Analize meciuri'!$GT$4:$GT$103,MATCH($A173,'Analize meciuri'!$A$4:$A$103,0)),""))</x:f>
      </x:c>
      <x:c r="G173" s="60"/>
      <x:c r="H173" s="60"/>
      <x:c r="I173" s="24"/>
      <x:c r="J173" s="90" t="str">
        <x:f t="shared" si="21"/>
      </x:c>
      <x:c r="K173" s="90" t="str">
        <x:f t="shared" si="22"/>
      </x:c>
      <x:c r="L173" s="90" t="str">
        <x:f t="shared" si="23"/>
      </x:c>
      <x:c r="M173" s="88" t="str">
        <x:f t="shared" si="24"/>
      </x:c>
      <x:c r="N173" s="25" t="str">
        <x:f>IF($A173="","",IFERROR(INDEX('Analize meciuri'!$GV$4:$GV$103,MATCH($A173,'Analize meciuri'!$A$4:$A$103,0)),""))</x:f>
      </x:c>
      <x:c r="O173" s="1" t="str">
        <x:f>IF($A173="","",IFERROR(INDEX('Analize meciuri'!$GN$4:$GN$103,MATCH($A173,'Analize meciuri'!$A$4:$A$103,0)),""))</x:f>
      </x:c>
      <x:c r="P173" s="1"/>
      <x:c r="Q173" s="1"/>
      <x:c r="R173" s="1"/>
      <x:c r="S173" s="1"/>
      <x:c r="T173" s="1"/>
    </x:row>
    <x:row r="174" ht="15">
      <x:c r="A174" s="58"/>
      <x:c r="B174" s="87" t="str">
        <x:f>IF($A174="","",IFERROR(INDEX('Analize meciuri'!$C$4:$C$103,MATCH($A174,'Analize meciuri'!$A$4:$A$103,0)),""))</x:f>
      </x:c>
      <x:c r="C174" s="35" t="str">
        <x:f>IF($A174="","",IFERROR(INDEX('Analize meciuri'!$G$4:$G$103,MATCH($A174,'Analize meciuri'!$A$4:$A$103,0)),""))</x:f>
      </x:c>
      <x:c r="D174" s="35" t="str">
        <x:f>IF($A174="","",IFERROR(INDEX('Analize meciuri'!$H$4:$H$103,MATCH($A174,'Analize meciuri'!$A$4:$A$103,0)),""))</x:f>
      </x:c>
      <x:c r="E174" s="88" t="str">
        <x:f>IF($A174="","",IFERROR(INDEX('Analize meciuri'!$GP$4:$GP$103,MATCH($A174,'Analize meciuri'!$A$4:$A$103,0)),""))</x:f>
      </x:c>
      <x:c r="F174" s="89" t="str">
        <x:f>IF($A174="","",IFERROR(INDEX('Analize meciuri'!$GT$4:$GT$103,MATCH($A174,'Analize meciuri'!$A$4:$A$103,0)),""))</x:f>
      </x:c>
      <x:c r="G174" s="60"/>
      <x:c r="H174" s="60"/>
      <x:c r="I174" s="24"/>
      <x:c r="J174" s="90" t="str">
        <x:f t="shared" si="21"/>
      </x:c>
      <x:c r="K174" s="90" t="str">
        <x:f t="shared" si="22"/>
      </x:c>
      <x:c r="L174" s="90" t="str">
        <x:f t="shared" si="23"/>
      </x:c>
      <x:c r="M174" s="88" t="str">
        <x:f t="shared" si="24"/>
      </x:c>
      <x:c r="N174" s="25" t="str">
        <x:f>IF($A174="","",IFERROR(INDEX('Analize meciuri'!$GV$4:$GV$103,MATCH($A174,'Analize meciuri'!$A$4:$A$103,0)),""))</x:f>
      </x:c>
      <x:c r="O174" s="1" t="str">
        <x:f>IF($A174="","",IFERROR(INDEX('Analize meciuri'!$GN$4:$GN$103,MATCH($A174,'Analize meciuri'!$A$4:$A$103,0)),""))</x:f>
      </x:c>
      <x:c r="P174" s="1"/>
      <x:c r="Q174" s="1"/>
      <x:c r="R174" s="1"/>
      <x:c r="S174" s="1"/>
      <x:c r="T174" s="1"/>
    </x:row>
    <x:row r="175" ht="15">
      <x:c r="A175" s="58"/>
      <x:c r="B175" s="87" t="str">
        <x:f>IF($A175="","",IFERROR(INDEX('Analize meciuri'!$C$4:$C$103,MATCH($A175,'Analize meciuri'!$A$4:$A$103,0)),""))</x:f>
      </x:c>
      <x:c r="C175" s="35" t="str">
        <x:f>IF($A175="","",IFERROR(INDEX('Analize meciuri'!$G$4:$G$103,MATCH($A175,'Analize meciuri'!$A$4:$A$103,0)),""))</x:f>
      </x:c>
      <x:c r="D175" s="35" t="str">
        <x:f>IF($A175="","",IFERROR(INDEX('Analize meciuri'!$H$4:$H$103,MATCH($A175,'Analize meciuri'!$A$4:$A$103,0)),""))</x:f>
      </x:c>
      <x:c r="E175" s="88" t="str">
        <x:f>IF($A175="","",IFERROR(INDEX('Analize meciuri'!$GP$4:$GP$103,MATCH($A175,'Analize meciuri'!$A$4:$A$103,0)),""))</x:f>
      </x:c>
      <x:c r="F175" s="89" t="str">
        <x:f>IF($A175="","",IFERROR(INDEX('Analize meciuri'!$GT$4:$GT$103,MATCH($A175,'Analize meciuri'!$A$4:$A$103,0)),""))</x:f>
      </x:c>
      <x:c r="G175" s="60"/>
      <x:c r="H175" s="60"/>
      <x:c r="I175" s="24"/>
      <x:c r="J175" s="90" t="str">
        <x:f t="shared" si="21"/>
      </x:c>
      <x:c r="K175" s="90" t="str">
        <x:f t="shared" si="22"/>
      </x:c>
      <x:c r="L175" s="90" t="str">
        <x:f t="shared" si="23"/>
      </x:c>
      <x:c r="M175" s="88" t="str">
        <x:f t="shared" si="24"/>
      </x:c>
      <x:c r="N175" s="25" t="str">
        <x:f>IF($A175="","",IFERROR(INDEX('Analize meciuri'!$GV$4:$GV$103,MATCH($A175,'Analize meciuri'!$A$4:$A$103,0)),""))</x:f>
      </x:c>
      <x:c r="O175" s="1" t="str">
        <x:f>IF($A175="","",IFERROR(INDEX('Analize meciuri'!$GN$4:$GN$103,MATCH($A175,'Analize meciuri'!$A$4:$A$103,0)),""))</x:f>
      </x:c>
      <x:c r="P175" s="1"/>
      <x:c r="Q175" s="1"/>
      <x:c r="R175" s="1"/>
      <x:c r="S175" s="1"/>
      <x:c r="T175" s="1"/>
    </x:row>
    <x:row r="176" ht="15">
      <x:c r="A176" s="58"/>
      <x:c r="B176" s="87" t="str">
        <x:f>IF($A176="","",IFERROR(INDEX('Analize meciuri'!$C$4:$C$103,MATCH($A176,'Analize meciuri'!$A$4:$A$103,0)),""))</x:f>
      </x:c>
      <x:c r="C176" s="35" t="str">
        <x:f>IF($A176="","",IFERROR(INDEX('Analize meciuri'!$G$4:$G$103,MATCH($A176,'Analize meciuri'!$A$4:$A$103,0)),""))</x:f>
      </x:c>
      <x:c r="D176" s="35" t="str">
        <x:f>IF($A176="","",IFERROR(INDEX('Analize meciuri'!$H$4:$H$103,MATCH($A176,'Analize meciuri'!$A$4:$A$103,0)),""))</x:f>
      </x:c>
      <x:c r="E176" s="88" t="str">
        <x:f>IF($A176="","",IFERROR(INDEX('Analize meciuri'!$GP$4:$GP$103,MATCH($A176,'Analize meciuri'!$A$4:$A$103,0)),""))</x:f>
      </x:c>
      <x:c r="F176" s="89" t="str">
        <x:f>IF($A176="","",IFERROR(INDEX('Analize meciuri'!$GT$4:$GT$103,MATCH($A176,'Analize meciuri'!$A$4:$A$103,0)),""))</x:f>
      </x:c>
      <x:c r="G176" s="60"/>
      <x:c r="H176" s="60"/>
      <x:c r="I176" s="24"/>
      <x:c r="J176" s="90" t="str">
        <x:f t="shared" si="21"/>
      </x:c>
      <x:c r="K176" s="90" t="str">
        <x:f t="shared" si="22"/>
      </x:c>
      <x:c r="L176" s="90" t="str">
        <x:f t="shared" si="23"/>
      </x:c>
      <x:c r="M176" s="88" t="str">
        <x:f t="shared" si="24"/>
      </x:c>
      <x:c r="N176" s="25" t="str">
        <x:f>IF($A176="","",IFERROR(INDEX('Analize meciuri'!$GV$4:$GV$103,MATCH($A176,'Analize meciuri'!$A$4:$A$103,0)),""))</x:f>
      </x:c>
      <x:c r="O176" s="1" t="str">
        <x:f>IF($A176="","",IFERROR(INDEX('Analize meciuri'!$GN$4:$GN$103,MATCH($A176,'Analize meciuri'!$A$4:$A$103,0)),""))</x:f>
      </x:c>
      <x:c r="P176" s="1"/>
      <x:c r="Q176" s="1"/>
      <x:c r="R176" s="1"/>
      <x:c r="S176" s="1"/>
      <x:c r="T176" s="1"/>
    </x:row>
    <x:row r="177" ht="15">
      <x:c r="A177" s="58"/>
      <x:c r="B177" s="87" t="str">
        <x:f>IF($A177="","",IFERROR(INDEX('Analize meciuri'!$C$4:$C$103,MATCH($A177,'Analize meciuri'!$A$4:$A$103,0)),""))</x:f>
      </x:c>
      <x:c r="C177" s="35" t="str">
        <x:f>IF($A177="","",IFERROR(INDEX('Analize meciuri'!$G$4:$G$103,MATCH($A177,'Analize meciuri'!$A$4:$A$103,0)),""))</x:f>
      </x:c>
      <x:c r="D177" s="35" t="str">
        <x:f>IF($A177="","",IFERROR(INDEX('Analize meciuri'!$H$4:$H$103,MATCH($A177,'Analize meciuri'!$A$4:$A$103,0)),""))</x:f>
      </x:c>
      <x:c r="E177" s="88" t="str">
        <x:f>IF($A177="","",IFERROR(INDEX('Analize meciuri'!$GP$4:$GP$103,MATCH($A177,'Analize meciuri'!$A$4:$A$103,0)),""))</x:f>
      </x:c>
      <x:c r="F177" s="89" t="str">
        <x:f>IF($A177="","",IFERROR(INDEX('Analize meciuri'!$GT$4:$GT$103,MATCH($A177,'Analize meciuri'!$A$4:$A$103,0)),""))</x:f>
      </x:c>
      <x:c r="G177" s="60"/>
      <x:c r="H177" s="60"/>
      <x:c r="I177" s="24"/>
      <x:c r="J177" s="90" t="str">
        <x:f t="shared" si="21"/>
      </x:c>
      <x:c r="K177" s="90" t="str">
        <x:f t="shared" si="22"/>
      </x:c>
      <x:c r="L177" s="90" t="str">
        <x:f t="shared" si="23"/>
      </x:c>
      <x:c r="M177" s="88" t="str">
        <x:f t="shared" si="24"/>
      </x:c>
      <x:c r="N177" s="25" t="str">
        <x:f>IF($A177="","",IFERROR(INDEX('Analize meciuri'!$GV$4:$GV$103,MATCH($A177,'Analize meciuri'!$A$4:$A$103,0)),""))</x:f>
      </x:c>
      <x:c r="O177" s="1" t="str">
        <x:f>IF($A177="","",IFERROR(INDEX('Analize meciuri'!$GN$4:$GN$103,MATCH($A177,'Analize meciuri'!$A$4:$A$103,0)),""))</x:f>
      </x:c>
      <x:c r="P177" s="1"/>
      <x:c r="Q177" s="1"/>
      <x:c r="R177" s="1"/>
      <x:c r="S177" s="1"/>
      <x:c r="T177" s="1"/>
    </x:row>
    <x:row r="178" ht="15">
      <x:c r="A178" s="58"/>
      <x:c r="B178" s="87" t="str">
        <x:f>IF($A178="","",IFERROR(INDEX('Analize meciuri'!$C$4:$C$103,MATCH($A178,'Analize meciuri'!$A$4:$A$103,0)),""))</x:f>
      </x:c>
      <x:c r="C178" s="35" t="str">
        <x:f>IF($A178="","",IFERROR(INDEX('Analize meciuri'!$G$4:$G$103,MATCH($A178,'Analize meciuri'!$A$4:$A$103,0)),""))</x:f>
      </x:c>
      <x:c r="D178" s="35" t="str">
        <x:f>IF($A178="","",IFERROR(INDEX('Analize meciuri'!$H$4:$H$103,MATCH($A178,'Analize meciuri'!$A$4:$A$103,0)),""))</x:f>
      </x:c>
      <x:c r="E178" s="88" t="str">
        <x:f>IF($A178="","",IFERROR(INDEX('Analize meciuri'!$GP$4:$GP$103,MATCH($A178,'Analize meciuri'!$A$4:$A$103,0)),""))</x:f>
      </x:c>
      <x:c r="F178" s="89" t="str">
        <x:f>IF($A178="","",IFERROR(INDEX('Analize meciuri'!$GT$4:$GT$103,MATCH($A178,'Analize meciuri'!$A$4:$A$103,0)),""))</x:f>
      </x:c>
      <x:c r="G178" s="60"/>
      <x:c r="H178" s="60"/>
      <x:c r="I178" s="24"/>
      <x:c r="J178" s="90" t="str">
        <x:f t="shared" si="21"/>
      </x:c>
      <x:c r="K178" s="90" t="str">
        <x:f t="shared" si="22"/>
      </x:c>
      <x:c r="L178" s="90" t="str">
        <x:f t="shared" si="23"/>
      </x:c>
      <x:c r="M178" s="88" t="str">
        <x:f t="shared" si="24"/>
      </x:c>
      <x:c r="N178" s="25" t="str">
        <x:f>IF($A178="","",IFERROR(INDEX('Analize meciuri'!$GV$4:$GV$103,MATCH($A178,'Analize meciuri'!$A$4:$A$103,0)),""))</x:f>
      </x:c>
      <x:c r="O178" s="1" t="str">
        <x:f>IF($A178="","",IFERROR(INDEX('Analize meciuri'!$GN$4:$GN$103,MATCH($A178,'Analize meciuri'!$A$4:$A$103,0)),""))</x:f>
      </x:c>
      <x:c r="P178" s="1"/>
      <x:c r="Q178" s="1"/>
      <x:c r="R178" s="1"/>
      <x:c r="S178" s="1"/>
      <x:c r="T178" s="1"/>
    </x:row>
    <x:row r="179" ht="15">
      <x:c r="A179" s="58"/>
      <x:c r="B179" s="87" t="str">
        <x:f>IF($A179="","",IFERROR(INDEX('Analize meciuri'!$C$4:$C$103,MATCH($A179,'Analize meciuri'!$A$4:$A$103,0)),""))</x:f>
      </x:c>
      <x:c r="C179" s="35" t="str">
        <x:f>IF($A179="","",IFERROR(INDEX('Analize meciuri'!$G$4:$G$103,MATCH($A179,'Analize meciuri'!$A$4:$A$103,0)),""))</x:f>
      </x:c>
      <x:c r="D179" s="35" t="str">
        <x:f>IF($A179="","",IFERROR(INDEX('Analize meciuri'!$H$4:$H$103,MATCH($A179,'Analize meciuri'!$A$4:$A$103,0)),""))</x:f>
      </x:c>
      <x:c r="E179" s="88" t="str">
        <x:f>IF($A179="","",IFERROR(INDEX('Analize meciuri'!$GP$4:$GP$103,MATCH($A179,'Analize meciuri'!$A$4:$A$103,0)),""))</x:f>
      </x:c>
      <x:c r="F179" s="89" t="str">
        <x:f>IF($A179="","",IFERROR(INDEX('Analize meciuri'!$GT$4:$GT$103,MATCH($A179,'Analize meciuri'!$A$4:$A$103,0)),""))</x:f>
      </x:c>
      <x:c r="G179" s="60"/>
      <x:c r="H179" s="60"/>
      <x:c r="I179" s="24"/>
      <x:c r="J179" s="90" t="str">
        <x:f t="shared" si="21"/>
      </x:c>
      <x:c r="K179" s="90" t="str">
        <x:f t="shared" si="22"/>
      </x:c>
      <x:c r="L179" s="90" t="str">
        <x:f t="shared" si="23"/>
      </x:c>
      <x:c r="M179" s="88" t="str">
        <x:f t="shared" si="24"/>
      </x:c>
      <x:c r="N179" s="25" t="str">
        <x:f>IF($A179="","",IFERROR(INDEX('Analize meciuri'!$GV$4:$GV$103,MATCH($A179,'Analize meciuri'!$A$4:$A$103,0)),""))</x:f>
      </x:c>
      <x:c r="O179" s="1" t="str">
        <x:f>IF($A179="","",IFERROR(INDEX('Analize meciuri'!$GN$4:$GN$103,MATCH($A179,'Analize meciuri'!$A$4:$A$103,0)),""))</x:f>
      </x:c>
      <x:c r="P179" s="1"/>
      <x:c r="Q179" s="1"/>
      <x:c r="R179" s="1"/>
      <x:c r="S179" s="1"/>
      <x:c r="T179" s="1"/>
    </x:row>
    <x:row r="180" ht="15">
      <x:c r="A180" s="58"/>
      <x:c r="B180" s="87" t="str">
        <x:f>IF($A180="","",IFERROR(INDEX('Analize meciuri'!$C$4:$C$103,MATCH($A180,'Analize meciuri'!$A$4:$A$103,0)),""))</x:f>
      </x:c>
      <x:c r="C180" s="35" t="str">
        <x:f>IF($A180="","",IFERROR(INDEX('Analize meciuri'!$G$4:$G$103,MATCH($A180,'Analize meciuri'!$A$4:$A$103,0)),""))</x:f>
      </x:c>
      <x:c r="D180" s="35" t="str">
        <x:f>IF($A180="","",IFERROR(INDEX('Analize meciuri'!$H$4:$H$103,MATCH($A180,'Analize meciuri'!$A$4:$A$103,0)),""))</x:f>
      </x:c>
      <x:c r="E180" s="88" t="str">
        <x:f>IF($A180="","",IFERROR(INDEX('Analize meciuri'!$GP$4:$GP$103,MATCH($A180,'Analize meciuri'!$A$4:$A$103,0)),""))</x:f>
      </x:c>
      <x:c r="F180" s="89" t="str">
        <x:f>IF($A180="","",IFERROR(INDEX('Analize meciuri'!$GT$4:$GT$103,MATCH($A180,'Analize meciuri'!$A$4:$A$103,0)),""))</x:f>
      </x:c>
      <x:c r="G180" s="60"/>
      <x:c r="H180" s="60"/>
      <x:c r="I180" s="24"/>
      <x:c r="J180" s="90" t="str">
        <x:f t="shared" si="21"/>
      </x:c>
      <x:c r="K180" s="90" t="str">
        <x:f t="shared" si="22"/>
      </x:c>
      <x:c r="L180" s="90" t="str">
        <x:f t="shared" si="23"/>
      </x:c>
      <x:c r="M180" s="88" t="str">
        <x:f t="shared" si="24"/>
      </x:c>
      <x:c r="N180" s="25" t="str">
        <x:f>IF($A180="","",IFERROR(INDEX('Analize meciuri'!$GV$4:$GV$103,MATCH($A180,'Analize meciuri'!$A$4:$A$103,0)),""))</x:f>
      </x:c>
      <x:c r="O180" s="1" t="str">
        <x:f>IF($A180="","",IFERROR(INDEX('Analize meciuri'!$GN$4:$GN$103,MATCH($A180,'Analize meciuri'!$A$4:$A$103,0)),""))</x:f>
      </x:c>
      <x:c r="P180" s="1"/>
      <x:c r="Q180" s="1"/>
      <x:c r="R180" s="1"/>
      <x:c r="S180" s="1"/>
      <x:c r="T180" s="1"/>
    </x:row>
    <x:row r="181" ht="15">
      <x:c r="A181" s="58"/>
      <x:c r="B181" s="87" t="str">
        <x:f>IF($A181="","",IFERROR(INDEX('Analize meciuri'!$C$4:$C$103,MATCH($A181,'Analize meciuri'!$A$4:$A$103,0)),""))</x:f>
      </x:c>
      <x:c r="C181" s="35" t="str">
        <x:f>IF($A181="","",IFERROR(INDEX('Analize meciuri'!$G$4:$G$103,MATCH($A181,'Analize meciuri'!$A$4:$A$103,0)),""))</x:f>
      </x:c>
      <x:c r="D181" s="35" t="str">
        <x:f>IF($A181="","",IFERROR(INDEX('Analize meciuri'!$H$4:$H$103,MATCH($A181,'Analize meciuri'!$A$4:$A$103,0)),""))</x:f>
      </x:c>
      <x:c r="E181" s="88" t="str">
        <x:f>IF($A181="","",IFERROR(INDEX('Analize meciuri'!$GP$4:$GP$103,MATCH($A181,'Analize meciuri'!$A$4:$A$103,0)),""))</x:f>
      </x:c>
      <x:c r="F181" s="89" t="str">
        <x:f>IF($A181="","",IFERROR(INDEX('Analize meciuri'!$GT$4:$GT$103,MATCH($A181,'Analize meciuri'!$A$4:$A$103,0)),""))</x:f>
      </x:c>
      <x:c r="G181" s="60"/>
      <x:c r="H181" s="60"/>
      <x:c r="I181" s="24"/>
      <x:c r="J181" s="90" t="str">
        <x:f t="shared" si="21"/>
      </x:c>
      <x:c r="K181" s="90" t="str">
        <x:f t="shared" si="22"/>
      </x:c>
      <x:c r="L181" s="90" t="str">
        <x:f t="shared" si="23"/>
      </x:c>
      <x:c r="M181" s="88" t="str">
        <x:f t="shared" si="24"/>
      </x:c>
      <x:c r="N181" s="25" t="str">
        <x:f>IF($A181="","",IFERROR(INDEX('Analize meciuri'!$GV$4:$GV$103,MATCH($A181,'Analize meciuri'!$A$4:$A$103,0)),""))</x:f>
      </x:c>
      <x:c r="O181" s="1" t="str">
        <x:f>IF($A181="","",IFERROR(INDEX('Analize meciuri'!$GN$4:$GN$103,MATCH($A181,'Analize meciuri'!$A$4:$A$103,0)),""))</x:f>
      </x:c>
      <x:c r="P181" s="1"/>
      <x:c r="Q181" s="1"/>
      <x:c r="R181" s="1"/>
      <x:c r="S181" s="1"/>
      <x:c r="T181" s="1"/>
    </x:row>
    <x:row r="182" ht="15">
      <x:c r="A182" s="58"/>
      <x:c r="B182" s="87" t="str">
        <x:f>IF($A182="","",IFERROR(INDEX('Analize meciuri'!$C$4:$C$103,MATCH($A182,'Analize meciuri'!$A$4:$A$103,0)),""))</x:f>
      </x:c>
      <x:c r="C182" s="35" t="str">
        <x:f>IF($A182="","",IFERROR(INDEX('Analize meciuri'!$G$4:$G$103,MATCH($A182,'Analize meciuri'!$A$4:$A$103,0)),""))</x:f>
      </x:c>
      <x:c r="D182" s="35" t="str">
        <x:f>IF($A182="","",IFERROR(INDEX('Analize meciuri'!$H$4:$H$103,MATCH($A182,'Analize meciuri'!$A$4:$A$103,0)),""))</x:f>
      </x:c>
      <x:c r="E182" s="88" t="str">
        <x:f>IF($A182="","",IFERROR(INDEX('Analize meciuri'!$GP$4:$GP$103,MATCH($A182,'Analize meciuri'!$A$4:$A$103,0)),""))</x:f>
      </x:c>
      <x:c r="F182" s="89" t="str">
        <x:f>IF($A182="","",IFERROR(INDEX('Analize meciuri'!$GT$4:$GT$103,MATCH($A182,'Analize meciuri'!$A$4:$A$103,0)),""))</x:f>
      </x:c>
      <x:c r="G182" s="60"/>
      <x:c r="H182" s="60"/>
      <x:c r="I182" s="24"/>
      <x:c r="J182" s="90" t="str">
        <x:f t="shared" si="21"/>
      </x:c>
      <x:c r="K182" s="90" t="str">
        <x:f t="shared" si="22"/>
      </x:c>
      <x:c r="L182" s="90" t="str">
        <x:f t="shared" si="23"/>
      </x:c>
      <x:c r="M182" s="88" t="str">
        <x:f t="shared" si="24"/>
      </x:c>
      <x:c r="N182" s="25" t="str">
        <x:f>IF($A182="","",IFERROR(INDEX('Analize meciuri'!$GV$4:$GV$103,MATCH($A182,'Analize meciuri'!$A$4:$A$103,0)),""))</x:f>
      </x:c>
      <x:c r="O182" s="1" t="str">
        <x:f>IF($A182="","",IFERROR(INDEX('Analize meciuri'!$GN$4:$GN$103,MATCH($A182,'Analize meciuri'!$A$4:$A$103,0)),""))</x:f>
      </x:c>
      <x:c r="P182" s="1"/>
      <x:c r="Q182" s="1"/>
      <x:c r="R182" s="1"/>
      <x:c r="S182" s="1"/>
      <x:c r="T182" s="1"/>
    </x:row>
    <x:row r="183" ht="15">
      <x:c r="A183" s="58"/>
      <x:c r="B183" s="87" t="str">
        <x:f>IF($A183="","",IFERROR(INDEX('Analize meciuri'!$C$4:$C$103,MATCH($A183,'Analize meciuri'!$A$4:$A$103,0)),""))</x:f>
      </x:c>
      <x:c r="C183" s="35" t="str">
        <x:f>IF($A183="","",IFERROR(INDEX('Analize meciuri'!$G$4:$G$103,MATCH($A183,'Analize meciuri'!$A$4:$A$103,0)),""))</x:f>
      </x:c>
      <x:c r="D183" s="35" t="str">
        <x:f>IF($A183="","",IFERROR(INDEX('Analize meciuri'!$H$4:$H$103,MATCH($A183,'Analize meciuri'!$A$4:$A$103,0)),""))</x:f>
      </x:c>
      <x:c r="E183" s="88" t="str">
        <x:f>IF($A183="","",IFERROR(INDEX('Analize meciuri'!$GP$4:$GP$103,MATCH($A183,'Analize meciuri'!$A$4:$A$103,0)),""))</x:f>
      </x:c>
      <x:c r="F183" s="89" t="str">
        <x:f>IF($A183="","",IFERROR(INDEX('Analize meciuri'!$GT$4:$GT$103,MATCH($A183,'Analize meciuri'!$A$4:$A$103,0)),""))</x:f>
      </x:c>
      <x:c r="G183" s="60"/>
      <x:c r="H183" s="60"/>
      <x:c r="I183" s="24"/>
      <x:c r="J183" s="90" t="str">
        <x:f t="shared" si="21"/>
      </x:c>
      <x:c r="K183" s="90" t="str">
        <x:f t="shared" si="22"/>
      </x:c>
      <x:c r="L183" s="90" t="str">
        <x:f t="shared" si="23"/>
      </x:c>
      <x:c r="M183" s="88" t="str">
        <x:f t="shared" si="24"/>
      </x:c>
      <x:c r="N183" s="25" t="str">
        <x:f>IF($A183="","",IFERROR(INDEX('Analize meciuri'!$GV$4:$GV$103,MATCH($A183,'Analize meciuri'!$A$4:$A$103,0)),""))</x:f>
      </x:c>
      <x:c r="O183" s="1" t="str">
        <x:f>IF($A183="","",IFERROR(INDEX('Analize meciuri'!$GN$4:$GN$103,MATCH($A183,'Analize meciuri'!$A$4:$A$103,0)),""))</x:f>
      </x:c>
      <x:c r="P183" s="1"/>
      <x:c r="Q183" s="1"/>
      <x:c r="R183" s="1"/>
      <x:c r="S183" s="1"/>
      <x:c r="T183" s="1"/>
    </x:row>
    <x:row r="184" ht="15">
      <x:c r="A184" s="58"/>
      <x:c r="B184" s="87" t="str">
        <x:f>IF($A184="","",IFERROR(INDEX('Analize meciuri'!$C$4:$C$103,MATCH($A184,'Analize meciuri'!$A$4:$A$103,0)),""))</x:f>
      </x:c>
      <x:c r="C184" s="35" t="str">
        <x:f>IF($A184="","",IFERROR(INDEX('Analize meciuri'!$G$4:$G$103,MATCH($A184,'Analize meciuri'!$A$4:$A$103,0)),""))</x:f>
      </x:c>
      <x:c r="D184" s="35" t="str">
        <x:f>IF($A184="","",IFERROR(INDEX('Analize meciuri'!$H$4:$H$103,MATCH($A184,'Analize meciuri'!$A$4:$A$103,0)),""))</x:f>
      </x:c>
      <x:c r="E184" s="88" t="str">
        <x:f>IF($A184="","",IFERROR(INDEX('Analize meciuri'!$GP$4:$GP$103,MATCH($A184,'Analize meciuri'!$A$4:$A$103,0)),""))</x:f>
      </x:c>
      <x:c r="F184" s="89" t="str">
        <x:f>IF($A184="","",IFERROR(INDEX('Analize meciuri'!$GT$4:$GT$103,MATCH($A184,'Analize meciuri'!$A$4:$A$103,0)),""))</x:f>
      </x:c>
      <x:c r="G184" s="60"/>
      <x:c r="H184" s="60"/>
      <x:c r="I184" s="24"/>
      <x:c r="J184" s="90" t="str">
        <x:f t="shared" si="21"/>
      </x:c>
      <x:c r="K184" s="90" t="str">
        <x:f t="shared" si="22"/>
      </x:c>
      <x:c r="L184" s="90" t="str">
        <x:f t="shared" si="23"/>
      </x:c>
      <x:c r="M184" s="88" t="str">
        <x:f t="shared" si="24"/>
      </x:c>
      <x:c r="N184" s="25" t="str">
        <x:f>IF($A184="","",IFERROR(INDEX('Analize meciuri'!$GV$4:$GV$103,MATCH($A184,'Analize meciuri'!$A$4:$A$103,0)),""))</x:f>
      </x:c>
      <x:c r="O184" s="1" t="str">
        <x:f>IF($A184="","",IFERROR(INDEX('Analize meciuri'!$GN$4:$GN$103,MATCH($A184,'Analize meciuri'!$A$4:$A$103,0)),""))</x:f>
      </x:c>
      <x:c r="P184" s="1"/>
      <x:c r="Q184" s="1"/>
      <x:c r="R184" s="1"/>
      <x:c r="S184" s="1"/>
      <x:c r="T184" s="1"/>
    </x:row>
    <x:row r="185" ht="15">
      <x:c r="A185" s="58"/>
      <x:c r="B185" s="87" t="str">
        <x:f>IF($A185="","",IFERROR(INDEX('Analize meciuri'!$C$4:$C$103,MATCH($A185,'Analize meciuri'!$A$4:$A$103,0)),""))</x:f>
      </x:c>
      <x:c r="C185" s="35" t="str">
        <x:f>IF($A185="","",IFERROR(INDEX('Analize meciuri'!$G$4:$G$103,MATCH($A185,'Analize meciuri'!$A$4:$A$103,0)),""))</x:f>
      </x:c>
      <x:c r="D185" s="35" t="str">
        <x:f>IF($A185="","",IFERROR(INDEX('Analize meciuri'!$H$4:$H$103,MATCH($A185,'Analize meciuri'!$A$4:$A$103,0)),""))</x:f>
      </x:c>
      <x:c r="E185" s="88" t="str">
        <x:f>IF($A185="","",IFERROR(INDEX('Analize meciuri'!$GP$4:$GP$103,MATCH($A185,'Analize meciuri'!$A$4:$A$103,0)),""))</x:f>
      </x:c>
      <x:c r="F185" s="89" t="str">
        <x:f>IF($A185="","",IFERROR(INDEX('Analize meciuri'!$GT$4:$GT$103,MATCH($A185,'Analize meciuri'!$A$4:$A$103,0)),""))</x:f>
      </x:c>
      <x:c r="G185" s="60"/>
      <x:c r="H185" s="60"/>
      <x:c r="I185" s="24"/>
      <x:c r="J185" s="90" t="str">
        <x:f t="shared" si="21"/>
      </x:c>
      <x:c r="K185" s="90" t="str">
        <x:f t="shared" si="22"/>
      </x:c>
      <x:c r="L185" s="90" t="str">
        <x:f t="shared" si="23"/>
      </x:c>
      <x:c r="M185" s="88" t="str">
        <x:f t="shared" si="24"/>
      </x:c>
      <x:c r="N185" s="25" t="str">
        <x:f>IF($A185="","",IFERROR(INDEX('Analize meciuri'!$GV$4:$GV$103,MATCH($A185,'Analize meciuri'!$A$4:$A$103,0)),""))</x:f>
      </x:c>
      <x:c r="O185" s="1" t="str">
        <x:f>IF($A185="","",IFERROR(INDEX('Analize meciuri'!$GN$4:$GN$103,MATCH($A185,'Analize meciuri'!$A$4:$A$103,0)),""))</x:f>
      </x:c>
      <x:c r="P185" s="1"/>
      <x:c r="Q185" s="1"/>
      <x:c r="R185" s="1"/>
      <x:c r="S185" s="1"/>
      <x:c r="T185" s="1"/>
    </x:row>
    <x:row r="186" ht="15">
      <x:c r="A186" s="58"/>
      <x:c r="B186" s="87" t="str">
        <x:f>IF($A186="","",IFERROR(INDEX('Analize meciuri'!$C$4:$C$103,MATCH($A186,'Analize meciuri'!$A$4:$A$103,0)),""))</x:f>
      </x:c>
      <x:c r="C186" s="35" t="str">
        <x:f>IF($A186="","",IFERROR(INDEX('Analize meciuri'!$G$4:$G$103,MATCH($A186,'Analize meciuri'!$A$4:$A$103,0)),""))</x:f>
      </x:c>
      <x:c r="D186" s="35" t="str">
        <x:f>IF($A186="","",IFERROR(INDEX('Analize meciuri'!$H$4:$H$103,MATCH($A186,'Analize meciuri'!$A$4:$A$103,0)),""))</x:f>
      </x:c>
      <x:c r="E186" s="88" t="str">
        <x:f>IF($A186="","",IFERROR(INDEX('Analize meciuri'!$GP$4:$GP$103,MATCH($A186,'Analize meciuri'!$A$4:$A$103,0)),""))</x:f>
      </x:c>
      <x:c r="F186" s="89" t="str">
        <x:f>IF($A186="","",IFERROR(INDEX('Analize meciuri'!$GT$4:$GT$103,MATCH($A186,'Analize meciuri'!$A$4:$A$103,0)),""))</x:f>
      </x:c>
      <x:c r="G186" s="60"/>
      <x:c r="H186" s="60"/>
      <x:c r="I186" s="24"/>
      <x:c r="J186" s="90" t="str">
        <x:f t="shared" si="21"/>
      </x:c>
      <x:c r="K186" s="90" t="str">
        <x:f t="shared" si="22"/>
      </x:c>
      <x:c r="L186" s="90" t="str">
        <x:f t="shared" si="23"/>
      </x:c>
      <x:c r="M186" s="88" t="str">
        <x:f t="shared" si="24"/>
      </x:c>
      <x:c r="N186" s="25" t="str">
        <x:f>IF($A186="","",IFERROR(INDEX('Analize meciuri'!$GV$4:$GV$103,MATCH($A186,'Analize meciuri'!$A$4:$A$103,0)),""))</x:f>
      </x:c>
      <x:c r="O186" s="1" t="str">
        <x:f>IF($A186="","",IFERROR(INDEX('Analize meciuri'!$GN$4:$GN$103,MATCH($A186,'Analize meciuri'!$A$4:$A$103,0)),""))</x:f>
      </x:c>
      <x:c r="P186" s="1"/>
      <x:c r="Q186" s="1"/>
      <x:c r="R186" s="1"/>
      <x:c r="S186" s="1"/>
      <x:c r="T186" s="1"/>
    </x:row>
    <x:row r="187" ht="15">
      <x:c r="A187" s="58"/>
      <x:c r="B187" s="87" t="str">
        <x:f>IF($A187="","",IFERROR(INDEX('Analize meciuri'!$C$4:$C$103,MATCH($A187,'Analize meciuri'!$A$4:$A$103,0)),""))</x:f>
      </x:c>
      <x:c r="C187" s="35" t="str">
        <x:f>IF($A187="","",IFERROR(INDEX('Analize meciuri'!$G$4:$G$103,MATCH($A187,'Analize meciuri'!$A$4:$A$103,0)),""))</x:f>
      </x:c>
      <x:c r="D187" s="35" t="str">
        <x:f>IF($A187="","",IFERROR(INDEX('Analize meciuri'!$H$4:$H$103,MATCH($A187,'Analize meciuri'!$A$4:$A$103,0)),""))</x:f>
      </x:c>
      <x:c r="E187" s="88" t="str">
        <x:f>IF($A187="","",IFERROR(INDEX('Analize meciuri'!$GP$4:$GP$103,MATCH($A187,'Analize meciuri'!$A$4:$A$103,0)),""))</x:f>
      </x:c>
      <x:c r="F187" s="89" t="str">
        <x:f>IF($A187="","",IFERROR(INDEX('Analize meciuri'!$GT$4:$GT$103,MATCH($A187,'Analize meciuri'!$A$4:$A$103,0)),""))</x:f>
      </x:c>
      <x:c r="G187" s="60"/>
      <x:c r="H187" s="60"/>
      <x:c r="I187" s="24"/>
      <x:c r="J187" s="90" t="str">
        <x:f t="shared" si="21"/>
      </x:c>
      <x:c r="K187" s="90" t="str">
        <x:f t="shared" si="22"/>
      </x:c>
      <x:c r="L187" s="90" t="str">
        <x:f t="shared" si="23"/>
      </x:c>
      <x:c r="M187" s="88" t="str">
        <x:f t="shared" si="24"/>
      </x:c>
      <x:c r="N187" s="25" t="str">
        <x:f>IF($A187="","",IFERROR(INDEX('Analize meciuri'!$GV$4:$GV$103,MATCH($A187,'Analize meciuri'!$A$4:$A$103,0)),""))</x:f>
      </x:c>
      <x:c r="O187" s="1" t="str">
        <x:f>IF($A187="","",IFERROR(INDEX('Analize meciuri'!$GN$4:$GN$103,MATCH($A187,'Analize meciuri'!$A$4:$A$103,0)),""))</x:f>
      </x:c>
      <x:c r="P187" s="1"/>
      <x:c r="Q187" s="1"/>
      <x:c r="R187" s="1"/>
      <x:c r="S187" s="1"/>
      <x:c r="T187" s="1"/>
    </x:row>
    <x:row r="188" ht="15">
      <x:c r="A188" s="58"/>
      <x:c r="B188" s="87" t="str">
        <x:f>IF($A188="","",IFERROR(INDEX('Analize meciuri'!$C$4:$C$103,MATCH($A188,'Analize meciuri'!$A$4:$A$103,0)),""))</x:f>
      </x:c>
      <x:c r="C188" s="35" t="str">
        <x:f>IF($A188="","",IFERROR(INDEX('Analize meciuri'!$G$4:$G$103,MATCH($A188,'Analize meciuri'!$A$4:$A$103,0)),""))</x:f>
      </x:c>
      <x:c r="D188" s="35" t="str">
        <x:f>IF($A188="","",IFERROR(INDEX('Analize meciuri'!$H$4:$H$103,MATCH($A188,'Analize meciuri'!$A$4:$A$103,0)),""))</x:f>
      </x:c>
      <x:c r="E188" s="88" t="str">
        <x:f>IF($A188="","",IFERROR(INDEX('Analize meciuri'!$GP$4:$GP$103,MATCH($A188,'Analize meciuri'!$A$4:$A$103,0)),""))</x:f>
      </x:c>
      <x:c r="F188" s="89" t="str">
        <x:f>IF($A188="","",IFERROR(INDEX('Analize meciuri'!$GT$4:$GT$103,MATCH($A188,'Analize meciuri'!$A$4:$A$103,0)),""))</x:f>
      </x:c>
      <x:c r="G188" s="60"/>
      <x:c r="H188" s="60"/>
      <x:c r="I188" s="24"/>
      <x:c r="J188" s="90" t="str">
        <x:f t="shared" si="21"/>
      </x:c>
      <x:c r="K188" s="90" t="str">
        <x:f t="shared" si="22"/>
      </x:c>
      <x:c r="L188" s="90" t="str">
        <x:f t="shared" si="23"/>
      </x:c>
      <x:c r="M188" s="88" t="str">
        <x:f t="shared" si="24"/>
      </x:c>
      <x:c r="N188" s="25" t="str">
        <x:f>IF($A188="","",IFERROR(INDEX('Analize meciuri'!$GV$4:$GV$103,MATCH($A188,'Analize meciuri'!$A$4:$A$103,0)),""))</x:f>
      </x:c>
      <x:c r="O188" s="1" t="str">
        <x:f>IF($A188="","",IFERROR(INDEX('Analize meciuri'!$GN$4:$GN$103,MATCH($A188,'Analize meciuri'!$A$4:$A$103,0)),""))</x:f>
      </x:c>
      <x:c r="P188" s="1"/>
      <x:c r="Q188" s="1"/>
      <x:c r="R188" s="1"/>
      <x:c r="S188" s="1"/>
      <x:c r="T188" s="1"/>
    </x:row>
    <x:row r="189" ht="15">
      <x:c r="A189" s="58"/>
      <x:c r="B189" s="87" t="str">
        <x:f>IF($A189="","",IFERROR(INDEX('Analize meciuri'!$C$4:$C$103,MATCH($A189,'Analize meciuri'!$A$4:$A$103,0)),""))</x:f>
      </x:c>
      <x:c r="C189" s="35" t="str">
        <x:f>IF($A189="","",IFERROR(INDEX('Analize meciuri'!$G$4:$G$103,MATCH($A189,'Analize meciuri'!$A$4:$A$103,0)),""))</x:f>
      </x:c>
      <x:c r="D189" s="35" t="str">
        <x:f>IF($A189="","",IFERROR(INDEX('Analize meciuri'!$H$4:$H$103,MATCH($A189,'Analize meciuri'!$A$4:$A$103,0)),""))</x:f>
      </x:c>
      <x:c r="E189" s="88" t="str">
        <x:f>IF($A189="","",IFERROR(INDEX('Analize meciuri'!$GP$4:$GP$103,MATCH($A189,'Analize meciuri'!$A$4:$A$103,0)),""))</x:f>
      </x:c>
      <x:c r="F189" s="89" t="str">
        <x:f>IF($A189="","",IFERROR(INDEX('Analize meciuri'!$GT$4:$GT$103,MATCH($A189,'Analize meciuri'!$A$4:$A$103,0)),""))</x:f>
      </x:c>
      <x:c r="G189" s="60"/>
      <x:c r="H189" s="60"/>
      <x:c r="I189" s="24"/>
      <x:c r="J189" s="90" t="str">
        <x:f t="shared" si="21"/>
      </x:c>
      <x:c r="K189" s="90" t="str">
        <x:f t="shared" si="22"/>
      </x:c>
      <x:c r="L189" s="90" t="str">
        <x:f t="shared" si="23"/>
      </x:c>
      <x:c r="M189" s="88" t="str">
        <x:f t="shared" si="24"/>
      </x:c>
      <x:c r="N189" s="25" t="str">
        <x:f>IF($A189="","",IFERROR(INDEX('Analize meciuri'!$GV$4:$GV$103,MATCH($A189,'Analize meciuri'!$A$4:$A$103,0)),""))</x:f>
      </x:c>
      <x:c r="O189" s="1" t="str">
        <x:f>IF($A189="","",IFERROR(INDEX('Analize meciuri'!$GN$4:$GN$103,MATCH($A189,'Analize meciuri'!$A$4:$A$103,0)),""))</x:f>
      </x:c>
      <x:c r="P189" s="1"/>
      <x:c r="Q189" s="1"/>
      <x:c r="R189" s="1"/>
      <x:c r="S189" s="1"/>
      <x:c r="T189" s="1"/>
    </x:row>
    <x:row r="190" ht="15">
      <x:c r="A190" s="58"/>
      <x:c r="B190" s="87" t="str">
        <x:f>IF($A190="","",IFERROR(INDEX('Analize meciuri'!$C$4:$C$103,MATCH($A190,'Analize meciuri'!$A$4:$A$103,0)),""))</x:f>
      </x:c>
      <x:c r="C190" s="35" t="str">
        <x:f>IF($A190="","",IFERROR(INDEX('Analize meciuri'!$G$4:$G$103,MATCH($A190,'Analize meciuri'!$A$4:$A$103,0)),""))</x:f>
      </x:c>
      <x:c r="D190" s="35" t="str">
        <x:f>IF($A190="","",IFERROR(INDEX('Analize meciuri'!$H$4:$H$103,MATCH($A190,'Analize meciuri'!$A$4:$A$103,0)),""))</x:f>
      </x:c>
      <x:c r="E190" s="88" t="str">
        <x:f>IF($A190="","",IFERROR(INDEX('Analize meciuri'!$GP$4:$GP$103,MATCH($A190,'Analize meciuri'!$A$4:$A$103,0)),""))</x:f>
      </x:c>
      <x:c r="F190" s="89" t="str">
        <x:f>IF($A190="","",IFERROR(INDEX('Analize meciuri'!$GT$4:$GT$103,MATCH($A190,'Analize meciuri'!$A$4:$A$103,0)),""))</x:f>
      </x:c>
      <x:c r="G190" s="60"/>
      <x:c r="H190" s="60"/>
      <x:c r="I190" s="24"/>
      <x:c r="J190" s="90" t="str">
        <x:f t="shared" si="21"/>
      </x:c>
      <x:c r="K190" s="90" t="str">
        <x:f t="shared" si="22"/>
      </x:c>
      <x:c r="L190" s="90" t="str">
        <x:f t="shared" si="23"/>
      </x:c>
      <x:c r="M190" s="88" t="str">
        <x:f t="shared" si="24"/>
      </x:c>
      <x:c r="N190" s="25" t="str">
        <x:f>IF($A190="","",IFERROR(INDEX('Analize meciuri'!$GV$4:$GV$103,MATCH($A190,'Analize meciuri'!$A$4:$A$103,0)),""))</x:f>
      </x:c>
      <x:c r="O190" s="1" t="str">
        <x:f>IF($A190="","",IFERROR(INDEX('Analize meciuri'!$GN$4:$GN$103,MATCH($A190,'Analize meciuri'!$A$4:$A$103,0)),""))</x:f>
      </x:c>
      <x:c r="P190" s="1"/>
      <x:c r="Q190" s="1"/>
      <x:c r="R190" s="1"/>
      <x:c r="S190" s="1"/>
      <x:c r="T190" s="1"/>
    </x:row>
    <x:row r="191" ht="15">
      <x:c r="A191" s="58"/>
      <x:c r="B191" s="87" t="str">
        <x:f>IF($A191="","",IFERROR(INDEX('Analize meciuri'!$C$4:$C$103,MATCH($A191,'Analize meciuri'!$A$4:$A$103,0)),""))</x:f>
      </x:c>
      <x:c r="C191" s="35" t="str">
        <x:f>IF($A191="","",IFERROR(INDEX('Analize meciuri'!$G$4:$G$103,MATCH($A191,'Analize meciuri'!$A$4:$A$103,0)),""))</x:f>
      </x:c>
      <x:c r="D191" s="35" t="str">
        <x:f>IF($A191="","",IFERROR(INDEX('Analize meciuri'!$H$4:$H$103,MATCH($A191,'Analize meciuri'!$A$4:$A$103,0)),""))</x:f>
      </x:c>
      <x:c r="E191" s="88" t="str">
        <x:f>IF($A191="","",IFERROR(INDEX('Analize meciuri'!$GP$4:$GP$103,MATCH($A191,'Analize meciuri'!$A$4:$A$103,0)),""))</x:f>
      </x:c>
      <x:c r="F191" s="89" t="str">
        <x:f>IF($A191="","",IFERROR(INDEX('Analize meciuri'!$GT$4:$GT$103,MATCH($A191,'Analize meciuri'!$A$4:$A$103,0)),""))</x:f>
      </x:c>
      <x:c r="G191" s="60"/>
      <x:c r="H191" s="60"/>
      <x:c r="I191" s="24"/>
      <x:c r="J191" s="90" t="str">
        <x:f t="shared" si="21"/>
      </x:c>
      <x:c r="K191" s="90" t="str">
        <x:f t="shared" si="22"/>
      </x:c>
      <x:c r="L191" s="90" t="str">
        <x:f t="shared" si="23"/>
      </x:c>
      <x:c r="M191" s="88" t="str">
        <x:f t="shared" si="24"/>
      </x:c>
      <x:c r="N191" s="25" t="str">
        <x:f>IF($A191="","",IFERROR(INDEX('Analize meciuri'!$GV$4:$GV$103,MATCH($A191,'Analize meciuri'!$A$4:$A$103,0)),""))</x:f>
      </x:c>
      <x:c r="O191" s="1" t="str">
        <x:f>IF($A191="","",IFERROR(INDEX('Analize meciuri'!$GN$4:$GN$103,MATCH($A191,'Analize meciuri'!$A$4:$A$103,0)),""))</x:f>
      </x:c>
      <x:c r="P191" s="1"/>
      <x:c r="Q191" s="1"/>
      <x:c r="R191" s="1"/>
      <x:c r="S191" s="1"/>
      <x:c r="T191" s="1"/>
    </x:row>
    <x:row r="192" ht="15">
      <x:c r="A192" s="58"/>
      <x:c r="B192" s="87" t="str">
        <x:f>IF($A192="","",IFERROR(INDEX('Analize meciuri'!$C$4:$C$103,MATCH($A192,'Analize meciuri'!$A$4:$A$103,0)),""))</x:f>
      </x:c>
      <x:c r="C192" s="35" t="str">
        <x:f>IF($A192="","",IFERROR(INDEX('Analize meciuri'!$G$4:$G$103,MATCH($A192,'Analize meciuri'!$A$4:$A$103,0)),""))</x:f>
      </x:c>
      <x:c r="D192" s="35" t="str">
        <x:f>IF($A192="","",IFERROR(INDEX('Analize meciuri'!$H$4:$H$103,MATCH($A192,'Analize meciuri'!$A$4:$A$103,0)),""))</x:f>
      </x:c>
      <x:c r="E192" s="88" t="str">
        <x:f>IF($A192="","",IFERROR(INDEX('Analize meciuri'!$GP$4:$GP$103,MATCH($A192,'Analize meciuri'!$A$4:$A$103,0)),""))</x:f>
      </x:c>
      <x:c r="F192" s="89" t="str">
        <x:f>IF($A192="","",IFERROR(INDEX('Analize meciuri'!$GT$4:$GT$103,MATCH($A192,'Analize meciuri'!$A$4:$A$103,0)),""))</x:f>
      </x:c>
      <x:c r="G192" s="60"/>
      <x:c r="H192" s="60"/>
      <x:c r="I192" s="24"/>
      <x:c r="J192" s="90" t="str">
        <x:f t="shared" si="21"/>
      </x:c>
      <x:c r="K192" s="90" t="str">
        <x:f t="shared" si="22"/>
      </x:c>
      <x:c r="L192" s="90" t="str">
        <x:f t="shared" si="23"/>
      </x:c>
      <x:c r="M192" s="88" t="str">
        <x:f t="shared" si="24"/>
      </x:c>
      <x:c r="N192" s="25" t="str">
        <x:f>IF($A192="","",IFERROR(INDEX('Analize meciuri'!$GV$4:$GV$103,MATCH($A192,'Analize meciuri'!$A$4:$A$103,0)),""))</x:f>
      </x:c>
      <x:c r="O192" s="1" t="str">
        <x:f>IF($A192="","",IFERROR(INDEX('Analize meciuri'!$GN$4:$GN$103,MATCH($A192,'Analize meciuri'!$A$4:$A$103,0)),""))</x:f>
      </x:c>
      <x:c r="P192" s="1"/>
      <x:c r="Q192" s="1"/>
      <x:c r="R192" s="1"/>
      <x:c r="S192" s="1"/>
      <x:c r="T192" s="1"/>
    </x:row>
    <x:row r="193" ht="15">
      <x:c r="A193" s="58"/>
      <x:c r="B193" s="87" t="str">
        <x:f>IF($A193="","",IFERROR(INDEX('Analize meciuri'!$C$4:$C$103,MATCH($A193,'Analize meciuri'!$A$4:$A$103,0)),""))</x:f>
      </x:c>
      <x:c r="C193" s="35" t="str">
        <x:f>IF($A193="","",IFERROR(INDEX('Analize meciuri'!$G$4:$G$103,MATCH($A193,'Analize meciuri'!$A$4:$A$103,0)),""))</x:f>
      </x:c>
      <x:c r="D193" s="35" t="str">
        <x:f>IF($A193="","",IFERROR(INDEX('Analize meciuri'!$H$4:$H$103,MATCH($A193,'Analize meciuri'!$A$4:$A$103,0)),""))</x:f>
      </x:c>
      <x:c r="E193" s="88" t="str">
        <x:f>IF($A193="","",IFERROR(INDEX('Analize meciuri'!$GP$4:$GP$103,MATCH($A193,'Analize meciuri'!$A$4:$A$103,0)),""))</x:f>
      </x:c>
      <x:c r="F193" s="89" t="str">
        <x:f>IF($A193="","",IFERROR(INDEX('Analize meciuri'!$GT$4:$GT$103,MATCH($A193,'Analize meciuri'!$A$4:$A$103,0)),""))</x:f>
      </x:c>
      <x:c r="G193" s="60"/>
      <x:c r="H193" s="60"/>
      <x:c r="I193" s="24"/>
      <x:c r="J193" s="90" t="str">
        <x:f t="shared" si="21"/>
      </x:c>
      <x:c r="K193" s="90" t="str">
        <x:f t="shared" si="22"/>
      </x:c>
      <x:c r="L193" s="90" t="str">
        <x:f t="shared" si="23"/>
      </x:c>
      <x:c r="M193" s="88" t="str">
        <x:f t="shared" si="24"/>
      </x:c>
      <x:c r="N193" s="25" t="str">
        <x:f>IF($A193="","",IFERROR(INDEX('Analize meciuri'!$GV$4:$GV$103,MATCH($A193,'Analize meciuri'!$A$4:$A$103,0)),""))</x:f>
      </x:c>
      <x:c r="O193" s="1" t="str">
        <x:f>IF($A193="","",IFERROR(INDEX('Analize meciuri'!$GN$4:$GN$103,MATCH($A193,'Analize meciuri'!$A$4:$A$103,0)),""))</x:f>
      </x:c>
      <x:c r="P193" s="1"/>
      <x:c r="Q193" s="1"/>
      <x:c r="R193" s="1"/>
      <x:c r="S193" s="1"/>
      <x:c r="T193" s="1"/>
    </x:row>
    <x:row r="194" ht="15">
      <x:c r="A194" s="58"/>
      <x:c r="B194" s="87" t="str">
        <x:f>IF($A194="","",IFERROR(INDEX('Analize meciuri'!$C$4:$C$103,MATCH($A194,'Analize meciuri'!$A$4:$A$103,0)),""))</x:f>
      </x:c>
      <x:c r="C194" s="35" t="str">
        <x:f>IF($A194="","",IFERROR(INDEX('Analize meciuri'!$G$4:$G$103,MATCH($A194,'Analize meciuri'!$A$4:$A$103,0)),""))</x:f>
      </x:c>
      <x:c r="D194" s="35" t="str">
        <x:f>IF($A194="","",IFERROR(INDEX('Analize meciuri'!$H$4:$H$103,MATCH($A194,'Analize meciuri'!$A$4:$A$103,0)),""))</x:f>
      </x:c>
      <x:c r="E194" s="88" t="str">
        <x:f>IF($A194="","",IFERROR(INDEX('Analize meciuri'!$GP$4:$GP$103,MATCH($A194,'Analize meciuri'!$A$4:$A$103,0)),""))</x:f>
      </x:c>
      <x:c r="F194" s="89" t="str">
        <x:f>IF($A194="","",IFERROR(INDEX('Analize meciuri'!$GT$4:$GT$103,MATCH($A194,'Analize meciuri'!$A$4:$A$103,0)),""))</x:f>
      </x:c>
      <x:c r="G194" s="60"/>
      <x:c r="H194" s="60"/>
      <x:c r="I194" s="24"/>
      <x:c r="J194" s="90" t="str">
        <x:f t="shared" si="21"/>
      </x:c>
      <x:c r="K194" s="90" t="str">
        <x:f t="shared" si="22"/>
      </x:c>
      <x:c r="L194" s="90" t="str">
        <x:f t="shared" si="23"/>
      </x:c>
      <x:c r="M194" s="88" t="str">
        <x:f t="shared" si="24"/>
      </x:c>
      <x:c r="N194" s="25" t="str">
        <x:f>IF($A194="","",IFERROR(INDEX('Analize meciuri'!$GV$4:$GV$103,MATCH($A194,'Analize meciuri'!$A$4:$A$103,0)),""))</x:f>
      </x:c>
      <x:c r="O194" s="1" t="str">
        <x:f>IF($A194="","",IFERROR(INDEX('Analize meciuri'!$GN$4:$GN$103,MATCH($A194,'Analize meciuri'!$A$4:$A$103,0)),""))</x:f>
      </x:c>
      <x:c r="P194" s="1"/>
      <x:c r="Q194" s="1"/>
      <x:c r="R194" s="1"/>
      <x:c r="S194" s="1"/>
      <x:c r="T194" s="1"/>
    </x:row>
    <x:row r="195" ht="15">
      <x:c r="A195" s="58"/>
      <x:c r="B195" s="87" t="str">
        <x:f>IF($A195="","",IFERROR(INDEX('Analize meciuri'!$C$4:$C$103,MATCH($A195,'Analize meciuri'!$A$4:$A$103,0)),""))</x:f>
      </x:c>
      <x:c r="C195" s="35" t="str">
        <x:f>IF($A195="","",IFERROR(INDEX('Analize meciuri'!$G$4:$G$103,MATCH($A195,'Analize meciuri'!$A$4:$A$103,0)),""))</x:f>
      </x:c>
      <x:c r="D195" s="35" t="str">
        <x:f>IF($A195="","",IFERROR(INDEX('Analize meciuri'!$H$4:$H$103,MATCH($A195,'Analize meciuri'!$A$4:$A$103,0)),""))</x:f>
      </x:c>
      <x:c r="E195" s="88" t="str">
        <x:f>IF($A195="","",IFERROR(INDEX('Analize meciuri'!$GP$4:$GP$103,MATCH($A195,'Analize meciuri'!$A$4:$A$103,0)),""))</x:f>
      </x:c>
      <x:c r="F195" s="89" t="str">
        <x:f>IF($A195="","",IFERROR(INDEX('Analize meciuri'!$GT$4:$GT$103,MATCH($A195,'Analize meciuri'!$A$4:$A$103,0)),""))</x:f>
      </x:c>
      <x:c r="G195" s="60"/>
      <x:c r="H195" s="60"/>
      <x:c r="I195" s="24"/>
      <x:c r="J195" s="90" t="str">
        <x:f t="shared" si="21"/>
      </x:c>
      <x:c r="K195" s="90" t="str">
        <x:f t="shared" si="22"/>
      </x:c>
      <x:c r="L195" s="90" t="str">
        <x:f t="shared" si="23"/>
      </x:c>
      <x:c r="M195" s="88" t="str">
        <x:f t="shared" si="24"/>
      </x:c>
      <x:c r="N195" s="25" t="str">
        <x:f>IF($A195="","",IFERROR(INDEX('Analize meciuri'!$GV$4:$GV$103,MATCH($A195,'Analize meciuri'!$A$4:$A$103,0)),""))</x:f>
      </x:c>
      <x:c r="O195" s="1" t="str">
        <x:f>IF($A195="","",IFERROR(INDEX('Analize meciuri'!$GN$4:$GN$103,MATCH($A195,'Analize meciuri'!$A$4:$A$103,0)),""))</x:f>
      </x:c>
      <x:c r="P195" s="1"/>
      <x:c r="Q195" s="1"/>
      <x:c r="R195" s="1"/>
      <x:c r="S195" s="1"/>
      <x:c r="T195" s="1"/>
    </x:row>
    <x:row r="196" ht="15">
      <x:c r="A196" s="58"/>
      <x:c r="B196" s="87" t="str">
        <x:f>IF($A196="","",IFERROR(INDEX('Analize meciuri'!$C$4:$C$103,MATCH($A196,'Analize meciuri'!$A$4:$A$103,0)),""))</x:f>
      </x:c>
      <x:c r="C196" s="35" t="str">
        <x:f>IF($A196="","",IFERROR(INDEX('Analize meciuri'!$G$4:$G$103,MATCH($A196,'Analize meciuri'!$A$4:$A$103,0)),""))</x:f>
      </x:c>
      <x:c r="D196" s="35" t="str">
        <x:f>IF($A196="","",IFERROR(INDEX('Analize meciuri'!$H$4:$H$103,MATCH($A196,'Analize meciuri'!$A$4:$A$103,0)),""))</x:f>
      </x:c>
      <x:c r="E196" s="88" t="str">
        <x:f>IF($A196="","",IFERROR(INDEX('Analize meciuri'!$GP$4:$GP$103,MATCH($A196,'Analize meciuri'!$A$4:$A$103,0)),""))</x:f>
      </x:c>
      <x:c r="F196" s="89" t="str">
        <x:f>IF($A196="","",IFERROR(INDEX('Analize meciuri'!$GT$4:$GT$103,MATCH($A196,'Analize meciuri'!$A$4:$A$103,0)),""))</x:f>
      </x:c>
      <x:c r="G196" s="60"/>
      <x:c r="H196" s="60"/>
      <x:c r="I196" s="24"/>
      <x:c r="J196" s="90" t="str">
        <x:f t="shared" ref="J196:J203" si="25">IF(OR($A196="",I196="",G196=""),"",IF(I196=1,G196-1,-1))</x:f>
      </x:c>
      <x:c r="K196" s="90" t="str">
        <x:f t="shared" ref="K196:K203" si="26">IF(OR($A196="",I196=""),"",(E196-I196)^2)</x:f>
      </x:c>
      <x:c r="L196" s="90" t="str">
        <x:f t="shared" ref="L196:L203" si="27">IF(OR($A196="",I196=""),"",-(I196*LN(MAX(0.001,E196))+(1-I196)*LN(MAX(0.001,1-E196))))</x:f>
      </x:c>
      <x:c r="M196" s="88" t="str">
        <x:f t="shared" ref="M196:M203" si="28">IF(OR($A196="",G196="",H196=""),"",G196/H196-1)</x:f>
      </x:c>
      <x:c r="N196" s="25" t="str">
        <x:f>IF($A196="","",IFERROR(INDEX('Analize meciuri'!$GV$4:$GV$103,MATCH($A196,'Analize meciuri'!$A$4:$A$103,0)),""))</x:f>
      </x:c>
      <x:c r="O196" s="1" t="str">
        <x:f>IF($A196="","",IFERROR(INDEX('Analize meciuri'!$GN$4:$GN$103,MATCH($A196,'Analize meciuri'!$A$4:$A$103,0)),""))</x:f>
      </x:c>
      <x:c r="P196" s="1"/>
      <x:c r="Q196" s="1"/>
      <x:c r="R196" s="1"/>
      <x:c r="S196" s="1"/>
      <x:c r="T196" s="1"/>
    </x:row>
    <x:row r="197" ht="15">
      <x:c r="A197" s="58"/>
      <x:c r="B197" s="87" t="str">
        <x:f>IF($A197="","",IFERROR(INDEX('Analize meciuri'!$C$4:$C$103,MATCH($A197,'Analize meciuri'!$A$4:$A$103,0)),""))</x:f>
      </x:c>
      <x:c r="C197" s="35" t="str">
        <x:f>IF($A197="","",IFERROR(INDEX('Analize meciuri'!$G$4:$G$103,MATCH($A197,'Analize meciuri'!$A$4:$A$103,0)),""))</x:f>
      </x:c>
      <x:c r="D197" s="35" t="str">
        <x:f>IF($A197="","",IFERROR(INDEX('Analize meciuri'!$H$4:$H$103,MATCH($A197,'Analize meciuri'!$A$4:$A$103,0)),""))</x:f>
      </x:c>
      <x:c r="E197" s="88" t="str">
        <x:f>IF($A197="","",IFERROR(INDEX('Analize meciuri'!$GP$4:$GP$103,MATCH($A197,'Analize meciuri'!$A$4:$A$103,0)),""))</x:f>
      </x:c>
      <x:c r="F197" s="89" t="str">
        <x:f>IF($A197="","",IFERROR(INDEX('Analize meciuri'!$GT$4:$GT$103,MATCH($A197,'Analize meciuri'!$A$4:$A$103,0)),""))</x:f>
      </x:c>
      <x:c r="G197" s="60"/>
      <x:c r="H197" s="60"/>
      <x:c r="I197" s="24"/>
      <x:c r="J197" s="90" t="str">
        <x:f t="shared" si="25"/>
      </x:c>
      <x:c r="K197" s="90" t="str">
        <x:f t="shared" si="26"/>
      </x:c>
      <x:c r="L197" s="90" t="str">
        <x:f t="shared" si="27"/>
      </x:c>
      <x:c r="M197" s="88" t="str">
        <x:f t="shared" si="28"/>
      </x:c>
      <x:c r="N197" s="25" t="str">
        <x:f>IF($A197="","",IFERROR(INDEX('Analize meciuri'!$GV$4:$GV$103,MATCH($A197,'Analize meciuri'!$A$4:$A$103,0)),""))</x:f>
      </x:c>
      <x:c r="O197" s="1" t="str">
        <x:f>IF($A197="","",IFERROR(INDEX('Analize meciuri'!$GN$4:$GN$103,MATCH($A197,'Analize meciuri'!$A$4:$A$103,0)),""))</x:f>
      </x:c>
      <x:c r="P197" s="1"/>
      <x:c r="Q197" s="1"/>
      <x:c r="R197" s="1"/>
      <x:c r="S197" s="1"/>
      <x:c r="T197" s="1"/>
    </x:row>
    <x:row r="198" ht="15">
      <x:c r="A198" s="58"/>
      <x:c r="B198" s="87" t="str">
        <x:f>IF($A198="","",IFERROR(INDEX('Analize meciuri'!$C$4:$C$103,MATCH($A198,'Analize meciuri'!$A$4:$A$103,0)),""))</x:f>
      </x:c>
      <x:c r="C198" s="35" t="str">
        <x:f>IF($A198="","",IFERROR(INDEX('Analize meciuri'!$G$4:$G$103,MATCH($A198,'Analize meciuri'!$A$4:$A$103,0)),""))</x:f>
      </x:c>
      <x:c r="D198" s="35" t="str">
        <x:f>IF($A198="","",IFERROR(INDEX('Analize meciuri'!$H$4:$H$103,MATCH($A198,'Analize meciuri'!$A$4:$A$103,0)),""))</x:f>
      </x:c>
      <x:c r="E198" s="88" t="str">
        <x:f>IF($A198="","",IFERROR(INDEX('Analize meciuri'!$GP$4:$GP$103,MATCH($A198,'Analize meciuri'!$A$4:$A$103,0)),""))</x:f>
      </x:c>
      <x:c r="F198" s="89" t="str">
        <x:f>IF($A198="","",IFERROR(INDEX('Analize meciuri'!$GT$4:$GT$103,MATCH($A198,'Analize meciuri'!$A$4:$A$103,0)),""))</x:f>
      </x:c>
      <x:c r="G198" s="60"/>
      <x:c r="H198" s="60"/>
      <x:c r="I198" s="24"/>
      <x:c r="J198" s="90" t="str">
        <x:f t="shared" si="25"/>
      </x:c>
      <x:c r="K198" s="90" t="str">
        <x:f t="shared" si="26"/>
      </x:c>
      <x:c r="L198" s="90" t="str">
        <x:f t="shared" si="27"/>
      </x:c>
      <x:c r="M198" s="88" t="str">
        <x:f t="shared" si="28"/>
      </x:c>
      <x:c r="N198" s="25" t="str">
        <x:f>IF($A198="","",IFERROR(INDEX('Analize meciuri'!$GV$4:$GV$103,MATCH($A198,'Analize meciuri'!$A$4:$A$103,0)),""))</x:f>
      </x:c>
      <x:c r="O198" s="1" t="str">
        <x:f>IF($A198="","",IFERROR(INDEX('Analize meciuri'!$GN$4:$GN$103,MATCH($A198,'Analize meciuri'!$A$4:$A$103,0)),""))</x:f>
      </x:c>
      <x:c r="P198" s="1"/>
      <x:c r="Q198" s="1"/>
      <x:c r="R198" s="1"/>
      <x:c r="S198" s="1"/>
      <x:c r="T198" s="1"/>
    </x:row>
    <x:row r="199" ht="15">
      <x:c r="A199" s="58"/>
      <x:c r="B199" s="87" t="str">
        <x:f>IF($A199="","",IFERROR(INDEX('Analize meciuri'!$C$4:$C$103,MATCH($A199,'Analize meciuri'!$A$4:$A$103,0)),""))</x:f>
      </x:c>
      <x:c r="C199" s="35" t="str">
        <x:f>IF($A199="","",IFERROR(INDEX('Analize meciuri'!$G$4:$G$103,MATCH($A199,'Analize meciuri'!$A$4:$A$103,0)),""))</x:f>
      </x:c>
      <x:c r="D199" s="35" t="str">
        <x:f>IF($A199="","",IFERROR(INDEX('Analize meciuri'!$H$4:$H$103,MATCH($A199,'Analize meciuri'!$A$4:$A$103,0)),""))</x:f>
      </x:c>
      <x:c r="E199" s="88" t="str">
        <x:f>IF($A199="","",IFERROR(INDEX('Analize meciuri'!$GP$4:$GP$103,MATCH($A199,'Analize meciuri'!$A$4:$A$103,0)),""))</x:f>
      </x:c>
      <x:c r="F199" s="89" t="str">
        <x:f>IF($A199="","",IFERROR(INDEX('Analize meciuri'!$GT$4:$GT$103,MATCH($A199,'Analize meciuri'!$A$4:$A$103,0)),""))</x:f>
      </x:c>
      <x:c r="G199" s="60"/>
      <x:c r="H199" s="60"/>
      <x:c r="I199" s="24"/>
      <x:c r="J199" s="90" t="str">
        <x:f t="shared" si="25"/>
      </x:c>
      <x:c r="K199" s="90" t="str">
        <x:f t="shared" si="26"/>
      </x:c>
      <x:c r="L199" s="90" t="str">
        <x:f t="shared" si="27"/>
      </x:c>
      <x:c r="M199" s="88" t="str">
        <x:f t="shared" si="28"/>
      </x:c>
      <x:c r="N199" s="25" t="str">
        <x:f>IF($A199="","",IFERROR(INDEX('Analize meciuri'!$GV$4:$GV$103,MATCH($A199,'Analize meciuri'!$A$4:$A$103,0)),""))</x:f>
      </x:c>
      <x:c r="O199" s="1" t="str">
        <x:f>IF($A199="","",IFERROR(INDEX('Analize meciuri'!$GN$4:$GN$103,MATCH($A199,'Analize meciuri'!$A$4:$A$103,0)),""))</x:f>
      </x:c>
      <x:c r="P199" s="1"/>
      <x:c r="Q199" s="1"/>
      <x:c r="R199" s="1"/>
      <x:c r="S199" s="1"/>
      <x:c r="T199" s="1"/>
    </x:row>
    <x:row r="200" ht="15">
      <x:c r="A200" s="58"/>
      <x:c r="B200" s="87" t="str">
        <x:f>IF($A200="","",IFERROR(INDEX('Analize meciuri'!$C$4:$C$103,MATCH($A200,'Analize meciuri'!$A$4:$A$103,0)),""))</x:f>
      </x:c>
      <x:c r="C200" s="35" t="str">
        <x:f>IF($A200="","",IFERROR(INDEX('Analize meciuri'!$G$4:$G$103,MATCH($A200,'Analize meciuri'!$A$4:$A$103,0)),""))</x:f>
      </x:c>
      <x:c r="D200" s="35" t="str">
        <x:f>IF($A200="","",IFERROR(INDEX('Analize meciuri'!$H$4:$H$103,MATCH($A200,'Analize meciuri'!$A$4:$A$103,0)),""))</x:f>
      </x:c>
      <x:c r="E200" s="88" t="str">
        <x:f>IF($A200="","",IFERROR(INDEX('Analize meciuri'!$GP$4:$GP$103,MATCH($A200,'Analize meciuri'!$A$4:$A$103,0)),""))</x:f>
      </x:c>
      <x:c r="F200" s="89" t="str">
        <x:f>IF($A200="","",IFERROR(INDEX('Analize meciuri'!$GT$4:$GT$103,MATCH($A200,'Analize meciuri'!$A$4:$A$103,0)),""))</x:f>
      </x:c>
      <x:c r="G200" s="60"/>
      <x:c r="H200" s="60"/>
      <x:c r="I200" s="24"/>
      <x:c r="J200" s="90" t="str">
        <x:f t="shared" si="25"/>
      </x:c>
      <x:c r="K200" s="90" t="str">
        <x:f t="shared" si="26"/>
      </x:c>
      <x:c r="L200" s="90" t="str">
        <x:f t="shared" si="27"/>
      </x:c>
      <x:c r="M200" s="88" t="str">
        <x:f t="shared" si="28"/>
      </x:c>
      <x:c r="N200" s="25" t="str">
        <x:f>IF($A200="","",IFERROR(INDEX('Analize meciuri'!$GV$4:$GV$103,MATCH($A200,'Analize meciuri'!$A$4:$A$103,0)),""))</x:f>
      </x:c>
      <x:c r="O200" s="1" t="str">
        <x:f>IF($A200="","",IFERROR(INDEX('Analize meciuri'!$GN$4:$GN$103,MATCH($A200,'Analize meciuri'!$A$4:$A$103,0)),""))</x:f>
      </x:c>
      <x:c r="P200" s="1"/>
      <x:c r="Q200" s="1"/>
      <x:c r="R200" s="1"/>
      <x:c r="S200" s="1"/>
      <x:c r="T200" s="1"/>
    </x:row>
    <x:row r="201" ht="15">
      <x:c r="A201" s="58"/>
      <x:c r="B201" s="87" t="str">
        <x:f>IF($A201="","",IFERROR(INDEX('Analize meciuri'!$C$4:$C$103,MATCH($A201,'Analize meciuri'!$A$4:$A$103,0)),""))</x:f>
      </x:c>
      <x:c r="C201" s="35" t="str">
        <x:f>IF($A201="","",IFERROR(INDEX('Analize meciuri'!$G$4:$G$103,MATCH($A201,'Analize meciuri'!$A$4:$A$103,0)),""))</x:f>
      </x:c>
      <x:c r="D201" s="35" t="str">
        <x:f>IF($A201="","",IFERROR(INDEX('Analize meciuri'!$H$4:$H$103,MATCH($A201,'Analize meciuri'!$A$4:$A$103,0)),""))</x:f>
      </x:c>
      <x:c r="E201" s="88" t="str">
        <x:f>IF($A201="","",IFERROR(INDEX('Analize meciuri'!$GP$4:$GP$103,MATCH($A201,'Analize meciuri'!$A$4:$A$103,0)),""))</x:f>
      </x:c>
      <x:c r="F201" s="89" t="str">
        <x:f>IF($A201="","",IFERROR(INDEX('Analize meciuri'!$GT$4:$GT$103,MATCH($A201,'Analize meciuri'!$A$4:$A$103,0)),""))</x:f>
      </x:c>
      <x:c r="G201" s="60"/>
      <x:c r="H201" s="60"/>
      <x:c r="I201" s="24"/>
      <x:c r="J201" s="90" t="str">
        <x:f t="shared" si="25"/>
      </x:c>
      <x:c r="K201" s="90" t="str">
        <x:f t="shared" si="26"/>
      </x:c>
      <x:c r="L201" s="90" t="str">
        <x:f t="shared" si="27"/>
      </x:c>
      <x:c r="M201" s="88" t="str">
        <x:f t="shared" si="28"/>
      </x:c>
      <x:c r="N201" s="25" t="str">
        <x:f>IF($A201="","",IFERROR(INDEX('Analize meciuri'!$GV$4:$GV$103,MATCH($A201,'Analize meciuri'!$A$4:$A$103,0)),""))</x:f>
      </x:c>
      <x:c r="O201" s="1" t="str">
        <x:f>IF($A201="","",IFERROR(INDEX('Analize meciuri'!$GN$4:$GN$103,MATCH($A201,'Analize meciuri'!$A$4:$A$103,0)),""))</x:f>
      </x:c>
      <x:c r="P201" s="1"/>
      <x:c r="Q201" s="1"/>
      <x:c r="R201" s="1"/>
      <x:c r="S201" s="1"/>
      <x:c r="T201" s="1"/>
    </x:row>
    <x:row r="202" ht="15">
      <x:c r="A202" s="58"/>
      <x:c r="B202" s="87" t="str">
        <x:f>IF($A202="","",IFERROR(INDEX('Analize meciuri'!$C$4:$C$103,MATCH($A202,'Analize meciuri'!$A$4:$A$103,0)),""))</x:f>
      </x:c>
      <x:c r="C202" s="35" t="str">
        <x:f>IF($A202="","",IFERROR(INDEX('Analize meciuri'!$G$4:$G$103,MATCH($A202,'Analize meciuri'!$A$4:$A$103,0)),""))</x:f>
      </x:c>
      <x:c r="D202" s="35" t="str">
        <x:f>IF($A202="","",IFERROR(INDEX('Analize meciuri'!$H$4:$H$103,MATCH($A202,'Analize meciuri'!$A$4:$A$103,0)),""))</x:f>
      </x:c>
      <x:c r="E202" s="88" t="str">
        <x:f>IF($A202="","",IFERROR(INDEX('Analize meciuri'!$GP$4:$GP$103,MATCH($A202,'Analize meciuri'!$A$4:$A$103,0)),""))</x:f>
      </x:c>
      <x:c r="F202" s="89" t="str">
        <x:f>IF($A202="","",IFERROR(INDEX('Analize meciuri'!$GT$4:$GT$103,MATCH($A202,'Analize meciuri'!$A$4:$A$103,0)),""))</x:f>
      </x:c>
      <x:c r="G202" s="60"/>
      <x:c r="H202" s="60"/>
      <x:c r="I202" s="24"/>
      <x:c r="J202" s="90" t="str">
        <x:f t="shared" si="25"/>
      </x:c>
      <x:c r="K202" s="90" t="str">
        <x:f t="shared" si="26"/>
      </x:c>
      <x:c r="L202" s="90" t="str">
        <x:f t="shared" si="27"/>
      </x:c>
      <x:c r="M202" s="88" t="str">
        <x:f t="shared" si="28"/>
      </x:c>
      <x:c r="N202" s="25" t="str">
        <x:f>IF($A202="","",IFERROR(INDEX('Analize meciuri'!$GV$4:$GV$103,MATCH($A202,'Analize meciuri'!$A$4:$A$103,0)),""))</x:f>
      </x:c>
      <x:c r="O202" s="1" t="str">
        <x:f>IF($A202="","",IFERROR(INDEX('Analize meciuri'!$GN$4:$GN$103,MATCH($A202,'Analize meciuri'!$A$4:$A$103,0)),""))</x:f>
      </x:c>
      <x:c r="P202" s="1"/>
      <x:c r="Q202" s="1"/>
      <x:c r="R202" s="1"/>
      <x:c r="S202" s="1"/>
      <x:c r="T202" s="1"/>
    </x:row>
    <x:row r="203" ht="15">
      <x:c r="A203" s="69"/>
      <x:c r="B203" s="96" t="str">
        <x:f>IF($A203="","",IFERROR(INDEX('Analize meciuri'!$C$4:$C$103,MATCH($A203,'Analize meciuri'!$A$4:$A$103,0)),""))</x:f>
      </x:c>
      <x:c r="C203" s="36" t="str">
        <x:f>IF($A203="","",IFERROR(INDEX('Analize meciuri'!$G$4:$G$103,MATCH($A203,'Analize meciuri'!$A$4:$A$103,0)),""))</x:f>
      </x:c>
      <x:c r="D203" s="36" t="str">
        <x:f>IF($A203="","",IFERROR(INDEX('Analize meciuri'!$H$4:$H$103,MATCH($A203,'Analize meciuri'!$A$4:$A$103,0)),""))</x:f>
      </x:c>
      <x:c r="E203" s="95" t="str">
        <x:f>IF($A203="","",IFERROR(INDEX('Analize meciuri'!$GP$4:$GP$103,MATCH($A203,'Analize meciuri'!$A$4:$A$103,0)),""))</x:f>
      </x:c>
      <x:c r="F203" s="97" t="str">
        <x:f>IF($A203="","",IFERROR(INDEX('Analize meciuri'!$GT$4:$GT$103,MATCH($A203,'Analize meciuri'!$A$4:$A$103,0)),""))</x:f>
      </x:c>
      <x:c r="G203" s="71"/>
      <x:c r="H203" s="71"/>
      <x:c r="I203" s="26"/>
      <x:c r="J203" s="98" t="str">
        <x:f t="shared" si="25"/>
      </x:c>
      <x:c r="K203" s="98" t="str">
        <x:f t="shared" si="26"/>
      </x:c>
      <x:c r="L203" s="98" t="str">
        <x:f t="shared" si="27"/>
      </x:c>
      <x:c r="M203" s="95" t="str">
        <x:f t="shared" si="28"/>
      </x:c>
      <x:c r="N203" s="27" t="str">
        <x:f>IF($A203="","",IFERROR(INDEX('Analize meciuri'!$GV$4:$GV$103,MATCH($A203,'Analize meciuri'!$A$4:$A$103,0)),""))</x:f>
      </x:c>
      <x:c r="O203" s="1" t="str">
        <x:f>IF($A203="","",IFERROR(INDEX('Analize meciuri'!$GN$4:$GN$103,MATCH($A203,'Analize meciuri'!$A$4:$A$103,0)),""))</x:f>
      </x:c>
      <x:c r="P203" s="1"/>
      <x:c r="Q203" s="1"/>
      <x:c r="R203" s="1"/>
      <x:c r="S203" s="1"/>
      <x:c r="T203" s="1"/>
    </x:row>
  </x:sheetData>
  <x:mergeCells>
    <x:mergeCell ref="A1:N2"/>
    <x:mergeCell ref="P1:T1"/>
    <x:mergeCell ref="U2:Z2"/>
  </x:mergeCells>
  <x:dataValidations count="1">
    <x:dataValidation type="whole" sqref="I4:I203">
      <x:formula1>0</x:formula1>
      <x:formula2>1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2" width="18" customWidth="1"/>
    <x:col min="3" max="3" width="15" customWidth="1"/>
    <x:col min="4" max="5" width="42" customWidth="1"/>
    <x:col min="6" max="7" width="20" customWidth="1"/>
    <x:col min="8" max="8" width="24" customWidth="1"/>
  </x:cols>
  <x:sheetData>
    <x:row r="1" ht="28" customHeight="1">
      <x:c r="A1" s="143" t="str">
        <x:v>OVER 0,5 – METODOLOGIE v9</x:v>
      </x:c>
      <x:c r="B1" s="143"/>
      <x:c r="C1" s="143"/>
      <x:c r="D1" s="143"/>
      <x:c r="E1" s="143"/>
      <x:c r="F1" s="143"/>
      <x:c r="G1" s="143"/>
      <x:c r="H1" s="143"/>
    </x:row>
    <x:row r="2" ht="14.25" customHeight="1">
      <x:c r="A2" s="181"/>
      <x:c r="B2" s="181"/>
      <x:c r="C2" s="181"/>
      <x:c r="D2" s="181"/>
      <x:c r="E2" s="181"/>
      <x:c r="F2" s="145"/>
      <x:c r="G2" s="145"/>
      <x:c r="H2" s="145"/>
    </x:row>
    <x:row r="3" ht="14.25" customHeight="1">
      <x:c r="A3" s="182" t="s">
        <x:v>884</x:v>
      </x:c>
      <x:c r="B3" s="182" t="s">
        <x:v>885</x:v>
      </x:c>
      <x:c r="C3" s="182" t="s">
        <x:v>886</x:v>
      </x:c>
      <x:c r="D3" s="182" t="s">
        <x:v>887</x:v>
      </x:c>
      <x:c r="E3" s="182" t="s">
        <x:v>888</x:v>
      </x:c>
      <x:c r="F3" s="145"/>
      <x:c r="G3" s="145"/>
      <x:c r="H3" s="145"/>
    </x:row>
    <x:row r="4" ht="32" customHeight="1">
      <x:c r="A4" s="183" t="s">
        <x:v>248</x:v>
      </x:c>
      <x:c r="B4" s="184" t="n">
        <x:f>0.25/0.85</x:f>
        <x:v>0.29411764705882354</x:v>
      </x:c>
      <x:c r="C4" s="183"/>
      <x:c r="D4" s="183" t="str">
        <x:v>Date critice complete și calitatea surselor; SMALL SAMPLE nu produce hard fail</x:v>
      </x:c>
      <x:c r="E4" s="183" t="str">
        <x:v>GM + AT</x:v>
      </x:c>
      <x:c r="F4" s="145"/>
      <x:c r="G4" s="145"/>
      <x:c r="H4" s="145"/>
    </x:row>
    <x:row r="5" ht="14.25" customHeight="1">
      <x:c r="A5" s="183" t="s">
        <x:v>249</x:v>
      </x:c>
      <x:c r="B5" s="184" t="n">
        <x:f>0.3/0.85</x:f>
        <x:v>0.35294117647058826</x:v>
      </x:c>
      <x:c r="C5" s="183"/>
      <x:c r="D5" s="183" t="str">
        <x:v>Factor zero-mass activ, normalizat între limitele stabilite</x:v>
      </x:c>
      <x:c r="E5" s="183" t="s">
        <x:v>889</x:v>
      </x:c>
      <x:c r="F5" s="145"/>
      <x:c r="G5" s="145"/>
      <x:c r="H5" s="145"/>
    </x:row>
    <x:row r="6" ht="14.25" customHeight="1">
      <x:c r="A6" s="183" t="s">
        <x:v>250</x:v>
      </x:c>
      <x:c r="B6" s="184" t="n">
        <x:f>0.15/0.85</x:f>
        <x:v>0.17647058823529413</x:v>
      </x:c>
      <x:c r="C6" s="183"/>
      <x:c r="D6" s="183" t="s">
        <x:v>890</x:v>
      </x:c>
      <x:c r="E6" s="183" t="s">
        <x:v>891</x:v>
      </x:c>
      <x:c r="F6" s="145"/>
      <x:c r="G6" s="145"/>
      <x:c r="H6" s="145"/>
    </x:row>
    <x:row r="7" ht="14.25" customHeight="1">
      <x:c r="A7" s="183" t="s">
        <x:v>251</x:v>
      </x:c>
      <x:c r="B7" s="184" t="n">
        <x:f>0.1/0.85</x:f>
        <x:v>0.11764705882352942</x:v>
      </x:c>
      <x:c r="C7" s="183"/>
      <x:c r="D7" s="183" t="str">
        <x:v>Calitatea eșantionului și acordul componentelor tehnice, fără piață</x:v>
      </x:c>
      <x:c r="E7" s="183" t="str">
        <x:v>CC + acord BJ:BN</x:v>
      </x:c>
      <x:c r="F7" s="145"/>
      <x:c r="G7" s="145"/>
      <x:c r="H7" s="145"/>
    </x:row>
    <x:row r="8" ht="14.25" customHeight="1">
      <x:c r="A8" s="183" t="s">
        <x:v>252</x:v>
      </x:c>
      <x:c r="B8" s="184" t="n">
        <x:f>0.05/0.85</x:f>
        <x:v>0.05882352941176471</x:v>
      </x:c>
      <x:c r="C8" s="183"/>
      <x:c r="D8" s="183" t="s">
        <x:v>892</x:v>
      </x:c>
      <x:c r="E8" s="183" t="s">
        <x:v>893</x:v>
      </x:c>
      <x:c r="F8" s="145"/>
      <x:c r="G8" s="145"/>
      <x:c r="H8" s="145"/>
    </x:row>
    <x:row r="9" ht="14.25" customHeight="1">
      <x:c r="A9" s="183" t="s">
        <x:v>894</x:v>
      </x:c>
      <x:c r="B9" s="184" t="n">
        <x:f>SUM(B4:B8)</x:f>
        <x:v>1</x:v>
      </x:c>
      <x:c r="C9" s="183"/>
      <x:c r="D9" s="183" t="s">
        <x:v>895</x:v>
      </x:c>
      <x:c r="E9" s="183"/>
      <x:c r="F9" s="145"/>
      <x:c r="G9" s="145"/>
      <x:c r="H9" s="145"/>
    </x:row>
    <x:row r="10" ht="14.25" customHeight="1">
      <x:c r="A10" s="181"/>
      <x:c r="B10" s="181"/>
      <x:c r="C10" s="181"/>
      <x:c r="D10" s="181"/>
      <x:c r="E10" s="181"/>
      <x:c r="F10" s="145"/>
      <x:c r="G10" s="145"/>
      <x:c r="H10" s="145"/>
    </x:row>
    <x:row r="11" ht="14.25" customHeight="1">
      <x:c r="A11" s="181"/>
      <x:c r="B11" s="181"/>
      <x:c r="C11" s="181"/>
      <x:c r="D11" s="181"/>
      <x:c r="E11" s="181"/>
      <x:c r="F11" s="145"/>
      <x:c r="G11" s="145"/>
      <x:c r="H11" s="145"/>
    </x:row>
    <x:row r="12" ht="14.25" customHeight="1">
      <x:c r="A12" s="143" t="s">
        <x:v>253</x:v>
      </x:c>
      <x:c r="B12" s="143" t="s">
        <x:v>896</x:v>
      </x:c>
      <x:c r="C12" s="143" t="s">
        <x:v>314</x:v>
      </x:c>
      <x:c r="D12" s="143" t="s">
        <x:v>897</x:v>
      </x:c>
      <x:c r="E12" s="181"/>
      <x:c r="F12" s="145"/>
      <x:c r="G12" s="145"/>
      <x:c r="H12" s="145"/>
    </x:row>
    <x:row r="13" ht="26.450000762939453" customHeight="1">
      <x:c r="A13" s="181" t="str">
        <x:v>0–20</x:v>
      </x:c>
      <x:c r="B13" s="181" t="n">
        <x:v>1</x:v>
      </x:c>
      <x:c r="C13" s="181" t="str">
        <x:v>DEFENSIV</x:v>
      </x:c>
      <x:c r="D13" s="181" t="str">
        <x:v>Recomandare tehnică Nivel 1, dacă G0 este PASS</x:v>
      </x:c>
      <x:c r="E13" s="181"/>
      <x:c r="F13" s="145"/>
      <x:c r="G13" s="145"/>
      <x:c r="H13" s="145"/>
    </x:row>
    <x:row r="14" ht="14.25" customHeight="1">
      <x:c r="A14" s="181" t="str">
        <x:v>&gt;20–40</x:v>
      </x:c>
      <x:c r="B14" s="181" t="n">
        <x:v>2</x:v>
      </x:c>
      <x:c r="C14" s="181" t="str">
        <x:v>PRUDENT</x:v>
      </x:c>
      <x:c r="D14" s="181" t="str">
        <x:v>Recomandare tehnică Nivel 2</x:v>
      </x:c>
      <x:c r="E14" s="181"/>
      <x:c r="F14" s="145"/>
      <x:c r="G14" s="145"/>
      <x:c r="H14" s="145"/>
    </x:row>
    <x:row r="15" ht="26.450000762939453" customHeight="1">
      <x:c r="A15" s="181" t="str">
        <x:v>&gt;40–60</x:v>
      </x:c>
      <x:c r="B15" s="181" t="n">
        <x:v>3</x:v>
      </x:c>
      <x:c r="C15" s="181" t="str">
        <x:v>MODERAT</x:v>
      </x:c>
      <x:c r="D15" s="181" t="str">
        <x:v>Recomandare tehnică Nivel 3</x:v>
      </x:c>
      <x:c r="E15" s="181"/>
      <x:c r="F15" s="145"/>
      <x:c r="G15" s="145"/>
      <x:c r="H15" s="145"/>
    </x:row>
    <x:row r="16" ht="14.25" customHeight="1">
      <x:c r="A16" s="181" t="str">
        <x:v>&gt;60–80</x:v>
      </x:c>
      <x:c r="B16" s="181" t="n">
        <x:v>4</x:v>
      </x:c>
      <x:c r="C16" s="181" t="str">
        <x:v>RIDICAT</x:v>
      </x:c>
      <x:c r="D16" s="181" t="str">
        <x:v>Recomandare tehnică Nivel 4</x:v>
      </x:c>
      <x:c r="E16" s="181"/>
      <x:c r="F16" s="145"/>
      <x:c r="G16" s="145"/>
      <x:c r="H16" s="145"/>
    </x:row>
    <x:row r="17" ht="26.450000762939453" customHeight="1">
      <x:c r="A17" s="181" t="str">
        <x:v>&gt;80 sau G0 hard fail</x:v>
      </x:c>
      <x:c r="B17" s="181" t="n">
        <x:v>5</x:v>
      </x:c>
      <x:c r="C17" s="181" t="str">
        <x:v>WATCH / NO BET</x:v>
      </x:c>
      <x:c r="D17" s="181" t="str">
        <x:v>Recomandare tehnică Nivel 5</x:v>
      </x:c>
      <x:c r="E17" s="181"/>
      <x:c r="F17" s="145"/>
      <x:c r="G17" s="145"/>
      <x:c r="H17" s="145"/>
    </x:row>
    <x:row r="18" ht="14.25" customHeight="1">
      <x:c r="A18" s="181"/>
      <x:c r="B18" s="181"/>
      <x:c r="C18" s="181"/>
      <x:c r="D18" s="181"/>
      <x:c r="E18" s="181"/>
      <x:c r="F18" s="145"/>
      <x:c r="G18" s="145"/>
      <x:c r="H18" s="145"/>
    </x:row>
    <x:row r="19" ht="14.25" customHeight="1">
      <x:c r="A19" s="143" t="s">
        <x:v>898</x:v>
      </x:c>
      <x:c r="B19" s="143" t="s">
        <x:v>2</x:v>
      </x:c>
      <x:c r="C19" s="143" t="s">
        <x:v>899</x:v>
      </x:c>
      <x:c r="D19" s="143" t="s">
        <x:v>900</x:v>
      </x:c>
      <x:c r="E19" s="181"/>
      <x:c r="F19" s="145"/>
      <x:c r="G19" s="145"/>
      <x:c r="H19" s="145"/>
    </x:row>
    <x:row r="20" ht="14.25" customHeight="1">
      <x:c r="A20" s="181" t="s">
        <x:v>901</x:v>
      </x:c>
      <x:c r="B20" s="181">
        <x:v>1</x:v>
      </x:c>
      <x:c r="C20" s="181" t="s">
        <x:v>902</x:v>
      </x:c>
      <x:c r="D20" s="181" t="s">
        <x:v>903</x:v>
      </x:c>
      <x:c r="E20" s="181"/>
      <x:c r="F20" s="145"/>
      <x:c r="G20" s="145"/>
      <x:c r="H20" s="145"/>
    </x:row>
    <x:row r="21" ht="14.25" customHeight="1">
      <x:c r="A21" s="181" t="s">
        <x:v>904</x:v>
      </x:c>
      <x:c r="B21" s="181" t="s">
        <x:v>905</x:v>
      </x:c>
      <x:c r="C21" s="181" t="s">
        <x:v>906</x:v>
      </x:c>
      <x:c r="D21" s="181" t="s">
        <x:v>907</x:v>
      </x:c>
      <x:c r="E21" s="181"/>
      <x:c r="F21" s="145"/>
      <x:c r="G21" s="145"/>
      <x:c r="H21" s="145"/>
    </x:row>
    <x:row r="22" ht="38" customHeight="1">
      <x:c r="A22" s="181" t="s">
        <x:v>908</x:v>
      </x:c>
      <x:c r="B22" s="181" t="str">
        <x:v>DA</x:v>
      </x:c>
      <x:c r="C22" s="181" t="str">
        <x:v>G0 hard fail =&gt; Nivel 5</x:v>
      </x:c>
      <x:c r="D22" s="181" t="str">
        <x:v>Doar lipsa datelor critice; probabilitatea brută nu compensează</x:v>
      </x:c>
      <x:c r="E22" s="181"/>
      <x:c r="F22" s="145"/>
      <x:c r="G22" s="145"/>
      <x:c r="H22" s="145"/>
    </x:row>
    <x:row r="23" ht="34" customHeight="1">
      <x:c r="A23" s="181" t="s">
        <x:v>909</x:v>
      </x:c>
      <x:c r="B23" s="181" t="str">
        <x:v>NU</x:v>
      </x:c>
      <x:c r="C23" s="181" t="str">
        <x:v>Cota și EV-ul sunt informative</x:v>
      </x:c>
      <x:c r="D23" s="181" t="str">
        <x:v>Nu intră în Risk Score, G0 sau recomandarea finală</x:v>
      </x:c>
      <x:c r="E23" s="181"/>
      <x:c r="F23" s="145"/>
      <x:c r="G23" s="145"/>
      <x:c r="H23" s="145"/>
    </x:row>
    <x:row r="24" ht="52.70000076293945" customHeight="1">
      <x:c r="A24" s="181" t="s">
        <x:v>910</x:v>
      </x:c>
      <x:c r="B24" s="181" t="s">
        <x:v>911</x:v>
      </x:c>
      <x:c r="C24" s="181" t="s">
        <x:v>912</x:v>
      </x:c>
      <x:c r="D24" s="181" t="s">
        <x:v>913</x:v>
      </x:c>
      <x:c r="E24" s="181"/>
      <x:c r="F24" s="145"/>
      <x:c r="G24" s="145"/>
      <x:c r="H24" s="145"/>
    </x:row>
    <x:row r="25" ht="44" customHeight="1">
      <x:c r="A25" s="181" t="s">
        <x:v>914</x:v>
      </x:c>
      <x:c r="B25" s="181" t="str">
        <x:v>G0 → Data Readiness → Risk Score → Risk Class</x:v>
      </x:c>
      <x:c r="C25" s="181" t="str">
        <x:v>Recomandare finală</x:v>
      </x:c>
      <x:c r="D25" s="181" t="str">
        <x:v>P_cap și Confidence rămân informative</x:v>
      </x:c>
      <x:c r="E25" s="181"/>
      <x:c r="F25" s="145"/>
      <x:c r="G25" s="145"/>
      <x:c r="H25" s="145"/>
    </x:row>
    <x:row r="26" ht="14.25" customHeight="1">
      <x:c r="A26" s="181"/>
      <x:c r="B26" s="181"/>
      <x:c r="C26" s="181"/>
      <x:c r="D26" s="181"/>
      <x:c r="E26" s="181"/>
      <x:c r="F26" s="145"/>
      <x:c r="G26" s="145"/>
      <x:c r="H26" s="145"/>
    </x:row>
    <x:row r="27" ht="34" customHeight="1">
      <x:c r="A27" s="185" t="str">
        <x:v>SCOR MECI SELECTAT</x:v>
      </x:c>
      <x:c r="B27" s="185"/>
      <x:c r="C27" s="185"/>
      <x:c r="D27" s="185"/>
      <x:c r="E27" s="185"/>
      <x:c r="F27" s="145"/>
      <x:c r="G27" s="145"/>
      <x:c r="H27" s="145"/>
    </x:row>
    <x:row r="28" ht="14.25" customHeight="1">
      <x:c r="A28" s="177" t="s">
        <x:v>248</x:v>
      </x:c>
      <x:c r="B28" s="186" t="n">
        <x:f>IFERROR(INDEX('Analize meciuri'!$GZ$4:$GZ$103,MATCH(Dashboard!$B$4,'Analize meciuri'!$A$4:$A$103,0)),"")</x:f>
        <x:v>9.999999999999998</x:v>
      </x:c>
      <x:c r="C28" s="177"/>
      <x:c r="D28" s="177" t="s">
        <x:v>915</x:v>
      </x:c>
      <x:c r="E28" s="187" t="n">
        <x:f>$B$4</x:f>
        <x:v>0.29411764705882354</x:v>
      </x:c>
      <x:c r="F28" s="145"/>
      <x:c r="G28" s="145"/>
      <x:c r="H28" s="145"/>
    </x:row>
    <x:row r="29" ht="14.25" customHeight="1">
      <x:c r="A29" s="177" t="s">
        <x:v>249</x:v>
      </x:c>
      <x:c r="B29" s="186" t="n">
        <x:f>IFERROR(INDEX('Analize meciuri'!$HA$4:$HA$103,MATCH(Dashboard!$B$4,'Analize meciuri'!$A$4:$A$103,0)),"")</x:f>
        <x:v>3.839503807616923</x:v>
      </x:c>
      <x:c r="C29" s="177"/>
      <x:c r="D29" s="177" t="s">
        <x:v>915</x:v>
      </x:c>
      <x:c r="E29" s="187" t="n">
        <x:f>$B$5</x:f>
        <x:v>0.35294117647058826</x:v>
      </x:c>
      <x:c r="F29" s="145"/>
      <x:c r="G29" s="145"/>
      <x:c r="H29" s="145"/>
    </x:row>
    <x:row r="30" ht="14.25" customHeight="1">
      <x:c r="A30" s="177" t="s">
        <x:v>250</x:v>
      </x:c>
      <x:c r="B30" s="186" t="n">
        <x:f>IFERROR(INDEX('Analize meciuri'!$HB$4:$HB$103,MATCH(Dashboard!$B$4,'Analize meciuri'!$A$4:$A$103,0)),"")</x:f>
        <x:v>14.000000000000012</x:v>
      </x:c>
      <x:c r="C30" s="177"/>
      <x:c r="D30" s="177" t="s">
        <x:v>915</x:v>
      </x:c>
      <x:c r="E30" s="187" t="n">
        <x:f>$B$6</x:f>
        <x:v>0.17647058823529413</x:v>
      </x:c>
      <x:c r="F30" s="145"/>
      <x:c r="G30" s="145"/>
      <x:c r="H30" s="145"/>
    </x:row>
    <x:row r="31" ht="14.25" customHeight="1">
      <x:c r="A31" s="177" t="s">
        <x:v>251</x:v>
      </x:c>
      <x:c r="B31" s="186" t="n">
        <x:f>IFERROR(INDEX('Analize meciuri'!$HC$4:$HC$103,MATCH(Dashboard!$B$4,'Analize meciuri'!$A$4:$A$103,0)),"")</x:f>
        <x:v>9.377513343075528</x:v>
      </x:c>
      <x:c r="C31" s="177"/>
      <x:c r="D31" s="177" t="s">
        <x:v>915</x:v>
      </x:c>
      <x:c r="E31" s="187" t="n">
        <x:f>$B$7</x:f>
        <x:v>0.11764705882352942</x:v>
      </x:c>
      <x:c r="F31" s="145"/>
      <x:c r="G31" s="145"/>
      <x:c r="H31" s="145"/>
    </x:row>
    <x:row r="32" ht="14.25" customHeight="1">
      <x:c r="A32" s="177" t="s">
        <x:v>252</x:v>
      </x:c>
      <x:c r="B32" s="186" t="n">
        <x:f>IFERROR(INDEX('Analize meciuri'!$HD$4:$HD$103,MATCH(Dashboard!$B$4,'Analize meciuri'!$A$4:$A$103,0)),"")</x:f>
        <x:v>0</x:v>
      </x:c>
      <x:c r="C32" s="177"/>
      <x:c r="D32" s="177" t="s">
        <x:v>915</x:v>
      </x:c>
      <x:c r="E32" s="187" t="n">
        <x:f>$B$8</x:f>
        <x:v>0.05882352941176471</x:v>
      </x:c>
      <x:c r="F32" s="145"/>
      <x:c r="G32" s="145"/>
      <x:c r="H32" s="145"/>
    </x:row>
    <x:row r="33" ht="14.25" customHeight="1">
      <x:c r="A33" s="177"/>
      <x:c r="B33" s="186"/>
      <x:c r="C33" s="177"/>
      <x:c r="D33" s="177"/>
      <x:c r="E33" s="188"/>
      <x:c r="F33" s="145"/>
      <x:c r="G33" s="145"/>
      <x:c r="H33" s="145"/>
    </x:row>
    <x:row r="34" ht="14.25" customHeight="1">
      <x:c r="A34" s="177"/>
      <x:c r="B34" s="186"/>
      <x:c r="C34" s="177"/>
      <x:c r="D34" s="177"/>
      <x:c r="E34" s="188"/>
      <x:c r="F34" s="145"/>
      <x:c r="G34" s="145"/>
      <x:c r="H34" s="145"/>
    </x:row>
    <x:row r="35" ht="14.25" customHeight="1">
      <x:c r="A35" s="177" t="s">
        <x:v>916</x:v>
      </x:c>
      <x:c r="B35" s="186" t="n">
        <x:f>IF(COUNT(B28:B32)&lt;5,"",SUMPRODUCT(B28:B32,E28:E32))</x:f>
        <x:v>7.870120560697213</x:v>
      </x:c>
      <x:c r="C35" s="177"/>
      <x:c r="D35" s="177"/>
      <x:c r="E35" s="177"/>
      <x:c r="F35" s="145"/>
      <x:c r="G35" s="145"/>
      <x:c r="H35" s="145"/>
    </x:row>
    <x:row r="36" ht="14.25" customHeight="1">
      <x:c r="A36" s="189" t="s">
        <x:v>254</x:v>
      </x:c>
      <x:c r="B36" s="189" t="n">
        <x:f>IF(B35="","",IF(B35&lt;=20,1,IF(B35&lt;=40,2,IF(B35&lt;=60,3,IF(B35&lt;=80,4,5)))))</x:f>
        <x:v>1</x:v>
      </x:c>
      <x:c r="C36" s="177"/>
      <x:c r="D36" s="177"/>
      <x:c r="E36" s="177"/>
      <x:c r="F36" s="145"/>
      <x:c r="G36" s="145"/>
      <x:c r="H36" s="145"/>
    </x:row>
    <x:row r="37" ht="21.600000381469727" customHeight="1">
      <x:c r="A37" s="189" t="s">
        <x:v>917</x:v>
      </x:c>
      <x:c r="B37" s="189" t="str">
        <x:f>IFERROR(INDEX('Analize meciuri'!$HG$4:$HG$103,MATCH(Dashboard!$B$4,'Analize meciuri'!$A$4:$A$103,0)),"")</x:f>
        <x:v>PASS</x:v>
      </x:c>
      <x:c r="C37" s="177"/>
      <x:c r="D37" s="177"/>
      <x:c r="E37" s="177"/>
      <x:c r="F37" s="145"/>
      <x:c r="G37" s="145"/>
      <x:c r="H37" s="145"/>
    </x:row>
    <x:row r="38" ht="14.25" customHeight="1">
      <x:c r="A38" s="189" t="s">
        <x:v>255</x:v>
      </x:c>
      <x:c r="B38" s="189" t="n">
        <x:f>IF(B37="","",IF(B37&lt;&gt;"PASS",5,B36))</x:f>
        <x:v>1</x:v>
      </x:c>
      <x:c r="C38" s="177"/>
      <x:c r="D38" s="177"/>
      <x:c r="E38" s="177"/>
      <x:c r="F38" s="145"/>
      <x:c r="G38" s="145"/>
      <x:c r="H38" s="145"/>
    </x:row>
    <x:row r="39" ht="14.25" customHeight="1">
      <x:c r="A39" s="189" t="s">
        <x:v>256</x:v>
      </x:c>
      <x:c r="B39" s="189" t="str">
        <x:f>IF(B38="","",IF(B38=1,"DEFENSIV",IF(B38=2,"PRUDENT",IF(B38=3,"MODERAT",IF(B38=4,"RIDICAT","WATCH / NO BET")))))</x:f>
        <x:v>DEFENSIV</x:v>
      </x:c>
      <x:c r="C39" s="177"/>
      <x:c r="D39" s="177"/>
      <x:c r="E39" s="177"/>
      <x:c r="F39" s="145"/>
      <x:c r="G39" s="145"/>
      <x:c r="H39" s="145"/>
    </x:row>
    <x:row r="40" ht="14.25" customHeight="1">
      <x:c r="A40" s="181"/>
      <x:c r="B40" s="181"/>
      <x:c r="C40" s="181"/>
      <x:c r="D40" s="181"/>
      <x:c r="E40" s="181"/>
      <x:c r="F40" s="145"/>
      <x:c r="G40" s="145"/>
      <x:c r="H40" s="145"/>
    </x:row>
    <x:row r="41" ht="14.25" customHeight="1">
      <x:c r="A41" s="190" t="str">
        <x:v>DEFINIȚII SIMPLE – FĂRĂ FB</x:v>
      </x:c>
      <x:c r="B41" s="190"/>
      <x:c r="C41" s="190"/>
      <x:c r="D41" s="190"/>
      <x:c r="E41" s="190"/>
    </x:row>
    <x:row r="42" ht="40" customHeight="1">
      <x:c r="A42" s="183" t="str">
        <x:v>Clasificarea zero-mass</x:v>
      </x:c>
      <x:c r="B42" s="183" t="str">
        <x:v>Riscul ca meciul să rămână 0–0</x:v>
      </x:c>
      <x:c r="C42" s="183" t="str">
        <x:v>SCĂZUT = puține semnale</x:v>
      </x:c>
      <x:c r="D42" s="183" t="str">
        <x:v>MEDIU = unele semnale</x:v>
      </x:c>
      <x:c r="E42" s="183" t="str">
        <x:v>RIDICAT = multe semnale</x:v>
      </x:c>
    </x:row>
    <x:row r="43" ht="34" customHeight="1">
      <x:c r="A43" s="183" t="str">
        <x:v>Praguri zero-mass</x:v>
      </x:c>
      <x:c r="B43" s="183" t="str">
        <x:v>factor ≤0,95: SCĂZUT</x:v>
      </x:c>
      <x:c r="C43" s="183" t="str">
        <x:v>&gt;0,95 și ≤1,15: MEDIU</x:v>
      </x:c>
      <x:c r="D43" s="183" t="str">
        <x:v>&gt;1,15: RIDICAT</x:v>
      </x:c>
      <x:c r="E43" s="183" t="str">
        <x:v>Clasa contribuie la Risk Score</x:v>
      </x:c>
    </x:row>
    <x:row r="44" ht="36" customHeight="1">
      <x:c r="A44" s="183" t="str">
        <x:v>Plafoanele probabilității</x:v>
      </x:c>
      <x:c r="B44" s="183" t="str">
        <x:v>90% risc ridicat/date incomplete</x:v>
      </x:c>
      <x:c r="C44" s="183" t="str">
        <x:v>91% risc mediu</x:v>
      </x:c>
      <x:c r="D44" s="183" t="str">
        <x:v>92% risc scăzut fără confirmări</x:v>
      </x:c>
      <x:c r="E44" s="183" t="str">
        <x:v>94% risc scăzut cu confirmări complete</x:v>
      </x:c>
    </x:row>
    <x:row r="45" ht="40" customHeight="1">
      <x:c r="A45" s="183" t="str">
        <x:v>Rolul plafonului</x:v>
      </x:c>
      <x:c r="B45" s="183" t="str">
        <x:v>Limitează numai probabilitatea afișată</x:v>
      </x:c>
      <x:c r="C45" s="183" t="str">
        <x:v>Ex.: 96% calculat, cap 92% =&gt; 92% raportat</x:v>
      </x:c>
      <x:c r="D45" s="183" t="str">
        <x:v>Nu stabilește recomandarea</x:v>
      </x:c>
      <x:c r="E45" s="183"/>
    </x:row>
    <x:row r="46" ht="44" customHeight="1">
      <x:c r="A46" s="183" t="str">
        <x:v>Risk Score</x:v>
      </x:c>
      <x:c r="B46" s="183" t="str">
        <x:v>Scor total 0–100</x:v>
      </x:c>
      <x:c r="C46" s="183" t="str">
        <x:v>Ponderi: 29,41% / 35,29% / 17,65% / 11,76% / 5,88%</x:v>
      </x:c>
      <x:c r="D46" s="183" t="str">
        <x:v>Mai mic = risc mai redus</x:v>
      </x:c>
      <x:c r="E46" s="183" t="str">
        <x:v>Benzile sunt în rândurile 13–17</x:v>
      </x:c>
    </x:row>
    <x:row r="47" ht="40" customHeight="1">
      <x:c r="A47" s="183" t="str">
        <x:v>Separare finală</x:v>
      </x:c>
      <x:c r="B47" s="183" t="str">
        <x:v>Cota, EV și lineup-ul sunt informative</x:v>
      </x:c>
      <x:c r="C47" s="183" t="str">
        <x:v>Lineup/piață pot afecta numai P_cap</x:v>
      </x:c>
      <x:c r="D47" s="183" t="str">
        <x:v>Doar G0 hard fail forțează Nivel 5</x:v>
      </x:c>
      <x:c r="E47" s="183" t="str">
        <x:v>HK citește direct Risk Class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2" width="18" customWidth="1"/>
    <x:col min="3" max="3" width="15" customWidth="1"/>
    <x:col min="4" max="5" width="42" customWidth="1"/>
    <x:col min="6" max="7" width="20" customWidth="1"/>
    <x:col min="8" max="8" width="24" customWidth="1"/>
  </x:cols>
  <x:sheetData>
    <x:row r="1" ht="52.70000076293945" customHeight="1">
      <x:c r="A1" s="143" t="s">
        <x:v>918</x:v>
      </x:c>
      <x:c r="B1" s="143"/>
      <x:c r="C1" s="143"/>
      <x:c r="D1" s="143"/>
      <x:c r="E1" s="143"/>
      <x:c r="F1" s="143"/>
    </x:row>
    <x:row r="2" ht="15" customHeight="1">
      <x:c r="A2" s="145"/>
      <x:c r="B2" s="145"/>
      <x:c r="C2" s="145"/>
      <x:c r="D2" s="145"/>
      <x:c r="E2" s="145"/>
      <x:c r="F2" s="145"/>
    </x:row>
    <x:row r="3" ht="26.450000762939453" customHeight="1">
      <x:c r="A3" s="146" t="s">
        <x:v>884</x:v>
      </x:c>
      <x:c r="B3" s="146" t="s">
        <x:v>919</x:v>
      </x:c>
      <x:c r="C3" s="146" t="s">
        <x:v>920</x:v>
      </x:c>
      <x:c r="D3" s="146" t="s">
        <x:v>921</x:v>
      </x:c>
      <x:c r="E3" s="146" t="s">
        <x:v>922</x:v>
      </x:c>
      <x:c r="F3" s="146" t="s">
        <x:v>899</x:v>
      </x:c>
    </x:row>
    <x:row r="4" ht="52.70000076293945" customHeight="1">
      <x:c r="A4" s="145" t="s">
        <x:v>923</x:v>
      </x:c>
      <x:c r="B4" s="145">
        <x:v>0.2</x:v>
      </x:c>
      <x:c r="C4" s="145" t="s">
        <x:v>924</x:v>
      </x:c>
      <x:c r="D4" s="145"/>
      <x:c r="E4" s="145"/>
      <x:c r="F4" s="145" t="s">
        <x:v>925</x:v>
      </x:c>
    </x:row>
    <x:row r="5" ht="52.70000076293945" customHeight="1">
      <x:c r="A5" s="145" t="s">
        <x:v>926</x:v>
      </x:c>
      <x:c r="B5" s="145">
        <x:v>0.25</x:v>
      </x:c>
      <x:c r="C5" s="145" t="s">
        <x:v>924</x:v>
      </x:c>
      <x:c r="D5" s="145"/>
      <x:c r="E5" s="145"/>
      <x:c r="F5" s="145" t="s">
        <x:v>925</x:v>
      </x:c>
    </x:row>
    <x:row r="6" ht="26.450000762939453" customHeight="1">
      <x:c r="A6" s="145" t="s">
        <x:v>927</x:v>
      </x:c>
      <x:c r="B6" s="145">
        <x:v>0.1</x:v>
      </x:c>
      <x:c r="C6" s="145" t="s">
        <x:v>924</x:v>
      </x:c>
      <x:c r="D6" s="145"/>
      <x:c r="E6" s="145"/>
      <x:c r="F6" s="145" t="s">
        <x:v>928</x:v>
      </x:c>
    </x:row>
    <x:row r="7" ht="52.70000076293945" customHeight="1">
      <x:c r="A7" s="145" t="s">
        <x:v>929</x:v>
      </x:c>
      <x:c r="B7" s="145">
        <x:v>30</x:v>
      </x:c>
      <x:c r="C7" s="145" t="s">
        <x:v>930</x:v>
      </x:c>
      <x:c r="D7" s="145"/>
      <x:c r="E7" s="145"/>
      <x:c r="F7" s="145" t="s">
        <x:v>931</x:v>
      </x:c>
    </x:row>
    <x:row r="8" ht="39.599998474121094" customHeight="1">
      <x:c r="A8" s="145" t="s">
        <x:v>932</x:v>
      </x:c>
      <x:c r="B8" s="145" t="s">
        <x:v>933</x:v>
      </x:c>
      <x:c r="C8" s="145" t="s">
        <x:v>933</x:v>
      </x:c>
      <x:c r="D8" s="145"/>
      <x:c r="E8" s="145"/>
      <x:c r="F8" s="145" t="s">
        <x:v>934</x:v>
      </x:c>
    </x:row>
    <x:row r="9" ht="79.1500015258789" customHeight="1">
      <x:c r="A9" s="145" t="s">
        <x:v>935</x:v>
      </x:c>
      <x:c r="B9" s="145">
        <x:v>2</x:v>
      </x:c>
      <x:c r="C9" s="145" t="s">
        <x:v>936</x:v>
      </x:c>
      <x:c r="D9" s="145"/>
      <x:c r="E9" s="145"/>
      <x:c r="F9" s="145" t="s">
        <x:v>934</x:v>
      </x:c>
    </x:row>
    <x:row r="10" ht="26.450000762939453" customHeight="1">
      <x:c r="A10" s="145" t="s">
        <x:v>937</x:v>
      </x:c>
      <x:c r="B10" s="145" t="s">
        <x:v>866</x:v>
      </x:c>
      <x:c r="C10" s="145" t="s">
        <x:v>866</x:v>
      </x:c>
      <x:c r="D10" s="145"/>
      <x:c r="E10" s="145"/>
      <x:c r="F10" s="145" t="s">
        <x:v>934</x:v>
      </x:c>
    </x:row>
    <x:row r="11" ht="15" customHeight="1">
      <x:c r="A11" s="145"/>
      <x:c r="B11" s="145"/>
      <x:c r="C11" s="145"/>
      <x:c r="D11" s="145"/>
      <x:c r="E11" s="145"/>
      <x:c r="F11" s="145"/>
    </x:row>
    <x:row r="12" ht="26.450000762939453" customHeight="1">
      <x:c r="A12" s="146" t="s">
        <x:v>938</x:v>
      </x:c>
      <x:c r="B12" s="146" t="s">
        <x:v>2</x:v>
      </x:c>
      <x:c r="C12" s="146" t="s">
        <x:v>939</x:v>
      </x:c>
      <x:c r="D12" s="146" t="s">
        <x:v>34</x:v>
      </x:c>
      <x:c r="E12" s="145"/>
      <x:c r="F12" s="145"/>
    </x:row>
    <x:row r="13" ht="26.450000762939453" customHeight="1">
      <x:c r="A13" s="145" t="s">
        <x:v>940</x:v>
      </x:c>
      <x:c r="B13" s="145">
        <x:v>0.94</x:v>
      </x:c>
      <x:c r="C13" s="145"/>
      <x:c r="D13" s="145"/>
      <x:c r="E13" s="145"/>
      <x:c r="F13" s="145"/>
    </x:row>
    <x:row r="14" ht="39.599998474121094" customHeight="1">
      <x:c r="A14" s="145" t="s">
        <x:v>941</x:v>
      </x:c>
      <x:c r="B14" s="145">
        <x:v>2</x:v>
      </x:c>
      <x:c r="C14" s="145" t="s">
        <x:v>942</x:v>
      </x:c>
      <x:c r="D14" s="145"/>
      <x:c r="E14" s="145"/>
      <x:c r="F14" s="145"/>
    </x:row>
    <x:row r="15" ht="15" customHeight="1">
      <x:c r="A15" s="145" t="s">
        <x:v>943</x:v>
      </x:c>
      <x:c r="B15" s="145" t="s">
        <x:v>933</x:v>
      </x:c>
      <x:c r="C15" s="145" t="s">
        <x:v>933</x:v>
      </x:c>
      <x:c r="D15" s="145"/>
      <x:c r="E15" s="145"/>
      <x:c r="F15" s="145"/>
    </x:row>
    <x:row r="16" ht="15" customHeight="1">
      <x:c r="A16" s="145" t="s">
        <x:v>944</x:v>
      </x:c>
      <x:c r="B16" s="145" t="s">
        <x:v>866</x:v>
      </x:c>
      <x:c r="C16" s="145" t="s">
        <x:v>866</x:v>
      </x:c>
      <x:c r="D16" s="145"/>
      <x:c r="E16" s="145"/>
      <x:c r="F16" s="145"/>
    </x:row>
    <x:row r="17" ht="66" customHeight="1">
      <x:c r="A17" s="145" t="s">
        <x:v>945</x:v>
      </x:c>
      <x:c r="B17" s="145" t="n">
        <x:f>IF(AND(B14&gt;=2,UPPER(B15)="PASS",UPPER(B16)="SCĂZUT"),0.94,0.9)</x:f>
        <x:v>0.94</x:v>
      </x:c>
      <x:c r="C17" s="145" t="s">
        <x:v>946</x:v>
      </x:c>
      <x:c r="D17" s="145" t="str">
        <x:f>IF(B17&gt;0.9,"CONFIRMAT 2 SURSE","CAP 90%")</x:f>
        <x:v>CONFIRMAT 2 SURSE</x:v>
      </x:c>
      <x:c r="E17" s="145"/>
      <x:c r="F17" s="145"/>
    </x:row>
    <x:row r="18" ht="39.599998474121094" customHeight="1">
      <x:c r="A18" s="145" t="s">
        <x:v>947</x:v>
      </x:c>
      <x:c r="B18" s="145" t="n">
        <x:f>MIN(B13,B17)</x:f>
        <x:v>0.94</x:v>
      </x:c>
      <x:c r="C18" s="145" t="s">
        <x:v>948</x:v>
      </x:c>
      <x:c r="D18" s="145" t="str">
        <x:f>IF(B18&gt;0.9,"ELIGIBIL P&gt;90%","FĂRĂ P&gt;90%")</x:f>
        <x:v>ELIGIBIL P&gt;90%</x:v>
      </x:c>
      <x:c r="E18" s="145"/>
      <x:c r="F18" s="145"/>
    </x:row>
    <x:row r="19" ht="15" customHeight="1">
      <x:c r="A19" s="145"/>
      <x:c r="B19" s="145"/>
      <x:c r="C19" s="145"/>
      <x:c r="D19" s="145"/>
      <x:c r="E19" s="145"/>
      <x:c r="F19" s="145"/>
    </x:row>
    <x:row r="20" ht="15" customHeight="1">
      <x:c r="A20" s="145"/>
      <x:c r="B20" s="145"/>
      <x:c r="C20" s="145"/>
      <x:c r="D20" s="145"/>
      <x:c r="E20" s="145"/>
      <x:c r="F20" s="145"/>
    </x:row>
    <x:row r="21" ht="15" customHeight="1">
      <x:c r="A21" s="145"/>
      <x:c r="B21" s="145"/>
      <x:c r="C21" s="145"/>
      <x:c r="D21" s="145"/>
      <x:c r="E21" s="145"/>
      <x:c r="F21" s="145"/>
    </x:row>
    <x:row r="22" ht="15" customHeight="1">
      <x:c r="A22" s="145"/>
      <x:c r="B22" s="145"/>
      <x:c r="C22" s="145"/>
      <x:c r="D22" s="145"/>
      <x:c r="E22" s="145"/>
      <x:c r="F22" s="14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18" customWidth="1"/>
    <x:col min="2" max="2" width="20" customWidth="1"/>
    <x:col min="3" max="4" width="14" customWidth="1"/>
    <x:col min="5" max="5" width="20" customWidth="1"/>
    <x:col min="6" max="7" width="22" customWidth="1"/>
    <x:col min="8" max="8" width="18" customWidth="1"/>
    <x:col min="9" max="9" width="10" customWidth="1"/>
    <x:col min="10" max="10" width="16" customWidth="1"/>
    <x:col min="11" max="12" width="12" customWidth="1"/>
    <x:col min="13" max="13" width="16" customWidth="1"/>
    <x:col min="14" max="14" width="10" customWidth="1"/>
    <x:col min="15" max="15" width="16" customWidth="1"/>
    <x:col min="16" max="16" width="12" customWidth="1"/>
    <x:col min="17" max="17" width="14" customWidth="1"/>
    <x:col min="31" max="47" width="19" customWidth="1"/>
  </x:cols>
  <x:sheetData>
    <x:row r="1" ht="18">
      <x:c r="A1" s="235" t="s">
        <x:v>949</x:v>
      </x:c>
      <x:c r="B1" s="235"/>
      <x:c r="C1" s="235"/>
      <x:c r="D1" s="235"/>
      <x:c r="E1" s="235"/>
      <x:c r="F1" s="235"/>
      <x:c r="G1" s="235"/>
      <x:c r="H1" s="235"/>
      <x:c r="I1" s="235"/>
      <x:c r="J1" s="235"/>
      <x:c r="K1" s="235"/>
      <x:c r="L1" s="235"/>
      <x:c r="M1" s="235"/>
      <x:c r="N1" s="235"/>
      <x:c r="O1" s="235"/>
      <x:c r="P1" s="235"/>
      <x:c r="Q1" s="235"/>
      <x:c r="R1" s="235"/>
      <x:c r="S1" s="235"/>
      <x:c r="T1" s="235"/>
      <x:c r="U1" s="235"/>
      <x:c r="V1" s="235"/>
      <x:c r="W1" s="235"/>
      <x:c r="X1" s="235"/>
      <x:c r="Y1" s="235"/>
      <x:c r="Z1" s="235"/>
      <x:c r="AE1" s="237" t="s">
        <x:v>950</x:v>
      </x:c>
      <x:c r="AF1" s="237"/>
      <x:c r="AG1" s="237"/>
      <x:c r="AH1" s="237"/>
      <x:c r="AI1" s="237"/>
      <x:c r="AJ1" s="237"/>
      <x:c r="AK1" s="237"/>
      <x:c r="AL1" s="237"/>
      <x:c r="AM1" s="237"/>
      <x:c r="AN1" s="237"/>
      <x:c r="AO1" s="237"/>
      <x:c r="AP1" s="237"/>
      <x:c r="AQ1" s="237"/>
      <x:c r="AR1" s="237"/>
      <x:c r="AS1" s="237"/>
      <x:c r="AT1" s="237"/>
      <x:c r="AU1" s="237"/>
    </x:row>
    <x:row r="2">
      <x:c r="A2" s="236" t="s">
        <x:v>951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  <x:c r="M2" s="236"/>
      <x:c r="N2" s="236"/>
      <x:c r="O2" s="236"/>
      <x:c r="P2" s="236"/>
      <x:c r="Q2" s="236"/>
      <x:c r="R2" s="236"/>
      <x:c r="S2" s="236"/>
      <x:c r="T2" s="236"/>
      <x:c r="U2" s="236"/>
      <x:c r="V2" s="236"/>
      <x:c r="W2" s="236"/>
      <x:c r="X2" s="236"/>
      <x:c r="Y2" s="236"/>
      <x:c r="Z2" s="236"/>
      <x:c r="AE2" s="238" t="s">
        <x:v>952</x:v>
      </x:c>
      <x:c r="AF2" s="238"/>
      <x:c r="AG2" s="238"/>
      <x:c r="AH2" s="238"/>
      <x:c r="AI2" s="238"/>
      <x:c r="AJ2" s="238"/>
      <x:c r="AK2" s="238"/>
      <x:c r="AL2" s="238"/>
      <x:c r="AM2" s="238"/>
      <x:c r="AN2" s="238"/>
      <x:c r="AO2" s="238"/>
      <x:c r="AP2" s="238"/>
      <x:c r="AQ2" s="238"/>
      <x:c r="AR2" s="238"/>
      <x:c r="AS2" s="238"/>
      <x:c r="AT2" s="238"/>
      <x:c r="AU2" s="238"/>
    </x:row>
    <x:row r="3" ht="60">
      <x:c r="A3" s="147" t="s">
        <x:v>953</x:v>
      </x:c>
      <x:c r="B3" s="147" t="s">
        <x:v>954</x:v>
      </x:c>
      <x:c r="C3" s="147" t="s">
        <x:v>955</x:v>
      </x:c>
      <x:c r="D3" s="147" t="s">
        <x:v>956</x:v>
      </x:c>
      <x:c r="E3" s="147" t="s">
        <x:v>957</x:v>
      </x:c>
      <x:c r="F3" s="147" t="s">
        <x:v>958</x:v>
      </x:c>
      <x:c r="G3" s="147" t="s">
        <x:v>959</x:v>
      </x:c>
      <x:c r="H3" s="147" t="s">
        <x:v>960</x:v>
      </x:c>
      <x:c r="I3" s="147" t="s">
        <x:v>961</x:v>
      </x:c>
      <x:c r="J3" s="147" t="s">
        <x:v>962</x:v>
      </x:c>
      <x:c r="K3" s="147" t="s">
        <x:v>963</x:v>
      </x:c>
      <x:c r="L3" s="147" t="s">
        <x:v>964</x:v>
      </x:c>
      <x:c r="M3" s="147" t="s">
        <x:v>139</x:v>
      </x:c>
      <x:c r="N3" s="147" t="s">
        <x:v>965</x:v>
      </x:c>
      <x:c r="O3" s="147" t="s">
        <x:v>966</x:v>
      </x:c>
      <x:c r="P3" s="147" t="s">
        <x:v>967</x:v>
      </x:c>
      <x:c r="Q3" s="147" t="s">
        <x:v>968</x:v>
      </x:c>
      <x:c r="R3" s="147" t="s">
        <x:v>969</x:v>
      </x:c>
      <x:c r="S3" s="147" t="s">
        <x:v>970</x:v>
      </x:c>
      <x:c r="T3" s="147" t="s">
        <x:v>971</x:v>
      </x:c>
      <x:c r="U3" s="147" t="s">
        <x:v>972</x:v>
      </x:c>
      <x:c r="V3" s="147" t="s">
        <x:v>973</x:v>
      </x:c>
      <x:c r="W3" s="147" t="s">
        <x:v>974</x:v>
      </x:c>
      <x:c r="X3" s="147" t="s">
        <x:v>975</x:v>
      </x:c>
      <x:c r="Y3" s="147" t="s">
        <x:v>976</x:v>
      </x:c>
      <x:c r="Z3" s="147" t="s">
        <x:v>977</x:v>
      </x:c>
      <x:c r="AA3" s="147" t="s">
        <x:v>978</x:v>
      </x:c>
      <x:c r="AB3" s="147" t="s">
        <x:v>979</x:v>
      </x:c>
      <x:c r="AC3" s="147" t="s">
        <x:v>980</x:v>
      </x:c>
      <x:c r="AD3" s="147" t="s">
        <x:v>981</x:v>
      </x:c>
      <x:c r="AE3" s="154" t="s">
        <x:v>982</x:v>
      </x:c>
      <x:c r="AF3" s="154" t="s">
        <x:v>983</x:v>
      </x:c>
      <x:c r="AG3" s="154" t="s">
        <x:v>984</x:v>
      </x:c>
      <x:c r="AH3" s="154" t="s">
        <x:v>985</x:v>
      </x:c>
      <x:c r="AI3" s="154" t="s">
        <x:v>986</x:v>
      </x:c>
      <x:c r="AJ3" s="154" t="s">
        <x:v>987</x:v>
      </x:c>
      <x:c r="AK3" s="154" t="s">
        <x:v>988</x:v>
      </x:c>
      <x:c r="AL3" s="154" t="s">
        <x:v>989</x:v>
      </x:c>
      <x:c r="AM3" s="154" t="s">
        <x:v>990</x:v>
      </x:c>
      <x:c r="AN3" s="154" t="s">
        <x:v>991</x:v>
      </x:c>
      <x:c r="AO3" s="154" t="s">
        <x:v>992</x:v>
      </x:c>
      <x:c r="AP3" s="154" t="s">
        <x:v>993</x:v>
      </x:c>
      <x:c r="AQ3" s="154" t="s">
        <x:v>994</x:v>
      </x:c>
      <x:c r="AR3" s="154" t="s">
        <x:v>995</x:v>
      </x:c>
      <x:c r="AS3" s="154" t="s">
        <x:v>996</x:v>
      </x:c>
      <x:c r="AT3" s="154" t="s">
        <x:v>997</x:v>
      </x:c>
      <x:c r="AU3" s="154" t="s">
        <x:v>998</x:v>
      </x:c>
      <x:c r="AV3" s="144"/>
      <x:c r="AW3" s="144"/>
      <x:c r="AX3" s="144"/>
      <x:c r="AY3" s="144"/>
      <x:c r="AZ3" s="144"/>
    </x:row>
    <x:row r="4">
      <x:c r="A4" s="144"/>
      <x:c r="B4" s="144"/>
      <x:c r="C4" s="144"/>
      <x:c r="D4" s="144"/>
      <x:c r="E4" s="144"/>
      <x:c r="F4" s="144"/>
      <x:c r="G4" s="144"/>
      <x:c r="H4" s="144"/>
      <x:c r="I4" s="144"/>
      <x:c r="J4" s="144"/>
      <x:c r="K4" s="144"/>
      <x:c r="L4" s="144"/>
      <x:c r="M4" s="144"/>
      <x:c r="N4" s="144"/>
      <x:c r="O4" s="144"/>
      <x:c r="P4" s="144"/>
      <x:c r="Q4" s="144"/>
      <x:c r="R4" s="144"/>
      <x:c r="S4" s="144"/>
      <x:c r="T4" s="144"/>
      <x:c r="U4" s="144"/>
      <x:c r="V4" s="144"/>
      <x:c r="W4" s="144"/>
      <x:c r="X4" s="144"/>
      <x:c r="Y4" s="144"/>
      <x:c r="Z4" s="144"/>
      <x:c r="AA4" s="144"/>
      <x:c r="AB4" s="144"/>
      <x:c r="AC4" s="144"/>
      <x:c r="AD4" s="144"/>
      <x:c r="AE4" s="144"/>
      <x:c r="AF4" s="144"/>
      <x:c r="AG4" s="144"/>
      <x:c r="AH4" s="144"/>
      <x:c r="AI4" s="144"/>
      <x:c r="AJ4" s="144"/>
      <x:c r="AK4" s="144"/>
      <x:c r="AL4" s="144"/>
      <x:c r="AM4" s="144"/>
      <x:c r="AN4" s="144"/>
      <x:c r="AO4" s="144"/>
      <x:c r="AP4" s="144"/>
      <x:c r="AQ4" s="144"/>
      <x:c r="AR4" s="144"/>
      <x:c r="AS4" s="144"/>
      <x:c r="AT4" s="144"/>
      <x:c r="AU4" s="144"/>
      <x:c r="AV4" s="144"/>
      <x:c r="AW4" s="144"/>
      <x:c r="AX4" s="144"/>
      <x:c r="AY4" s="144"/>
      <x:c r="AZ4" s="144"/>
    </x:row>
    <x:row r="5">
      <x:c r="A5" s="144"/>
      <x:c r="B5" s="144"/>
      <x:c r="C5" s="144"/>
      <x:c r="D5" s="144"/>
      <x:c r="E5" s="144"/>
      <x:c r="F5" s="144"/>
      <x:c r="G5" s="144"/>
      <x:c r="H5" s="144"/>
      <x:c r="I5" s="144"/>
      <x:c r="J5" s="144"/>
      <x:c r="K5" s="144"/>
      <x:c r="L5" s="144"/>
      <x:c r="M5" s="144"/>
      <x:c r="N5" s="144"/>
      <x:c r="O5" s="144"/>
      <x:c r="P5" s="144"/>
      <x:c r="Q5" s="144"/>
      <x:c r="R5" s="144"/>
      <x:c r="S5" s="144"/>
      <x:c r="T5" s="144"/>
      <x:c r="U5" s="144"/>
      <x:c r="V5" s="144"/>
      <x:c r="W5" s="144"/>
      <x:c r="X5" s="144"/>
      <x:c r="Y5" s="144"/>
      <x:c r="Z5" s="144"/>
      <x:c r="AA5" s="144"/>
      <x:c r="AB5" s="144"/>
      <x:c r="AC5" s="144"/>
      <x:c r="AD5" s="144"/>
      <x:c r="AE5" s="144"/>
      <x:c r="AF5" s="144"/>
      <x:c r="AG5" s="144"/>
      <x:c r="AH5" s="144"/>
      <x:c r="AI5" s="144"/>
      <x:c r="AJ5" s="144"/>
      <x:c r="AK5" s="144"/>
      <x:c r="AL5" s="144"/>
      <x:c r="AM5" s="144"/>
      <x:c r="AN5" s="144"/>
      <x:c r="AO5" s="144"/>
      <x:c r="AP5" s="144"/>
      <x:c r="AQ5" s="144"/>
      <x:c r="AR5" s="144"/>
      <x:c r="AS5" s="144"/>
      <x:c r="AT5" s="144"/>
      <x:c r="AU5" s="144"/>
      <x:c r="AV5" s="144"/>
      <x:c r="AW5" s="144"/>
      <x:c r="AX5" s="144"/>
      <x:c r="AY5" s="144"/>
      <x:c r="AZ5" s="144"/>
    </x:row>
    <x:row r="6">
      <x:c r="A6" s="144"/>
      <x:c r="B6" s="144"/>
      <x:c r="C6" s="144"/>
      <x:c r="D6" s="144"/>
      <x:c r="E6" s="144"/>
      <x:c r="F6" s="144"/>
      <x:c r="G6" s="144"/>
      <x:c r="H6" s="144"/>
      <x:c r="I6" s="144"/>
      <x:c r="J6" s="144"/>
      <x:c r="K6" s="144"/>
      <x:c r="L6" s="144"/>
      <x:c r="M6" s="144"/>
      <x:c r="N6" s="144"/>
      <x:c r="O6" s="144"/>
      <x:c r="P6" s="144"/>
      <x:c r="Q6" s="144"/>
      <x:c r="R6" s="144"/>
      <x:c r="S6" s="144"/>
      <x:c r="T6" s="144"/>
      <x:c r="U6" s="144"/>
      <x:c r="V6" s="144"/>
      <x:c r="W6" s="144"/>
      <x:c r="X6" s="144"/>
      <x:c r="Y6" s="144"/>
      <x:c r="Z6" s="144"/>
      <x:c r="AA6" s="144"/>
      <x:c r="AB6" s="144"/>
      <x:c r="AC6" s="144"/>
      <x:c r="AD6" s="144"/>
      <x:c r="AE6" s="144"/>
      <x:c r="AF6" s="144"/>
      <x:c r="AG6" s="144"/>
      <x:c r="AH6" s="144"/>
      <x:c r="AI6" s="144"/>
      <x:c r="AJ6" s="144"/>
      <x:c r="AK6" s="144"/>
      <x:c r="AL6" s="144"/>
      <x:c r="AM6" s="144"/>
      <x:c r="AN6" s="144"/>
      <x:c r="AO6" s="144"/>
      <x:c r="AP6" s="144"/>
      <x:c r="AQ6" s="144"/>
      <x:c r="AR6" s="144"/>
      <x:c r="AS6" s="144"/>
      <x:c r="AT6" s="144"/>
      <x:c r="AU6" s="144"/>
      <x:c r="AV6" s="144"/>
      <x:c r="AW6" s="144"/>
      <x:c r="AX6" s="144"/>
      <x:c r="AY6" s="144"/>
      <x:c r="AZ6" s="144"/>
    </x:row>
    <x:row r="7">
      <x:c r="A7" s="144"/>
      <x:c r="B7" s="144"/>
      <x:c r="C7" s="144"/>
      <x:c r="D7" s="144"/>
      <x:c r="E7" s="144"/>
      <x:c r="F7" s="144"/>
      <x:c r="G7" s="144"/>
      <x:c r="H7" s="144"/>
      <x:c r="I7" s="144"/>
      <x:c r="J7" s="144"/>
      <x:c r="K7" s="144"/>
      <x:c r="L7" s="144"/>
      <x:c r="M7" s="144"/>
      <x:c r="N7" s="144"/>
      <x:c r="O7" s="144"/>
      <x:c r="P7" s="144"/>
      <x:c r="Q7" s="144"/>
      <x:c r="R7" s="144"/>
      <x:c r="S7" s="144"/>
      <x:c r="T7" s="144"/>
      <x:c r="U7" s="144"/>
      <x:c r="V7" s="144"/>
      <x:c r="W7" s="144"/>
      <x:c r="X7" s="144"/>
      <x:c r="Y7" s="144"/>
      <x:c r="Z7" s="144"/>
      <x:c r="AA7" s="144"/>
      <x:c r="AB7" s="144"/>
      <x:c r="AC7" s="144"/>
      <x:c r="AD7" s="144"/>
      <x:c r="AE7" s="144"/>
      <x:c r="AF7" s="144"/>
      <x:c r="AG7" s="144"/>
      <x:c r="AH7" s="144"/>
      <x:c r="AI7" s="144"/>
      <x:c r="AJ7" s="144"/>
      <x:c r="AK7" s="144"/>
      <x:c r="AL7" s="144"/>
      <x:c r="AM7" s="144"/>
      <x:c r="AN7" s="144"/>
      <x:c r="AO7" s="144"/>
      <x:c r="AP7" s="144"/>
      <x:c r="AQ7" s="144"/>
      <x:c r="AR7" s="144"/>
      <x:c r="AS7" s="144"/>
      <x:c r="AT7" s="144"/>
      <x:c r="AU7" s="144"/>
      <x:c r="AV7" s="144"/>
      <x:c r="AW7" s="144"/>
      <x:c r="AX7" s="144"/>
      <x:c r="AY7" s="144"/>
      <x:c r="AZ7" s="144"/>
    </x:row>
    <x:row r="8">
      <x:c r="A8" s="144"/>
      <x:c r="B8" s="144"/>
      <x:c r="C8" s="144"/>
      <x:c r="D8" s="144"/>
      <x:c r="E8" s="144"/>
      <x:c r="F8" s="144"/>
      <x:c r="G8" s="144"/>
      <x:c r="H8" s="144"/>
      <x:c r="I8" s="144"/>
      <x:c r="J8" s="144"/>
      <x:c r="K8" s="144"/>
      <x:c r="L8" s="144"/>
      <x:c r="M8" s="144"/>
      <x:c r="N8" s="144"/>
      <x:c r="O8" s="144"/>
      <x:c r="P8" s="144"/>
      <x:c r="Q8" s="144"/>
      <x:c r="R8" s="144"/>
      <x:c r="S8" s="144"/>
      <x:c r="T8" s="144"/>
      <x:c r="U8" s="144"/>
      <x:c r="V8" s="144"/>
      <x:c r="W8" s="144"/>
      <x:c r="X8" s="144"/>
      <x:c r="Y8" s="144"/>
      <x:c r="Z8" s="144"/>
      <x:c r="AA8" s="144"/>
      <x:c r="AB8" s="144"/>
      <x:c r="AC8" s="144"/>
      <x:c r="AD8" s="144"/>
      <x:c r="AE8" s="144"/>
      <x:c r="AF8" s="144"/>
      <x:c r="AG8" s="144"/>
      <x:c r="AH8" s="144"/>
      <x:c r="AI8" s="144"/>
      <x:c r="AJ8" s="144"/>
      <x:c r="AK8" s="144"/>
      <x:c r="AL8" s="144"/>
      <x:c r="AM8" s="144"/>
      <x:c r="AN8" s="144"/>
      <x:c r="AO8" s="144"/>
      <x:c r="AP8" s="144"/>
      <x:c r="AQ8" s="144"/>
      <x:c r="AR8" s="144"/>
      <x:c r="AS8" s="144"/>
      <x:c r="AT8" s="144"/>
      <x:c r="AU8" s="144"/>
      <x:c r="AV8" s="144"/>
      <x:c r="AW8" s="144"/>
      <x:c r="AX8" s="144"/>
      <x:c r="AY8" s="144"/>
      <x:c r="AZ8" s="144"/>
    </x:row>
    <x:row r="9">
      <x:c r="A9" s="144"/>
      <x:c r="B9" s="144"/>
      <x:c r="C9" s="144"/>
      <x:c r="D9" s="144"/>
      <x:c r="E9" s="144"/>
      <x:c r="F9" s="144"/>
      <x:c r="G9" s="144"/>
      <x:c r="H9" s="144"/>
      <x:c r="I9" s="144"/>
      <x:c r="J9" s="144"/>
      <x:c r="K9" s="144"/>
      <x:c r="L9" s="144"/>
      <x:c r="M9" s="144"/>
      <x:c r="N9" s="144"/>
      <x:c r="O9" s="144"/>
      <x:c r="P9" s="144"/>
      <x:c r="Q9" s="144"/>
      <x:c r="R9" s="144"/>
      <x:c r="S9" s="144"/>
      <x:c r="T9" s="144"/>
      <x:c r="U9" s="144"/>
      <x:c r="V9" s="144"/>
      <x:c r="W9" s="144"/>
      <x:c r="X9" s="144"/>
      <x:c r="Y9" s="144"/>
      <x:c r="Z9" s="144"/>
      <x:c r="AA9" s="144"/>
      <x:c r="AB9" s="144"/>
      <x:c r="AC9" s="144"/>
      <x:c r="AD9" s="144"/>
      <x:c r="AE9" s="144"/>
      <x:c r="AF9" s="144"/>
      <x:c r="AG9" s="144"/>
      <x:c r="AH9" s="144"/>
      <x:c r="AI9" s="144"/>
      <x:c r="AJ9" s="144"/>
      <x:c r="AK9" s="144"/>
      <x:c r="AL9" s="144"/>
      <x:c r="AM9" s="144"/>
      <x:c r="AN9" s="144"/>
      <x:c r="AO9" s="144"/>
      <x:c r="AP9" s="144"/>
      <x:c r="AQ9" s="144"/>
      <x:c r="AR9" s="144"/>
      <x:c r="AS9" s="144"/>
      <x:c r="AT9" s="144"/>
      <x:c r="AU9" s="144"/>
      <x:c r="AV9" s="144"/>
      <x:c r="AW9" s="144"/>
      <x:c r="AX9" s="144"/>
      <x:c r="AY9" s="144"/>
      <x:c r="AZ9" s="144"/>
    </x:row>
    <x:row r="10">
      <x:c r="A10" s="144"/>
      <x:c r="B10" s="144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4"/>
      <x:c r="M10" s="144"/>
      <x:c r="N10" s="144"/>
      <x:c r="O10" s="144"/>
      <x:c r="P10" s="144"/>
      <x:c r="Q10" s="144"/>
      <x:c r="R10" s="144"/>
      <x:c r="S10" s="144"/>
      <x:c r="T10" s="144"/>
      <x:c r="U10" s="144"/>
      <x:c r="V10" s="144"/>
      <x:c r="W10" s="144"/>
      <x:c r="X10" s="144"/>
      <x:c r="Y10" s="144"/>
      <x:c r="Z10" s="144"/>
      <x:c r="AA10" s="144"/>
      <x:c r="AB10" s="144"/>
      <x:c r="AC10" s="144"/>
      <x:c r="AD10" s="144"/>
      <x:c r="AE10" s="144"/>
      <x:c r="AF10" s="144"/>
      <x:c r="AG10" s="144"/>
      <x:c r="AH10" s="144"/>
      <x:c r="AI10" s="144"/>
      <x:c r="AJ10" s="144"/>
      <x:c r="AK10" s="144"/>
      <x:c r="AL10" s="144"/>
      <x:c r="AM10" s="144"/>
      <x:c r="AN10" s="144"/>
      <x:c r="AO10" s="144"/>
      <x:c r="AP10" s="144"/>
      <x:c r="AQ10" s="144"/>
      <x:c r="AR10" s="144"/>
      <x:c r="AS10" s="144"/>
      <x:c r="AT10" s="144"/>
      <x:c r="AU10" s="144"/>
      <x:c r="AV10" s="144"/>
      <x:c r="AW10" s="144"/>
      <x:c r="AX10" s="144"/>
      <x:c r="AY10" s="144"/>
      <x:c r="AZ10" s="144"/>
    </x:row>
    <x:row r="11">
      <x:c r="A11" s="144"/>
      <x:c r="B11" s="144"/>
      <x:c r="C11" s="144"/>
      <x:c r="D11" s="144"/>
      <x:c r="E11" s="144"/>
      <x:c r="F11" s="144"/>
      <x:c r="G11" s="144"/>
      <x:c r="H11" s="144"/>
      <x:c r="I11" s="144"/>
      <x:c r="J11" s="144"/>
      <x:c r="K11" s="144"/>
      <x:c r="L11" s="144"/>
      <x:c r="M11" s="144"/>
      <x:c r="N11" s="144"/>
      <x:c r="O11" s="144"/>
      <x:c r="P11" s="144"/>
      <x:c r="Q11" s="144"/>
      <x:c r="R11" s="144"/>
      <x:c r="S11" s="144"/>
      <x:c r="T11" s="144"/>
      <x:c r="U11" s="144"/>
      <x:c r="V11" s="144"/>
      <x:c r="W11" s="144"/>
      <x:c r="X11" s="144"/>
      <x:c r="Y11" s="144"/>
      <x:c r="Z11" s="144"/>
      <x:c r="AA11" s="144"/>
      <x:c r="AB11" s="144"/>
      <x:c r="AC11" s="144"/>
      <x:c r="AD11" s="144"/>
      <x:c r="AE11" s="144"/>
      <x:c r="AF11" s="144"/>
      <x:c r="AG11" s="144"/>
      <x:c r="AH11" s="144"/>
      <x:c r="AI11" s="144"/>
      <x:c r="AJ11" s="144"/>
      <x:c r="AK11" s="144"/>
      <x:c r="AL11" s="144"/>
      <x:c r="AM11" s="144"/>
      <x:c r="AN11" s="144"/>
      <x:c r="AO11" s="144"/>
      <x:c r="AP11" s="144"/>
      <x:c r="AQ11" s="144"/>
      <x:c r="AR11" s="144"/>
      <x:c r="AS11" s="144"/>
      <x:c r="AT11" s="144"/>
      <x:c r="AU11" s="144"/>
      <x:c r="AV11" s="144"/>
      <x:c r="AW11" s="144"/>
      <x:c r="AX11" s="144"/>
      <x:c r="AY11" s="144"/>
      <x:c r="AZ11" s="144"/>
    </x:row>
    <x:row r="12">
      <x:c r="A12" s="144"/>
      <x:c r="B12" s="144"/>
      <x:c r="C12" s="144"/>
      <x:c r="D12" s="144"/>
      <x:c r="E12" s="144"/>
      <x:c r="F12" s="144"/>
      <x:c r="G12" s="144"/>
      <x:c r="H12" s="144"/>
      <x:c r="I12" s="144"/>
      <x:c r="J12" s="144"/>
      <x:c r="K12" s="144"/>
      <x:c r="L12" s="144"/>
      <x:c r="M12" s="144"/>
      <x:c r="N12" s="144"/>
      <x:c r="O12" s="144"/>
      <x:c r="P12" s="144"/>
      <x:c r="Q12" s="144"/>
      <x:c r="R12" s="144"/>
      <x:c r="S12" s="144"/>
      <x:c r="T12" s="144"/>
      <x:c r="U12" s="144"/>
      <x:c r="V12" s="144"/>
      <x:c r="W12" s="144"/>
      <x:c r="X12" s="144"/>
      <x:c r="Y12" s="144"/>
      <x:c r="Z12" s="144"/>
      <x:c r="AA12" s="144"/>
      <x:c r="AB12" s="144"/>
      <x:c r="AC12" s="144"/>
      <x:c r="AD12" s="144"/>
      <x:c r="AE12" s="144"/>
      <x:c r="AF12" s="144"/>
      <x:c r="AG12" s="144"/>
      <x:c r="AH12" s="144"/>
      <x:c r="AI12" s="144"/>
      <x:c r="AJ12" s="144"/>
      <x:c r="AK12" s="144"/>
      <x:c r="AL12" s="144"/>
      <x:c r="AM12" s="144"/>
      <x:c r="AN12" s="144"/>
      <x:c r="AO12" s="144"/>
      <x:c r="AP12" s="144"/>
      <x:c r="AQ12" s="144"/>
      <x:c r="AR12" s="144"/>
      <x:c r="AS12" s="144"/>
      <x:c r="AT12" s="144"/>
      <x:c r="AU12" s="144"/>
      <x:c r="AV12" s="144"/>
      <x:c r="AW12" s="144"/>
      <x:c r="AX12" s="144"/>
      <x:c r="AY12" s="144"/>
      <x:c r="AZ12" s="144"/>
    </x:row>
    <x:row r="13">
      <x:c r="A13" s="144"/>
      <x:c r="B13" s="144"/>
      <x:c r="C13" s="144"/>
      <x:c r="D13" s="144"/>
      <x:c r="E13" s="144"/>
      <x:c r="F13" s="144"/>
      <x:c r="G13" s="144"/>
      <x:c r="H13" s="144"/>
      <x:c r="I13" s="144"/>
      <x:c r="J13" s="144"/>
      <x:c r="K13" s="144"/>
      <x:c r="L13" s="144"/>
      <x:c r="M13" s="144"/>
      <x:c r="N13" s="144"/>
      <x:c r="O13" s="144"/>
      <x:c r="P13" s="144"/>
      <x:c r="Q13" s="144"/>
      <x:c r="R13" s="144"/>
      <x:c r="S13" s="144"/>
      <x:c r="T13" s="144"/>
      <x:c r="U13" s="144"/>
      <x:c r="V13" s="144"/>
      <x:c r="W13" s="144"/>
      <x:c r="X13" s="144"/>
      <x:c r="Y13" s="144"/>
      <x:c r="Z13" s="144"/>
      <x:c r="AA13" s="144"/>
      <x:c r="AB13" s="144"/>
      <x:c r="AC13" s="144"/>
      <x:c r="AD13" s="144"/>
      <x:c r="AE13" s="144"/>
      <x:c r="AF13" s="144"/>
      <x:c r="AG13" s="144"/>
      <x:c r="AH13" s="144"/>
      <x:c r="AI13" s="144"/>
      <x:c r="AJ13" s="144"/>
      <x:c r="AK13" s="144"/>
      <x:c r="AL13" s="144"/>
      <x:c r="AM13" s="144"/>
      <x:c r="AN13" s="144"/>
      <x:c r="AO13" s="144"/>
      <x:c r="AP13" s="144"/>
      <x:c r="AQ13" s="144"/>
      <x:c r="AR13" s="144"/>
      <x:c r="AS13" s="144"/>
      <x:c r="AT13" s="144"/>
      <x:c r="AU13" s="144"/>
      <x:c r="AV13" s="144"/>
      <x:c r="AW13" s="144"/>
      <x:c r="AX13" s="144"/>
      <x:c r="AY13" s="144"/>
      <x:c r="AZ13" s="144"/>
    </x:row>
    <x:row r="14">
      <x:c r="A14" s="144"/>
      <x:c r="B14" s="144"/>
      <x:c r="C14" s="144"/>
      <x:c r="D14" s="144"/>
      <x:c r="E14" s="144"/>
      <x:c r="F14" s="144"/>
      <x:c r="G14" s="144"/>
      <x:c r="H14" s="144"/>
      <x:c r="I14" s="144"/>
      <x:c r="J14" s="144"/>
      <x:c r="K14" s="144"/>
      <x:c r="L14" s="144"/>
      <x:c r="M14" s="144"/>
      <x:c r="N14" s="144"/>
      <x:c r="O14" s="144"/>
      <x:c r="P14" s="144"/>
      <x:c r="Q14" s="144"/>
      <x:c r="R14" s="144"/>
      <x:c r="S14" s="144"/>
      <x:c r="T14" s="144"/>
      <x:c r="U14" s="144"/>
      <x:c r="V14" s="144"/>
      <x:c r="W14" s="144"/>
      <x:c r="X14" s="144"/>
      <x:c r="Y14" s="144"/>
      <x:c r="Z14" s="144"/>
      <x:c r="AA14" s="144"/>
      <x:c r="AB14" s="144"/>
      <x:c r="AC14" s="144"/>
      <x:c r="AD14" s="144"/>
      <x:c r="AE14" s="144"/>
      <x:c r="AF14" s="144"/>
      <x:c r="AG14" s="144"/>
      <x:c r="AH14" s="144"/>
      <x:c r="AI14" s="144"/>
      <x:c r="AJ14" s="144"/>
      <x:c r="AK14" s="144"/>
      <x:c r="AL14" s="144"/>
      <x:c r="AM14" s="144"/>
      <x:c r="AN14" s="144"/>
      <x:c r="AO14" s="144"/>
      <x:c r="AP14" s="144"/>
      <x:c r="AQ14" s="144"/>
      <x:c r="AR14" s="144"/>
      <x:c r="AS14" s="144"/>
      <x:c r="AT14" s="144"/>
      <x:c r="AU14" s="144"/>
      <x:c r="AV14" s="144"/>
      <x:c r="AW14" s="144"/>
      <x:c r="AX14" s="144"/>
      <x:c r="AY14" s="144"/>
      <x:c r="AZ14" s="144"/>
    </x:row>
    <x:row r="15">
      <x:c r="A15" s="144"/>
      <x:c r="B15" s="144"/>
      <x:c r="C15" s="144"/>
      <x:c r="D15" s="144"/>
      <x:c r="E15" s="144"/>
      <x:c r="F15" s="144"/>
      <x:c r="G15" s="144"/>
      <x:c r="H15" s="144"/>
      <x:c r="I15" s="144"/>
      <x:c r="J15" s="144"/>
      <x:c r="K15" s="144"/>
      <x:c r="L15" s="144"/>
      <x:c r="M15" s="144"/>
      <x:c r="N15" s="144"/>
      <x:c r="O15" s="144"/>
      <x:c r="P15" s="144"/>
      <x:c r="Q15" s="144"/>
      <x:c r="R15" s="144"/>
      <x:c r="S15" s="144"/>
      <x:c r="T15" s="144"/>
      <x:c r="U15" s="144"/>
      <x:c r="V15" s="144"/>
      <x:c r="W15" s="144"/>
      <x:c r="X15" s="144"/>
      <x:c r="Y15" s="144"/>
      <x:c r="Z15" s="144"/>
      <x:c r="AA15" s="144"/>
      <x:c r="AB15" s="144"/>
      <x:c r="AC15" s="144"/>
      <x:c r="AD15" s="144"/>
      <x:c r="AE15" s="144"/>
      <x:c r="AF15" s="144"/>
      <x:c r="AG15" s="144"/>
      <x:c r="AH15" s="144"/>
      <x:c r="AI15" s="144"/>
      <x:c r="AJ15" s="144"/>
      <x:c r="AK15" s="144"/>
      <x:c r="AL15" s="144"/>
      <x:c r="AM15" s="144"/>
      <x:c r="AN15" s="144"/>
      <x:c r="AO15" s="144"/>
      <x:c r="AP15" s="144"/>
      <x:c r="AQ15" s="144"/>
      <x:c r="AR15" s="144"/>
      <x:c r="AS15" s="144"/>
      <x:c r="AT15" s="144"/>
      <x:c r="AU15" s="144"/>
      <x:c r="AV15" s="144"/>
      <x:c r="AW15" s="144"/>
      <x:c r="AX15" s="144"/>
      <x:c r="AY15" s="144"/>
      <x:c r="AZ15" s="144"/>
    </x:row>
    <x:row r="16">
      <x:c r="A16" s="144"/>
      <x:c r="B16" s="144"/>
      <x:c r="C16" s="144"/>
      <x:c r="D16" s="144"/>
      <x:c r="E16" s="144"/>
      <x:c r="F16" s="144"/>
      <x:c r="G16" s="144"/>
      <x:c r="H16" s="144"/>
      <x:c r="I16" s="144"/>
      <x:c r="J16" s="144"/>
      <x:c r="K16" s="144"/>
      <x:c r="L16" s="144"/>
      <x:c r="M16" s="144"/>
      <x:c r="N16" s="144"/>
      <x:c r="O16" s="144"/>
      <x:c r="P16" s="144"/>
      <x:c r="Q16" s="144"/>
      <x:c r="R16" s="144"/>
      <x:c r="S16" s="144"/>
      <x:c r="T16" s="144"/>
      <x:c r="U16" s="144"/>
      <x:c r="V16" s="144"/>
      <x:c r="W16" s="144"/>
      <x:c r="X16" s="144"/>
      <x:c r="Y16" s="144"/>
      <x:c r="Z16" s="144"/>
      <x:c r="AA16" s="144"/>
      <x:c r="AB16" s="144"/>
      <x:c r="AC16" s="144"/>
      <x:c r="AD16" s="144"/>
      <x:c r="AE16" s="144"/>
      <x:c r="AF16" s="144"/>
      <x:c r="AG16" s="144"/>
      <x:c r="AH16" s="144"/>
      <x:c r="AI16" s="144"/>
      <x:c r="AJ16" s="144"/>
      <x:c r="AK16" s="144"/>
      <x:c r="AL16" s="144"/>
      <x:c r="AM16" s="144"/>
      <x:c r="AN16" s="144"/>
      <x:c r="AO16" s="144"/>
      <x:c r="AP16" s="144"/>
      <x:c r="AQ16" s="144"/>
      <x:c r="AR16" s="144"/>
      <x:c r="AS16" s="144"/>
      <x:c r="AT16" s="144"/>
      <x:c r="AU16" s="144"/>
      <x:c r="AV16" s="144"/>
      <x:c r="AW16" s="144"/>
      <x:c r="AX16" s="144"/>
      <x:c r="AY16" s="144"/>
      <x:c r="AZ16" s="144"/>
    </x:row>
    <x:row r="17">
      <x:c r="A17" s="144"/>
      <x:c r="B17" s="144"/>
      <x:c r="C17" s="144"/>
      <x:c r="D17" s="144"/>
      <x:c r="E17" s="144"/>
      <x:c r="F17" s="144"/>
      <x:c r="G17" s="144"/>
      <x:c r="H17" s="144"/>
      <x:c r="I17" s="144"/>
      <x:c r="J17" s="144"/>
      <x:c r="K17" s="144"/>
      <x:c r="L17" s="144"/>
      <x:c r="M17" s="144"/>
      <x:c r="N17" s="144"/>
      <x:c r="O17" s="144"/>
      <x:c r="P17" s="144"/>
      <x:c r="Q17" s="144"/>
      <x:c r="R17" s="144"/>
      <x:c r="S17" s="144"/>
      <x:c r="T17" s="144"/>
      <x:c r="U17" s="144"/>
      <x:c r="V17" s="144"/>
      <x:c r="W17" s="144"/>
      <x:c r="X17" s="144"/>
      <x:c r="Y17" s="144"/>
      <x:c r="Z17" s="144"/>
      <x:c r="AA17" s="144"/>
      <x:c r="AB17" s="144"/>
      <x:c r="AC17" s="144"/>
      <x:c r="AD17" s="144"/>
      <x:c r="AE17" s="144"/>
      <x:c r="AF17" s="144"/>
      <x:c r="AG17" s="144"/>
      <x:c r="AH17" s="144"/>
      <x:c r="AI17" s="144"/>
      <x:c r="AJ17" s="144"/>
      <x:c r="AK17" s="144"/>
      <x:c r="AL17" s="144"/>
      <x:c r="AM17" s="144"/>
      <x:c r="AN17" s="144"/>
      <x:c r="AO17" s="144"/>
      <x:c r="AP17" s="144"/>
      <x:c r="AQ17" s="144"/>
      <x:c r="AR17" s="144"/>
      <x:c r="AS17" s="144"/>
      <x:c r="AT17" s="144"/>
      <x:c r="AU17" s="144"/>
      <x:c r="AV17" s="144"/>
      <x:c r="AW17" s="144"/>
      <x:c r="AX17" s="144"/>
      <x:c r="AY17" s="144"/>
      <x:c r="AZ17" s="144"/>
    </x:row>
    <x:row r="18">
      <x:c r="A18" s="144"/>
      <x:c r="B18" s="144"/>
      <x:c r="C18" s="144"/>
      <x:c r="D18" s="144"/>
      <x:c r="E18" s="144"/>
      <x:c r="F18" s="144"/>
      <x:c r="G18" s="144"/>
      <x:c r="H18" s="144"/>
      <x:c r="I18" s="144"/>
      <x:c r="J18" s="144"/>
      <x:c r="K18" s="144"/>
      <x:c r="L18" s="144"/>
      <x:c r="M18" s="144"/>
      <x:c r="N18" s="144"/>
      <x:c r="O18" s="144"/>
      <x:c r="P18" s="144"/>
      <x:c r="Q18" s="144"/>
      <x:c r="R18" s="144"/>
      <x:c r="S18" s="144"/>
      <x:c r="T18" s="144"/>
      <x:c r="U18" s="144"/>
      <x:c r="V18" s="144"/>
      <x:c r="W18" s="144"/>
      <x:c r="X18" s="144"/>
      <x:c r="Y18" s="144"/>
      <x:c r="Z18" s="144"/>
      <x:c r="AA18" s="144"/>
      <x:c r="AB18" s="144"/>
      <x:c r="AC18" s="144"/>
      <x:c r="AD18" s="144"/>
      <x:c r="AE18" s="144"/>
      <x:c r="AF18" s="144"/>
      <x:c r="AG18" s="144"/>
      <x:c r="AH18" s="144"/>
      <x:c r="AI18" s="144"/>
      <x:c r="AJ18" s="144"/>
      <x:c r="AK18" s="144"/>
      <x:c r="AL18" s="144"/>
      <x:c r="AM18" s="144"/>
      <x:c r="AN18" s="144"/>
      <x:c r="AO18" s="144"/>
      <x:c r="AP18" s="144"/>
      <x:c r="AQ18" s="144"/>
      <x:c r="AR18" s="144"/>
      <x:c r="AS18" s="144"/>
      <x:c r="AT18" s="144"/>
      <x:c r="AU18" s="144"/>
      <x:c r="AV18" s="144"/>
      <x:c r="AW18" s="144"/>
      <x:c r="AX18" s="144"/>
      <x:c r="AY18" s="144"/>
      <x:c r="AZ18" s="144"/>
    </x:row>
    <x:row r="19">
      <x:c r="A19" s="144"/>
      <x:c r="B19" s="144"/>
      <x:c r="C19" s="144"/>
      <x:c r="D19" s="144"/>
      <x:c r="E19" s="144"/>
      <x:c r="F19" s="144"/>
      <x:c r="G19" s="144"/>
      <x:c r="H19" s="144"/>
      <x:c r="I19" s="144"/>
      <x:c r="J19" s="144"/>
      <x:c r="K19" s="144"/>
      <x:c r="L19" s="144"/>
      <x:c r="M19" s="144"/>
      <x:c r="N19" s="144"/>
      <x:c r="O19" s="144"/>
      <x:c r="P19" s="144"/>
      <x:c r="Q19" s="144"/>
      <x:c r="R19" s="144"/>
      <x:c r="S19" s="144"/>
      <x:c r="T19" s="144"/>
      <x:c r="U19" s="144"/>
      <x:c r="V19" s="144"/>
      <x:c r="W19" s="144"/>
      <x:c r="X19" s="144"/>
      <x:c r="Y19" s="144"/>
      <x:c r="Z19" s="144"/>
      <x:c r="AA19" s="144"/>
      <x:c r="AB19" s="144"/>
      <x:c r="AC19" s="144"/>
      <x:c r="AD19" s="144"/>
      <x:c r="AE19" s="144"/>
      <x:c r="AF19" s="144"/>
      <x:c r="AG19" s="144"/>
      <x:c r="AH19" s="144"/>
      <x:c r="AI19" s="144"/>
      <x:c r="AJ19" s="144"/>
      <x:c r="AK19" s="144"/>
      <x:c r="AL19" s="144"/>
      <x:c r="AM19" s="144"/>
      <x:c r="AN19" s="144"/>
      <x:c r="AO19" s="144"/>
      <x:c r="AP19" s="144"/>
      <x:c r="AQ19" s="144"/>
      <x:c r="AR19" s="144"/>
      <x:c r="AS19" s="144"/>
      <x:c r="AT19" s="144"/>
      <x:c r="AU19" s="144"/>
      <x:c r="AV19" s="144"/>
      <x:c r="AW19" s="144"/>
      <x:c r="AX19" s="144"/>
      <x:c r="AY19" s="144"/>
      <x:c r="AZ19" s="144"/>
    </x:row>
    <x:row r="20">
      <x:c r="A20" s="144"/>
      <x:c r="B20" s="144"/>
      <x:c r="C20" s="144"/>
      <x:c r="D20" s="144"/>
      <x:c r="E20" s="144"/>
      <x:c r="F20" s="144"/>
      <x:c r="G20" s="144"/>
      <x:c r="H20" s="144"/>
      <x:c r="I20" s="144"/>
      <x:c r="J20" s="144"/>
      <x:c r="K20" s="144"/>
      <x:c r="L20" s="144"/>
      <x:c r="M20" s="144"/>
      <x:c r="N20" s="144"/>
      <x:c r="O20" s="144"/>
      <x:c r="P20" s="144"/>
      <x:c r="Q20" s="144"/>
      <x:c r="R20" s="144"/>
      <x:c r="S20" s="144"/>
      <x:c r="T20" s="144"/>
      <x:c r="U20" s="144"/>
      <x:c r="V20" s="144"/>
      <x:c r="W20" s="144"/>
      <x:c r="X20" s="144"/>
      <x:c r="Y20" s="144"/>
      <x:c r="Z20" s="144"/>
      <x:c r="AA20" s="144"/>
      <x:c r="AB20" s="144"/>
      <x:c r="AC20" s="144"/>
      <x:c r="AD20" s="144"/>
      <x:c r="AE20" s="144"/>
      <x:c r="AF20" s="144"/>
      <x:c r="AG20" s="144"/>
      <x:c r="AH20" s="144"/>
      <x:c r="AI20" s="144"/>
      <x:c r="AJ20" s="144"/>
      <x:c r="AK20" s="144"/>
      <x:c r="AL20" s="144"/>
      <x:c r="AM20" s="144"/>
      <x:c r="AN20" s="144"/>
      <x:c r="AO20" s="144"/>
      <x:c r="AP20" s="144"/>
      <x:c r="AQ20" s="144"/>
      <x:c r="AR20" s="144"/>
      <x:c r="AS20" s="144"/>
      <x:c r="AT20" s="144"/>
      <x:c r="AU20" s="144"/>
      <x:c r="AV20" s="144"/>
      <x:c r="AW20" s="144"/>
      <x:c r="AX20" s="144"/>
      <x:c r="AY20" s="144"/>
      <x:c r="AZ20" s="144"/>
    </x:row>
    <x:row r="21">
      <x:c r="A21" s="144"/>
      <x:c r="B21" s="144"/>
      <x:c r="C21" s="144"/>
      <x:c r="D21" s="144"/>
      <x:c r="E21" s="144"/>
      <x:c r="F21" s="144"/>
      <x:c r="G21" s="144"/>
      <x:c r="H21" s="144"/>
      <x:c r="I21" s="144"/>
      <x:c r="J21" s="144"/>
      <x:c r="K21" s="144"/>
      <x:c r="L21" s="144"/>
      <x:c r="M21" s="144"/>
      <x:c r="N21" s="144"/>
      <x:c r="O21" s="144"/>
      <x:c r="P21" s="144"/>
      <x:c r="Q21" s="144"/>
      <x:c r="R21" s="144"/>
      <x:c r="S21" s="144"/>
      <x:c r="T21" s="144"/>
      <x:c r="U21" s="144"/>
      <x:c r="V21" s="144"/>
      <x:c r="W21" s="144"/>
      <x:c r="X21" s="144"/>
      <x:c r="Y21" s="144"/>
      <x:c r="Z21" s="144"/>
      <x:c r="AA21" s="144"/>
      <x:c r="AB21" s="144"/>
      <x:c r="AC21" s="144"/>
      <x:c r="AD21" s="144"/>
      <x:c r="AE21" s="144"/>
      <x:c r="AF21" s="144"/>
      <x:c r="AG21" s="144"/>
      <x:c r="AH21" s="144"/>
      <x:c r="AI21" s="144"/>
      <x:c r="AJ21" s="144"/>
      <x:c r="AK21" s="144"/>
      <x:c r="AL21" s="144"/>
      <x:c r="AM21" s="144"/>
      <x:c r="AN21" s="144"/>
      <x:c r="AO21" s="144"/>
      <x:c r="AP21" s="144"/>
      <x:c r="AQ21" s="144"/>
      <x:c r="AR21" s="144"/>
      <x:c r="AS21" s="144"/>
      <x:c r="AT21" s="144"/>
      <x:c r="AU21" s="144"/>
      <x:c r="AV21" s="144"/>
      <x:c r="AW21" s="144"/>
      <x:c r="AX21" s="144"/>
      <x:c r="AY21" s="144"/>
      <x:c r="AZ21" s="144"/>
    </x:row>
    <x:row r="22">
      <x:c r="A22" s="144"/>
      <x:c r="B22" s="144"/>
      <x:c r="C22" s="144"/>
      <x:c r="D22" s="144"/>
      <x:c r="E22" s="144"/>
      <x:c r="F22" s="144"/>
      <x:c r="G22" s="144"/>
      <x:c r="H22" s="144"/>
      <x:c r="I22" s="144"/>
      <x:c r="J22" s="144"/>
      <x:c r="K22" s="144"/>
      <x:c r="L22" s="144"/>
      <x:c r="M22" s="144"/>
      <x:c r="N22" s="144"/>
      <x:c r="O22" s="144"/>
      <x:c r="P22" s="144"/>
      <x:c r="Q22" s="144"/>
      <x:c r="R22" s="144"/>
      <x:c r="S22" s="144"/>
      <x:c r="T22" s="144"/>
      <x:c r="U22" s="144"/>
      <x:c r="V22" s="144"/>
      <x:c r="W22" s="144"/>
      <x:c r="X22" s="144"/>
      <x:c r="Y22" s="144"/>
      <x:c r="Z22" s="144"/>
      <x:c r="AA22" s="144"/>
      <x:c r="AB22" s="144"/>
      <x:c r="AC22" s="144"/>
      <x:c r="AD22" s="144"/>
      <x:c r="AE22" s="144"/>
      <x:c r="AF22" s="144"/>
      <x:c r="AG22" s="144"/>
      <x:c r="AH22" s="144"/>
      <x:c r="AI22" s="144"/>
      <x:c r="AJ22" s="144"/>
      <x:c r="AK22" s="144"/>
      <x:c r="AL22" s="144"/>
      <x:c r="AM22" s="144"/>
      <x:c r="AN22" s="144"/>
      <x:c r="AO22" s="144"/>
      <x:c r="AP22" s="144"/>
      <x:c r="AQ22" s="144"/>
      <x:c r="AR22" s="144"/>
      <x:c r="AS22" s="144"/>
      <x:c r="AT22" s="144"/>
      <x:c r="AU22" s="144"/>
      <x:c r="AV22" s="144"/>
      <x:c r="AW22" s="144"/>
      <x:c r="AX22" s="144"/>
      <x:c r="AY22" s="144"/>
      <x:c r="AZ22" s="144"/>
    </x:row>
    <x:row r="23">
      <x:c r="A23" s="144"/>
      <x:c r="B23" s="144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4"/>
      <x:c r="M23" s="144"/>
      <x:c r="N23" s="144"/>
      <x:c r="O23" s="144"/>
      <x:c r="P23" s="144"/>
      <x:c r="Q23" s="144"/>
      <x:c r="R23" s="144"/>
      <x:c r="S23" s="144"/>
      <x:c r="T23" s="144"/>
      <x:c r="U23" s="144"/>
      <x:c r="V23" s="144"/>
      <x:c r="W23" s="144"/>
      <x:c r="X23" s="144"/>
      <x:c r="Y23" s="144"/>
      <x:c r="Z23" s="144"/>
      <x:c r="AA23" s="144"/>
      <x:c r="AB23" s="144"/>
      <x:c r="AC23" s="144"/>
      <x:c r="AD23" s="144"/>
      <x:c r="AE23" s="144"/>
      <x:c r="AF23" s="144"/>
      <x:c r="AG23" s="144"/>
      <x:c r="AH23" s="144"/>
      <x:c r="AI23" s="144"/>
      <x:c r="AJ23" s="144"/>
      <x:c r="AK23" s="144"/>
      <x:c r="AL23" s="144"/>
      <x:c r="AM23" s="144"/>
      <x:c r="AN23" s="144"/>
      <x:c r="AO23" s="144"/>
      <x:c r="AP23" s="144"/>
      <x:c r="AQ23" s="144"/>
      <x:c r="AR23" s="144"/>
      <x:c r="AS23" s="144"/>
      <x:c r="AT23" s="144"/>
      <x:c r="AU23" s="144"/>
      <x:c r="AV23" s="144"/>
      <x:c r="AW23" s="144"/>
      <x:c r="AX23" s="144"/>
      <x:c r="AY23" s="144"/>
      <x:c r="AZ23" s="144"/>
    </x:row>
    <x:row r="24">
      <x:c r="A24" s="144"/>
      <x:c r="B24" s="144"/>
      <x:c r="C24" s="144"/>
      <x:c r="D24" s="144"/>
      <x:c r="E24" s="144"/>
      <x:c r="F24" s="144"/>
      <x:c r="G24" s="144"/>
      <x:c r="H24" s="144"/>
      <x:c r="I24" s="144"/>
      <x:c r="J24" s="144"/>
      <x:c r="K24" s="144"/>
      <x:c r="L24" s="144"/>
      <x:c r="M24" s="144"/>
      <x:c r="N24" s="144"/>
      <x:c r="O24" s="144"/>
      <x:c r="P24" s="144"/>
      <x:c r="Q24" s="144"/>
      <x:c r="R24" s="144"/>
      <x:c r="S24" s="144"/>
      <x:c r="T24" s="144"/>
      <x:c r="U24" s="144"/>
      <x:c r="V24" s="144"/>
      <x:c r="W24" s="144"/>
      <x:c r="X24" s="144"/>
      <x:c r="Y24" s="144"/>
      <x:c r="Z24" s="144"/>
      <x:c r="AA24" s="144"/>
      <x:c r="AB24" s="144"/>
      <x:c r="AC24" s="144"/>
      <x:c r="AD24" s="144"/>
      <x:c r="AE24" s="144"/>
      <x:c r="AF24" s="144"/>
      <x:c r="AG24" s="144"/>
      <x:c r="AH24" s="144"/>
      <x:c r="AI24" s="144"/>
      <x:c r="AJ24" s="144"/>
      <x:c r="AK24" s="144"/>
      <x:c r="AL24" s="144"/>
      <x:c r="AM24" s="144"/>
      <x:c r="AN24" s="144"/>
      <x:c r="AO24" s="144"/>
      <x:c r="AP24" s="144"/>
      <x:c r="AQ24" s="144"/>
      <x:c r="AR24" s="144"/>
      <x:c r="AS24" s="144"/>
      <x:c r="AT24" s="144"/>
      <x:c r="AU24" s="144"/>
      <x:c r="AV24" s="144"/>
      <x:c r="AW24" s="144"/>
      <x:c r="AX24" s="144"/>
      <x:c r="AY24" s="144"/>
      <x:c r="AZ24" s="144"/>
    </x:row>
    <x:row r="25">
      <x:c r="A25" s="144"/>
      <x:c r="B25" s="144"/>
      <x:c r="C25" s="144"/>
      <x:c r="D25" s="144"/>
      <x:c r="E25" s="144"/>
      <x:c r="F25" s="144"/>
      <x:c r="G25" s="144"/>
      <x:c r="H25" s="144"/>
      <x:c r="I25" s="144"/>
      <x:c r="J25" s="144"/>
      <x:c r="K25" s="144"/>
      <x:c r="L25" s="144"/>
      <x:c r="M25" s="144"/>
      <x:c r="N25" s="144"/>
      <x:c r="O25" s="144"/>
      <x:c r="P25" s="144"/>
      <x:c r="Q25" s="144"/>
      <x:c r="R25" s="144"/>
      <x:c r="S25" s="144"/>
      <x:c r="T25" s="144"/>
      <x:c r="U25" s="144"/>
      <x:c r="V25" s="144"/>
      <x:c r="W25" s="144"/>
      <x:c r="X25" s="144"/>
      <x:c r="Y25" s="144"/>
      <x:c r="Z25" s="144"/>
      <x:c r="AA25" s="144"/>
      <x:c r="AB25" s="144"/>
      <x:c r="AC25" s="144"/>
      <x:c r="AD25" s="144"/>
      <x:c r="AE25" s="144"/>
      <x:c r="AF25" s="144"/>
      <x:c r="AG25" s="144"/>
      <x:c r="AH25" s="144"/>
      <x:c r="AI25" s="144"/>
      <x:c r="AJ25" s="144"/>
      <x:c r="AK25" s="144"/>
      <x:c r="AL25" s="144"/>
      <x:c r="AM25" s="144"/>
      <x:c r="AN25" s="144"/>
      <x:c r="AO25" s="144"/>
      <x:c r="AP25" s="144"/>
      <x:c r="AQ25" s="144"/>
      <x:c r="AR25" s="144"/>
      <x:c r="AS25" s="144"/>
      <x:c r="AT25" s="144"/>
      <x:c r="AU25" s="144"/>
      <x:c r="AV25" s="144"/>
      <x:c r="AW25" s="144"/>
      <x:c r="AX25" s="144"/>
      <x:c r="AY25" s="144"/>
      <x:c r="AZ25" s="144"/>
    </x:row>
    <x:row r="26">
      <x:c r="A26" s="144"/>
      <x:c r="B26" s="144"/>
      <x:c r="C26" s="144"/>
      <x:c r="D26" s="144"/>
      <x:c r="E26" s="144"/>
      <x:c r="F26" s="144"/>
      <x:c r="G26" s="144"/>
      <x:c r="H26" s="144"/>
      <x:c r="I26" s="144"/>
      <x:c r="J26" s="144"/>
      <x:c r="K26" s="144"/>
      <x:c r="L26" s="144"/>
      <x:c r="M26" s="144"/>
      <x:c r="N26" s="144"/>
      <x:c r="O26" s="144"/>
      <x:c r="P26" s="144"/>
      <x:c r="Q26" s="144"/>
      <x:c r="R26" s="144"/>
      <x:c r="S26" s="144"/>
      <x:c r="T26" s="144"/>
      <x:c r="U26" s="144"/>
      <x:c r="V26" s="144"/>
      <x:c r="W26" s="144"/>
      <x:c r="X26" s="144"/>
      <x:c r="Y26" s="144"/>
      <x:c r="Z26" s="144"/>
      <x:c r="AA26" s="144"/>
      <x:c r="AB26" s="144"/>
      <x:c r="AC26" s="144"/>
      <x:c r="AD26" s="144"/>
      <x:c r="AE26" s="144"/>
      <x:c r="AF26" s="144"/>
      <x:c r="AG26" s="144"/>
      <x:c r="AH26" s="144"/>
      <x:c r="AI26" s="144"/>
      <x:c r="AJ26" s="144"/>
      <x:c r="AK26" s="144"/>
      <x:c r="AL26" s="144"/>
      <x:c r="AM26" s="144"/>
      <x:c r="AN26" s="144"/>
      <x:c r="AO26" s="144"/>
      <x:c r="AP26" s="144"/>
      <x:c r="AQ26" s="144"/>
      <x:c r="AR26" s="144"/>
      <x:c r="AS26" s="144"/>
      <x:c r="AT26" s="144"/>
      <x:c r="AU26" s="144"/>
      <x:c r="AV26" s="144"/>
      <x:c r="AW26" s="144"/>
      <x:c r="AX26" s="144"/>
      <x:c r="AY26" s="144"/>
      <x:c r="AZ26" s="144"/>
    </x:row>
    <x:row r="27">
      <x:c r="A27" s="144"/>
      <x:c r="B27" s="144"/>
      <x:c r="C27" s="144"/>
      <x:c r="D27" s="144"/>
      <x:c r="E27" s="144"/>
      <x:c r="F27" s="144"/>
      <x:c r="G27" s="144"/>
      <x:c r="H27" s="144"/>
      <x:c r="I27" s="144"/>
      <x:c r="J27" s="144"/>
      <x:c r="K27" s="144"/>
      <x:c r="L27" s="144"/>
      <x:c r="M27" s="144"/>
      <x:c r="N27" s="144"/>
      <x:c r="O27" s="144"/>
      <x:c r="P27" s="144"/>
      <x:c r="Q27" s="144"/>
      <x:c r="R27" s="144"/>
      <x:c r="S27" s="144"/>
      <x:c r="T27" s="144"/>
      <x:c r="U27" s="144"/>
      <x:c r="V27" s="144"/>
      <x:c r="W27" s="144"/>
      <x:c r="X27" s="144"/>
      <x:c r="Y27" s="144"/>
      <x:c r="Z27" s="144"/>
      <x:c r="AA27" s="144"/>
      <x:c r="AB27" s="144"/>
      <x:c r="AC27" s="144"/>
      <x:c r="AD27" s="144"/>
      <x:c r="AE27" s="144"/>
      <x:c r="AF27" s="144"/>
      <x:c r="AG27" s="144"/>
      <x:c r="AH27" s="144"/>
      <x:c r="AI27" s="144"/>
      <x:c r="AJ27" s="144"/>
      <x:c r="AK27" s="144"/>
      <x:c r="AL27" s="144"/>
      <x:c r="AM27" s="144"/>
      <x:c r="AN27" s="144"/>
      <x:c r="AO27" s="144"/>
      <x:c r="AP27" s="144"/>
      <x:c r="AQ27" s="144"/>
      <x:c r="AR27" s="144"/>
      <x:c r="AS27" s="144"/>
      <x:c r="AT27" s="144"/>
      <x:c r="AU27" s="144"/>
      <x:c r="AV27" s="144"/>
      <x:c r="AW27" s="144"/>
      <x:c r="AX27" s="144"/>
      <x:c r="AY27" s="144"/>
      <x:c r="AZ27" s="144"/>
    </x:row>
    <x:row r="28">
      <x:c r="A28" s="144"/>
      <x:c r="B28" s="144"/>
      <x:c r="C28" s="144"/>
      <x:c r="D28" s="144"/>
      <x:c r="E28" s="144"/>
      <x:c r="F28" s="144"/>
      <x:c r="G28" s="144"/>
      <x:c r="H28" s="144"/>
      <x:c r="I28" s="144"/>
      <x:c r="J28" s="144"/>
      <x:c r="K28" s="144"/>
      <x:c r="L28" s="144"/>
      <x:c r="M28" s="144"/>
      <x:c r="N28" s="144"/>
      <x:c r="O28" s="144"/>
      <x:c r="P28" s="144"/>
      <x:c r="Q28" s="144"/>
      <x:c r="R28" s="144"/>
      <x:c r="S28" s="144"/>
      <x:c r="T28" s="144"/>
      <x:c r="U28" s="144"/>
      <x:c r="V28" s="144"/>
      <x:c r="W28" s="144"/>
      <x:c r="X28" s="144"/>
      <x:c r="Y28" s="144"/>
      <x:c r="Z28" s="144"/>
      <x:c r="AA28" s="144"/>
      <x:c r="AB28" s="144"/>
      <x:c r="AC28" s="144"/>
      <x:c r="AD28" s="144"/>
      <x:c r="AE28" s="144"/>
      <x:c r="AF28" s="144"/>
      <x:c r="AG28" s="144"/>
      <x:c r="AH28" s="144"/>
      <x:c r="AI28" s="144"/>
      <x:c r="AJ28" s="144"/>
      <x:c r="AK28" s="144"/>
      <x:c r="AL28" s="144"/>
      <x:c r="AM28" s="144"/>
      <x:c r="AN28" s="144"/>
      <x:c r="AO28" s="144"/>
      <x:c r="AP28" s="144"/>
      <x:c r="AQ28" s="144"/>
      <x:c r="AR28" s="144"/>
      <x:c r="AS28" s="144"/>
      <x:c r="AT28" s="144"/>
      <x:c r="AU28" s="144"/>
      <x:c r="AV28" s="144"/>
      <x:c r="AW28" s="144"/>
      <x:c r="AX28" s="144"/>
      <x:c r="AY28" s="144"/>
      <x:c r="AZ28" s="144"/>
    </x:row>
    <x:row r="29">
      <x:c r="A29" s="144"/>
      <x:c r="B29" s="144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4"/>
      <x:c r="M29" s="144"/>
      <x:c r="N29" s="144"/>
      <x:c r="O29" s="144"/>
      <x:c r="P29" s="144"/>
      <x:c r="Q29" s="144"/>
      <x:c r="R29" s="144"/>
      <x:c r="S29" s="144"/>
      <x:c r="T29" s="144"/>
      <x:c r="U29" s="144"/>
      <x:c r="V29" s="144"/>
      <x:c r="W29" s="144"/>
      <x:c r="X29" s="144"/>
      <x:c r="Y29" s="144"/>
      <x:c r="Z29" s="144"/>
      <x:c r="AA29" s="144"/>
      <x:c r="AB29" s="144"/>
      <x:c r="AC29" s="144"/>
      <x:c r="AD29" s="144"/>
      <x:c r="AE29" s="144"/>
      <x:c r="AF29" s="144"/>
      <x:c r="AG29" s="144"/>
      <x:c r="AH29" s="144"/>
      <x:c r="AI29" s="144"/>
      <x:c r="AJ29" s="144"/>
      <x:c r="AK29" s="144"/>
      <x:c r="AL29" s="144"/>
      <x:c r="AM29" s="144"/>
      <x:c r="AN29" s="144"/>
      <x:c r="AO29" s="144"/>
      <x:c r="AP29" s="144"/>
      <x:c r="AQ29" s="144"/>
      <x:c r="AR29" s="144"/>
      <x:c r="AS29" s="144"/>
      <x:c r="AT29" s="144"/>
      <x:c r="AU29" s="144"/>
      <x:c r="AV29" s="144"/>
      <x:c r="AW29" s="144"/>
      <x:c r="AX29" s="144"/>
      <x:c r="AY29" s="144"/>
      <x:c r="AZ29" s="144"/>
    </x:row>
    <x:row r="30">
      <x:c r="A30" s="144"/>
      <x:c r="B30" s="144"/>
      <x:c r="C30" s="144"/>
      <x:c r="D30" s="144"/>
      <x:c r="E30" s="144"/>
      <x:c r="F30" s="144"/>
      <x:c r="G30" s="144"/>
      <x:c r="H30" s="144"/>
      <x:c r="I30" s="144"/>
      <x:c r="J30" s="144"/>
      <x:c r="K30" s="144"/>
      <x:c r="L30" s="144"/>
      <x:c r="M30" s="144"/>
      <x:c r="N30" s="144"/>
      <x:c r="O30" s="144"/>
      <x:c r="P30" s="144"/>
      <x:c r="Q30" s="144"/>
      <x:c r="R30" s="144"/>
      <x:c r="S30" s="144"/>
      <x:c r="T30" s="144"/>
      <x:c r="U30" s="144"/>
      <x:c r="V30" s="144"/>
      <x:c r="W30" s="144"/>
      <x:c r="X30" s="144"/>
      <x:c r="Y30" s="144"/>
      <x:c r="Z30" s="144"/>
      <x:c r="AA30" s="144"/>
      <x:c r="AB30" s="144"/>
      <x:c r="AC30" s="144"/>
      <x:c r="AD30" s="144"/>
      <x:c r="AE30" s="144"/>
      <x:c r="AF30" s="144"/>
      <x:c r="AG30" s="144"/>
      <x:c r="AH30" s="144"/>
      <x:c r="AI30" s="144"/>
      <x:c r="AJ30" s="144"/>
      <x:c r="AK30" s="144"/>
      <x:c r="AL30" s="144"/>
      <x:c r="AM30" s="144"/>
      <x:c r="AN30" s="144"/>
      <x:c r="AO30" s="144"/>
      <x:c r="AP30" s="144"/>
      <x:c r="AQ30" s="144"/>
      <x:c r="AR30" s="144"/>
      <x:c r="AS30" s="144"/>
      <x:c r="AT30" s="144"/>
      <x:c r="AU30" s="144"/>
      <x:c r="AV30" s="144"/>
      <x:c r="AW30" s="144"/>
      <x:c r="AX30" s="144"/>
      <x:c r="AY30" s="144"/>
      <x:c r="AZ30" s="144"/>
    </x:row>
    <x:row r="31">
      <x:c r="A31" s="144"/>
      <x:c r="B31" s="144"/>
      <x:c r="C31" s="144"/>
      <x:c r="D31" s="144"/>
      <x:c r="E31" s="144"/>
      <x:c r="F31" s="144"/>
      <x:c r="G31" s="144"/>
      <x:c r="H31" s="144"/>
      <x:c r="I31" s="144"/>
      <x:c r="J31" s="144"/>
      <x:c r="K31" s="144"/>
      <x:c r="L31" s="144"/>
      <x:c r="M31" s="144"/>
      <x:c r="N31" s="144"/>
      <x:c r="O31" s="144"/>
      <x:c r="P31" s="144"/>
      <x:c r="Q31" s="144"/>
      <x:c r="R31" s="144"/>
      <x:c r="S31" s="144"/>
      <x:c r="T31" s="144"/>
      <x:c r="U31" s="144"/>
      <x:c r="V31" s="144"/>
      <x:c r="W31" s="144"/>
      <x:c r="X31" s="144"/>
      <x:c r="Y31" s="144"/>
      <x:c r="Z31" s="144"/>
      <x:c r="AA31" s="144"/>
      <x:c r="AB31" s="144"/>
      <x:c r="AC31" s="144"/>
      <x:c r="AD31" s="144"/>
      <x:c r="AE31" s="144"/>
      <x:c r="AF31" s="144"/>
      <x:c r="AG31" s="144"/>
      <x:c r="AH31" s="144"/>
      <x:c r="AI31" s="144"/>
      <x:c r="AJ31" s="144"/>
      <x:c r="AK31" s="144"/>
      <x:c r="AL31" s="144"/>
      <x:c r="AM31" s="144"/>
      <x:c r="AN31" s="144"/>
      <x:c r="AO31" s="144"/>
      <x:c r="AP31" s="144"/>
      <x:c r="AQ31" s="144"/>
      <x:c r="AR31" s="144"/>
      <x:c r="AS31" s="144"/>
      <x:c r="AT31" s="144"/>
      <x:c r="AU31" s="144"/>
      <x:c r="AV31" s="144"/>
      <x:c r="AW31" s="144"/>
      <x:c r="AX31" s="144"/>
      <x:c r="AY31" s="144"/>
      <x:c r="AZ31" s="144"/>
    </x:row>
    <x:row r="32">
      <x:c r="A32" s="144"/>
      <x:c r="B32" s="144"/>
      <x:c r="C32" s="144"/>
      <x:c r="D32" s="144"/>
      <x:c r="E32" s="144"/>
      <x:c r="F32" s="144"/>
      <x:c r="G32" s="144"/>
      <x:c r="H32" s="144"/>
      <x:c r="I32" s="144"/>
      <x:c r="J32" s="144"/>
      <x:c r="K32" s="144"/>
      <x:c r="L32" s="144"/>
      <x:c r="M32" s="144"/>
      <x:c r="N32" s="144"/>
      <x:c r="O32" s="144"/>
      <x:c r="P32" s="144"/>
      <x:c r="Q32" s="144"/>
      <x:c r="R32" s="144"/>
      <x:c r="S32" s="144"/>
      <x:c r="T32" s="144"/>
      <x:c r="U32" s="144"/>
      <x:c r="V32" s="144"/>
      <x:c r="W32" s="144"/>
      <x:c r="X32" s="144"/>
      <x:c r="Y32" s="144"/>
      <x:c r="Z32" s="144"/>
      <x:c r="AA32" s="144"/>
      <x:c r="AB32" s="144"/>
      <x:c r="AC32" s="144"/>
      <x:c r="AD32" s="144"/>
      <x:c r="AE32" s="144"/>
      <x:c r="AF32" s="144"/>
      <x:c r="AG32" s="144"/>
      <x:c r="AH32" s="144"/>
      <x:c r="AI32" s="144"/>
      <x:c r="AJ32" s="144"/>
      <x:c r="AK32" s="144"/>
      <x:c r="AL32" s="144"/>
      <x:c r="AM32" s="144"/>
      <x:c r="AN32" s="144"/>
      <x:c r="AO32" s="144"/>
      <x:c r="AP32" s="144"/>
      <x:c r="AQ32" s="144"/>
      <x:c r="AR32" s="144"/>
      <x:c r="AS32" s="144"/>
      <x:c r="AT32" s="144"/>
      <x:c r="AU32" s="144"/>
      <x:c r="AV32" s="144"/>
      <x:c r="AW32" s="144"/>
      <x:c r="AX32" s="144"/>
      <x:c r="AY32" s="144"/>
      <x:c r="AZ32" s="144"/>
    </x:row>
    <x:row r="33">
      <x:c r="A33" s="144"/>
      <x:c r="B33" s="144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4"/>
      <x:c r="M33" s="144"/>
      <x:c r="N33" s="144"/>
      <x:c r="O33" s="144"/>
      <x:c r="P33" s="144"/>
      <x:c r="Q33" s="144"/>
      <x:c r="R33" s="144"/>
      <x:c r="S33" s="144"/>
      <x:c r="T33" s="144"/>
      <x:c r="U33" s="144"/>
      <x:c r="V33" s="144"/>
      <x:c r="W33" s="144"/>
      <x:c r="X33" s="144"/>
      <x:c r="Y33" s="144"/>
      <x:c r="Z33" s="144"/>
      <x:c r="AA33" s="144"/>
      <x:c r="AB33" s="144"/>
      <x:c r="AC33" s="144"/>
      <x:c r="AD33" s="144"/>
      <x:c r="AE33" s="144"/>
      <x:c r="AF33" s="144"/>
      <x:c r="AG33" s="144"/>
      <x:c r="AH33" s="144"/>
      <x:c r="AI33" s="144"/>
      <x:c r="AJ33" s="144"/>
      <x:c r="AK33" s="144"/>
      <x:c r="AL33" s="144"/>
      <x:c r="AM33" s="144"/>
      <x:c r="AN33" s="144"/>
      <x:c r="AO33" s="144"/>
      <x:c r="AP33" s="144"/>
      <x:c r="AQ33" s="144"/>
      <x:c r="AR33" s="144"/>
      <x:c r="AS33" s="144"/>
      <x:c r="AT33" s="144"/>
      <x:c r="AU33" s="144"/>
      <x:c r="AV33" s="144"/>
      <x:c r="AW33" s="144"/>
      <x:c r="AX33" s="144"/>
      <x:c r="AY33" s="144"/>
      <x:c r="AZ33" s="144"/>
    </x:row>
    <x:row r="34">
      <x:c r="A34" s="144"/>
      <x:c r="B34" s="144"/>
      <x:c r="C34" s="144"/>
      <x:c r="D34" s="144"/>
      <x:c r="E34" s="144"/>
      <x:c r="F34" s="144"/>
      <x:c r="G34" s="144"/>
      <x:c r="H34" s="144"/>
      <x:c r="I34" s="144"/>
      <x:c r="J34" s="144"/>
      <x:c r="K34" s="144"/>
      <x:c r="L34" s="144"/>
      <x:c r="M34" s="144"/>
      <x:c r="N34" s="144"/>
      <x:c r="O34" s="144"/>
      <x:c r="P34" s="144"/>
      <x:c r="Q34" s="144"/>
      <x:c r="R34" s="144"/>
      <x:c r="S34" s="144"/>
      <x:c r="T34" s="144"/>
      <x:c r="U34" s="144"/>
      <x:c r="V34" s="144"/>
      <x:c r="W34" s="144"/>
      <x:c r="X34" s="144"/>
      <x:c r="Y34" s="144"/>
      <x:c r="Z34" s="144"/>
      <x:c r="AA34" s="144"/>
      <x:c r="AB34" s="144"/>
      <x:c r="AC34" s="144"/>
      <x:c r="AD34" s="144"/>
      <x:c r="AE34" s="144"/>
      <x:c r="AF34" s="144"/>
      <x:c r="AG34" s="144"/>
      <x:c r="AH34" s="144"/>
      <x:c r="AI34" s="144"/>
      <x:c r="AJ34" s="144"/>
      <x:c r="AK34" s="144"/>
      <x:c r="AL34" s="144"/>
      <x:c r="AM34" s="144"/>
      <x:c r="AN34" s="144"/>
      <x:c r="AO34" s="144"/>
      <x:c r="AP34" s="144"/>
      <x:c r="AQ34" s="144"/>
      <x:c r="AR34" s="144"/>
      <x:c r="AS34" s="144"/>
      <x:c r="AT34" s="144"/>
      <x:c r="AU34" s="144"/>
      <x:c r="AV34" s="144"/>
      <x:c r="AW34" s="144"/>
      <x:c r="AX34" s="144"/>
      <x:c r="AY34" s="144"/>
      <x:c r="AZ34" s="144"/>
    </x:row>
    <x:row r="35">
      <x:c r="A35" s="144"/>
      <x:c r="B35" s="144"/>
      <x:c r="C35" s="144"/>
      <x:c r="D35" s="144"/>
      <x:c r="E35" s="144"/>
      <x:c r="F35" s="144"/>
      <x:c r="G35" s="144"/>
      <x:c r="H35" s="144"/>
      <x:c r="I35" s="144"/>
      <x:c r="J35" s="144"/>
      <x:c r="K35" s="144"/>
      <x:c r="L35" s="144"/>
      <x:c r="M35" s="144"/>
      <x:c r="N35" s="144"/>
      <x:c r="O35" s="144"/>
      <x:c r="P35" s="144"/>
      <x:c r="Q35" s="144"/>
      <x:c r="R35" s="144"/>
      <x:c r="S35" s="144"/>
      <x:c r="T35" s="144"/>
      <x:c r="U35" s="144"/>
      <x:c r="V35" s="144"/>
      <x:c r="W35" s="144"/>
      <x:c r="X35" s="144"/>
      <x:c r="Y35" s="144"/>
      <x:c r="Z35" s="144"/>
      <x:c r="AA35" s="144"/>
      <x:c r="AB35" s="144"/>
      <x:c r="AC35" s="144"/>
      <x:c r="AD35" s="144"/>
      <x:c r="AE35" s="144"/>
      <x:c r="AF35" s="144"/>
      <x:c r="AG35" s="144"/>
      <x:c r="AH35" s="144"/>
      <x:c r="AI35" s="144"/>
      <x:c r="AJ35" s="144"/>
      <x:c r="AK35" s="144"/>
      <x:c r="AL35" s="144"/>
      <x:c r="AM35" s="144"/>
      <x:c r="AN35" s="144"/>
      <x:c r="AO35" s="144"/>
      <x:c r="AP35" s="144"/>
      <x:c r="AQ35" s="144"/>
      <x:c r="AR35" s="144"/>
      <x:c r="AS35" s="144"/>
      <x:c r="AT35" s="144"/>
      <x:c r="AU35" s="144"/>
      <x:c r="AV35" s="144"/>
      <x:c r="AW35" s="144"/>
      <x:c r="AX35" s="144"/>
      <x:c r="AY35" s="144"/>
      <x:c r="AZ35" s="144"/>
    </x:row>
    <x:row r="36">
      <x:c r="A36" s="144"/>
      <x:c r="B36" s="144"/>
      <x:c r="C36" s="144"/>
      <x:c r="D36" s="144"/>
      <x:c r="E36" s="144"/>
      <x:c r="F36" s="144"/>
      <x:c r="G36" s="144"/>
      <x:c r="H36" s="144"/>
      <x:c r="I36" s="144"/>
      <x:c r="J36" s="144"/>
      <x:c r="K36" s="144"/>
      <x:c r="L36" s="144"/>
      <x:c r="M36" s="144"/>
      <x:c r="N36" s="144"/>
      <x:c r="O36" s="144"/>
      <x:c r="P36" s="144"/>
      <x:c r="Q36" s="144"/>
      <x:c r="R36" s="144"/>
      <x:c r="S36" s="144"/>
      <x:c r="T36" s="144"/>
      <x:c r="U36" s="144"/>
      <x:c r="V36" s="144"/>
      <x:c r="W36" s="144"/>
      <x:c r="X36" s="144"/>
      <x:c r="Y36" s="144"/>
      <x:c r="Z36" s="144"/>
      <x:c r="AA36" s="144"/>
      <x:c r="AB36" s="144"/>
      <x:c r="AC36" s="144"/>
      <x:c r="AD36" s="144"/>
      <x:c r="AE36" s="144"/>
      <x:c r="AF36" s="144"/>
      <x:c r="AG36" s="144"/>
      <x:c r="AH36" s="144"/>
      <x:c r="AI36" s="144"/>
      <x:c r="AJ36" s="144"/>
      <x:c r="AK36" s="144"/>
      <x:c r="AL36" s="144"/>
      <x:c r="AM36" s="144"/>
      <x:c r="AN36" s="144"/>
      <x:c r="AO36" s="144"/>
      <x:c r="AP36" s="144"/>
      <x:c r="AQ36" s="144"/>
      <x:c r="AR36" s="144"/>
      <x:c r="AS36" s="144"/>
      <x:c r="AT36" s="144"/>
      <x:c r="AU36" s="144"/>
      <x:c r="AV36" s="144"/>
      <x:c r="AW36" s="144"/>
      <x:c r="AX36" s="144"/>
      <x:c r="AY36" s="144"/>
      <x:c r="AZ36" s="144"/>
    </x:row>
    <x:row r="37">
      <x:c r="A37" s="144"/>
      <x:c r="B37" s="144"/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4"/>
      <x:c r="Q37" s="144"/>
      <x:c r="R37" s="144"/>
      <x:c r="S37" s="144"/>
      <x:c r="T37" s="144"/>
      <x:c r="U37" s="144"/>
      <x:c r="V37" s="144"/>
      <x:c r="W37" s="144"/>
      <x:c r="X37" s="144"/>
      <x:c r="Y37" s="144"/>
      <x:c r="Z37" s="144"/>
      <x:c r="AA37" s="144"/>
      <x:c r="AB37" s="144"/>
      <x:c r="AC37" s="144"/>
      <x:c r="AD37" s="144"/>
      <x:c r="AE37" s="144"/>
      <x:c r="AF37" s="144"/>
      <x:c r="AG37" s="144"/>
      <x:c r="AH37" s="144"/>
      <x:c r="AI37" s="144"/>
      <x:c r="AJ37" s="144"/>
      <x:c r="AK37" s="144"/>
      <x:c r="AL37" s="144"/>
      <x:c r="AM37" s="144"/>
      <x:c r="AN37" s="144"/>
      <x:c r="AO37" s="144"/>
      <x:c r="AP37" s="144"/>
      <x:c r="AQ37" s="144"/>
      <x:c r="AR37" s="144"/>
      <x:c r="AS37" s="144"/>
      <x:c r="AT37" s="144"/>
      <x:c r="AU37" s="144"/>
      <x:c r="AV37" s="144"/>
      <x:c r="AW37" s="144"/>
      <x:c r="AX37" s="144"/>
      <x:c r="AY37" s="144"/>
      <x:c r="AZ37" s="144"/>
    </x:row>
    <x:row r="38">
      <x:c r="A38" s="144"/>
      <x:c r="B38" s="144"/>
      <x:c r="C38" s="144"/>
      <x:c r="D38" s="144"/>
      <x:c r="E38" s="144"/>
      <x:c r="F38" s="144"/>
      <x:c r="G38" s="144"/>
      <x:c r="H38" s="144"/>
      <x:c r="I38" s="144"/>
      <x:c r="J38" s="144"/>
      <x:c r="K38" s="144"/>
      <x:c r="L38" s="144"/>
      <x:c r="M38" s="144"/>
      <x:c r="N38" s="144"/>
      <x:c r="O38" s="144"/>
      <x:c r="P38" s="144"/>
      <x:c r="Q38" s="144"/>
      <x:c r="R38" s="144"/>
      <x:c r="S38" s="144"/>
      <x:c r="T38" s="144"/>
      <x:c r="U38" s="144"/>
      <x:c r="V38" s="144"/>
      <x:c r="W38" s="144"/>
      <x:c r="X38" s="144"/>
      <x:c r="Y38" s="144"/>
      <x:c r="Z38" s="144"/>
      <x:c r="AA38" s="144"/>
      <x:c r="AB38" s="144"/>
      <x:c r="AC38" s="144"/>
      <x:c r="AD38" s="144"/>
      <x:c r="AE38" s="144"/>
      <x:c r="AF38" s="144"/>
      <x:c r="AG38" s="144"/>
      <x:c r="AH38" s="144"/>
      <x:c r="AI38" s="144"/>
      <x:c r="AJ38" s="144"/>
      <x:c r="AK38" s="144"/>
      <x:c r="AL38" s="144"/>
      <x:c r="AM38" s="144"/>
      <x:c r="AN38" s="144"/>
      <x:c r="AO38" s="144"/>
      <x:c r="AP38" s="144"/>
      <x:c r="AQ38" s="144"/>
      <x:c r="AR38" s="144"/>
      <x:c r="AS38" s="144"/>
      <x:c r="AT38" s="144"/>
      <x:c r="AU38" s="144"/>
      <x:c r="AV38" s="144"/>
      <x:c r="AW38" s="144"/>
      <x:c r="AX38" s="144"/>
      <x:c r="AY38" s="144"/>
      <x:c r="AZ38" s="144"/>
    </x:row>
    <x:row r="39">
      <x:c r="A39" s="144"/>
      <x:c r="B39" s="144"/>
      <x:c r="C39" s="144"/>
      <x:c r="D39" s="144"/>
      <x:c r="E39" s="144"/>
      <x:c r="F39" s="144"/>
      <x:c r="G39" s="144"/>
      <x:c r="H39" s="144"/>
      <x:c r="I39" s="144"/>
      <x:c r="J39" s="144"/>
      <x:c r="K39" s="144"/>
      <x:c r="L39" s="144"/>
      <x:c r="M39" s="144"/>
      <x:c r="N39" s="144"/>
      <x:c r="O39" s="144"/>
      <x:c r="P39" s="144"/>
      <x:c r="Q39" s="144"/>
      <x:c r="R39" s="144"/>
      <x:c r="S39" s="144"/>
      <x:c r="T39" s="144"/>
      <x:c r="U39" s="144"/>
      <x:c r="V39" s="144"/>
      <x:c r="W39" s="144"/>
      <x:c r="X39" s="144"/>
      <x:c r="Y39" s="144"/>
      <x:c r="Z39" s="144"/>
      <x:c r="AA39" s="144"/>
      <x:c r="AB39" s="144"/>
      <x:c r="AC39" s="144"/>
      <x:c r="AD39" s="144"/>
      <x:c r="AE39" s="144"/>
      <x:c r="AF39" s="144"/>
      <x:c r="AG39" s="144"/>
      <x:c r="AH39" s="144"/>
      <x:c r="AI39" s="144"/>
      <x:c r="AJ39" s="144"/>
      <x:c r="AK39" s="144"/>
      <x:c r="AL39" s="144"/>
      <x:c r="AM39" s="144"/>
      <x:c r="AN39" s="144"/>
      <x:c r="AO39" s="144"/>
      <x:c r="AP39" s="144"/>
      <x:c r="AQ39" s="144"/>
      <x:c r="AR39" s="144"/>
      <x:c r="AS39" s="144"/>
      <x:c r="AT39" s="144"/>
      <x:c r="AU39" s="144"/>
      <x:c r="AV39" s="144"/>
      <x:c r="AW39" s="144"/>
      <x:c r="AX39" s="144"/>
      <x:c r="AY39" s="144"/>
      <x:c r="AZ39" s="144"/>
    </x:row>
    <x:row r="40">
      <x:c r="A40" s="144"/>
      <x:c r="B40" s="144"/>
      <x:c r="C40" s="144"/>
      <x:c r="D40" s="144"/>
      <x:c r="E40" s="144"/>
      <x:c r="F40" s="144"/>
      <x:c r="G40" s="144"/>
      <x:c r="H40" s="144"/>
      <x:c r="I40" s="144"/>
      <x:c r="J40" s="144"/>
      <x:c r="K40" s="144"/>
      <x:c r="L40" s="144"/>
      <x:c r="M40" s="144"/>
      <x:c r="N40" s="144"/>
      <x:c r="O40" s="144"/>
      <x:c r="P40" s="144"/>
      <x:c r="Q40" s="144"/>
      <x:c r="R40" s="144"/>
      <x:c r="S40" s="144"/>
      <x:c r="T40" s="144"/>
      <x:c r="U40" s="144"/>
      <x:c r="V40" s="144"/>
      <x:c r="W40" s="144"/>
      <x:c r="X40" s="144"/>
      <x:c r="Y40" s="144"/>
      <x:c r="Z40" s="144"/>
      <x:c r="AA40" s="144"/>
      <x:c r="AB40" s="144"/>
      <x:c r="AC40" s="144"/>
      <x:c r="AD40" s="144"/>
      <x:c r="AE40" s="144"/>
      <x:c r="AF40" s="144"/>
      <x:c r="AG40" s="144"/>
      <x:c r="AH40" s="144"/>
      <x:c r="AI40" s="144"/>
      <x:c r="AJ40" s="144"/>
      <x:c r="AK40" s="144"/>
      <x:c r="AL40" s="144"/>
      <x:c r="AM40" s="144"/>
      <x:c r="AN40" s="144"/>
      <x:c r="AO40" s="144"/>
      <x:c r="AP40" s="144"/>
      <x:c r="AQ40" s="144"/>
      <x:c r="AR40" s="144"/>
      <x:c r="AS40" s="144"/>
      <x:c r="AT40" s="144"/>
      <x:c r="AU40" s="144"/>
      <x:c r="AV40" s="144"/>
      <x:c r="AW40" s="144"/>
      <x:c r="AX40" s="144"/>
      <x:c r="AY40" s="144"/>
      <x:c r="AZ40" s="144"/>
    </x:row>
    <x:row r="41">
      <x:c r="A41" s="144"/>
      <x:c r="B41" s="144"/>
      <x:c r="C41" s="144"/>
      <x:c r="D41" s="144"/>
      <x:c r="E41" s="144"/>
      <x:c r="F41" s="144"/>
      <x:c r="G41" s="144"/>
      <x:c r="H41" s="144"/>
      <x:c r="I41" s="144"/>
      <x:c r="J41" s="144"/>
      <x:c r="K41" s="144"/>
      <x:c r="L41" s="144"/>
      <x:c r="M41" s="144"/>
      <x:c r="N41" s="144"/>
      <x:c r="O41" s="144"/>
      <x:c r="P41" s="144"/>
      <x:c r="Q41" s="144"/>
      <x:c r="R41" s="144"/>
      <x:c r="S41" s="144"/>
      <x:c r="T41" s="144"/>
      <x:c r="U41" s="144"/>
      <x:c r="V41" s="144"/>
      <x:c r="W41" s="144"/>
      <x:c r="X41" s="144"/>
      <x:c r="Y41" s="144"/>
      <x:c r="Z41" s="144"/>
      <x:c r="AA41" s="144"/>
      <x:c r="AB41" s="144"/>
      <x:c r="AC41" s="144"/>
      <x:c r="AD41" s="144"/>
      <x:c r="AE41" s="144"/>
      <x:c r="AF41" s="144"/>
      <x:c r="AG41" s="144"/>
      <x:c r="AH41" s="144"/>
      <x:c r="AI41" s="144"/>
      <x:c r="AJ41" s="144"/>
      <x:c r="AK41" s="144"/>
      <x:c r="AL41" s="144"/>
      <x:c r="AM41" s="144"/>
      <x:c r="AN41" s="144"/>
      <x:c r="AO41" s="144"/>
      <x:c r="AP41" s="144"/>
      <x:c r="AQ41" s="144"/>
      <x:c r="AR41" s="144"/>
      <x:c r="AS41" s="144"/>
      <x:c r="AT41" s="144"/>
      <x:c r="AU41" s="144"/>
      <x:c r="AV41" s="144"/>
      <x:c r="AW41" s="144"/>
      <x:c r="AX41" s="144"/>
      <x:c r="AY41" s="144"/>
      <x:c r="AZ41" s="144"/>
    </x:row>
    <x:row r="42">
      <x:c r="A42" s="144"/>
      <x:c r="B42" s="144"/>
      <x:c r="C42" s="144"/>
      <x:c r="D42" s="144"/>
      <x:c r="E42" s="144"/>
      <x:c r="F42" s="144"/>
      <x:c r="G42" s="144"/>
      <x:c r="H42" s="144"/>
      <x:c r="I42" s="144"/>
      <x:c r="J42" s="144"/>
      <x:c r="K42" s="144"/>
      <x:c r="L42" s="144"/>
      <x:c r="M42" s="144"/>
      <x:c r="N42" s="144"/>
      <x:c r="O42" s="144"/>
      <x:c r="P42" s="144"/>
      <x:c r="Q42" s="144"/>
      <x:c r="R42" s="144"/>
      <x:c r="S42" s="144"/>
      <x:c r="T42" s="144"/>
      <x:c r="U42" s="144"/>
      <x:c r="V42" s="144"/>
      <x:c r="W42" s="144"/>
      <x:c r="X42" s="144"/>
      <x:c r="Y42" s="144"/>
      <x:c r="Z42" s="144"/>
      <x:c r="AA42" s="144"/>
      <x:c r="AB42" s="144"/>
      <x:c r="AC42" s="144"/>
      <x:c r="AD42" s="144"/>
      <x:c r="AE42" s="144"/>
      <x:c r="AF42" s="144"/>
      <x:c r="AG42" s="144"/>
      <x:c r="AH42" s="144"/>
      <x:c r="AI42" s="144"/>
      <x:c r="AJ42" s="144"/>
      <x:c r="AK42" s="144"/>
      <x:c r="AL42" s="144"/>
      <x:c r="AM42" s="144"/>
      <x:c r="AN42" s="144"/>
      <x:c r="AO42" s="144"/>
      <x:c r="AP42" s="144"/>
      <x:c r="AQ42" s="144"/>
      <x:c r="AR42" s="144"/>
      <x:c r="AS42" s="144"/>
      <x:c r="AT42" s="144"/>
      <x:c r="AU42" s="144"/>
      <x:c r="AV42" s="144"/>
      <x:c r="AW42" s="144"/>
      <x:c r="AX42" s="144"/>
      <x:c r="AY42" s="144"/>
      <x:c r="AZ42" s="144"/>
    </x:row>
    <x:row r="43">
      <x:c r="A43" s="144"/>
      <x:c r="B43" s="144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4"/>
      <x:c r="M43" s="144"/>
      <x:c r="N43" s="144"/>
      <x:c r="O43" s="144"/>
      <x:c r="P43" s="144"/>
      <x:c r="Q43" s="144"/>
      <x:c r="R43" s="144"/>
      <x:c r="S43" s="144"/>
      <x:c r="T43" s="144"/>
      <x:c r="U43" s="144"/>
      <x:c r="V43" s="144"/>
      <x:c r="W43" s="144"/>
      <x:c r="X43" s="144"/>
      <x:c r="Y43" s="144"/>
      <x:c r="Z43" s="144"/>
      <x:c r="AA43" s="144"/>
      <x:c r="AB43" s="144"/>
      <x:c r="AC43" s="144"/>
      <x:c r="AD43" s="144"/>
      <x:c r="AE43" s="144"/>
      <x:c r="AF43" s="144"/>
      <x:c r="AG43" s="144"/>
      <x:c r="AH43" s="144"/>
      <x:c r="AI43" s="144"/>
      <x:c r="AJ43" s="144"/>
      <x:c r="AK43" s="144"/>
      <x:c r="AL43" s="144"/>
      <x:c r="AM43" s="144"/>
      <x:c r="AN43" s="144"/>
      <x:c r="AO43" s="144"/>
      <x:c r="AP43" s="144"/>
      <x:c r="AQ43" s="144"/>
      <x:c r="AR43" s="144"/>
      <x:c r="AS43" s="144"/>
      <x:c r="AT43" s="144"/>
      <x:c r="AU43" s="144"/>
      <x:c r="AV43" s="144"/>
      <x:c r="AW43" s="144"/>
      <x:c r="AX43" s="144"/>
      <x:c r="AY43" s="144"/>
      <x:c r="AZ43" s="144"/>
    </x:row>
    <x:row r="44">
      <x:c r="A44" s="144"/>
      <x:c r="B44" s="144"/>
      <x:c r="C44" s="144"/>
      <x:c r="D44" s="144"/>
      <x:c r="E44" s="144"/>
      <x:c r="F44" s="144"/>
      <x:c r="G44" s="144"/>
      <x:c r="H44" s="144"/>
      <x:c r="I44" s="144"/>
      <x:c r="J44" s="144"/>
      <x:c r="K44" s="144"/>
      <x:c r="L44" s="144"/>
      <x:c r="M44" s="144"/>
      <x:c r="N44" s="144"/>
      <x:c r="O44" s="144"/>
      <x:c r="P44" s="144"/>
      <x:c r="Q44" s="144"/>
      <x:c r="R44" s="144"/>
      <x:c r="S44" s="144"/>
      <x:c r="T44" s="144"/>
      <x:c r="U44" s="144"/>
      <x:c r="V44" s="144"/>
      <x:c r="W44" s="144"/>
      <x:c r="X44" s="144"/>
      <x:c r="Y44" s="144"/>
      <x:c r="Z44" s="144"/>
      <x:c r="AA44" s="144"/>
      <x:c r="AB44" s="144"/>
      <x:c r="AC44" s="144"/>
      <x:c r="AD44" s="144"/>
      <x:c r="AE44" s="144"/>
      <x:c r="AF44" s="144"/>
      <x:c r="AG44" s="144"/>
      <x:c r="AH44" s="144"/>
      <x:c r="AI44" s="144"/>
      <x:c r="AJ44" s="144"/>
      <x:c r="AK44" s="144"/>
      <x:c r="AL44" s="144"/>
      <x:c r="AM44" s="144"/>
      <x:c r="AN44" s="144"/>
      <x:c r="AO44" s="144"/>
      <x:c r="AP44" s="144"/>
      <x:c r="AQ44" s="144"/>
      <x:c r="AR44" s="144"/>
      <x:c r="AS44" s="144"/>
      <x:c r="AT44" s="144"/>
      <x:c r="AU44" s="144"/>
      <x:c r="AV44" s="144"/>
      <x:c r="AW44" s="144"/>
      <x:c r="AX44" s="144"/>
      <x:c r="AY44" s="144"/>
      <x:c r="AZ44" s="144"/>
    </x:row>
    <x:row r="45">
      <x:c r="A45" s="144"/>
      <x:c r="B45" s="144"/>
      <x:c r="C45" s="144"/>
      <x:c r="D45" s="144"/>
      <x:c r="E45" s="144"/>
      <x:c r="F45" s="144"/>
      <x:c r="G45" s="144"/>
      <x:c r="H45" s="144"/>
      <x:c r="I45" s="144"/>
      <x:c r="J45" s="144"/>
      <x:c r="K45" s="144"/>
      <x:c r="L45" s="144"/>
      <x:c r="M45" s="144"/>
      <x:c r="N45" s="144"/>
      <x:c r="O45" s="144"/>
      <x:c r="P45" s="144"/>
      <x:c r="Q45" s="144"/>
      <x:c r="R45" s="144"/>
      <x:c r="S45" s="144"/>
      <x:c r="T45" s="144"/>
      <x:c r="U45" s="144"/>
      <x:c r="V45" s="144"/>
      <x:c r="W45" s="144"/>
      <x:c r="X45" s="144"/>
      <x:c r="Y45" s="144"/>
      <x:c r="Z45" s="144"/>
      <x:c r="AA45" s="144"/>
      <x:c r="AB45" s="144"/>
      <x:c r="AC45" s="144"/>
      <x:c r="AD45" s="144"/>
      <x:c r="AE45" s="144"/>
      <x:c r="AF45" s="144"/>
      <x:c r="AG45" s="144"/>
      <x:c r="AH45" s="144"/>
      <x:c r="AI45" s="144"/>
      <x:c r="AJ45" s="144"/>
      <x:c r="AK45" s="144"/>
      <x:c r="AL45" s="144"/>
      <x:c r="AM45" s="144"/>
      <x:c r="AN45" s="144"/>
      <x:c r="AO45" s="144"/>
      <x:c r="AP45" s="144"/>
      <x:c r="AQ45" s="144"/>
      <x:c r="AR45" s="144"/>
      <x:c r="AS45" s="144"/>
      <x:c r="AT45" s="144"/>
      <x:c r="AU45" s="144"/>
      <x:c r="AV45" s="144"/>
      <x:c r="AW45" s="144"/>
      <x:c r="AX45" s="144"/>
      <x:c r="AY45" s="144"/>
      <x:c r="AZ45" s="144"/>
    </x:row>
    <x:row r="46">
      <x:c r="A46" s="144"/>
      <x:c r="B46" s="144"/>
      <x:c r="C46" s="144"/>
      <x:c r="D46" s="144"/>
      <x:c r="E46" s="144"/>
      <x:c r="F46" s="144"/>
      <x:c r="G46" s="144"/>
      <x:c r="H46" s="144"/>
      <x:c r="I46" s="144"/>
      <x:c r="J46" s="144"/>
      <x:c r="K46" s="144"/>
      <x:c r="L46" s="144"/>
      <x:c r="M46" s="144"/>
      <x:c r="N46" s="144"/>
      <x:c r="O46" s="144"/>
      <x:c r="P46" s="144"/>
      <x:c r="Q46" s="144"/>
      <x:c r="R46" s="144"/>
      <x:c r="S46" s="144"/>
      <x:c r="T46" s="144"/>
      <x:c r="U46" s="144"/>
      <x:c r="V46" s="144"/>
      <x:c r="W46" s="144"/>
      <x:c r="X46" s="144"/>
      <x:c r="Y46" s="144"/>
      <x:c r="Z46" s="144"/>
      <x:c r="AA46" s="144"/>
      <x:c r="AB46" s="144"/>
      <x:c r="AC46" s="144"/>
      <x:c r="AD46" s="144"/>
      <x:c r="AE46" s="144"/>
      <x:c r="AF46" s="144"/>
      <x:c r="AG46" s="144"/>
      <x:c r="AH46" s="144"/>
      <x:c r="AI46" s="144"/>
      <x:c r="AJ46" s="144"/>
      <x:c r="AK46" s="144"/>
      <x:c r="AL46" s="144"/>
      <x:c r="AM46" s="144"/>
      <x:c r="AN46" s="144"/>
      <x:c r="AO46" s="144"/>
      <x:c r="AP46" s="144"/>
      <x:c r="AQ46" s="144"/>
      <x:c r="AR46" s="144"/>
      <x:c r="AS46" s="144"/>
      <x:c r="AT46" s="144"/>
      <x:c r="AU46" s="144"/>
      <x:c r="AV46" s="144"/>
      <x:c r="AW46" s="144"/>
      <x:c r="AX46" s="144"/>
      <x:c r="AY46" s="144"/>
      <x:c r="AZ46" s="144"/>
    </x:row>
    <x:row r="47">
      <x:c r="A47" s="144"/>
      <x:c r="B47" s="144"/>
      <x:c r="C47" s="144"/>
      <x:c r="D47" s="144"/>
      <x:c r="E47" s="144"/>
      <x:c r="F47" s="144"/>
      <x:c r="G47" s="144"/>
      <x:c r="H47" s="144"/>
      <x:c r="I47" s="144"/>
      <x:c r="J47" s="144"/>
      <x:c r="K47" s="144"/>
      <x:c r="L47" s="144"/>
      <x:c r="M47" s="144"/>
      <x:c r="N47" s="144"/>
      <x:c r="O47" s="144"/>
      <x:c r="P47" s="144"/>
      <x:c r="Q47" s="144"/>
      <x:c r="R47" s="144"/>
      <x:c r="S47" s="144"/>
      <x:c r="T47" s="144"/>
      <x:c r="U47" s="144"/>
      <x:c r="V47" s="144"/>
      <x:c r="W47" s="144"/>
      <x:c r="X47" s="144"/>
      <x:c r="Y47" s="144"/>
      <x:c r="Z47" s="144"/>
      <x:c r="AA47" s="144"/>
      <x:c r="AB47" s="144"/>
      <x:c r="AC47" s="144"/>
      <x:c r="AD47" s="144"/>
      <x:c r="AE47" s="144"/>
      <x:c r="AF47" s="144"/>
      <x:c r="AG47" s="144"/>
      <x:c r="AH47" s="144"/>
      <x:c r="AI47" s="144"/>
      <x:c r="AJ47" s="144"/>
      <x:c r="AK47" s="144"/>
      <x:c r="AL47" s="144"/>
      <x:c r="AM47" s="144"/>
      <x:c r="AN47" s="144"/>
      <x:c r="AO47" s="144"/>
      <x:c r="AP47" s="144"/>
      <x:c r="AQ47" s="144"/>
      <x:c r="AR47" s="144"/>
      <x:c r="AS47" s="144"/>
      <x:c r="AT47" s="144"/>
      <x:c r="AU47" s="144"/>
      <x:c r="AV47" s="144"/>
      <x:c r="AW47" s="144"/>
      <x:c r="AX47" s="144"/>
      <x:c r="AY47" s="144"/>
      <x:c r="AZ47" s="144"/>
    </x:row>
    <x:row r="48">
      <x:c r="A48" s="144"/>
      <x:c r="B48" s="144"/>
      <x:c r="C48" s="144"/>
      <x:c r="D48" s="144"/>
      <x:c r="E48" s="144"/>
      <x:c r="F48" s="144"/>
      <x:c r="G48" s="144"/>
      <x:c r="H48" s="144"/>
      <x:c r="I48" s="144"/>
      <x:c r="J48" s="144"/>
      <x:c r="K48" s="144"/>
      <x:c r="L48" s="144"/>
      <x:c r="M48" s="144"/>
      <x:c r="N48" s="144"/>
      <x:c r="O48" s="144"/>
      <x:c r="P48" s="144"/>
      <x:c r="Q48" s="144"/>
      <x:c r="R48" s="144"/>
      <x:c r="S48" s="144"/>
      <x:c r="T48" s="144"/>
      <x:c r="U48" s="144"/>
      <x:c r="V48" s="144"/>
      <x:c r="W48" s="144"/>
      <x:c r="X48" s="144"/>
      <x:c r="Y48" s="144"/>
      <x:c r="Z48" s="144"/>
      <x:c r="AA48" s="144"/>
      <x:c r="AB48" s="144"/>
      <x:c r="AC48" s="144"/>
      <x:c r="AD48" s="144"/>
      <x:c r="AE48" s="144"/>
      <x:c r="AF48" s="144"/>
      <x:c r="AG48" s="144"/>
      <x:c r="AH48" s="144"/>
      <x:c r="AI48" s="144"/>
      <x:c r="AJ48" s="144"/>
      <x:c r="AK48" s="144"/>
      <x:c r="AL48" s="144"/>
      <x:c r="AM48" s="144"/>
      <x:c r="AN48" s="144"/>
      <x:c r="AO48" s="144"/>
      <x:c r="AP48" s="144"/>
      <x:c r="AQ48" s="144"/>
      <x:c r="AR48" s="144"/>
      <x:c r="AS48" s="144"/>
      <x:c r="AT48" s="144"/>
      <x:c r="AU48" s="144"/>
      <x:c r="AV48" s="144"/>
      <x:c r="AW48" s="144"/>
      <x:c r="AX48" s="144"/>
      <x:c r="AY48" s="144"/>
      <x:c r="AZ48" s="144"/>
    </x:row>
    <x:row r="49">
      <x:c r="A49" s="144"/>
      <x:c r="B49" s="144"/>
      <x:c r="C49" s="144"/>
      <x:c r="D49" s="144"/>
      <x:c r="E49" s="144"/>
      <x:c r="F49" s="144"/>
      <x:c r="G49" s="144"/>
      <x:c r="H49" s="144"/>
      <x:c r="I49" s="144"/>
      <x:c r="J49" s="144"/>
      <x:c r="K49" s="144"/>
      <x:c r="L49" s="144"/>
      <x:c r="M49" s="144"/>
      <x:c r="N49" s="144"/>
      <x:c r="O49" s="144"/>
      <x:c r="P49" s="144"/>
      <x:c r="Q49" s="144"/>
      <x:c r="R49" s="144"/>
      <x:c r="S49" s="144"/>
      <x:c r="T49" s="144"/>
      <x:c r="U49" s="144"/>
      <x:c r="V49" s="144"/>
      <x:c r="W49" s="144"/>
      <x:c r="X49" s="144"/>
      <x:c r="Y49" s="144"/>
      <x:c r="Z49" s="144"/>
      <x:c r="AA49" s="144"/>
      <x:c r="AB49" s="144"/>
      <x:c r="AC49" s="144"/>
      <x:c r="AD49" s="144"/>
      <x:c r="AE49" s="144"/>
      <x:c r="AF49" s="144"/>
      <x:c r="AG49" s="144"/>
      <x:c r="AH49" s="144"/>
      <x:c r="AI49" s="144"/>
      <x:c r="AJ49" s="144"/>
      <x:c r="AK49" s="144"/>
      <x:c r="AL49" s="144"/>
      <x:c r="AM49" s="144"/>
      <x:c r="AN49" s="144"/>
      <x:c r="AO49" s="144"/>
      <x:c r="AP49" s="144"/>
      <x:c r="AQ49" s="144"/>
      <x:c r="AR49" s="144"/>
      <x:c r="AS49" s="144"/>
      <x:c r="AT49" s="144"/>
      <x:c r="AU49" s="144"/>
      <x:c r="AV49" s="144"/>
      <x:c r="AW49" s="144"/>
      <x:c r="AX49" s="144"/>
      <x:c r="AY49" s="144"/>
      <x:c r="AZ49" s="144"/>
    </x:row>
    <x:row r="50">
      <x:c r="A50" s="144"/>
      <x:c r="B50" s="144"/>
      <x:c r="C50" s="144"/>
      <x:c r="D50" s="144"/>
      <x:c r="E50" s="144"/>
      <x:c r="F50" s="144"/>
      <x:c r="G50" s="144"/>
      <x:c r="H50" s="144"/>
      <x:c r="I50" s="144"/>
      <x:c r="J50" s="144"/>
      <x:c r="K50" s="144"/>
      <x:c r="L50" s="144"/>
      <x:c r="M50" s="144"/>
      <x:c r="N50" s="144"/>
      <x:c r="O50" s="144"/>
      <x:c r="P50" s="144"/>
      <x:c r="Q50" s="144"/>
      <x:c r="R50" s="144"/>
      <x:c r="S50" s="144"/>
      <x:c r="T50" s="144"/>
      <x:c r="U50" s="144"/>
      <x:c r="V50" s="144"/>
      <x:c r="W50" s="144"/>
      <x:c r="X50" s="144"/>
      <x:c r="Y50" s="144"/>
      <x:c r="Z50" s="144"/>
      <x:c r="AA50" s="144"/>
      <x:c r="AB50" s="144"/>
      <x:c r="AC50" s="144"/>
      <x:c r="AD50" s="144"/>
      <x:c r="AE50" s="144"/>
      <x:c r="AF50" s="144"/>
      <x:c r="AG50" s="144"/>
      <x:c r="AH50" s="144"/>
      <x:c r="AI50" s="144"/>
      <x:c r="AJ50" s="144"/>
      <x:c r="AK50" s="144"/>
      <x:c r="AL50" s="144"/>
      <x:c r="AM50" s="144"/>
      <x:c r="AN50" s="144"/>
      <x:c r="AO50" s="144"/>
      <x:c r="AP50" s="144"/>
      <x:c r="AQ50" s="144"/>
      <x:c r="AR50" s="144"/>
      <x:c r="AS50" s="144"/>
      <x:c r="AT50" s="144"/>
      <x:c r="AU50" s="144"/>
      <x:c r="AV50" s="144"/>
      <x:c r="AW50" s="144"/>
      <x:c r="AX50" s="144"/>
      <x:c r="AY50" s="144"/>
      <x:c r="AZ50" s="144"/>
    </x:row>
    <x:row r="51">
      <x:c r="A51" s="144"/>
      <x:c r="B51" s="144"/>
      <x:c r="C51" s="144"/>
      <x:c r="D51" s="144"/>
      <x:c r="E51" s="144"/>
      <x:c r="F51" s="144"/>
      <x:c r="G51" s="144"/>
      <x:c r="H51" s="144"/>
      <x:c r="I51" s="144"/>
      <x:c r="J51" s="144"/>
      <x:c r="K51" s="144"/>
      <x:c r="L51" s="144"/>
      <x:c r="M51" s="144"/>
      <x:c r="N51" s="144"/>
      <x:c r="O51" s="144"/>
      <x:c r="P51" s="144"/>
      <x:c r="Q51" s="144"/>
      <x:c r="R51" s="144"/>
      <x:c r="S51" s="144"/>
      <x:c r="T51" s="144"/>
      <x:c r="U51" s="144"/>
      <x:c r="V51" s="144"/>
      <x:c r="W51" s="144"/>
      <x:c r="X51" s="144"/>
      <x:c r="Y51" s="144"/>
      <x:c r="Z51" s="144"/>
      <x:c r="AA51" s="144"/>
      <x:c r="AB51" s="144"/>
      <x:c r="AC51" s="144"/>
      <x:c r="AD51" s="144"/>
      <x:c r="AE51" s="144"/>
      <x:c r="AF51" s="144"/>
      <x:c r="AG51" s="144"/>
      <x:c r="AH51" s="144"/>
      <x:c r="AI51" s="144"/>
      <x:c r="AJ51" s="144"/>
      <x:c r="AK51" s="144"/>
      <x:c r="AL51" s="144"/>
      <x:c r="AM51" s="144"/>
      <x:c r="AN51" s="144"/>
      <x:c r="AO51" s="144"/>
      <x:c r="AP51" s="144"/>
      <x:c r="AQ51" s="144"/>
      <x:c r="AR51" s="144"/>
      <x:c r="AS51" s="144"/>
      <x:c r="AT51" s="144"/>
      <x:c r="AU51" s="144"/>
      <x:c r="AV51" s="144"/>
      <x:c r="AW51" s="144"/>
      <x:c r="AX51" s="144"/>
      <x:c r="AY51" s="144"/>
      <x:c r="AZ51" s="144"/>
    </x:row>
    <x:row r="52">
      <x:c r="A52" s="144"/>
      <x:c r="B52" s="144"/>
      <x:c r="C52" s="144"/>
      <x:c r="D52" s="144"/>
      <x:c r="E52" s="144"/>
      <x:c r="F52" s="144"/>
      <x:c r="G52" s="144"/>
      <x:c r="H52" s="144"/>
      <x:c r="I52" s="144"/>
      <x:c r="J52" s="144"/>
      <x:c r="K52" s="144"/>
      <x:c r="L52" s="144"/>
      <x:c r="M52" s="144"/>
      <x:c r="N52" s="144"/>
      <x:c r="O52" s="144"/>
      <x:c r="P52" s="144"/>
      <x:c r="Q52" s="144"/>
      <x:c r="R52" s="144"/>
      <x:c r="S52" s="144"/>
      <x:c r="T52" s="144"/>
      <x:c r="U52" s="144"/>
      <x:c r="V52" s="144"/>
      <x:c r="W52" s="144"/>
      <x:c r="X52" s="144"/>
      <x:c r="Y52" s="144"/>
      <x:c r="Z52" s="144"/>
      <x:c r="AA52" s="144"/>
      <x:c r="AB52" s="144"/>
      <x:c r="AC52" s="144"/>
      <x:c r="AD52" s="144"/>
      <x:c r="AE52" s="144"/>
      <x:c r="AF52" s="144"/>
      <x:c r="AG52" s="144"/>
      <x:c r="AH52" s="144"/>
      <x:c r="AI52" s="144"/>
      <x:c r="AJ52" s="144"/>
      <x:c r="AK52" s="144"/>
      <x:c r="AL52" s="144"/>
      <x:c r="AM52" s="144"/>
      <x:c r="AN52" s="144"/>
      <x:c r="AO52" s="144"/>
      <x:c r="AP52" s="144"/>
      <x:c r="AQ52" s="144"/>
      <x:c r="AR52" s="144"/>
      <x:c r="AS52" s="144"/>
      <x:c r="AT52" s="144"/>
      <x:c r="AU52" s="144"/>
      <x:c r="AV52" s="144"/>
      <x:c r="AW52" s="144"/>
      <x:c r="AX52" s="144"/>
      <x:c r="AY52" s="144"/>
      <x:c r="AZ52" s="144"/>
    </x:row>
    <x:row r="53">
      <x:c r="A53" s="144"/>
      <x:c r="B53" s="144"/>
      <x:c r="C53" s="144"/>
      <x:c r="D53" s="144"/>
      <x:c r="E53" s="144"/>
      <x:c r="F53" s="144"/>
      <x:c r="G53" s="144"/>
      <x:c r="H53" s="144"/>
      <x:c r="I53" s="144"/>
      <x:c r="J53" s="144"/>
      <x:c r="K53" s="144"/>
      <x:c r="L53" s="144"/>
      <x:c r="M53" s="144"/>
      <x:c r="N53" s="144"/>
      <x:c r="O53" s="144"/>
      <x:c r="P53" s="144"/>
      <x:c r="Q53" s="144"/>
      <x:c r="R53" s="144"/>
      <x:c r="S53" s="144"/>
      <x:c r="T53" s="144"/>
      <x:c r="U53" s="144"/>
      <x:c r="V53" s="144"/>
      <x:c r="W53" s="144"/>
      <x:c r="X53" s="144"/>
      <x:c r="Y53" s="144"/>
      <x:c r="Z53" s="144"/>
      <x:c r="AA53" s="144"/>
      <x:c r="AB53" s="144"/>
      <x:c r="AC53" s="144"/>
      <x:c r="AD53" s="144"/>
      <x:c r="AE53" s="144"/>
      <x:c r="AF53" s="144"/>
      <x:c r="AG53" s="144"/>
      <x:c r="AH53" s="144"/>
      <x:c r="AI53" s="144"/>
      <x:c r="AJ53" s="144"/>
      <x:c r="AK53" s="144"/>
      <x:c r="AL53" s="144"/>
      <x:c r="AM53" s="144"/>
      <x:c r="AN53" s="144"/>
      <x:c r="AO53" s="144"/>
      <x:c r="AP53" s="144"/>
      <x:c r="AQ53" s="144"/>
      <x:c r="AR53" s="144"/>
      <x:c r="AS53" s="144"/>
      <x:c r="AT53" s="144"/>
      <x:c r="AU53" s="144"/>
      <x:c r="AV53" s="144"/>
      <x:c r="AW53" s="144"/>
      <x:c r="AX53" s="144"/>
      <x:c r="AY53" s="144"/>
      <x:c r="AZ53" s="144"/>
    </x:row>
    <x:row r="54">
      <x:c r="A54" s="144"/>
      <x:c r="B54" s="144"/>
      <x:c r="C54" s="144"/>
      <x:c r="D54" s="144"/>
      <x:c r="E54" s="144"/>
      <x:c r="F54" s="144"/>
      <x:c r="G54" s="144"/>
      <x:c r="H54" s="144"/>
      <x:c r="I54" s="144"/>
      <x:c r="J54" s="144"/>
      <x:c r="K54" s="144"/>
      <x:c r="L54" s="144"/>
      <x:c r="M54" s="144"/>
      <x:c r="N54" s="144"/>
      <x:c r="O54" s="144"/>
      <x:c r="P54" s="144"/>
      <x:c r="Q54" s="144"/>
      <x:c r="R54" s="144"/>
      <x:c r="S54" s="144"/>
      <x:c r="T54" s="144"/>
      <x:c r="U54" s="144"/>
      <x:c r="V54" s="144"/>
      <x:c r="W54" s="144"/>
      <x:c r="X54" s="144"/>
      <x:c r="Y54" s="144"/>
      <x:c r="Z54" s="144"/>
      <x:c r="AA54" s="144"/>
      <x:c r="AB54" s="144"/>
      <x:c r="AC54" s="144"/>
      <x:c r="AD54" s="144"/>
      <x:c r="AE54" s="144"/>
      <x:c r="AF54" s="144"/>
      <x:c r="AG54" s="144"/>
      <x:c r="AH54" s="144"/>
      <x:c r="AI54" s="144"/>
      <x:c r="AJ54" s="144"/>
      <x:c r="AK54" s="144"/>
      <x:c r="AL54" s="144"/>
      <x:c r="AM54" s="144"/>
      <x:c r="AN54" s="144"/>
      <x:c r="AO54" s="144"/>
      <x:c r="AP54" s="144"/>
      <x:c r="AQ54" s="144"/>
      <x:c r="AR54" s="144"/>
      <x:c r="AS54" s="144"/>
      <x:c r="AT54" s="144"/>
      <x:c r="AU54" s="144"/>
      <x:c r="AV54" s="144"/>
      <x:c r="AW54" s="144"/>
      <x:c r="AX54" s="144"/>
      <x:c r="AY54" s="144"/>
      <x:c r="AZ54" s="144"/>
    </x:row>
    <x:row r="55">
      <x:c r="A55" s="144"/>
      <x:c r="B55" s="144"/>
      <x:c r="C55" s="144"/>
      <x:c r="D55" s="144"/>
      <x:c r="E55" s="144"/>
      <x:c r="F55" s="144"/>
      <x:c r="G55" s="144"/>
      <x:c r="H55" s="144"/>
      <x:c r="I55" s="144"/>
      <x:c r="J55" s="144"/>
      <x:c r="K55" s="144"/>
      <x:c r="L55" s="144"/>
      <x:c r="M55" s="144"/>
      <x:c r="N55" s="144"/>
      <x:c r="O55" s="144"/>
      <x:c r="P55" s="144"/>
      <x:c r="Q55" s="144"/>
      <x:c r="R55" s="144"/>
      <x:c r="S55" s="144"/>
      <x:c r="T55" s="144"/>
      <x:c r="U55" s="144"/>
      <x:c r="V55" s="144"/>
      <x:c r="W55" s="144"/>
      <x:c r="X55" s="144"/>
      <x:c r="Y55" s="144"/>
      <x:c r="Z55" s="144"/>
      <x:c r="AA55" s="144"/>
      <x:c r="AB55" s="144"/>
      <x:c r="AC55" s="144"/>
      <x:c r="AD55" s="144"/>
      <x:c r="AE55" s="144"/>
      <x:c r="AF55" s="144"/>
      <x:c r="AG55" s="144"/>
      <x:c r="AH55" s="144"/>
      <x:c r="AI55" s="144"/>
      <x:c r="AJ55" s="144"/>
      <x:c r="AK55" s="144"/>
      <x:c r="AL55" s="144"/>
      <x:c r="AM55" s="144"/>
      <x:c r="AN55" s="144"/>
      <x:c r="AO55" s="144"/>
      <x:c r="AP55" s="144"/>
      <x:c r="AQ55" s="144"/>
      <x:c r="AR55" s="144"/>
      <x:c r="AS55" s="144"/>
      <x:c r="AT55" s="144"/>
      <x:c r="AU55" s="144"/>
      <x:c r="AV55" s="144"/>
      <x:c r="AW55" s="144"/>
      <x:c r="AX55" s="144"/>
      <x:c r="AY55" s="144"/>
      <x:c r="AZ55" s="144"/>
    </x:row>
    <x:row r="56">
      <x:c r="A56" s="144"/>
      <x:c r="B56" s="144"/>
      <x:c r="C56" s="144"/>
      <x:c r="D56" s="144"/>
      <x:c r="E56" s="144"/>
      <x:c r="F56" s="144"/>
      <x:c r="G56" s="144"/>
      <x:c r="H56" s="144"/>
      <x:c r="I56" s="144"/>
      <x:c r="J56" s="144"/>
      <x:c r="K56" s="144"/>
      <x:c r="L56" s="144"/>
      <x:c r="M56" s="144"/>
      <x:c r="N56" s="144"/>
      <x:c r="O56" s="144"/>
      <x:c r="P56" s="144"/>
      <x:c r="Q56" s="144"/>
      <x:c r="R56" s="144"/>
      <x:c r="S56" s="144"/>
      <x:c r="T56" s="144"/>
      <x:c r="U56" s="144"/>
      <x:c r="V56" s="144"/>
      <x:c r="W56" s="144"/>
      <x:c r="X56" s="144"/>
      <x:c r="Y56" s="144"/>
      <x:c r="Z56" s="144"/>
      <x:c r="AA56" s="144"/>
      <x:c r="AB56" s="144"/>
      <x:c r="AC56" s="144"/>
      <x:c r="AD56" s="144"/>
      <x:c r="AE56" s="144"/>
      <x:c r="AF56" s="144"/>
      <x:c r="AG56" s="144"/>
      <x:c r="AH56" s="144"/>
      <x:c r="AI56" s="144"/>
      <x:c r="AJ56" s="144"/>
      <x:c r="AK56" s="144"/>
      <x:c r="AL56" s="144"/>
      <x:c r="AM56" s="144"/>
      <x:c r="AN56" s="144"/>
      <x:c r="AO56" s="144"/>
      <x:c r="AP56" s="144"/>
      <x:c r="AQ56" s="144"/>
      <x:c r="AR56" s="144"/>
      <x:c r="AS56" s="144"/>
      <x:c r="AT56" s="144"/>
      <x:c r="AU56" s="144"/>
      <x:c r="AV56" s="144"/>
      <x:c r="AW56" s="144"/>
      <x:c r="AX56" s="144"/>
      <x:c r="AY56" s="144"/>
      <x:c r="AZ56" s="144"/>
    </x:row>
    <x:row r="57">
      <x:c r="A57" s="144"/>
      <x:c r="B57" s="144"/>
      <x:c r="C57" s="144"/>
      <x:c r="D57" s="144"/>
      <x:c r="E57" s="144"/>
      <x:c r="F57" s="144"/>
      <x:c r="G57" s="144"/>
      <x:c r="H57" s="144"/>
      <x:c r="I57" s="144"/>
      <x:c r="J57" s="144"/>
      <x:c r="K57" s="144"/>
      <x:c r="L57" s="144"/>
      <x:c r="M57" s="144"/>
      <x:c r="N57" s="144"/>
      <x:c r="O57" s="144"/>
      <x:c r="P57" s="144"/>
      <x:c r="Q57" s="144"/>
      <x:c r="R57" s="144"/>
      <x:c r="S57" s="144"/>
      <x:c r="T57" s="144"/>
      <x:c r="U57" s="144"/>
      <x:c r="V57" s="144"/>
      <x:c r="W57" s="144"/>
      <x:c r="X57" s="144"/>
      <x:c r="Y57" s="144"/>
      <x:c r="Z57" s="144"/>
      <x:c r="AA57" s="144"/>
      <x:c r="AB57" s="144"/>
      <x:c r="AC57" s="144"/>
      <x:c r="AD57" s="144"/>
      <x:c r="AE57" s="144"/>
      <x:c r="AF57" s="144"/>
      <x:c r="AG57" s="144"/>
      <x:c r="AH57" s="144"/>
      <x:c r="AI57" s="144"/>
      <x:c r="AJ57" s="144"/>
      <x:c r="AK57" s="144"/>
      <x:c r="AL57" s="144"/>
      <x:c r="AM57" s="144"/>
      <x:c r="AN57" s="144"/>
      <x:c r="AO57" s="144"/>
      <x:c r="AP57" s="144"/>
      <x:c r="AQ57" s="144"/>
      <x:c r="AR57" s="144"/>
      <x:c r="AS57" s="144"/>
      <x:c r="AT57" s="144"/>
      <x:c r="AU57" s="144"/>
      <x:c r="AV57" s="144"/>
      <x:c r="AW57" s="144"/>
      <x:c r="AX57" s="144"/>
      <x:c r="AY57" s="144"/>
      <x:c r="AZ57" s="144"/>
    </x:row>
    <x:row r="58">
      <x:c r="A58" s="144"/>
      <x:c r="B58" s="144"/>
      <x:c r="C58" s="144"/>
      <x:c r="D58" s="144"/>
      <x:c r="E58" s="144"/>
      <x:c r="F58" s="144"/>
      <x:c r="G58" s="144"/>
      <x:c r="H58" s="144"/>
      <x:c r="I58" s="144"/>
      <x:c r="J58" s="144"/>
      <x:c r="K58" s="144"/>
      <x:c r="L58" s="144"/>
      <x:c r="M58" s="144"/>
      <x:c r="N58" s="144"/>
      <x:c r="O58" s="144"/>
      <x:c r="P58" s="144"/>
      <x:c r="Q58" s="144"/>
      <x:c r="R58" s="144"/>
      <x:c r="S58" s="144"/>
      <x:c r="T58" s="144"/>
      <x:c r="U58" s="144"/>
      <x:c r="V58" s="144"/>
      <x:c r="W58" s="144"/>
      <x:c r="X58" s="144"/>
      <x:c r="Y58" s="144"/>
      <x:c r="Z58" s="144"/>
      <x:c r="AA58" s="144"/>
      <x:c r="AB58" s="144"/>
      <x:c r="AC58" s="144"/>
      <x:c r="AD58" s="144"/>
      <x:c r="AE58" s="144"/>
      <x:c r="AF58" s="144"/>
      <x:c r="AG58" s="144"/>
      <x:c r="AH58" s="144"/>
      <x:c r="AI58" s="144"/>
      <x:c r="AJ58" s="144"/>
      <x:c r="AK58" s="144"/>
      <x:c r="AL58" s="144"/>
      <x:c r="AM58" s="144"/>
      <x:c r="AN58" s="144"/>
      <x:c r="AO58" s="144"/>
      <x:c r="AP58" s="144"/>
      <x:c r="AQ58" s="144"/>
      <x:c r="AR58" s="144"/>
      <x:c r="AS58" s="144"/>
      <x:c r="AT58" s="144"/>
      <x:c r="AU58" s="144"/>
      <x:c r="AV58" s="144"/>
      <x:c r="AW58" s="144"/>
      <x:c r="AX58" s="144"/>
      <x:c r="AY58" s="144"/>
      <x:c r="AZ58" s="144"/>
    </x:row>
    <x:row r="59">
      <x:c r="A59" s="144"/>
      <x:c r="B59" s="144"/>
      <x:c r="C59" s="144"/>
      <x:c r="D59" s="144"/>
      <x:c r="E59" s="144"/>
      <x:c r="F59" s="144"/>
      <x:c r="G59" s="144"/>
      <x:c r="H59" s="144"/>
      <x:c r="I59" s="144"/>
      <x:c r="J59" s="144"/>
      <x:c r="K59" s="144"/>
      <x:c r="L59" s="144"/>
      <x:c r="M59" s="144"/>
      <x:c r="N59" s="144"/>
      <x:c r="O59" s="144"/>
      <x:c r="P59" s="144"/>
      <x:c r="Q59" s="144"/>
      <x:c r="R59" s="144"/>
      <x:c r="S59" s="144"/>
      <x:c r="T59" s="144"/>
      <x:c r="U59" s="144"/>
      <x:c r="V59" s="144"/>
      <x:c r="W59" s="144"/>
      <x:c r="X59" s="144"/>
      <x:c r="Y59" s="144"/>
      <x:c r="Z59" s="144"/>
      <x:c r="AA59" s="144"/>
      <x:c r="AB59" s="144"/>
      <x:c r="AC59" s="144"/>
      <x:c r="AD59" s="144"/>
      <x:c r="AE59" s="144"/>
      <x:c r="AF59" s="144"/>
      <x:c r="AG59" s="144"/>
      <x:c r="AH59" s="144"/>
      <x:c r="AI59" s="144"/>
      <x:c r="AJ59" s="144"/>
      <x:c r="AK59" s="144"/>
      <x:c r="AL59" s="144"/>
      <x:c r="AM59" s="144"/>
      <x:c r="AN59" s="144"/>
      <x:c r="AO59" s="144"/>
      <x:c r="AP59" s="144"/>
      <x:c r="AQ59" s="144"/>
      <x:c r="AR59" s="144"/>
      <x:c r="AS59" s="144"/>
      <x:c r="AT59" s="144"/>
      <x:c r="AU59" s="144"/>
      <x:c r="AV59" s="144"/>
      <x:c r="AW59" s="144"/>
      <x:c r="AX59" s="144"/>
      <x:c r="AY59" s="144"/>
      <x:c r="AZ59" s="144"/>
    </x:row>
    <x:row r="60">
      <x:c r="A60" s="144"/>
      <x:c r="B60" s="144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4"/>
      <x:c r="M60" s="144"/>
      <x:c r="N60" s="144"/>
      <x:c r="O60" s="144"/>
      <x:c r="P60" s="144"/>
      <x:c r="Q60" s="144"/>
      <x:c r="R60" s="144"/>
      <x:c r="S60" s="144"/>
      <x:c r="T60" s="144"/>
      <x:c r="U60" s="144"/>
      <x:c r="V60" s="144"/>
      <x:c r="W60" s="144"/>
      <x:c r="X60" s="144"/>
      <x:c r="Y60" s="144"/>
      <x:c r="Z60" s="144"/>
      <x:c r="AA60" s="144"/>
      <x:c r="AB60" s="144"/>
      <x:c r="AC60" s="144"/>
      <x:c r="AD60" s="144"/>
      <x:c r="AE60" s="144"/>
      <x:c r="AF60" s="144"/>
      <x:c r="AG60" s="144"/>
      <x:c r="AH60" s="144"/>
      <x:c r="AI60" s="144"/>
      <x:c r="AJ60" s="144"/>
      <x:c r="AK60" s="144"/>
      <x:c r="AL60" s="144"/>
      <x:c r="AM60" s="144"/>
      <x:c r="AN60" s="144"/>
      <x:c r="AO60" s="144"/>
      <x:c r="AP60" s="144"/>
      <x:c r="AQ60" s="144"/>
      <x:c r="AR60" s="144"/>
      <x:c r="AS60" s="144"/>
      <x:c r="AT60" s="144"/>
      <x:c r="AU60" s="144"/>
      <x:c r="AV60" s="144"/>
      <x:c r="AW60" s="144"/>
      <x:c r="AX60" s="144"/>
      <x:c r="AY60" s="144"/>
      <x:c r="AZ60" s="144"/>
    </x:row>
    <x:row r="61">
      <x:c r="A61" s="144"/>
      <x:c r="B61" s="144"/>
      <x:c r="C61" s="144"/>
      <x:c r="D61" s="144"/>
      <x:c r="E61" s="144"/>
      <x:c r="F61" s="144"/>
      <x:c r="G61" s="144"/>
      <x:c r="H61" s="144"/>
      <x:c r="I61" s="144"/>
      <x:c r="J61" s="144"/>
      <x:c r="K61" s="144"/>
      <x:c r="L61" s="144"/>
      <x:c r="M61" s="144"/>
      <x:c r="N61" s="144"/>
      <x:c r="O61" s="144"/>
      <x:c r="P61" s="144"/>
      <x:c r="Q61" s="144"/>
      <x:c r="R61" s="144"/>
      <x:c r="S61" s="144"/>
      <x:c r="T61" s="144"/>
      <x:c r="U61" s="144"/>
      <x:c r="V61" s="144"/>
      <x:c r="W61" s="144"/>
      <x:c r="X61" s="144"/>
      <x:c r="Y61" s="144"/>
      <x:c r="Z61" s="144"/>
      <x:c r="AA61" s="144"/>
      <x:c r="AB61" s="144"/>
      <x:c r="AC61" s="144"/>
      <x:c r="AD61" s="144"/>
      <x:c r="AE61" s="144"/>
      <x:c r="AF61" s="144"/>
      <x:c r="AG61" s="144"/>
      <x:c r="AH61" s="144"/>
      <x:c r="AI61" s="144"/>
      <x:c r="AJ61" s="144"/>
      <x:c r="AK61" s="144"/>
      <x:c r="AL61" s="144"/>
      <x:c r="AM61" s="144"/>
      <x:c r="AN61" s="144"/>
      <x:c r="AO61" s="144"/>
      <x:c r="AP61" s="144"/>
      <x:c r="AQ61" s="144"/>
      <x:c r="AR61" s="144"/>
      <x:c r="AS61" s="144"/>
      <x:c r="AT61" s="144"/>
      <x:c r="AU61" s="144"/>
      <x:c r="AV61" s="144"/>
      <x:c r="AW61" s="144"/>
      <x:c r="AX61" s="144"/>
      <x:c r="AY61" s="144"/>
      <x:c r="AZ61" s="144"/>
    </x:row>
    <x:row r="62">
      <x:c r="A62" s="144"/>
      <x:c r="B62" s="144"/>
      <x:c r="C62" s="144"/>
      <x:c r="D62" s="144"/>
      <x:c r="E62" s="144"/>
      <x:c r="F62" s="144"/>
      <x:c r="G62" s="144"/>
      <x:c r="H62" s="144"/>
      <x:c r="I62" s="144"/>
      <x:c r="J62" s="144"/>
      <x:c r="K62" s="144"/>
      <x:c r="L62" s="144"/>
      <x:c r="M62" s="144"/>
      <x:c r="N62" s="144"/>
      <x:c r="O62" s="144"/>
      <x:c r="P62" s="144"/>
      <x:c r="Q62" s="144"/>
      <x:c r="R62" s="144"/>
      <x:c r="S62" s="144"/>
      <x:c r="T62" s="144"/>
      <x:c r="U62" s="144"/>
      <x:c r="V62" s="144"/>
      <x:c r="W62" s="144"/>
      <x:c r="X62" s="144"/>
      <x:c r="Y62" s="144"/>
      <x:c r="Z62" s="144"/>
      <x:c r="AA62" s="144"/>
      <x:c r="AB62" s="144"/>
      <x:c r="AC62" s="144"/>
      <x:c r="AD62" s="144"/>
      <x:c r="AE62" s="144"/>
      <x:c r="AF62" s="144"/>
      <x:c r="AG62" s="144"/>
      <x:c r="AH62" s="144"/>
      <x:c r="AI62" s="144"/>
      <x:c r="AJ62" s="144"/>
      <x:c r="AK62" s="144"/>
      <x:c r="AL62" s="144"/>
      <x:c r="AM62" s="144"/>
      <x:c r="AN62" s="144"/>
      <x:c r="AO62" s="144"/>
      <x:c r="AP62" s="144"/>
      <x:c r="AQ62" s="144"/>
      <x:c r="AR62" s="144"/>
      <x:c r="AS62" s="144"/>
      <x:c r="AT62" s="144"/>
      <x:c r="AU62" s="144"/>
      <x:c r="AV62" s="144"/>
      <x:c r="AW62" s="144"/>
      <x:c r="AX62" s="144"/>
      <x:c r="AY62" s="144"/>
      <x:c r="AZ62" s="144"/>
    </x:row>
    <x:row r="63">
      <x:c r="A63" s="144"/>
      <x:c r="B63" s="144"/>
      <x:c r="C63" s="144"/>
      <x:c r="D63" s="144"/>
      <x:c r="E63" s="144"/>
      <x:c r="F63" s="144"/>
      <x:c r="G63" s="144"/>
      <x:c r="H63" s="144"/>
      <x:c r="I63" s="144"/>
      <x:c r="J63" s="144"/>
      <x:c r="K63" s="144"/>
      <x:c r="L63" s="144"/>
      <x:c r="M63" s="144"/>
      <x:c r="N63" s="144"/>
      <x:c r="O63" s="144"/>
      <x:c r="P63" s="144"/>
      <x:c r="Q63" s="144"/>
      <x:c r="R63" s="144"/>
      <x:c r="S63" s="144"/>
      <x:c r="T63" s="144"/>
      <x:c r="U63" s="144"/>
      <x:c r="V63" s="144"/>
      <x:c r="W63" s="144"/>
      <x:c r="X63" s="144"/>
      <x:c r="Y63" s="144"/>
      <x:c r="Z63" s="144"/>
      <x:c r="AA63" s="144"/>
      <x:c r="AB63" s="144"/>
      <x:c r="AC63" s="144"/>
      <x:c r="AD63" s="144"/>
      <x:c r="AE63" s="144"/>
      <x:c r="AF63" s="144"/>
      <x:c r="AG63" s="144"/>
      <x:c r="AH63" s="144"/>
      <x:c r="AI63" s="144"/>
      <x:c r="AJ63" s="144"/>
      <x:c r="AK63" s="144"/>
      <x:c r="AL63" s="144"/>
      <x:c r="AM63" s="144"/>
      <x:c r="AN63" s="144"/>
      <x:c r="AO63" s="144"/>
      <x:c r="AP63" s="144"/>
      <x:c r="AQ63" s="144"/>
      <x:c r="AR63" s="144"/>
      <x:c r="AS63" s="144"/>
      <x:c r="AT63" s="144"/>
      <x:c r="AU63" s="144"/>
      <x:c r="AV63" s="144"/>
      <x:c r="AW63" s="144"/>
      <x:c r="AX63" s="144"/>
      <x:c r="AY63" s="144"/>
      <x:c r="AZ63" s="144"/>
    </x:row>
    <x:row r="64">
      <x:c r="A64" s="144"/>
      <x:c r="B64" s="144"/>
      <x:c r="C64" s="144"/>
      <x:c r="D64" s="144"/>
      <x:c r="E64" s="144"/>
      <x:c r="F64" s="144"/>
      <x:c r="G64" s="144"/>
      <x:c r="H64" s="144"/>
      <x:c r="I64" s="144"/>
      <x:c r="J64" s="144"/>
      <x:c r="K64" s="144"/>
      <x:c r="L64" s="144"/>
      <x:c r="M64" s="144"/>
      <x:c r="N64" s="144"/>
      <x:c r="O64" s="144"/>
      <x:c r="P64" s="144"/>
      <x:c r="Q64" s="144"/>
      <x:c r="R64" s="144"/>
      <x:c r="S64" s="144"/>
      <x:c r="T64" s="144"/>
      <x:c r="U64" s="144"/>
      <x:c r="V64" s="144"/>
      <x:c r="W64" s="144"/>
      <x:c r="X64" s="144"/>
      <x:c r="Y64" s="144"/>
      <x:c r="Z64" s="144"/>
      <x:c r="AA64" s="144"/>
      <x:c r="AB64" s="144"/>
      <x:c r="AC64" s="144"/>
      <x:c r="AD64" s="144"/>
      <x:c r="AE64" s="144"/>
      <x:c r="AF64" s="144"/>
      <x:c r="AG64" s="144"/>
      <x:c r="AH64" s="144"/>
      <x:c r="AI64" s="144"/>
      <x:c r="AJ64" s="144"/>
      <x:c r="AK64" s="144"/>
      <x:c r="AL64" s="144"/>
      <x:c r="AM64" s="144"/>
      <x:c r="AN64" s="144"/>
      <x:c r="AO64" s="144"/>
      <x:c r="AP64" s="144"/>
      <x:c r="AQ64" s="144"/>
      <x:c r="AR64" s="144"/>
      <x:c r="AS64" s="144"/>
      <x:c r="AT64" s="144"/>
      <x:c r="AU64" s="144"/>
      <x:c r="AV64" s="144"/>
      <x:c r="AW64" s="144"/>
      <x:c r="AX64" s="144"/>
      <x:c r="AY64" s="144"/>
      <x:c r="AZ64" s="144"/>
    </x:row>
    <x:row r="65">
      <x:c r="A65" s="144"/>
      <x:c r="B65" s="144"/>
      <x:c r="C65" s="144"/>
      <x:c r="D65" s="144"/>
      <x:c r="E65" s="144"/>
      <x:c r="F65" s="144"/>
      <x:c r="G65" s="144"/>
      <x:c r="H65" s="144"/>
      <x:c r="I65" s="144"/>
      <x:c r="J65" s="144"/>
      <x:c r="K65" s="144"/>
      <x:c r="L65" s="144"/>
      <x:c r="M65" s="144"/>
      <x:c r="N65" s="144"/>
      <x:c r="O65" s="144"/>
      <x:c r="P65" s="144"/>
      <x:c r="Q65" s="144"/>
      <x:c r="R65" s="144"/>
      <x:c r="S65" s="144"/>
      <x:c r="T65" s="144"/>
      <x:c r="U65" s="144"/>
      <x:c r="V65" s="144"/>
      <x:c r="W65" s="144"/>
      <x:c r="X65" s="144"/>
      <x:c r="Y65" s="144"/>
      <x:c r="Z65" s="144"/>
      <x:c r="AA65" s="144"/>
      <x:c r="AB65" s="144"/>
      <x:c r="AC65" s="144"/>
      <x:c r="AD65" s="144"/>
      <x:c r="AE65" s="144"/>
      <x:c r="AF65" s="144"/>
      <x:c r="AG65" s="144"/>
      <x:c r="AH65" s="144"/>
      <x:c r="AI65" s="144"/>
      <x:c r="AJ65" s="144"/>
      <x:c r="AK65" s="144"/>
      <x:c r="AL65" s="144"/>
      <x:c r="AM65" s="144"/>
      <x:c r="AN65" s="144"/>
      <x:c r="AO65" s="144"/>
      <x:c r="AP65" s="144"/>
      <x:c r="AQ65" s="144"/>
      <x:c r="AR65" s="144"/>
      <x:c r="AS65" s="144"/>
      <x:c r="AT65" s="144"/>
      <x:c r="AU65" s="144"/>
      <x:c r="AV65" s="144"/>
      <x:c r="AW65" s="144"/>
      <x:c r="AX65" s="144"/>
      <x:c r="AY65" s="144"/>
      <x:c r="AZ65" s="144"/>
    </x:row>
    <x:row r="66">
      <x:c r="A66" s="144"/>
      <x:c r="B66" s="144"/>
      <x:c r="C66" s="144"/>
      <x:c r="D66" s="144"/>
      <x:c r="E66" s="144"/>
      <x:c r="F66" s="144"/>
      <x:c r="G66" s="144"/>
      <x:c r="H66" s="144"/>
      <x:c r="I66" s="144"/>
      <x:c r="J66" s="144"/>
      <x:c r="K66" s="144"/>
      <x:c r="L66" s="144"/>
      <x:c r="M66" s="144"/>
      <x:c r="N66" s="144"/>
      <x:c r="O66" s="144"/>
      <x:c r="P66" s="144"/>
      <x:c r="Q66" s="144"/>
      <x:c r="R66" s="144"/>
      <x:c r="S66" s="144"/>
      <x:c r="T66" s="144"/>
      <x:c r="U66" s="144"/>
      <x:c r="V66" s="144"/>
      <x:c r="W66" s="144"/>
      <x:c r="X66" s="144"/>
      <x:c r="Y66" s="144"/>
      <x:c r="Z66" s="144"/>
      <x:c r="AA66" s="144"/>
      <x:c r="AB66" s="144"/>
      <x:c r="AC66" s="144"/>
      <x:c r="AD66" s="144"/>
      <x:c r="AE66" s="144"/>
      <x:c r="AF66" s="144"/>
      <x:c r="AG66" s="144"/>
      <x:c r="AH66" s="144"/>
      <x:c r="AI66" s="144"/>
      <x:c r="AJ66" s="144"/>
      <x:c r="AK66" s="144"/>
      <x:c r="AL66" s="144"/>
      <x:c r="AM66" s="144"/>
      <x:c r="AN66" s="144"/>
      <x:c r="AO66" s="144"/>
      <x:c r="AP66" s="144"/>
      <x:c r="AQ66" s="144"/>
      <x:c r="AR66" s="144"/>
      <x:c r="AS66" s="144"/>
      <x:c r="AT66" s="144"/>
      <x:c r="AU66" s="144"/>
      <x:c r="AV66" s="144"/>
      <x:c r="AW66" s="144"/>
      <x:c r="AX66" s="144"/>
      <x:c r="AY66" s="144"/>
      <x:c r="AZ66" s="144"/>
    </x:row>
    <x:row r="67">
      <x:c r="A67" s="144"/>
      <x:c r="B67" s="144"/>
      <x:c r="C67" s="144"/>
      <x:c r="D67" s="144"/>
      <x:c r="E67" s="144"/>
      <x:c r="F67" s="144"/>
      <x:c r="G67" s="144"/>
      <x:c r="H67" s="144"/>
      <x:c r="I67" s="144"/>
      <x:c r="J67" s="144"/>
      <x:c r="K67" s="144"/>
      <x:c r="L67" s="144"/>
      <x:c r="M67" s="144"/>
      <x:c r="N67" s="144"/>
      <x:c r="O67" s="144"/>
      <x:c r="P67" s="144"/>
      <x:c r="Q67" s="144"/>
      <x:c r="R67" s="144"/>
      <x:c r="S67" s="144"/>
      <x:c r="T67" s="144"/>
      <x:c r="U67" s="144"/>
      <x:c r="V67" s="144"/>
      <x:c r="W67" s="144"/>
      <x:c r="X67" s="144"/>
      <x:c r="Y67" s="144"/>
      <x:c r="Z67" s="144"/>
      <x:c r="AA67" s="144"/>
      <x:c r="AB67" s="144"/>
      <x:c r="AC67" s="144"/>
      <x:c r="AD67" s="144"/>
      <x:c r="AE67" s="144"/>
      <x:c r="AF67" s="144"/>
      <x:c r="AG67" s="144"/>
      <x:c r="AH67" s="144"/>
      <x:c r="AI67" s="144"/>
      <x:c r="AJ67" s="144"/>
      <x:c r="AK67" s="144"/>
      <x:c r="AL67" s="144"/>
      <x:c r="AM67" s="144"/>
      <x:c r="AN67" s="144"/>
      <x:c r="AO67" s="144"/>
      <x:c r="AP67" s="144"/>
      <x:c r="AQ67" s="144"/>
      <x:c r="AR67" s="144"/>
      <x:c r="AS67" s="144"/>
      <x:c r="AT67" s="144"/>
      <x:c r="AU67" s="144"/>
      <x:c r="AV67" s="144"/>
      <x:c r="AW67" s="144"/>
      <x:c r="AX67" s="144"/>
      <x:c r="AY67" s="144"/>
      <x:c r="AZ67" s="144"/>
    </x:row>
    <x:row r="68">
      <x:c r="A68" s="144"/>
      <x:c r="B68" s="144"/>
      <x:c r="C68" s="144"/>
      <x:c r="D68" s="144"/>
      <x:c r="E68" s="144"/>
      <x:c r="F68" s="144"/>
      <x:c r="G68" s="144"/>
      <x:c r="H68" s="144"/>
      <x:c r="I68" s="144"/>
      <x:c r="J68" s="144"/>
      <x:c r="K68" s="144"/>
      <x:c r="L68" s="144"/>
      <x:c r="M68" s="144"/>
      <x:c r="N68" s="144"/>
      <x:c r="O68" s="144"/>
      <x:c r="P68" s="144"/>
      <x:c r="Q68" s="144"/>
      <x:c r="R68" s="144"/>
      <x:c r="S68" s="144"/>
      <x:c r="T68" s="144"/>
      <x:c r="U68" s="144"/>
      <x:c r="V68" s="144"/>
      <x:c r="W68" s="144"/>
      <x:c r="X68" s="144"/>
      <x:c r="Y68" s="144"/>
      <x:c r="Z68" s="144"/>
      <x:c r="AA68" s="144"/>
      <x:c r="AB68" s="144"/>
      <x:c r="AC68" s="144"/>
      <x:c r="AD68" s="144"/>
      <x:c r="AE68" s="144"/>
      <x:c r="AF68" s="144"/>
      <x:c r="AG68" s="144"/>
      <x:c r="AH68" s="144"/>
      <x:c r="AI68" s="144"/>
      <x:c r="AJ68" s="144"/>
      <x:c r="AK68" s="144"/>
      <x:c r="AL68" s="144"/>
      <x:c r="AM68" s="144"/>
      <x:c r="AN68" s="144"/>
      <x:c r="AO68" s="144"/>
      <x:c r="AP68" s="144"/>
      <x:c r="AQ68" s="144"/>
      <x:c r="AR68" s="144"/>
      <x:c r="AS68" s="144"/>
      <x:c r="AT68" s="144"/>
      <x:c r="AU68" s="144"/>
      <x:c r="AV68" s="144"/>
      <x:c r="AW68" s="144"/>
      <x:c r="AX68" s="144"/>
      <x:c r="AY68" s="144"/>
      <x:c r="AZ68" s="144"/>
    </x:row>
    <x:row r="69">
      <x:c r="A69" s="144"/>
      <x:c r="B69" s="144"/>
      <x:c r="C69" s="144"/>
      <x:c r="D69" s="144"/>
      <x:c r="E69" s="144"/>
      <x:c r="F69" s="144"/>
      <x:c r="G69" s="144"/>
      <x:c r="H69" s="144"/>
      <x:c r="I69" s="144"/>
      <x:c r="J69" s="144"/>
      <x:c r="K69" s="144"/>
      <x:c r="L69" s="144"/>
      <x:c r="M69" s="144"/>
      <x:c r="N69" s="144"/>
      <x:c r="O69" s="144"/>
      <x:c r="P69" s="144"/>
      <x:c r="Q69" s="144"/>
      <x:c r="R69" s="144"/>
      <x:c r="S69" s="144"/>
      <x:c r="T69" s="144"/>
      <x:c r="U69" s="144"/>
      <x:c r="V69" s="144"/>
      <x:c r="W69" s="144"/>
      <x:c r="X69" s="144"/>
      <x:c r="Y69" s="144"/>
      <x:c r="Z69" s="144"/>
      <x:c r="AA69" s="144"/>
      <x:c r="AB69" s="144"/>
      <x:c r="AC69" s="144"/>
      <x:c r="AD69" s="144"/>
      <x:c r="AE69" s="144"/>
      <x:c r="AF69" s="144"/>
      <x:c r="AG69" s="144"/>
      <x:c r="AH69" s="144"/>
      <x:c r="AI69" s="144"/>
      <x:c r="AJ69" s="144"/>
      <x:c r="AK69" s="144"/>
      <x:c r="AL69" s="144"/>
      <x:c r="AM69" s="144"/>
      <x:c r="AN69" s="144"/>
      <x:c r="AO69" s="144"/>
      <x:c r="AP69" s="144"/>
      <x:c r="AQ69" s="144"/>
      <x:c r="AR69" s="144"/>
      <x:c r="AS69" s="144"/>
      <x:c r="AT69" s="144"/>
      <x:c r="AU69" s="144"/>
      <x:c r="AV69" s="144"/>
      <x:c r="AW69" s="144"/>
      <x:c r="AX69" s="144"/>
      <x:c r="AY69" s="144"/>
      <x:c r="AZ69" s="144"/>
    </x:row>
    <x:row r="70">
      <x:c r="A70" s="144"/>
      <x:c r="B70" s="144"/>
      <x:c r="C70" s="144"/>
      <x:c r="D70" s="144"/>
      <x:c r="E70" s="144"/>
      <x:c r="F70" s="144"/>
      <x:c r="G70" s="144"/>
      <x:c r="H70" s="144"/>
      <x:c r="I70" s="144"/>
      <x:c r="J70" s="144"/>
      <x:c r="K70" s="144"/>
      <x:c r="L70" s="144"/>
      <x:c r="M70" s="144"/>
      <x:c r="N70" s="144"/>
      <x:c r="O70" s="144"/>
      <x:c r="P70" s="144"/>
      <x:c r="Q70" s="144"/>
      <x:c r="R70" s="144"/>
      <x:c r="S70" s="144"/>
      <x:c r="T70" s="144"/>
      <x:c r="U70" s="144"/>
      <x:c r="V70" s="144"/>
      <x:c r="W70" s="144"/>
      <x:c r="X70" s="144"/>
      <x:c r="Y70" s="144"/>
      <x:c r="Z70" s="144"/>
      <x:c r="AA70" s="144"/>
      <x:c r="AB70" s="144"/>
      <x:c r="AC70" s="144"/>
      <x:c r="AD70" s="144"/>
      <x:c r="AE70" s="144"/>
      <x:c r="AF70" s="144"/>
      <x:c r="AG70" s="144"/>
      <x:c r="AH70" s="144"/>
      <x:c r="AI70" s="144"/>
      <x:c r="AJ70" s="144"/>
      <x:c r="AK70" s="144"/>
      <x:c r="AL70" s="144"/>
      <x:c r="AM70" s="144"/>
      <x:c r="AN70" s="144"/>
      <x:c r="AO70" s="144"/>
      <x:c r="AP70" s="144"/>
      <x:c r="AQ70" s="144"/>
      <x:c r="AR70" s="144"/>
      <x:c r="AS70" s="144"/>
      <x:c r="AT70" s="144"/>
      <x:c r="AU70" s="144"/>
      <x:c r="AV70" s="144"/>
      <x:c r="AW70" s="144"/>
      <x:c r="AX70" s="144"/>
      <x:c r="AY70" s="144"/>
      <x:c r="AZ70" s="144"/>
    </x:row>
    <x:row r="71">
      <x:c r="A71" s="144"/>
      <x:c r="B71" s="144"/>
      <x:c r="C71" s="144"/>
      <x:c r="D71" s="144"/>
      <x:c r="E71" s="144"/>
      <x:c r="F71" s="144"/>
      <x:c r="G71" s="144"/>
      <x:c r="H71" s="144"/>
      <x:c r="I71" s="144"/>
      <x:c r="J71" s="144"/>
      <x:c r="K71" s="144"/>
      <x:c r="L71" s="144"/>
      <x:c r="M71" s="144"/>
      <x:c r="N71" s="144"/>
      <x:c r="O71" s="144"/>
      <x:c r="P71" s="144"/>
      <x:c r="Q71" s="144"/>
      <x:c r="R71" s="144"/>
      <x:c r="S71" s="144"/>
      <x:c r="T71" s="144"/>
      <x:c r="U71" s="144"/>
      <x:c r="V71" s="144"/>
      <x:c r="W71" s="144"/>
      <x:c r="X71" s="144"/>
      <x:c r="Y71" s="144"/>
      <x:c r="Z71" s="144"/>
      <x:c r="AA71" s="144"/>
      <x:c r="AB71" s="144"/>
      <x:c r="AC71" s="144"/>
      <x:c r="AD71" s="144"/>
      <x:c r="AE71" s="144"/>
      <x:c r="AF71" s="144"/>
      <x:c r="AG71" s="144"/>
      <x:c r="AH71" s="144"/>
      <x:c r="AI71" s="144"/>
      <x:c r="AJ71" s="144"/>
      <x:c r="AK71" s="144"/>
      <x:c r="AL71" s="144"/>
      <x:c r="AM71" s="144"/>
      <x:c r="AN71" s="144"/>
      <x:c r="AO71" s="144"/>
      <x:c r="AP71" s="144"/>
      <x:c r="AQ71" s="144"/>
      <x:c r="AR71" s="144"/>
      <x:c r="AS71" s="144"/>
      <x:c r="AT71" s="144"/>
      <x:c r="AU71" s="144"/>
      <x:c r="AV71" s="144"/>
      <x:c r="AW71" s="144"/>
      <x:c r="AX71" s="144"/>
      <x:c r="AY71" s="144"/>
      <x:c r="AZ71" s="144"/>
    </x:row>
    <x:row r="72">
      <x:c r="A72" s="144"/>
      <x:c r="B72" s="144"/>
      <x:c r="C72" s="144"/>
      <x:c r="D72" s="144"/>
      <x:c r="E72" s="144"/>
      <x:c r="F72" s="144"/>
      <x:c r="G72" s="144"/>
      <x:c r="H72" s="144"/>
      <x:c r="I72" s="144"/>
      <x:c r="J72" s="144"/>
      <x:c r="K72" s="144"/>
      <x:c r="L72" s="144"/>
      <x:c r="M72" s="144"/>
      <x:c r="N72" s="144"/>
      <x:c r="O72" s="144"/>
      <x:c r="P72" s="144"/>
      <x:c r="Q72" s="144"/>
      <x:c r="R72" s="144"/>
      <x:c r="S72" s="144"/>
      <x:c r="T72" s="144"/>
      <x:c r="U72" s="144"/>
      <x:c r="V72" s="144"/>
      <x:c r="W72" s="144"/>
      <x:c r="X72" s="144"/>
      <x:c r="Y72" s="144"/>
      <x:c r="Z72" s="144"/>
      <x:c r="AA72" s="144"/>
      <x:c r="AB72" s="144"/>
      <x:c r="AC72" s="144"/>
      <x:c r="AD72" s="144"/>
      <x:c r="AE72" s="144"/>
      <x:c r="AF72" s="144"/>
      <x:c r="AG72" s="144"/>
      <x:c r="AH72" s="144"/>
      <x:c r="AI72" s="144"/>
      <x:c r="AJ72" s="144"/>
      <x:c r="AK72" s="144"/>
      <x:c r="AL72" s="144"/>
      <x:c r="AM72" s="144"/>
      <x:c r="AN72" s="144"/>
      <x:c r="AO72" s="144"/>
      <x:c r="AP72" s="144"/>
      <x:c r="AQ72" s="144"/>
      <x:c r="AR72" s="144"/>
      <x:c r="AS72" s="144"/>
      <x:c r="AT72" s="144"/>
      <x:c r="AU72" s="144"/>
      <x:c r="AV72" s="144"/>
      <x:c r="AW72" s="144"/>
      <x:c r="AX72" s="144"/>
      <x:c r="AY72" s="144"/>
      <x:c r="AZ72" s="144"/>
    </x:row>
    <x:row r="73">
      <x:c r="A73" s="144"/>
      <x:c r="B73" s="144"/>
      <x:c r="C73" s="144"/>
      <x:c r="D73" s="144"/>
      <x:c r="E73" s="144"/>
      <x:c r="F73" s="144"/>
      <x:c r="G73" s="144"/>
      <x:c r="H73" s="144"/>
      <x:c r="I73" s="144"/>
      <x:c r="J73" s="144"/>
      <x:c r="K73" s="144"/>
      <x:c r="L73" s="144"/>
      <x:c r="M73" s="144"/>
      <x:c r="N73" s="144"/>
      <x:c r="O73" s="144"/>
      <x:c r="P73" s="144"/>
      <x:c r="Q73" s="144"/>
      <x:c r="R73" s="144"/>
      <x:c r="S73" s="144"/>
      <x:c r="T73" s="144"/>
      <x:c r="U73" s="144"/>
      <x:c r="V73" s="144"/>
      <x:c r="W73" s="144"/>
      <x:c r="X73" s="144"/>
      <x:c r="Y73" s="144"/>
      <x:c r="Z73" s="144"/>
      <x:c r="AA73" s="144"/>
      <x:c r="AB73" s="144"/>
      <x:c r="AC73" s="144"/>
      <x:c r="AD73" s="144"/>
      <x:c r="AE73" s="144"/>
      <x:c r="AF73" s="144"/>
      <x:c r="AG73" s="144"/>
      <x:c r="AH73" s="144"/>
      <x:c r="AI73" s="144"/>
      <x:c r="AJ73" s="144"/>
      <x:c r="AK73" s="144"/>
      <x:c r="AL73" s="144"/>
      <x:c r="AM73" s="144"/>
      <x:c r="AN73" s="144"/>
      <x:c r="AO73" s="144"/>
      <x:c r="AP73" s="144"/>
      <x:c r="AQ73" s="144"/>
      <x:c r="AR73" s="144"/>
      <x:c r="AS73" s="144"/>
      <x:c r="AT73" s="144"/>
      <x:c r="AU73" s="144"/>
      <x:c r="AV73" s="144"/>
      <x:c r="AW73" s="144"/>
      <x:c r="AX73" s="144"/>
      <x:c r="AY73" s="144"/>
      <x:c r="AZ73" s="144"/>
    </x:row>
    <x:row r="74">
      <x:c r="A74" s="144"/>
      <x:c r="B74" s="144"/>
      <x:c r="C74" s="144"/>
      <x:c r="D74" s="144"/>
      <x:c r="E74" s="144"/>
      <x:c r="F74" s="144"/>
      <x:c r="G74" s="144"/>
      <x:c r="H74" s="144"/>
      <x:c r="I74" s="144"/>
      <x:c r="J74" s="144"/>
      <x:c r="K74" s="144"/>
      <x:c r="L74" s="144"/>
      <x:c r="M74" s="144"/>
      <x:c r="N74" s="144"/>
      <x:c r="O74" s="144"/>
      <x:c r="P74" s="144"/>
      <x:c r="Q74" s="144"/>
      <x:c r="R74" s="144"/>
      <x:c r="S74" s="144"/>
      <x:c r="T74" s="144"/>
      <x:c r="U74" s="144"/>
      <x:c r="V74" s="144"/>
      <x:c r="W74" s="144"/>
      <x:c r="X74" s="144"/>
      <x:c r="Y74" s="144"/>
      <x:c r="Z74" s="144"/>
      <x:c r="AA74" s="144"/>
      <x:c r="AB74" s="144"/>
      <x:c r="AC74" s="144"/>
      <x:c r="AD74" s="144"/>
      <x:c r="AE74" s="144"/>
      <x:c r="AF74" s="144"/>
      <x:c r="AG74" s="144"/>
      <x:c r="AH74" s="144"/>
      <x:c r="AI74" s="144"/>
      <x:c r="AJ74" s="144"/>
      <x:c r="AK74" s="144"/>
      <x:c r="AL74" s="144"/>
      <x:c r="AM74" s="144"/>
      <x:c r="AN74" s="144"/>
      <x:c r="AO74" s="144"/>
      <x:c r="AP74" s="144"/>
      <x:c r="AQ74" s="144"/>
      <x:c r="AR74" s="144"/>
      <x:c r="AS74" s="144"/>
      <x:c r="AT74" s="144"/>
      <x:c r="AU74" s="144"/>
      <x:c r="AV74" s="144"/>
      <x:c r="AW74" s="144"/>
      <x:c r="AX74" s="144"/>
      <x:c r="AY74" s="144"/>
      <x:c r="AZ74" s="144"/>
    </x:row>
    <x:row r="75">
      <x:c r="A75" s="144"/>
      <x:c r="B75" s="144"/>
      <x:c r="C75" s="144"/>
      <x:c r="D75" s="144"/>
      <x:c r="E75" s="144"/>
      <x:c r="F75" s="144"/>
      <x:c r="G75" s="144"/>
      <x:c r="H75" s="144"/>
      <x:c r="I75" s="144"/>
      <x:c r="J75" s="144"/>
      <x:c r="K75" s="144"/>
      <x:c r="L75" s="144"/>
      <x:c r="M75" s="144"/>
      <x:c r="N75" s="144"/>
      <x:c r="O75" s="144"/>
      <x:c r="P75" s="144"/>
      <x:c r="Q75" s="144"/>
      <x:c r="R75" s="144"/>
      <x:c r="S75" s="144"/>
      <x:c r="T75" s="144"/>
      <x:c r="U75" s="144"/>
      <x:c r="V75" s="144"/>
      <x:c r="W75" s="144"/>
      <x:c r="X75" s="144"/>
      <x:c r="Y75" s="144"/>
      <x:c r="Z75" s="144"/>
      <x:c r="AA75" s="144"/>
      <x:c r="AB75" s="144"/>
      <x:c r="AC75" s="144"/>
      <x:c r="AD75" s="144"/>
      <x:c r="AE75" s="144"/>
      <x:c r="AF75" s="144"/>
      <x:c r="AG75" s="144"/>
      <x:c r="AH75" s="144"/>
      <x:c r="AI75" s="144"/>
      <x:c r="AJ75" s="144"/>
      <x:c r="AK75" s="144"/>
      <x:c r="AL75" s="144"/>
      <x:c r="AM75" s="144"/>
      <x:c r="AN75" s="144"/>
      <x:c r="AO75" s="144"/>
      <x:c r="AP75" s="144"/>
      <x:c r="AQ75" s="144"/>
      <x:c r="AR75" s="144"/>
      <x:c r="AS75" s="144"/>
      <x:c r="AT75" s="144"/>
      <x:c r="AU75" s="144"/>
      <x:c r="AV75" s="144"/>
      <x:c r="AW75" s="144"/>
      <x:c r="AX75" s="144"/>
      <x:c r="AY75" s="144"/>
      <x:c r="AZ75" s="144"/>
    </x:row>
    <x:row r="76">
      <x:c r="A76" s="144"/>
      <x:c r="B76" s="144"/>
      <x:c r="C76" s="144"/>
      <x:c r="D76" s="144"/>
      <x:c r="E76" s="144"/>
      <x:c r="F76" s="144"/>
      <x:c r="G76" s="144"/>
      <x:c r="H76" s="144"/>
      <x:c r="I76" s="144"/>
      <x:c r="J76" s="144"/>
      <x:c r="K76" s="144"/>
      <x:c r="L76" s="144"/>
      <x:c r="M76" s="144"/>
      <x:c r="N76" s="144"/>
      <x:c r="O76" s="144"/>
      <x:c r="P76" s="144"/>
      <x:c r="Q76" s="144"/>
      <x:c r="R76" s="144"/>
      <x:c r="S76" s="144"/>
      <x:c r="T76" s="144"/>
      <x:c r="U76" s="144"/>
      <x:c r="V76" s="144"/>
      <x:c r="W76" s="144"/>
      <x:c r="X76" s="144"/>
      <x:c r="Y76" s="144"/>
      <x:c r="Z76" s="144"/>
      <x:c r="AA76" s="144"/>
      <x:c r="AB76" s="144"/>
      <x:c r="AC76" s="144"/>
      <x:c r="AD76" s="144"/>
      <x:c r="AE76" s="144"/>
      <x:c r="AF76" s="144"/>
      <x:c r="AG76" s="144"/>
      <x:c r="AH76" s="144"/>
      <x:c r="AI76" s="144"/>
      <x:c r="AJ76" s="144"/>
      <x:c r="AK76" s="144"/>
      <x:c r="AL76" s="144"/>
      <x:c r="AM76" s="144"/>
      <x:c r="AN76" s="144"/>
      <x:c r="AO76" s="144"/>
      <x:c r="AP76" s="144"/>
      <x:c r="AQ76" s="144"/>
      <x:c r="AR76" s="144"/>
      <x:c r="AS76" s="144"/>
      <x:c r="AT76" s="144"/>
      <x:c r="AU76" s="144"/>
      <x:c r="AV76" s="144"/>
      <x:c r="AW76" s="144"/>
      <x:c r="AX76" s="144"/>
      <x:c r="AY76" s="144"/>
      <x:c r="AZ76" s="144"/>
    </x:row>
    <x:row r="77">
      <x:c r="A77" s="144"/>
      <x:c r="B77" s="144"/>
      <x:c r="C77" s="144"/>
      <x:c r="D77" s="144"/>
      <x:c r="E77" s="144"/>
      <x:c r="F77" s="144"/>
      <x:c r="G77" s="144"/>
      <x:c r="H77" s="144"/>
      <x:c r="I77" s="144"/>
      <x:c r="J77" s="144"/>
      <x:c r="K77" s="144"/>
      <x:c r="L77" s="144"/>
      <x:c r="M77" s="144"/>
      <x:c r="N77" s="144"/>
      <x:c r="O77" s="144"/>
      <x:c r="P77" s="144"/>
      <x:c r="Q77" s="144"/>
      <x:c r="R77" s="144"/>
      <x:c r="S77" s="144"/>
      <x:c r="T77" s="144"/>
      <x:c r="U77" s="144"/>
      <x:c r="V77" s="144"/>
      <x:c r="W77" s="144"/>
      <x:c r="X77" s="144"/>
      <x:c r="Y77" s="144"/>
      <x:c r="Z77" s="144"/>
      <x:c r="AA77" s="144"/>
      <x:c r="AB77" s="144"/>
      <x:c r="AC77" s="144"/>
      <x:c r="AD77" s="144"/>
      <x:c r="AE77" s="144"/>
      <x:c r="AF77" s="144"/>
      <x:c r="AG77" s="144"/>
      <x:c r="AH77" s="144"/>
      <x:c r="AI77" s="144"/>
      <x:c r="AJ77" s="144"/>
      <x:c r="AK77" s="144"/>
      <x:c r="AL77" s="144"/>
      <x:c r="AM77" s="144"/>
      <x:c r="AN77" s="144"/>
      <x:c r="AO77" s="144"/>
      <x:c r="AP77" s="144"/>
      <x:c r="AQ77" s="144"/>
      <x:c r="AR77" s="144"/>
      <x:c r="AS77" s="144"/>
      <x:c r="AT77" s="144"/>
      <x:c r="AU77" s="144"/>
      <x:c r="AV77" s="144"/>
      <x:c r="AW77" s="144"/>
      <x:c r="AX77" s="144"/>
      <x:c r="AY77" s="144"/>
      <x:c r="AZ77" s="144"/>
    </x:row>
    <x:row r="78">
      <x:c r="A78" s="144"/>
      <x:c r="B78" s="144"/>
      <x:c r="C78" s="144"/>
      <x:c r="D78" s="144"/>
      <x:c r="E78" s="144"/>
      <x:c r="F78" s="144"/>
      <x:c r="G78" s="144"/>
      <x:c r="H78" s="144"/>
      <x:c r="I78" s="144"/>
      <x:c r="J78" s="144"/>
      <x:c r="K78" s="144"/>
      <x:c r="L78" s="144"/>
      <x:c r="M78" s="144"/>
      <x:c r="N78" s="144"/>
      <x:c r="O78" s="144"/>
      <x:c r="P78" s="144"/>
      <x:c r="Q78" s="144"/>
      <x:c r="R78" s="144"/>
      <x:c r="S78" s="144"/>
      <x:c r="T78" s="144"/>
      <x:c r="U78" s="144"/>
      <x:c r="V78" s="144"/>
      <x:c r="W78" s="144"/>
      <x:c r="X78" s="144"/>
      <x:c r="Y78" s="144"/>
      <x:c r="Z78" s="144"/>
      <x:c r="AA78" s="144"/>
      <x:c r="AB78" s="144"/>
      <x:c r="AC78" s="144"/>
      <x:c r="AD78" s="144"/>
      <x:c r="AE78" s="144"/>
      <x:c r="AF78" s="144"/>
      <x:c r="AG78" s="144"/>
      <x:c r="AH78" s="144"/>
      <x:c r="AI78" s="144"/>
      <x:c r="AJ78" s="144"/>
      <x:c r="AK78" s="144"/>
      <x:c r="AL78" s="144"/>
      <x:c r="AM78" s="144"/>
      <x:c r="AN78" s="144"/>
      <x:c r="AO78" s="144"/>
      <x:c r="AP78" s="144"/>
      <x:c r="AQ78" s="144"/>
      <x:c r="AR78" s="144"/>
      <x:c r="AS78" s="144"/>
      <x:c r="AT78" s="144"/>
      <x:c r="AU78" s="144"/>
      <x:c r="AV78" s="144"/>
      <x:c r="AW78" s="144"/>
      <x:c r="AX78" s="144"/>
      <x:c r="AY78" s="144"/>
      <x:c r="AZ78" s="144"/>
    </x:row>
    <x:row r="79">
      <x:c r="A79" s="144"/>
      <x:c r="B79" s="144"/>
      <x:c r="C79" s="144"/>
      <x:c r="D79" s="144"/>
      <x:c r="E79" s="144"/>
      <x:c r="F79" s="144"/>
      <x:c r="G79" s="144"/>
      <x:c r="H79" s="144"/>
      <x:c r="I79" s="144"/>
      <x:c r="J79" s="144"/>
      <x:c r="K79" s="144"/>
      <x:c r="L79" s="144"/>
      <x:c r="M79" s="144"/>
      <x:c r="N79" s="144"/>
      <x:c r="O79" s="144"/>
      <x:c r="P79" s="144"/>
      <x:c r="Q79" s="144"/>
      <x:c r="R79" s="144"/>
      <x:c r="S79" s="144"/>
      <x:c r="T79" s="144"/>
      <x:c r="U79" s="144"/>
      <x:c r="V79" s="144"/>
      <x:c r="W79" s="144"/>
      <x:c r="X79" s="144"/>
      <x:c r="Y79" s="144"/>
      <x:c r="Z79" s="144"/>
      <x:c r="AA79" s="144"/>
      <x:c r="AB79" s="144"/>
      <x:c r="AC79" s="144"/>
      <x:c r="AD79" s="144"/>
      <x:c r="AE79" s="144"/>
      <x:c r="AF79" s="144"/>
      <x:c r="AG79" s="144"/>
      <x:c r="AH79" s="144"/>
      <x:c r="AI79" s="144"/>
      <x:c r="AJ79" s="144"/>
      <x:c r="AK79" s="144"/>
      <x:c r="AL79" s="144"/>
      <x:c r="AM79" s="144"/>
      <x:c r="AN79" s="144"/>
      <x:c r="AO79" s="144"/>
      <x:c r="AP79" s="144"/>
      <x:c r="AQ79" s="144"/>
      <x:c r="AR79" s="144"/>
      <x:c r="AS79" s="144"/>
      <x:c r="AT79" s="144"/>
      <x:c r="AU79" s="144"/>
      <x:c r="AV79" s="144"/>
      <x:c r="AW79" s="144"/>
      <x:c r="AX79" s="144"/>
      <x:c r="AY79" s="144"/>
      <x:c r="AZ79" s="144"/>
    </x:row>
    <x:row r="80">
      <x:c r="A80" s="144"/>
      <x:c r="B80" s="144"/>
      <x:c r="C80" s="144"/>
      <x:c r="D80" s="144"/>
      <x:c r="E80" s="144"/>
      <x:c r="F80" s="144"/>
      <x:c r="G80" s="144"/>
      <x:c r="H80" s="144"/>
      <x:c r="I80" s="144"/>
      <x:c r="J80" s="144"/>
      <x:c r="K80" s="144"/>
      <x:c r="L80" s="144"/>
      <x:c r="M80" s="144"/>
      <x:c r="N80" s="144"/>
      <x:c r="O80" s="144"/>
      <x:c r="P80" s="144"/>
      <x:c r="Q80" s="144"/>
      <x:c r="R80" s="144"/>
      <x:c r="S80" s="144"/>
      <x:c r="T80" s="144"/>
      <x:c r="U80" s="144"/>
      <x:c r="V80" s="144"/>
      <x:c r="W80" s="144"/>
      <x:c r="X80" s="144"/>
      <x:c r="Y80" s="144"/>
      <x:c r="Z80" s="144"/>
      <x:c r="AA80" s="144"/>
      <x:c r="AB80" s="144"/>
      <x:c r="AC80" s="144"/>
      <x:c r="AD80" s="144"/>
      <x:c r="AE80" s="144"/>
      <x:c r="AF80" s="144"/>
      <x:c r="AG80" s="144"/>
      <x:c r="AH80" s="144"/>
      <x:c r="AI80" s="144"/>
      <x:c r="AJ80" s="144"/>
      <x:c r="AK80" s="144"/>
      <x:c r="AL80" s="144"/>
      <x:c r="AM80" s="144"/>
      <x:c r="AN80" s="144"/>
      <x:c r="AO80" s="144"/>
      <x:c r="AP80" s="144"/>
      <x:c r="AQ80" s="144"/>
      <x:c r="AR80" s="144"/>
      <x:c r="AS80" s="144"/>
      <x:c r="AT80" s="144"/>
      <x:c r="AU80" s="144"/>
      <x:c r="AV80" s="144"/>
      <x:c r="AW80" s="144"/>
      <x:c r="AX80" s="144"/>
      <x:c r="AY80" s="144"/>
      <x:c r="AZ80" s="144"/>
    </x:row>
    <x:row r="81">
      <x:c r="A81" s="144"/>
      <x:c r="B81" s="144"/>
      <x:c r="C81" s="144"/>
      <x:c r="D81" s="144"/>
      <x:c r="E81" s="144"/>
      <x:c r="F81" s="144"/>
      <x:c r="G81" s="144"/>
      <x:c r="H81" s="144"/>
      <x:c r="I81" s="144"/>
      <x:c r="J81" s="144"/>
      <x:c r="K81" s="144"/>
      <x:c r="L81" s="144"/>
      <x:c r="M81" s="144"/>
      <x:c r="N81" s="144"/>
      <x:c r="O81" s="144"/>
      <x:c r="P81" s="144"/>
      <x:c r="Q81" s="144"/>
      <x:c r="R81" s="144"/>
      <x:c r="S81" s="144"/>
      <x:c r="T81" s="144"/>
      <x:c r="U81" s="144"/>
      <x:c r="V81" s="144"/>
      <x:c r="W81" s="144"/>
      <x:c r="X81" s="144"/>
      <x:c r="Y81" s="144"/>
      <x:c r="Z81" s="144"/>
      <x:c r="AA81" s="144"/>
      <x:c r="AB81" s="144"/>
      <x:c r="AC81" s="144"/>
      <x:c r="AD81" s="144"/>
      <x:c r="AE81" s="144"/>
      <x:c r="AF81" s="144"/>
      <x:c r="AG81" s="144"/>
      <x:c r="AH81" s="144"/>
      <x:c r="AI81" s="144"/>
      <x:c r="AJ81" s="144"/>
      <x:c r="AK81" s="144"/>
      <x:c r="AL81" s="144"/>
      <x:c r="AM81" s="144"/>
      <x:c r="AN81" s="144"/>
      <x:c r="AO81" s="144"/>
      <x:c r="AP81" s="144"/>
      <x:c r="AQ81" s="144"/>
      <x:c r="AR81" s="144"/>
      <x:c r="AS81" s="144"/>
      <x:c r="AT81" s="144"/>
      <x:c r="AU81" s="144"/>
      <x:c r="AV81" s="144"/>
      <x:c r="AW81" s="144"/>
      <x:c r="AX81" s="144"/>
      <x:c r="AY81" s="144"/>
      <x:c r="AZ81" s="144"/>
    </x:row>
    <x:row r="82">
      <x:c r="A82" s="144"/>
      <x:c r="B82" s="144"/>
      <x:c r="C82" s="144"/>
      <x:c r="D82" s="144"/>
      <x:c r="E82" s="144"/>
      <x:c r="F82" s="144"/>
      <x:c r="G82" s="144"/>
      <x:c r="H82" s="144"/>
      <x:c r="I82" s="144"/>
      <x:c r="J82" s="144"/>
      <x:c r="K82" s="144"/>
      <x:c r="L82" s="144"/>
      <x:c r="M82" s="144"/>
      <x:c r="N82" s="144"/>
      <x:c r="O82" s="144"/>
      <x:c r="P82" s="144"/>
      <x:c r="Q82" s="144"/>
      <x:c r="R82" s="144"/>
      <x:c r="S82" s="144"/>
      <x:c r="T82" s="144"/>
      <x:c r="U82" s="144"/>
      <x:c r="V82" s="144"/>
      <x:c r="W82" s="144"/>
      <x:c r="X82" s="144"/>
      <x:c r="Y82" s="144"/>
      <x:c r="Z82" s="144"/>
      <x:c r="AA82" s="144"/>
      <x:c r="AB82" s="144"/>
      <x:c r="AC82" s="144"/>
      <x:c r="AD82" s="144"/>
      <x:c r="AE82" s="144"/>
      <x:c r="AF82" s="144"/>
      <x:c r="AG82" s="144"/>
      <x:c r="AH82" s="144"/>
      <x:c r="AI82" s="144"/>
      <x:c r="AJ82" s="144"/>
      <x:c r="AK82" s="144"/>
      <x:c r="AL82" s="144"/>
      <x:c r="AM82" s="144"/>
      <x:c r="AN82" s="144"/>
      <x:c r="AO82" s="144"/>
      <x:c r="AP82" s="144"/>
      <x:c r="AQ82" s="144"/>
      <x:c r="AR82" s="144"/>
      <x:c r="AS82" s="144"/>
      <x:c r="AT82" s="144"/>
      <x:c r="AU82" s="144"/>
      <x:c r="AV82" s="144"/>
      <x:c r="AW82" s="144"/>
      <x:c r="AX82" s="144"/>
      <x:c r="AY82" s="144"/>
      <x:c r="AZ82" s="144"/>
    </x:row>
    <x:row r="83">
      <x:c r="A83" s="144"/>
      <x:c r="B83" s="144"/>
      <x:c r="C83" s="144"/>
      <x:c r="D83" s="144"/>
      <x:c r="E83" s="144"/>
      <x:c r="F83" s="144"/>
      <x:c r="G83" s="144"/>
      <x:c r="H83" s="144"/>
      <x:c r="I83" s="144"/>
      <x:c r="J83" s="144"/>
      <x:c r="K83" s="144"/>
      <x:c r="L83" s="144"/>
      <x:c r="M83" s="144"/>
      <x:c r="N83" s="144"/>
      <x:c r="O83" s="144"/>
      <x:c r="P83" s="144"/>
      <x:c r="Q83" s="144"/>
      <x:c r="R83" s="144"/>
      <x:c r="S83" s="144"/>
      <x:c r="T83" s="144"/>
      <x:c r="U83" s="144"/>
      <x:c r="V83" s="144"/>
      <x:c r="W83" s="144"/>
      <x:c r="X83" s="144"/>
      <x:c r="Y83" s="144"/>
      <x:c r="Z83" s="144"/>
      <x:c r="AA83" s="144"/>
      <x:c r="AB83" s="144"/>
      <x:c r="AC83" s="144"/>
      <x:c r="AD83" s="144"/>
      <x:c r="AE83" s="144"/>
      <x:c r="AF83" s="144"/>
      <x:c r="AG83" s="144"/>
      <x:c r="AH83" s="144"/>
      <x:c r="AI83" s="144"/>
      <x:c r="AJ83" s="144"/>
      <x:c r="AK83" s="144"/>
      <x:c r="AL83" s="144"/>
      <x:c r="AM83" s="144"/>
      <x:c r="AN83" s="144"/>
      <x:c r="AO83" s="144"/>
      <x:c r="AP83" s="144"/>
      <x:c r="AQ83" s="144"/>
      <x:c r="AR83" s="144"/>
      <x:c r="AS83" s="144"/>
      <x:c r="AT83" s="144"/>
      <x:c r="AU83" s="144"/>
      <x:c r="AV83" s="144"/>
      <x:c r="AW83" s="144"/>
      <x:c r="AX83" s="144"/>
      <x:c r="AY83" s="144"/>
      <x:c r="AZ83" s="144"/>
    </x:row>
    <x:row r="84">
      <x:c r="A84" s="144"/>
      <x:c r="B84" s="144"/>
      <x:c r="C84" s="144"/>
      <x:c r="D84" s="144"/>
      <x:c r="E84" s="144"/>
      <x:c r="F84" s="144"/>
      <x:c r="G84" s="144"/>
      <x:c r="H84" s="144"/>
      <x:c r="I84" s="144"/>
      <x:c r="J84" s="144"/>
      <x:c r="K84" s="144"/>
      <x:c r="L84" s="144"/>
      <x:c r="M84" s="144"/>
      <x:c r="N84" s="144"/>
      <x:c r="O84" s="144"/>
      <x:c r="P84" s="144"/>
      <x:c r="Q84" s="144"/>
      <x:c r="R84" s="144"/>
      <x:c r="S84" s="144"/>
      <x:c r="T84" s="144"/>
      <x:c r="U84" s="144"/>
      <x:c r="V84" s="144"/>
      <x:c r="W84" s="144"/>
      <x:c r="X84" s="144"/>
      <x:c r="Y84" s="144"/>
      <x:c r="Z84" s="144"/>
      <x:c r="AA84" s="144"/>
      <x:c r="AB84" s="144"/>
      <x:c r="AC84" s="144"/>
      <x:c r="AD84" s="144"/>
      <x:c r="AE84" s="144"/>
      <x:c r="AF84" s="144"/>
      <x:c r="AG84" s="144"/>
      <x:c r="AH84" s="144"/>
      <x:c r="AI84" s="144"/>
      <x:c r="AJ84" s="144"/>
      <x:c r="AK84" s="144"/>
      <x:c r="AL84" s="144"/>
      <x:c r="AM84" s="144"/>
      <x:c r="AN84" s="144"/>
      <x:c r="AO84" s="144"/>
      <x:c r="AP84" s="144"/>
      <x:c r="AQ84" s="144"/>
      <x:c r="AR84" s="144"/>
      <x:c r="AS84" s="144"/>
      <x:c r="AT84" s="144"/>
      <x:c r="AU84" s="144"/>
      <x:c r="AV84" s="144"/>
      <x:c r="AW84" s="144"/>
      <x:c r="AX84" s="144"/>
      <x:c r="AY84" s="144"/>
      <x:c r="AZ84" s="144"/>
    </x:row>
    <x:row r="85">
      <x:c r="A85" s="144"/>
      <x:c r="B85" s="144"/>
      <x:c r="C85" s="144"/>
      <x:c r="D85" s="144"/>
      <x:c r="E85" s="144"/>
      <x:c r="F85" s="144"/>
      <x:c r="G85" s="144"/>
      <x:c r="H85" s="144"/>
      <x:c r="I85" s="144"/>
      <x:c r="J85" s="144"/>
      <x:c r="K85" s="144"/>
      <x:c r="L85" s="144"/>
      <x:c r="M85" s="144"/>
      <x:c r="N85" s="144"/>
      <x:c r="O85" s="144"/>
      <x:c r="P85" s="144"/>
      <x:c r="Q85" s="144"/>
      <x:c r="R85" s="144"/>
      <x:c r="S85" s="144"/>
      <x:c r="T85" s="144"/>
      <x:c r="U85" s="144"/>
      <x:c r="V85" s="144"/>
      <x:c r="W85" s="144"/>
      <x:c r="X85" s="144"/>
      <x:c r="Y85" s="144"/>
      <x:c r="Z85" s="144"/>
      <x:c r="AA85" s="144"/>
      <x:c r="AB85" s="144"/>
      <x:c r="AC85" s="144"/>
      <x:c r="AD85" s="144"/>
      <x:c r="AE85" s="144"/>
      <x:c r="AF85" s="144"/>
      <x:c r="AG85" s="144"/>
      <x:c r="AH85" s="144"/>
      <x:c r="AI85" s="144"/>
      <x:c r="AJ85" s="144"/>
      <x:c r="AK85" s="144"/>
      <x:c r="AL85" s="144"/>
      <x:c r="AM85" s="144"/>
      <x:c r="AN85" s="144"/>
      <x:c r="AO85" s="144"/>
      <x:c r="AP85" s="144"/>
      <x:c r="AQ85" s="144"/>
      <x:c r="AR85" s="144"/>
      <x:c r="AS85" s="144"/>
      <x:c r="AT85" s="144"/>
      <x:c r="AU85" s="144"/>
      <x:c r="AV85" s="144"/>
      <x:c r="AW85" s="144"/>
      <x:c r="AX85" s="144"/>
      <x:c r="AY85" s="144"/>
      <x:c r="AZ85" s="144"/>
    </x:row>
    <x:row r="86">
      <x:c r="A86" s="144"/>
      <x:c r="B86" s="144"/>
      <x:c r="C86" s="144"/>
      <x:c r="D86" s="144"/>
      <x:c r="E86" s="144"/>
      <x:c r="F86" s="144"/>
      <x:c r="G86" s="144"/>
      <x:c r="H86" s="144"/>
      <x:c r="I86" s="144"/>
      <x:c r="J86" s="144"/>
      <x:c r="K86" s="144"/>
      <x:c r="L86" s="144"/>
      <x:c r="M86" s="144"/>
      <x:c r="N86" s="144"/>
      <x:c r="O86" s="144"/>
      <x:c r="P86" s="144"/>
      <x:c r="Q86" s="144"/>
      <x:c r="R86" s="144"/>
      <x:c r="S86" s="144"/>
      <x:c r="T86" s="144"/>
      <x:c r="U86" s="144"/>
      <x:c r="V86" s="144"/>
      <x:c r="W86" s="144"/>
      <x:c r="X86" s="144"/>
      <x:c r="Y86" s="144"/>
      <x:c r="Z86" s="144"/>
      <x:c r="AA86" s="144"/>
      <x:c r="AB86" s="144"/>
      <x:c r="AC86" s="144"/>
      <x:c r="AD86" s="144"/>
      <x:c r="AE86" s="144"/>
      <x:c r="AF86" s="144"/>
      <x:c r="AG86" s="144"/>
      <x:c r="AH86" s="144"/>
      <x:c r="AI86" s="144"/>
      <x:c r="AJ86" s="144"/>
      <x:c r="AK86" s="144"/>
      <x:c r="AL86" s="144"/>
      <x:c r="AM86" s="144"/>
      <x:c r="AN86" s="144"/>
      <x:c r="AO86" s="144"/>
      <x:c r="AP86" s="144"/>
      <x:c r="AQ86" s="144"/>
      <x:c r="AR86" s="144"/>
      <x:c r="AS86" s="144"/>
      <x:c r="AT86" s="144"/>
      <x:c r="AU86" s="144"/>
      <x:c r="AV86" s="144"/>
      <x:c r="AW86" s="144"/>
      <x:c r="AX86" s="144"/>
      <x:c r="AY86" s="144"/>
      <x:c r="AZ86" s="144"/>
    </x:row>
    <x:row r="87">
      <x:c r="A87" s="144"/>
      <x:c r="B87" s="144"/>
      <x:c r="C87" s="144"/>
      <x:c r="D87" s="144"/>
      <x:c r="E87" s="144"/>
      <x:c r="F87" s="144"/>
      <x:c r="G87" s="144"/>
      <x:c r="H87" s="144"/>
      <x:c r="I87" s="144"/>
      <x:c r="J87" s="144"/>
      <x:c r="K87" s="144"/>
      <x:c r="L87" s="144"/>
      <x:c r="M87" s="144"/>
      <x:c r="N87" s="144"/>
      <x:c r="O87" s="144"/>
      <x:c r="P87" s="144"/>
      <x:c r="Q87" s="144"/>
      <x:c r="R87" s="144"/>
      <x:c r="S87" s="144"/>
      <x:c r="T87" s="144"/>
      <x:c r="U87" s="144"/>
      <x:c r="V87" s="144"/>
      <x:c r="W87" s="144"/>
      <x:c r="X87" s="144"/>
      <x:c r="Y87" s="144"/>
      <x:c r="Z87" s="144"/>
      <x:c r="AA87" s="144"/>
      <x:c r="AB87" s="144"/>
      <x:c r="AC87" s="144"/>
      <x:c r="AD87" s="144"/>
      <x:c r="AE87" s="144"/>
      <x:c r="AF87" s="144"/>
      <x:c r="AG87" s="144"/>
      <x:c r="AH87" s="144"/>
      <x:c r="AI87" s="144"/>
      <x:c r="AJ87" s="144"/>
      <x:c r="AK87" s="144"/>
      <x:c r="AL87" s="144"/>
      <x:c r="AM87" s="144"/>
      <x:c r="AN87" s="144"/>
      <x:c r="AO87" s="144"/>
      <x:c r="AP87" s="144"/>
      <x:c r="AQ87" s="144"/>
      <x:c r="AR87" s="144"/>
      <x:c r="AS87" s="144"/>
      <x:c r="AT87" s="144"/>
      <x:c r="AU87" s="144"/>
      <x:c r="AV87" s="144"/>
      <x:c r="AW87" s="144"/>
      <x:c r="AX87" s="144"/>
      <x:c r="AY87" s="144"/>
      <x:c r="AZ87" s="144"/>
    </x:row>
    <x:row r="88">
      <x:c r="A88" s="144"/>
      <x:c r="B88" s="144"/>
      <x:c r="C88" s="144"/>
      <x:c r="D88" s="144"/>
      <x:c r="E88" s="144"/>
      <x:c r="F88" s="144"/>
      <x:c r="G88" s="144"/>
      <x:c r="H88" s="144"/>
      <x:c r="I88" s="144"/>
      <x:c r="J88" s="144"/>
      <x:c r="K88" s="144"/>
      <x:c r="L88" s="144"/>
      <x:c r="M88" s="144"/>
      <x:c r="N88" s="144"/>
      <x:c r="O88" s="144"/>
      <x:c r="P88" s="144"/>
      <x:c r="Q88" s="144"/>
      <x:c r="R88" s="144"/>
      <x:c r="S88" s="144"/>
      <x:c r="T88" s="144"/>
      <x:c r="U88" s="144"/>
      <x:c r="V88" s="144"/>
      <x:c r="W88" s="144"/>
      <x:c r="X88" s="144"/>
      <x:c r="Y88" s="144"/>
      <x:c r="Z88" s="144"/>
      <x:c r="AA88" s="144"/>
      <x:c r="AB88" s="144"/>
      <x:c r="AC88" s="144"/>
      <x:c r="AD88" s="144"/>
      <x:c r="AE88" s="144"/>
      <x:c r="AF88" s="144"/>
      <x:c r="AG88" s="144"/>
      <x:c r="AH88" s="144"/>
      <x:c r="AI88" s="144"/>
      <x:c r="AJ88" s="144"/>
      <x:c r="AK88" s="144"/>
      <x:c r="AL88" s="144"/>
      <x:c r="AM88" s="144"/>
      <x:c r="AN88" s="144"/>
      <x:c r="AO88" s="144"/>
      <x:c r="AP88" s="144"/>
      <x:c r="AQ88" s="144"/>
      <x:c r="AR88" s="144"/>
      <x:c r="AS88" s="144"/>
      <x:c r="AT88" s="144"/>
      <x:c r="AU88" s="144"/>
      <x:c r="AV88" s="144"/>
      <x:c r="AW88" s="144"/>
      <x:c r="AX88" s="144"/>
      <x:c r="AY88" s="144"/>
      <x:c r="AZ88" s="144"/>
    </x:row>
    <x:row r="89">
      <x:c r="A89" s="144"/>
      <x:c r="B89" s="144"/>
      <x:c r="C89" s="144"/>
      <x:c r="D89" s="144"/>
      <x:c r="E89" s="144"/>
      <x:c r="F89" s="144"/>
      <x:c r="G89" s="144"/>
      <x:c r="H89" s="144"/>
      <x:c r="I89" s="144"/>
      <x:c r="J89" s="144"/>
      <x:c r="K89" s="144"/>
      <x:c r="L89" s="144"/>
      <x:c r="M89" s="144"/>
      <x:c r="N89" s="144"/>
      <x:c r="O89" s="144"/>
      <x:c r="P89" s="144"/>
      <x:c r="Q89" s="144"/>
      <x:c r="R89" s="144"/>
      <x:c r="S89" s="144"/>
      <x:c r="T89" s="144"/>
      <x:c r="U89" s="144"/>
      <x:c r="V89" s="144"/>
      <x:c r="W89" s="144"/>
      <x:c r="X89" s="144"/>
      <x:c r="Y89" s="144"/>
      <x:c r="Z89" s="144"/>
      <x:c r="AA89" s="144"/>
      <x:c r="AB89" s="144"/>
      <x:c r="AC89" s="144"/>
      <x:c r="AD89" s="144"/>
      <x:c r="AE89" s="144"/>
      <x:c r="AF89" s="144"/>
      <x:c r="AG89" s="144"/>
      <x:c r="AH89" s="144"/>
      <x:c r="AI89" s="144"/>
      <x:c r="AJ89" s="144"/>
      <x:c r="AK89" s="144"/>
      <x:c r="AL89" s="144"/>
      <x:c r="AM89" s="144"/>
      <x:c r="AN89" s="144"/>
      <x:c r="AO89" s="144"/>
      <x:c r="AP89" s="144"/>
      <x:c r="AQ89" s="144"/>
      <x:c r="AR89" s="144"/>
      <x:c r="AS89" s="144"/>
      <x:c r="AT89" s="144"/>
      <x:c r="AU89" s="144"/>
      <x:c r="AV89" s="144"/>
      <x:c r="AW89" s="144"/>
      <x:c r="AX89" s="144"/>
      <x:c r="AY89" s="144"/>
      <x:c r="AZ89" s="144"/>
    </x:row>
    <x:row r="90">
      <x:c r="A90" s="144"/>
      <x:c r="B90" s="144"/>
      <x:c r="C90" s="144"/>
      <x:c r="D90" s="144"/>
      <x:c r="E90" s="144"/>
      <x:c r="F90" s="144"/>
      <x:c r="G90" s="144"/>
      <x:c r="H90" s="144"/>
      <x:c r="I90" s="144"/>
      <x:c r="J90" s="144"/>
      <x:c r="K90" s="144"/>
      <x:c r="L90" s="144"/>
      <x:c r="M90" s="144"/>
      <x:c r="N90" s="144"/>
      <x:c r="O90" s="144"/>
      <x:c r="P90" s="144"/>
      <x:c r="Q90" s="144"/>
      <x:c r="R90" s="144"/>
      <x:c r="S90" s="144"/>
      <x:c r="T90" s="144"/>
      <x:c r="U90" s="144"/>
      <x:c r="V90" s="144"/>
      <x:c r="W90" s="144"/>
      <x:c r="X90" s="144"/>
      <x:c r="Y90" s="144"/>
      <x:c r="Z90" s="144"/>
      <x:c r="AA90" s="144"/>
      <x:c r="AB90" s="144"/>
      <x:c r="AC90" s="144"/>
      <x:c r="AD90" s="144"/>
      <x:c r="AE90" s="144"/>
      <x:c r="AF90" s="144"/>
      <x:c r="AG90" s="144"/>
      <x:c r="AH90" s="144"/>
      <x:c r="AI90" s="144"/>
      <x:c r="AJ90" s="144"/>
      <x:c r="AK90" s="144"/>
      <x:c r="AL90" s="144"/>
      <x:c r="AM90" s="144"/>
      <x:c r="AN90" s="144"/>
      <x:c r="AO90" s="144"/>
      <x:c r="AP90" s="144"/>
      <x:c r="AQ90" s="144"/>
      <x:c r="AR90" s="144"/>
      <x:c r="AS90" s="144"/>
      <x:c r="AT90" s="144"/>
      <x:c r="AU90" s="144"/>
      <x:c r="AV90" s="144"/>
      <x:c r="AW90" s="144"/>
      <x:c r="AX90" s="144"/>
      <x:c r="AY90" s="144"/>
      <x:c r="AZ90" s="144"/>
    </x:row>
    <x:row r="91">
      <x:c r="A91" s="144"/>
      <x:c r="B91" s="144"/>
      <x:c r="C91" s="144"/>
      <x:c r="D91" s="144"/>
      <x:c r="E91" s="144"/>
      <x:c r="F91" s="144"/>
      <x:c r="G91" s="144"/>
      <x:c r="H91" s="144"/>
      <x:c r="I91" s="144"/>
      <x:c r="J91" s="144"/>
      <x:c r="K91" s="144"/>
      <x:c r="L91" s="144"/>
      <x:c r="M91" s="144"/>
      <x:c r="N91" s="144"/>
      <x:c r="O91" s="144"/>
      <x:c r="P91" s="144"/>
      <x:c r="Q91" s="144"/>
      <x:c r="R91" s="144"/>
      <x:c r="S91" s="144"/>
      <x:c r="T91" s="144"/>
      <x:c r="U91" s="144"/>
      <x:c r="V91" s="144"/>
      <x:c r="W91" s="144"/>
      <x:c r="X91" s="144"/>
      <x:c r="Y91" s="144"/>
      <x:c r="Z91" s="144"/>
      <x:c r="AA91" s="144"/>
      <x:c r="AB91" s="144"/>
      <x:c r="AC91" s="144"/>
      <x:c r="AD91" s="144"/>
      <x:c r="AE91" s="144"/>
      <x:c r="AF91" s="144"/>
      <x:c r="AG91" s="144"/>
      <x:c r="AH91" s="144"/>
      <x:c r="AI91" s="144"/>
      <x:c r="AJ91" s="144"/>
      <x:c r="AK91" s="144"/>
      <x:c r="AL91" s="144"/>
      <x:c r="AM91" s="144"/>
      <x:c r="AN91" s="144"/>
      <x:c r="AO91" s="144"/>
      <x:c r="AP91" s="144"/>
      <x:c r="AQ91" s="144"/>
      <x:c r="AR91" s="144"/>
      <x:c r="AS91" s="144"/>
      <x:c r="AT91" s="144"/>
      <x:c r="AU91" s="144"/>
      <x:c r="AV91" s="144"/>
      <x:c r="AW91" s="144"/>
      <x:c r="AX91" s="144"/>
      <x:c r="AY91" s="144"/>
      <x:c r="AZ91" s="144"/>
    </x:row>
    <x:row r="92">
      <x:c r="A92" s="144"/>
      <x:c r="B92" s="144"/>
      <x:c r="C92" s="144"/>
      <x:c r="D92" s="144"/>
      <x:c r="E92" s="144"/>
      <x:c r="F92" s="144"/>
      <x:c r="G92" s="144"/>
      <x:c r="H92" s="144"/>
      <x:c r="I92" s="144"/>
      <x:c r="J92" s="144"/>
      <x:c r="K92" s="144"/>
      <x:c r="L92" s="144"/>
      <x:c r="M92" s="144"/>
      <x:c r="N92" s="144"/>
      <x:c r="O92" s="144"/>
      <x:c r="P92" s="144"/>
      <x:c r="Q92" s="144"/>
      <x:c r="R92" s="144"/>
      <x:c r="S92" s="144"/>
      <x:c r="T92" s="144"/>
      <x:c r="U92" s="144"/>
      <x:c r="V92" s="144"/>
      <x:c r="W92" s="144"/>
      <x:c r="X92" s="144"/>
      <x:c r="Y92" s="144"/>
      <x:c r="Z92" s="144"/>
      <x:c r="AA92" s="144"/>
      <x:c r="AB92" s="144"/>
      <x:c r="AC92" s="144"/>
      <x:c r="AD92" s="144"/>
      <x:c r="AE92" s="144"/>
      <x:c r="AF92" s="144"/>
      <x:c r="AG92" s="144"/>
      <x:c r="AH92" s="144"/>
      <x:c r="AI92" s="144"/>
      <x:c r="AJ92" s="144"/>
      <x:c r="AK92" s="144"/>
      <x:c r="AL92" s="144"/>
      <x:c r="AM92" s="144"/>
      <x:c r="AN92" s="144"/>
      <x:c r="AO92" s="144"/>
      <x:c r="AP92" s="144"/>
      <x:c r="AQ92" s="144"/>
      <x:c r="AR92" s="144"/>
      <x:c r="AS92" s="144"/>
      <x:c r="AT92" s="144"/>
      <x:c r="AU92" s="144"/>
      <x:c r="AV92" s="144"/>
      <x:c r="AW92" s="144"/>
      <x:c r="AX92" s="144"/>
      <x:c r="AY92" s="144"/>
      <x:c r="AZ92" s="144"/>
    </x:row>
    <x:row r="93">
      <x:c r="A93" s="144"/>
      <x:c r="B93" s="144"/>
      <x:c r="C93" s="144"/>
      <x:c r="D93" s="144"/>
      <x:c r="E93" s="144"/>
      <x:c r="F93" s="144"/>
      <x:c r="G93" s="144"/>
      <x:c r="H93" s="144"/>
      <x:c r="I93" s="144"/>
      <x:c r="J93" s="144"/>
      <x:c r="K93" s="144"/>
      <x:c r="L93" s="144"/>
      <x:c r="M93" s="144"/>
      <x:c r="N93" s="144"/>
      <x:c r="O93" s="144"/>
      <x:c r="P93" s="144"/>
      <x:c r="Q93" s="144"/>
      <x:c r="R93" s="144"/>
      <x:c r="S93" s="144"/>
      <x:c r="T93" s="144"/>
      <x:c r="U93" s="144"/>
      <x:c r="V93" s="144"/>
      <x:c r="W93" s="144"/>
      <x:c r="X93" s="144"/>
      <x:c r="Y93" s="144"/>
      <x:c r="Z93" s="144"/>
      <x:c r="AA93" s="144"/>
      <x:c r="AB93" s="144"/>
      <x:c r="AC93" s="144"/>
      <x:c r="AD93" s="144"/>
      <x:c r="AE93" s="144"/>
      <x:c r="AF93" s="144"/>
      <x:c r="AG93" s="144"/>
      <x:c r="AH93" s="144"/>
      <x:c r="AI93" s="144"/>
      <x:c r="AJ93" s="144"/>
      <x:c r="AK93" s="144"/>
      <x:c r="AL93" s="144"/>
      <x:c r="AM93" s="144"/>
      <x:c r="AN93" s="144"/>
      <x:c r="AO93" s="144"/>
      <x:c r="AP93" s="144"/>
      <x:c r="AQ93" s="144"/>
      <x:c r="AR93" s="144"/>
      <x:c r="AS93" s="144"/>
      <x:c r="AT93" s="144"/>
      <x:c r="AU93" s="144"/>
      <x:c r="AV93" s="144"/>
      <x:c r="AW93" s="144"/>
      <x:c r="AX93" s="144"/>
      <x:c r="AY93" s="144"/>
      <x:c r="AZ93" s="144"/>
    </x:row>
    <x:row r="94">
      <x:c r="A94" s="144"/>
      <x:c r="B94" s="144"/>
      <x:c r="C94" s="144"/>
      <x:c r="D94" s="144"/>
      <x:c r="E94" s="144"/>
      <x:c r="F94" s="144"/>
      <x:c r="G94" s="144"/>
      <x:c r="H94" s="144"/>
      <x:c r="I94" s="144"/>
      <x:c r="J94" s="144"/>
      <x:c r="K94" s="144"/>
      <x:c r="L94" s="144"/>
      <x:c r="M94" s="144"/>
      <x:c r="N94" s="144"/>
      <x:c r="O94" s="144"/>
      <x:c r="P94" s="144"/>
      <x:c r="Q94" s="144"/>
      <x:c r="R94" s="144"/>
      <x:c r="S94" s="144"/>
      <x:c r="T94" s="144"/>
      <x:c r="U94" s="144"/>
      <x:c r="V94" s="144"/>
      <x:c r="W94" s="144"/>
      <x:c r="X94" s="144"/>
      <x:c r="Y94" s="144"/>
      <x:c r="Z94" s="144"/>
      <x:c r="AA94" s="144"/>
      <x:c r="AB94" s="144"/>
      <x:c r="AC94" s="144"/>
      <x:c r="AD94" s="144"/>
      <x:c r="AE94" s="144"/>
      <x:c r="AF94" s="144"/>
      <x:c r="AG94" s="144"/>
      <x:c r="AH94" s="144"/>
      <x:c r="AI94" s="144"/>
      <x:c r="AJ94" s="144"/>
      <x:c r="AK94" s="144"/>
      <x:c r="AL94" s="144"/>
      <x:c r="AM94" s="144"/>
      <x:c r="AN94" s="144"/>
      <x:c r="AO94" s="144"/>
      <x:c r="AP94" s="144"/>
      <x:c r="AQ94" s="144"/>
      <x:c r="AR94" s="144"/>
      <x:c r="AS94" s="144"/>
      <x:c r="AT94" s="144"/>
      <x:c r="AU94" s="144"/>
      <x:c r="AV94" s="144"/>
      <x:c r="AW94" s="144"/>
      <x:c r="AX94" s="144"/>
      <x:c r="AY94" s="144"/>
      <x:c r="AZ94" s="144"/>
    </x:row>
    <x:row r="95">
      <x:c r="A95" s="144"/>
      <x:c r="B95" s="144"/>
      <x:c r="C95" s="144"/>
      <x:c r="D95" s="144"/>
      <x:c r="E95" s="144"/>
      <x:c r="F95" s="144"/>
      <x:c r="G95" s="144"/>
      <x:c r="H95" s="144"/>
      <x:c r="I95" s="144"/>
      <x:c r="J95" s="144"/>
      <x:c r="K95" s="144"/>
      <x:c r="L95" s="144"/>
      <x:c r="M95" s="144"/>
      <x:c r="N95" s="144"/>
      <x:c r="O95" s="144"/>
      <x:c r="P95" s="144"/>
      <x:c r="Q95" s="144"/>
      <x:c r="R95" s="144"/>
      <x:c r="S95" s="144"/>
      <x:c r="T95" s="144"/>
      <x:c r="U95" s="144"/>
      <x:c r="V95" s="144"/>
      <x:c r="W95" s="144"/>
      <x:c r="X95" s="144"/>
      <x:c r="Y95" s="144"/>
      <x:c r="Z95" s="144"/>
      <x:c r="AA95" s="144"/>
      <x:c r="AB95" s="144"/>
      <x:c r="AC95" s="144"/>
      <x:c r="AD95" s="144"/>
      <x:c r="AE95" s="144"/>
      <x:c r="AF95" s="144"/>
      <x:c r="AG95" s="144"/>
      <x:c r="AH95" s="144"/>
      <x:c r="AI95" s="144"/>
      <x:c r="AJ95" s="144"/>
      <x:c r="AK95" s="144"/>
      <x:c r="AL95" s="144"/>
      <x:c r="AM95" s="144"/>
      <x:c r="AN95" s="144"/>
      <x:c r="AO95" s="144"/>
      <x:c r="AP95" s="144"/>
      <x:c r="AQ95" s="144"/>
      <x:c r="AR95" s="144"/>
      <x:c r="AS95" s="144"/>
      <x:c r="AT95" s="144"/>
      <x:c r="AU95" s="144"/>
      <x:c r="AV95" s="144"/>
      <x:c r="AW95" s="144"/>
      <x:c r="AX95" s="144"/>
      <x:c r="AY95" s="144"/>
      <x:c r="AZ95" s="144"/>
    </x:row>
    <x:row r="96">
      <x:c r="A96" s="144"/>
      <x:c r="B96" s="144"/>
      <x:c r="C96" s="144"/>
      <x:c r="D96" s="144"/>
      <x:c r="E96" s="144"/>
      <x:c r="F96" s="144"/>
      <x:c r="G96" s="144"/>
      <x:c r="H96" s="144"/>
      <x:c r="I96" s="144"/>
      <x:c r="J96" s="144"/>
      <x:c r="K96" s="144"/>
      <x:c r="L96" s="144"/>
      <x:c r="M96" s="144"/>
      <x:c r="N96" s="144"/>
      <x:c r="O96" s="144"/>
      <x:c r="P96" s="144"/>
      <x:c r="Q96" s="144"/>
      <x:c r="R96" s="144"/>
      <x:c r="S96" s="144"/>
      <x:c r="T96" s="144"/>
      <x:c r="U96" s="144"/>
      <x:c r="V96" s="144"/>
      <x:c r="W96" s="144"/>
      <x:c r="X96" s="144"/>
      <x:c r="Y96" s="144"/>
      <x:c r="Z96" s="144"/>
      <x:c r="AA96" s="144"/>
      <x:c r="AB96" s="144"/>
      <x:c r="AC96" s="144"/>
      <x:c r="AD96" s="144"/>
      <x:c r="AE96" s="144"/>
      <x:c r="AF96" s="144"/>
      <x:c r="AG96" s="144"/>
      <x:c r="AH96" s="144"/>
      <x:c r="AI96" s="144"/>
      <x:c r="AJ96" s="144"/>
      <x:c r="AK96" s="144"/>
      <x:c r="AL96" s="144"/>
      <x:c r="AM96" s="144"/>
      <x:c r="AN96" s="144"/>
      <x:c r="AO96" s="144"/>
      <x:c r="AP96" s="144"/>
      <x:c r="AQ96" s="144"/>
      <x:c r="AR96" s="144"/>
      <x:c r="AS96" s="144"/>
      <x:c r="AT96" s="144"/>
      <x:c r="AU96" s="144"/>
      <x:c r="AV96" s="144"/>
      <x:c r="AW96" s="144"/>
      <x:c r="AX96" s="144"/>
      <x:c r="AY96" s="144"/>
      <x:c r="AZ96" s="144"/>
    </x:row>
    <x:row r="97">
      <x:c r="A97" s="144"/>
      <x:c r="B97" s="144"/>
      <x:c r="C97" s="144"/>
      <x:c r="D97" s="144"/>
      <x:c r="E97" s="144"/>
      <x:c r="F97" s="144"/>
      <x:c r="G97" s="144"/>
      <x:c r="H97" s="144"/>
      <x:c r="I97" s="144"/>
      <x:c r="J97" s="144"/>
      <x:c r="K97" s="144"/>
      <x:c r="L97" s="144"/>
      <x:c r="M97" s="144"/>
      <x:c r="N97" s="144"/>
      <x:c r="O97" s="144"/>
      <x:c r="P97" s="144"/>
      <x:c r="Q97" s="144"/>
      <x:c r="R97" s="144"/>
      <x:c r="S97" s="144"/>
      <x:c r="T97" s="144"/>
      <x:c r="U97" s="144"/>
      <x:c r="V97" s="144"/>
      <x:c r="W97" s="144"/>
      <x:c r="X97" s="144"/>
      <x:c r="Y97" s="144"/>
      <x:c r="Z97" s="144"/>
      <x:c r="AA97" s="144"/>
      <x:c r="AB97" s="144"/>
      <x:c r="AC97" s="144"/>
      <x:c r="AD97" s="144"/>
      <x:c r="AE97" s="144"/>
      <x:c r="AF97" s="144"/>
      <x:c r="AG97" s="144"/>
      <x:c r="AH97" s="144"/>
      <x:c r="AI97" s="144"/>
      <x:c r="AJ97" s="144"/>
      <x:c r="AK97" s="144"/>
      <x:c r="AL97" s="144"/>
      <x:c r="AM97" s="144"/>
      <x:c r="AN97" s="144"/>
      <x:c r="AO97" s="144"/>
      <x:c r="AP97" s="144"/>
      <x:c r="AQ97" s="144"/>
      <x:c r="AR97" s="144"/>
      <x:c r="AS97" s="144"/>
      <x:c r="AT97" s="144"/>
      <x:c r="AU97" s="144"/>
      <x:c r="AV97" s="144"/>
      <x:c r="AW97" s="144"/>
      <x:c r="AX97" s="144"/>
      <x:c r="AY97" s="144"/>
      <x:c r="AZ97" s="144"/>
    </x:row>
    <x:row r="98">
      <x:c r="A98" s="144"/>
      <x:c r="B98" s="144"/>
      <x:c r="C98" s="144"/>
      <x:c r="D98" s="144"/>
      <x:c r="E98" s="144"/>
      <x:c r="F98" s="144"/>
      <x:c r="G98" s="144"/>
      <x:c r="H98" s="144"/>
      <x:c r="I98" s="144"/>
      <x:c r="J98" s="144"/>
      <x:c r="K98" s="144"/>
      <x:c r="L98" s="144"/>
      <x:c r="M98" s="144"/>
      <x:c r="N98" s="144"/>
      <x:c r="O98" s="144"/>
      <x:c r="P98" s="144"/>
      <x:c r="Q98" s="144"/>
      <x:c r="R98" s="144"/>
      <x:c r="S98" s="144"/>
      <x:c r="T98" s="144"/>
      <x:c r="U98" s="144"/>
      <x:c r="V98" s="144"/>
      <x:c r="W98" s="144"/>
      <x:c r="X98" s="144"/>
      <x:c r="Y98" s="144"/>
      <x:c r="Z98" s="144"/>
      <x:c r="AA98" s="144"/>
      <x:c r="AB98" s="144"/>
      <x:c r="AC98" s="144"/>
      <x:c r="AD98" s="144"/>
      <x:c r="AE98" s="144"/>
      <x:c r="AF98" s="144"/>
      <x:c r="AG98" s="144"/>
      <x:c r="AH98" s="144"/>
      <x:c r="AI98" s="144"/>
      <x:c r="AJ98" s="144"/>
      <x:c r="AK98" s="144"/>
      <x:c r="AL98" s="144"/>
      <x:c r="AM98" s="144"/>
      <x:c r="AN98" s="144"/>
      <x:c r="AO98" s="144"/>
      <x:c r="AP98" s="144"/>
      <x:c r="AQ98" s="144"/>
      <x:c r="AR98" s="144"/>
      <x:c r="AS98" s="144"/>
      <x:c r="AT98" s="144"/>
      <x:c r="AU98" s="144"/>
      <x:c r="AV98" s="144"/>
      <x:c r="AW98" s="144"/>
      <x:c r="AX98" s="144"/>
      <x:c r="AY98" s="144"/>
      <x:c r="AZ98" s="144"/>
    </x:row>
    <x:row r="99">
      <x:c r="A99" s="144"/>
      <x:c r="B99" s="144"/>
      <x:c r="C99" s="144"/>
      <x:c r="D99" s="144"/>
      <x:c r="E99" s="144"/>
      <x:c r="F99" s="144"/>
      <x:c r="G99" s="144"/>
      <x:c r="H99" s="144"/>
      <x:c r="I99" s="144"/>
      <x:c r="J99" s="144"/>
      <x:c r="K99" s="144"/>
      <x:c r="L99" s="144"/>
      <x:c r="M99" s="144"/>
      <x:c r="N99" s="144"/>
      <x:c r="O99" s="144"/>
      <x:c r="P99" s="144"/>
      <x:c r="Q99" s="144"/>
      <x:c r="R99" s="144"/>
      <x:c r="S99" s="144"/>
      <x:c r="T99" s="144"/>
      <x:c r="U99" s="144"/>
      <x:c r="V99" s="144"/>
      <x:c r="W99" s="144"/>
      <x:c r="X99" s="144"/>
      <x:c r="Y99" s="144"/>
      <x:c r="Z99" s="144"/>
      <x:c r="AA99" s="144"/>
      <x:c r="AB99" s="144"/>
      <x:c r="AC99" s="144"/>
      <x:c r="AD99" s="144"/>
      <x:c r="AE99" s="144"/>
      <x:c r="AF99" s="144"/>
      <x:c r="AG99" s="144"/>
      <x:c r="AH99" s="144"/>
      <x:c r="AI99" s="144"/>
      <x:c r="AJ99" s="144"/>
      <x:c r="AK99" s="144"/>
      <x:c r="AL99" s="144"/>
      <x:c r="AM99" s="144"/>
      <x:c r="AN99" s="144"/>
      <x:c r="AO99" s="144"/>
      <x:c r="AP99" s="144"/>
      <x:c r="AQ99" s="144"/>
      <x:c r="AR99" s="144"/>
      <x:c r="AS99" s="144"/>
      <x:c r="AT99" s="144"/>
      <x:c r="AU99" s="144"/>
      <x:c r="AV99" s="144"/>
      <x:c r="AW99" s="144"/>
      <x:c r="AX99" s="144"/>
      <x:c r="AY99" s="144"/>
      <x:c r="AZ99" s="144"/>
    </x:row>
    <x:row r="100">
      <x:c r="A100" s="144"/>
      <x:c r="B100" s="144"/>
      <x:c r="C100" s="144"/>
      <x:c r="D100" s="144"/>
      <x:c r="E100" s="144"/>
      <x:c r="F100" s="144"/>
      <x:c r="G100" s="144"/>
      <x:c r="H100" s="144"/>
      <x:c r="I100" s="144"/>
      <x:c r="J100" s="144"/>
      <x:c r="K100" s="144"/>
      <x:c r="L100" s="144"/>
      <x:c r="M100" s="144"/>
      <x:c r="N100" s="144"/>
      <x:c r="O100" s="144"/>
      <x:c r="P100" s="144"/>
      <x:c r="Q100" s="144"/>
      <x:c r="R100" s="144"/>
      <x:c r="S100" s="144"/>
      <x:c r="T100" s="144"/>
      <x:c r="U100" s="144"/>
      <x:c r="V100" s="144"/>
      <x:c r="W100" s="144"/>
      <x:c r="X100" s="144"/>
      <x:c r="Y100" s="144"/>
      <x:c r="Z100" s="144"/>
      <x:c r="AA100" s="144"/>
      <x:c r="AB100" s="144"/>
      <x:c r="AC100" s="144"/>
      <x:c r="AD100" s="144"/>
      <x:c r="AE100" s="144"/>
      <x:c r="AF100" s="144"/>
      <x:c r="AG100" s="144"/>
      <x:c r="AH100" s="144"/>
      <x:c r="AI100" s="144"/>
      <x:c r="AJ100" s="144"/>
      <x:c r="AK100" s="144"/>
      <x:c r="AL100" s="144"/>
      <x:c r="AM100" s="144"/>
      <x:c r="AN100" s="144"/>
      <x:c r="AO100" s="144"/>
      <x:c r="AP100" s="144"/>
      <x:c r="AQ100" s="144"/>
      <x:c r="AR100" s="144"/>
      <x:c r="AS100" s="144"/>
      <x:c r="AT100" s="144"/>
      <x:c r="AU100" s="144"/>
      <x:c r="AV100" s="144"/>
      <x:c r="AW100" s="144"/>
      <x:c r="AX100" s="144"/>
      <x:c r="AY100" s="144"/>
      <x:c r="AZ100" s="144"/>
    </x:row>
    <x:row r="101">
      <x:c r="A101" s="144"/>
      <x:c r="B101" s="144"/>
      <x:c r="C101" s="144"/>
      <x:c r="D101" s="144"/>
      <x:c r="E101" s="144"/>
      <x:c r="F101" s="144"/>
      <x:c r="G101" s="144"/>
      <x:c r="H101" s="144"/>
      <x:c r="I101" s="144"/>
      <x:c r="J101" s="144"/>
      <x:c r="K101" s="144"/>
      <x:c r="L101" s="144"/>
      <x:c r="M101" s="144"/>
      <x:c r="N101" s="144"/>
      <x:c r="O101" s="144"/>
      <x:c r="P101" s="144"/>
      <x:c r="Q101" s="144"/>
      <x:c r="R101" s="144"/>
      <x:c r="S101" s="144"/>
      <x:c r="T101" s="144"/>
      <x:c r="U101" s="144"/>
      <x:c r="V101" s="144"/>
      <x:c r="W101" s="144"/>
      <x:c r="X101" s="144"/>
      <x:c r="Y101" s="144"/>
      <x:c r="Z101" s="144"/>
      <x:c r="AA101" s="144"/>
      <x:c r="AB101" s="144"/>
      <x:c r="AC101" s="144"/>
      <x:c r="AD101" s="144"/>
      <x:c r="AE101" s="144"/>
      <x:c r="AF101" s="144"/>
      <x:c r="AG101" s="144"/>
      <x:c r="AH101" s="144"/>
      <x:c r="AI101" s="144"/>
      <x:c r="AJ101" s="144"/>
      <x:c r="AK101" s="144"/>
      <x:c r="AL101" s="144"/>
      <x:c r="AM101" s="144"/>
      <x:c r="AN101" s="144"/>
      <x:c r="AO101" s="144"/>
      <x:c r="AP101" s="144"/>
      <x:c r="AQ101" s="144"/>
      <x:c r="AR101" s="144"/>
      <x:c r="AS101" s="144"/>
      <x:c r="AT101" s="144"/>
      <x:c r="AU101" s="144"/>
      <x:c r="AV101" s="144"/>
      <x:c r="AW101" s="144"/>
      <x:c r="AX101" s="144"/>
      <x:c r="AY101" s="144"/>
      <x:c r="AZ101" s="144"/>
    </x:row>
    <x:row r="102">
      <x:c r="A102" s="144"/>
      <x:c r="B102" s="144"/>
      <x:c r="C102" s="144"/>
      <x:c r="D102" s="144"/>
      <x:c r="E102" s="144"/>
      <x:c r="F102" s="144"/>
      <x:c r="G102" s="144"/>
      <x:c r="H102" s="144"/>
      <x:c r="I102" s="144"/>
      <x:c r="J102" s="144"/>
      <x:c r="K102" s="144"/>
      <x:c r="L102" s="144"/>
      <x:c r="M102" s="144"/>
      <x:c r="N102" s="144"/>
      <x:c r="O102" s="144"/>
      <x:c r="P102" s="144"/>
      <x:c r="Q102" s="144"/>
      <x:c r="R102" s="144"/>
      <x:c r="S102" s="144"/>
      <x:c r="T102" s="144"/>
      <x:c r="U102" s="144"/>
      <x:c r="V102" s="144"/>
      <x:c r="W102" s="144"/>
      <x:c r="X102" s="144"/>
      <x:c r="Y102" s="144"/>
      <x:c r="Z102" s="144"/>
      <x:c r="AA102" s="144"/>
      <x:c r="AB102" s="144"/>
      <x:c r="AC102" s="144"/>
      <x:c r="AD102" s="144"/>
      <x:c r="AE102" s="144"/>
      <x:c r="AF102" s="144"/>
      <x:c r="AG102" s="144"/>
      <x:c r="AH102" s="144"/>
      <x:c r="AI102" s="144"/>
      <x:c r="AJ102" s="144"/>
      <x:c r="AK102" s="144"/>
      <x:c r="AL102" s="144"/>
      <x:c r="AM102" s="144"/>
      <x:c r="AN102" s="144"/>
      <x:c r="AO102" s="144"/>
      <x:c r="AP102" s="144"/>
      <x:c r="AQ102" s="144"/>
      <x:c r="AR102" s="144"/>
      <x:c r="AS102" s="144"/>
      <x:c r="AT102" s="144"/>
      <x:c r="AU102" s="144"/>
      <x:c r="AV102" s="144"/>
      <x:c r="AW102" s="144"/>
      <x:c r="AX102" s="144"/>
      <x:c r="AY102" s="144"/>
      <x:c r="AZ102" s="144"/>
    </x:row>
    <x:row r="103">
      <x:c r="A103" s="144"/>
      <x:c r="B103" s="144"/>
      <x:c r="C103" s="144"/>
      <x:c r="D103" s="144"/>
      <x:c r="E103" s="144"/>
      <x:c r="F103" s="144"/>
      <x:c r="G103" s="144"/>
      <x:c r="H103" s="144"/>
      <x:c r="I103" s="144"/>
      <x:c r="J103" s="144"/>
      <x:c r="K103" s="144"/>
      <x:c r="L103" s="144"/>
      <x:c r="M103" s="144"/>
      <x:c r="N103" s="144"/>
      <x:c r="O103" s="144"/>
      <x:c r="P103" s="144"/>
      <x:c r="Q103" s="144"/>
      <x:c r="R103" s="144"/>
      <x:c r="S103" s="144"/>
      <x:c r="T103" s="144"/>
      <x:c r="U103" s="144"/>
      <x:c r="V103" s="144"/>
      <x:c r="W103" s="144"/>
      <x:c r="X103" s="144"/>
      <x:c r="Y103" s="144"/>
      <x:c r="Z103" s="144"/>
      <x:c r="AA103" s="144"/>
      <x:c r="AB103" s="144"/>
      <x:c r="AC103" s="144"/>
      <x:c r="AD103" s="144"/>
      <x:c r="AE103" s="144"/>
      <x:c r="AF103" s="144"/>
      <x:c r="AG103" s="144"/>
      <x:c r="AH103" s="144"/>
      <x:c r="AI103" s="144"/>
      <x:c r="AJ103" s="144"/>
      <x:c r="AK103" s="144"/>
      <x:c r="AL103" s="144"/>
      <x:c r="AM103" s="144"/>
      <x:c r="AN103" s="144"/>
      <x:c r="AO103" s="144"/>
      <x:c r="AP103" s="144"/>
      <x:c r="AQ103" s="144"/>
      <x:c r="AR103" s="144"/>
      <x:c r="AS103" s="144"/>
      <x:c r="AT103" s="144"/>
      <x:c r="AU103" s="144"/>
      <x:c r="AV103" s="144"/>
      <x:c r="AW103" s="144"/>
      <x:c r="AX103" s="144"/>
      <x:c r="AY103" s="144"/>
      <x:c r="AZ103" s="144"/>
    </x:row>
    <x:row r="104">
      <x:c r="A104" s="144"/>
      <x:c r="B104" s="144"/>
      <x:c r="C104" s="144"/>
      <x:c r="D104" s="144"/>
      <x:c r="E104" s="144"/>
      <x:c r="F104" s="144"/>
      <x:c r="G104" s="144"/>
      <x:c r="H104" s="144"/>
      <x:c r="I104" s="144"/>
      <x:c r="J104" s="144"/>
      <x:c r="K104" s="144"/>
      <x:c r="L104" s="144"/>
      <x:c r="M104" s="144"/>
      <x:c r="N104" s="144"/>
      <x:c r="O104" s="144"/>
      <x:c r="P104" s="144"/>
      <x:c r="Q104" s="144"/>
      <x:c r="R104" s="144"/>
      <x:c r="S104" s="144"/>
      <x:c r="T104" s="144"/>
      <x:c r="U104" s="144"/>
      <x:c r="V104" s="144"/>
      <x:c r="W104" s="144"/>
      <x:c r="X104" s="144"/>
      <x:c r="Y104" s="144"/>
      <x:c r="Z104" s="144"/>
      <x:c r="AA104" s="144"/>
      <x:c r="AB104" s="144"/>
      <x:c r="AC104" s="144"/>
      <x:c r="AD104" s="144"/>
      <x:c r="AE104" s="144"/>
      <x:c r="AF104" s="144"/>
      <x:c r="AG104" s="144"/>
      <x:c r="AH104" s="144"/>
      <x:c r="AI104" s="144"/>
      <x:c r="AJ104" s="144"/>
      <x:c r="AK104" s="144"/>
      <x:c r="AL104" s="144"/>
      <x:c r="AM104" s="144"/>
      <x:c r="AN104" s="144"/>
      <x:c r="AO104" s="144"/>
      <x:c r="AP104" s="144"/>
      <x:c r="AQ104" s="144"/>
      <x:c r="AR104" s="144"/>
      <x:c r="AS104" s="144"/>
      <x:c r="AT104" s="144"/>
      <x:c r="AU104" s="144"/>
      <x:c r="AV104" s="144"/>
      <x:c r="AW104" s="144"/>
      <x:c r="AX104" s="144"/>
      <x:c r="AY104" s="144"/>
      <x:c r="AZ104" s="144"/>
    </x:row>
    <x:row r="105">
      <x:c r="A105" s="144"/>
      <x:c r="B105" s="144"/>
      <x:c r="C105" s="144"/>
      <x:c r="D105" s="144"/>
      <x:c r="E105" s="144"/>
      <x:c r="F105" s="144"/>
      <x:c r="G105" s="144"/>
      <x:c r="H105" s="144"/>
      <x:c r="I105" s="144"/>
      <x:c r="J105" s="144"/>
      <x:c r="K105" s="144"/>
      <x:c r="L105" s="144"/>
      <x:c r="M105" s="144"/>
      <x:c r="N105" s="144"/>
      <x:c r="O105" s="144"/>
      <x:c r="P105" s="144"/>
      <x:c r="Q105" s="144"/>
      <x:c r="R105" s="144"/>
      <x:c r="S105" s="144"/>
      <x:c r="T105" s="144"/>
      <x:c r="U105" s="144"/>
      <x:c r="V105" s="144"/>
      <x:c r="W105" s="144"/>
      <x:c r="X105" s="144"/>
      <x:c r="Y105" s="144"/>
      <x:c r="Z105" s="144"/>
      <x:c r="AA105" s="144"/>
      <x:c r="AB105" s="144"/>
      <x:c r="AC105" s="144"/>
      <x:c r="AD105" s="144"/>
      <x:c r="AE105" s="144"/>
      <x:c r="AF105" s="144"/>
      <x:c r="AG105" s="144"/>
      <x:c r="AH105" s="144"/>
      <x:c r="AI105" s="144"/>
      <x:c r="AJ105" s="144"/>
      <x:c r="AK105" s="144"/>
      <x:c r="AL105" s="144"/>
      <x:c r="AM105" s="144"/>
      <x:c r="AN105" s="144"/>
      <x:c r="AO105" s="144"/>
      <x:c r="AP105" s="144"/>
      <x:c r="AQ105" s="144"/>
      <x:c r="AR105" s="144"/>
      <x:c r="AS105" s="144"/>
      <x:c r="AT105" s="144"/>
      <x:c r="AU105" s="144"/>
      <x:c r="AV105" s="144"/>
      <x:c r="AW105" s="144"/>
      <x:c r="AX105" s="144"/>
      <x:c r="AY105" s="144"/>
      <x:c r="AZ105" s="144"/>
    </x:row>
    <x:row r="106">
      <x:c r="A106" s="144"/>
      <x:c r="B106" s="144"/>
      <x:c r="C106" s="144"/>
      <x:c r="D106" s="144"/>
      <x:c r="E106" s="144"/>
      <x:c r="F106" s="144"/>
      <x:c r="G106" s="144"/>
      <x:c r="H106" s="144"/>
      <x:c r="I106" s="144"/>
      <x:c r="J106" s="144"/>
      <x:c r="K106" s="144"/>
      <x:c r="L106" s="144"/>
      <x:c r="M106" s="144"/>
      <x:c r="N106" s="144"/>
      <x:c r="O106" s="144"/>
      <x:c r="P106" s="144"/>
      <x:c r="Q106" s="144"/>
      <x:c r="R106" s="144"/>
      <x:c r="S106" s="144"/>
      <x:c r="T106" s="144"/>
      <x:c r="U106" s="144"/>
      <x:c r="V106" s="144"/>
      <x:c r="W106" s="144"/>
      <x:c r="X106" s="144"/>
      <x:c r="Y106" s="144"/>
      <x:c r="Z106" s="144"/>
      <x:c r="AA106" s="144"/>
      <x:c r="AB106" s="144"/>
      <x:c r="AC106" s="144"/>
      <x:c r="AD106" s="144"/>
      <x:c r="AE106" s="144"/>
      <x:c r="AF106" s="144"/>
      <x:c r="AG106" s="144"/>
      <x:c r="AH106" s="144"/>
      <x:c r="AI106" s="144"/>
      <x:c r="AJ106" s="144"/>
      <x:c r="AK106" s="144"/>
      <x:c r="AL106" s="144"/>
      <x:c r="AM106" s="144"/>
      <x:c r="AN106" s="144"/>
      <x:c r="AO106" s="144"/>
      <x:c r="AP106" s="144"/>
      <x:c r="AQ106" s="144"/>
      <x:c r="AR106" s="144"/>
      <x:c r="AS106" s="144"/>
      <x:c r="AT106" s="144"/>
      <x:c r="AU106" s="144"/>
      <x:c r="AV106" s="144"/>
      <x:c r="AW106" s="144"/>
      <x:c r="AX106" s="144"/>
      <x:c r="AY106" s="144"/>
      <x:c r="AZ106" s="144"/>
    </x:row>
    <x:row r="107">
      <x:c r="A107" s="144"/>
      <x:c r="B107" s="144"/>
      <x:c r="C107" s="144"/>
      <x:c r="D107" s="144"/>
      <x:c r="E107" s="144"/>
      <x:c r="F107" s="144"/>
      <x:c r="G107" s="144"/>
      <x:c r="H107" s="144"/>
      <x:c r="I107" s="144"/>
      <x:c r="J107" s="144"/>
      <x:c r="K107" s="144"/>
      <x:c r="L107" s="144"/>
      <x:c r="M107" s="144"/>
      <x:c r="N107" s="144"/>
      <x:c r="O107" s="144"/>
      <x:c r="P107" s="144"/>
      <x:c r="Q107" s="144"/>
      <x:c r="R107" s="144"/>
      <x:c r="S107" s="144"/>
      <x:c r="T107" s="144"/>
      <x:c r="U107" s="144"/>
      <x:c r="V107" s="144"/>
      <x:c r="W107" s="144"/>
      <x:c r="X107" s="144"/>
      <x:c r="Y107" s="144"/>
      <x:c r="Z107" s="144"/>
      <x:c r="AA107" s="144"/>
      <x:c r="AB107" s="144"/>
      <x:c r="AC107" s="144"/>
      <x:c r="AD107" s="144"/>
      <x:c r="AE107" s="144"/>
      <x:c r="AF107" s="144"/>
      <x:c r="AG107" s="144"/>
      <x:c r="AH107" s="144"/>
      <x:c r="AI107" s="144"/>
      <x:c r="AJ107" s="144"/>
      <x:c r="AK107" s="144"/>
      <x:c r="AL107" s="144"/>
      <x:c r="AM107" s="144"/>
      <x:c r="AN107" s="144"/>
      <x:c r="AO107" s="144"/>
      <x:c r="AP107" s="144"/>
      <x:c r="AQ107" s="144"/>
      <x:c r="AR107" s="144"/>
      <x:c r="AS107" s="144"/>
      <x:c r="AT107" s="144"/>
      <x:c r="AU107" s="144"/>
      <x:c r="AV107" s="144"/>
      <x:c r="AW107" s="144"/>
      <x:c r="AX107" s="144"/>
      <x:c r="AY107" s="144"/>
      <x:c r="AZ107" s="144"/>
    </x:row>
    <x:row r="108">
      <x:c r="A108" s="144"/>
      <x:c r="B108" s="144"/>
      <x:c r="C108" s="144"/>
      <x:c r="D108" s="144"/>
      <x:c r="E108" s="144"/>
      <x:c r="F108" s="144"/>
      <x:c r="G108" s="144"/>
      <x:c r="H108" s="144"/>
      <x:c r="I108" s="144"/>
      <x:c r="J108" s="144"/>
      <x:c r="K108" s="144"/>
      <x:c r="L108" s="144"/>
      <x:c r="M108" s="144"/>
      <x:c r="N108" s="144"/>
      <x:c r="O108" s="144"/>
      <x:c r="P108" s="144"/>
      <x:c r="Q108" s="144"/>
      <x:c r="R108" s="144"/>
      <x:c r="S108" s="144"/>
      <x:c r="T108" s="144"/>
      <x:c r="U108" s="144"/>
      <x:c r="V108" s="144"/>
      <x:c r="W108" s="144"/>
      <x:c r="X108" s="144"/>
      <x:c r="Y108" s="144"/>
      <x:c r="Z108" s="144"/>
      <x:c r="AA108" s="144"/>
      <x:c r="AB108" s="144"/>
      <x:c r="AC108" s="144"/>
      <x:c r="AD108" s="144"/>
      <x:c r="AE108" s="144"/>
      <x:c r="AF108" s="144"/>
      <x:c r="AG108" s="144"/>
      <x:c r="AH108" s="144"/>
      <x:c r="AI108" s="144"/>
      <x:c r="AJ108" s="144"/>
      <x:c r="AK108" s="144"/>
      <x:c r="AL108" s="144"/>
      <x:c r="AM108" s="144"/>
      <x:c r="AN108" s="144"/>
      <x:c r="AO108" s="144"/>
      <x:c r="AP108" s="144"/>
      <x:c r="AQ108" s="144"/>
      <x:c r="AR108" s="144"/>
      <x:c r="AS108" s="144"/>
      <x:c r="AT108" s="144"/>
      <x:c r="AU108" s="144"/>
      <x:c r="AV108" s="144"/>
      <x:c r="AW108" s="144"/>
      <x:c r="AX108" s="144"/>
      <x:c r="AY108" s="144"/>
      <x:c r="AZ108" s="144"/>
    </x:row>
    <x:row r="109">
      <x:c r="A109" s="144"/>
      <x:c r="B109" s="144"/>
      <x:c r="C109" s="144"/>
      <x:c r="D109" s="144"/>
      <x:c r="E109" s="144"/>
      <x:c r="F109" s="144"/>
      <x:c r="G109" s="144"/>
      <x:c r="H109" s="144"/>
      <x:c r="I109" s="144"/>
      <x:c r="J109" s="144"/>
      <x:c r="K109" s="144"/>
      <x:c r="L109" s="144"/>
      <x:c r="M109" s="144"/>
      <x:c r="N109" s="144"/>
      <x:c r="O109" s="144"/>
      <x:c r="P109" s="144"/>
      <x:c r="Q109" s="144"/>
      <x:c r="R109" s="144"/>
      <x:c r="S109" s="144"/>
      <x:c r="T109" s="144"/>
      <x:c r="U109" s="144"/>
      <x:c r="V109" s="144"/>
      <x:c r="W109" s="144"/>
      <x:c r="X109" s="144"/>
      <x:c r="Y109" s="144"/>
      <x:c r="Z109" s="144"/>
      <x:c r="AA109" s="144"/>
      <x:c r="AB109" s="144"/>
      <x:c r="AC109" s="144"/>
      <x:c r="AD109" s="144"/>
      <x:c r="AE109" s="144"/>
      <x:c r="AF109" s="144"/>
      <x:c r="AG109" s="144"/>
      <x:c r="AH109" s="144"/>
      <x:c r="AI109" s="144"/>
      <x:c r="AJ109" s="144"/>
      <x:c r="AK109" s="144"/>
      <x:c r="AL109" s="144"/>
      <x:c r="AM109" s="144"/>
      <x:c r="AN109" s="144"/>
      <x:c r="AO109" s="144"/>
      <x:c r="AP109" s="144"/>
      <x:c r="AQ109" s="144"/>
      <x:c r="AR109" s="144"/>
      <x:c r="AS109" s="144"/>
      <x:c r="AT109" s="144"/>
      <x:c r="AU109" s="144"/>
      <x:c r="AV109" s="144"/>
      <x:c r="AW109" s="144"/>
      <x:c r="AX109" s="144"/>
      <x:c r="AY109" s="144"/>
      <x:c r="AZ109" s="144"/>
    </x:row>
    <x:row r="110">
      <x:c r="A110" s="144"/>
      <x:c r="B110" s="144"/>
      <x:c r="C110" s="144"/>
      <x:c r="D110" s="144"/>
      <x:c r="E110" s="144"/>
      <x:c r="F110" s="144"/>
      <x:c r="G110" s="144"/>
      <x:c r="H110" s="144"/>
      <x:c r="I110" s="144"/>
      <x:c r="J110" s="144"/>
      <x:c r="K110" s="144"/>
      <x:c r="L110" s="144"/>
      <x:c r="M110" s="144"/>
      <x:c r="N110" s="144"/>
      <x:c r="O110" s="144"/>
      <x:c r="P110" s="144"/>
      <x:c r="Q110" s="144"/>
      <x:c r="R110" s="144"/>
      <x:c r="S110" s="144"/>
      <x:c r="T110" s="144"/>
      <x:c r="U110" s="144"/>
      <x:c r="V110" s="144"/>
      <x:c r="W110" s="144"/>
      <x:c r="X110" s="144"/>
      <x:c r="Y110" s="144"/>
      <x:c r="Z110" s="144"/>
      <x:c r="AA110" s="144"/>
      <x:c r="AB110" s="144"/>
      <x:c r="AC110" s="144"/>
      <x:c r="AD110" s="144"/>
      <x:c r="AE110" s="144"/>
      <x:c r="AF110" s="144"/>
      <x:c r="AG110" s="144"/>
      <x:c r="AH110" s="144"/>
      <x:c r="AI110" s="144"/>
      <x:c r="AJ110" s="144"/>
      <x:c r="AK110" s="144"/>
      <x:c r="AL110" s="144"/>
      <x:c r="AM110" s="144"/>
      <x:c r="AN110" s="144"/>
      <x:c r="AO110" s="144"/>
      <x:c r="AP110" s="144"/>
      <x:c r="AQ110" s="144"/>
      <x:c r="AR110" s="144"/>
      <x:c r="AS110" s="144"/>
      <x:c r="AT110" s="144"/>
      <x:c r="AU110" s="144"/>
      <x:c r="AV110" s="144"/>
      <x:c r="AW110" s="144"/>
      <x:c r="AX110" s="144"/>
      <x:c r="AY110" s="144"/>
      <x:c r="AZ110" s="144"/>
    </x:row>
    <x:row r="111">
      <x:c r="A111" s="144"/>
      <x:c r="B111" s="144"/>
      <x:c r="C111" s="144"/>
      <x:c r="D111" s="144"/>
      <x:c r="E111" s="144"/>
      <x:c r="F111" s="144"/>
      <x:c r="G111" s="144"/>
      <x:c r="H111" s="144"/>
      <x:c r="I111" s="144"/>
      <x:c r="J111" s="144"/>
      <x:c r="K111" s="144"/>
      <x:c r="L111" s="144"/>
      <x:c r="M111" s="144"/>
      <x:c r="N111" s="144"/>
      <x:c r="O111" s="144"/>
      <x:c r="P111" s="144"/>
      <x:c r="Q111" s="144"/>
      <x:c r="R111" s="144"/>
      <x:c r="S111" s="144"/>
      <x:c r="T111" s="144"/>
      <x:c r="U111" s="144"/>
      <x:c r="V111" s="144"/>
      <x:c r="W111" s="144"/>
      <x:c r="X111" s="144"/>
      <x:c r="Y111" s="144"/>
      <x:c r="Z111" s="144"/>
      <x:c r="AA111" s="144"/>
      <x:c r="AB111" s="144"/>
      <x:c r="AC111" s="144"/>
      <x:c r="AD111" s="144"/>
      <x:c r="AE111" s="144"/>
      <x:c r="AF111" s="144"/>
      <x:c r="AG111" s="144"/>
      <x:c r="AH111" s="144"/>
      <x:c r="AI111" s="144"/>
      <x:c r="AJ111" s="144"/>
      <x:c r="AK111" s="144"/>
      <x:c r="AL111" s="144"/>
      <x:c r="AM111" s="144"/>
      <x:c r="AN111" s="144"/>
      <x:c r="AO111" s="144"/>
      <x:c r="AP111" s="144"/>
      <x:c r="AQ111" s="144"/>
      <x:c r="AR111" s="144"/>
      <x:c r="AS111" s="144"/>
      <x:c r="AT111" s="144"/>
      <x:c r="AU111" s="144"/>
      <x:c r="AV111" s="144"/>
      <x:c r="AW111" s="144"/>
      <x:c r="AX111" s="144"/>
      <x:c r="AY111" s="144"/>
      <x:c r="AZ111" s="144"/>
    </x:row>
    <x:row r="112">
      <x:c r="A112" s="144"/>
      <x:c r="B112" s="144"/>
      <x:c r="C112" s="144"/>
      <x:c r="D112" s="144"/>
      <x:c r="E112" s="144"/>
      <x:c r="F112" s="144"/>
      <x:c r="G112" s="144"/>
      <x:c r="H112" s="144"/>
      <x:c r="I112" s="144"/>
      <x:c r="J112" s="144"/>
      <x:c r="K112" s="144"/>
      <x:c r="L112" s="144"/>
      <x:c r="M112" s="144"/>
      <x:c r="N112" s="144"/>
      <x:c r="O112" s="144"/>
      <x:c r="P112" s="144"/>
      <x:c r="Q112" s="144"/>
      <x:c r="R112" s="144"/>
      <x:c r="S112" s="144"/>
      <x:c r="T112" s="144"/>
      <x:c r="U112" s="144"/>
      <x:c r="V112" s="144"/>
      <x:c r="W112" s="144"/>
      <x:c r="X112" s="144"/>
      <x:c r="Y112" s="144"/>
      <x:c r="Z112" s="144"/>
      <x:c r="AA112" s="144"/>
      <x:c r="AB112" s="144"/>
      <x:c r="AC112" s="144"/>
      <x:c r="AD112" s="144"/>
      <x:c r="AE112" s="144"/>
      <x:c r="AF112" s="144"/>
      <x:c r="AG112" s="144"/>
      <x:c r="AH112" s="144"/>
      <x:c r="AI112" s="144"/>
      <x:c r="AJ112" s="144"/>
      <x:c r="AK112" s="144"/>
      <x:c r="AL112" s="144"/>
      <x:c r="AM112" s="144"/>
      <x:c r="AN112" s="144"/>
      <x:c r="AO112" s="144"/>
      <x:c r="AP112" s="144"/>
      <x:c r="AQ112" s="144"/>
      <x:c r="AR112" s="144"/>
      <x:c r="AS112" s="144"/>
      <x:c r="AT112" s="144"/>
      <x:c r="AU112" s="144"/>
      <x:c r="AV112" s="144"/>
      <x:c r="AW112" s="144"/>
      <x:c r="AX112" s="144"/>
      <x:c r="AY112" s="144"/>
      <x:c r="AZ112" s="144"/>
    </x:row>
    <x:row r="113">
      <x:c r="A113" s="144"/>
      <x:c r="B113" s="144"/>
      <x:c r="C113" s="144"/>
      <x:c r="D113" s="144"/>
      <x:c r="E113" s="144"/>
      <x:c r="F113" s="144"/>
      <x:c r="G113" s="144"/>
      <x:c r="H113" s="144"/>
      <x:c r="I113" s="144"/>
      <x:c r="J113" s="144"/>
      <x:c r="K113" s="144"/>
      <x:c r="L113" s="144"/>
      <x:c r="M113" s="144"/>
      <x:c r="N113" s="144"/>
      <x:c r="O113" s="144"/>
      <x:c r="P113" s="144"/>
      <x:c r="Q113" s="144"/>
      <x:c r="R113" s="144"/>
      <x:c r="S113" s="144"/>
      <x:c r="T113" s="144"/>
      <x:c r="U113" s="144"/>
      <x:c r="V113" s="144"/>
      <x:c r="W113" s="144"/>
      <x:c r="X113" s="144"/>
      <x:c r="Y113" s="144"/>
      <x:c r="Z113" s="144"/>
      <x:c r="AA113" s="144"/>
      <x:c r="AB113" s="144"/>
      <x:c r="AC113" s="144"/>
      <x:c r="AD113" s="144"/>
      <x:c r="AE113" s="144"/>
      <x:c r="AF113" s="144"/>
      <x:c r="AG113" s="144"/>
      <x:c r="AH113" s="144"/>
      <x:c r="AI113" s="144"/>
      <x:c r="AJ113" s="144"/>
      <x:c r="AK113" s="144"/>
      <x:c r="AL113" s="144"/>
      <x:c r="AM113" s="144"/>
      <x:c r="AN113" s="144"/>
      <x:c r="AO113" s="144"/>
      <x:c r="AP113" s="144"/>
      <x:c r="AQ113" s="144"/>
      <x:c r="AR113" s="144"/>
      <x:c r="AS113" s="144"/>
      <x:c r="AT113" s="144"/>
      <x:c r="AU113" s="144"/>
      <x:c r="AV113" s="144"/>
      <x:c r="AW113" s="144"/>
      <x:c r="AX113" s="144"/>
      <x:c r="AY113" s="144"/>
      <x:c r="AZ113" s="144"/>
    </x:row>
    <x:row r="114">
      <x:c r="A114" s="144"/>
      <x:c r="B114" s="144"/>
      <x:c r="C114" s="144"/>
      <x:c r="D114" s="144"/>
      <x:c r="E114" s="144"/>
      <x:c r="F114" s="144"/>
      <x:c r="G114" s="144"/>
      <x:c r="H114" s="144"/>
      <x:c r="I114" s="144"/>
      <x:c r="J114" s="144"/>
      <x:c r="K114" s="144"/>
      <x:c r="L114" s="144"/>
      <x:c r="M114" s="144"/>
      <x:c r="N114" s="144"/>
      <x:c r="O114" s="144"/>
      <x:c r="P114" s="144"/>
      <x:c r="Q114" s="144"/>
      <x:c r="R114" s="144"/>
      <x:c r="S114" s="144"/>
      <x:c r="T114" s="144"/>
      <x:c r="U114" s="144"/>
      <x:c r="V114" s="144"/>
      <x:c r="W114" s="144"/>
      <x:c r="X114" s="144"/>
      <x:c r="Y114" s="144"/>
      <x:c r="Z114" s="144"/>
      <x:c r="AA114" s="144"/>
      <x:c r="AB114" s="144"/>
      <x:c r="AC114" s="144"/>
      <x:c r="AD114" s="144"/>
      <x:c r="AE114" s="144"/>
      <x:c r="AF114" s="144"/>
      <x:c r="AG114" s="144"/>
      <x:c r="AH114" s="144"/>
      <x:c r="AI114" s="144"/>
      <x:c r="AJ114" s="144"/>
      <x:c r="AK114" s="144"/>
      <x:c r="AL114" s="144"/>
      <x:c r="AM114" s="144"/>
      <x:c r="AN114" s="144"/>
      <x:c r="AO114" s="144"/>
      <x:c r="AP114" s="144"/>
      <x:c r="AQ114" s="144"/>
      <x:c r="AR114" s="144"/>
      <x:c r="AS114" s="144"/>
      <x:c r="AT114" s="144"/>
      <x:c r="AU114" s="144"/>
      <x:c r="AV114" s="144"/>
      <x:c r="AW114" s="144"/>
      <x:c r="AX114" s="144"/>
      <x:c r="AY114" s="144"/>
      <x:c r="AZ114" s="144"/>
    </x:row>
    <x:row r="115">
      <x:c r="A115" s="144"/>
      <x:c r="B115" s="144"/>
      <x:c r="C115" s="144"/>
      <x:c r="D115" s="144"/>
      <x:c r="E115" s="144"/>
      <x:c r="F115" s="144"/>
      <x:c r="G115" s="144"/>
      <x:c r="H115" s="144"/>
      <x:c r="I115" s="144"/>
      <x:c r="J115" s="144"/>
      <x:c r="K115" s="144"/>
      <x:c r="L115" s="144"/>
      <x:c r="M115" s="144"/>
      <x:c r="N115" s="144"/>
      <x:c r="O115" s="144"/>
      <x:c r="P115" s="144"/>
      <x:c r="Q115" s="144"/>
      <x:c r="R115" s="144"/>
      <x:c r="S115" s="144"/>
      <x:c r="T115" s="144"/>
      <x:c r="U115" s="144"/>
      <x:c r="V115" s="144"/>
      <x:c r="W115" s="144"/>
      <x:c r="X115" s="144"/>
      <x:c r="Y115" s="144"/>
      <x:c r="Z115" s="144"/>
      <x:c r="AA115" s="144"/>
      <x:c r="AB115" s="144"/>
      <x:c r="AC115" s="144"/>
      <x:c r="AD115" s="144"/>
      <x:c r="AE115" s="144"/>
      <x:c r="AF115" s="144"/>
      <x:c r="AG115" s="144"/>
      <x:c r="AH115" s="144"/>
      <x:c r="AI115" s="144"/>
      <x:c r="AJ115" s="144"/>
      <x:c r="AK115" s="144"/>
      <x:c r="AL115" s="144"/>
      <x:c r="AM115" s="144"/>
      <x:c r="AN115" s="144"/>
      <x:c r="AO115" s="144"/>
      <x:c r="AP115" s="144"/>
      <x:c r="AQ115" s="144"/>
      <x:c r="AR115" s="144"/>
      <x:c r="AS115" s="144"/>
      <x:c r="AT115" s="144"/>
      <x:c r="AU115" s="144"/>
      <x:c r="AV115" s="144"/>
      <x:c r="AW115" s="144"/>
      <x:c r="AX115" s="144"/>
      <x:c r="AY115" s="144"/>
      <x:c r="AZ115" s="144"/>
    </x:row>
    <x:row r="116">
      <x:c r="A116" s="144"/>
      <x:c r="B116" s="144"/>
      <x:c r="C116" s="144"/>
      <x:c r="D116" s="144"/>
      <x:c r="E116" s="144"/>
      <x:c r="F116" s="144"/>
      <x:c r="G116" s="144"/>
      <x:c r="H116" s="144"/>
      <x:c r="I116" s="144"/>
      <x:c r="J116" s="144"/>
      <x:c r="K116" s="144"/>
      <x:c r="L116" s="144"/>
      <x:c r="M116" s="144"/>
      <x:c r="N116" s="144"/>
      <x:c r="O116" s="144"/>
      <x:c r="P116" s="144"/>
      <x:c r="Q116" s="144"/>
      <x:c r="R116" s="144"/>
      <x:c r="S116" s="144"/>
      <x:c r="T116" s="144"/>
      <x:c r="U116" s="144"/>
      <x:c r="V116" s="144"/>
      <x:c r="W116" s="144"/>
      <x:c r="X116" s="144"/>
      <x:c r="Y116" s="144"/>
      <x:c r="Z116" s="144"/>
      <x:c r="AA116" s="144"/>
      <x:c r="AB116" s="144"/>
      <x:c r="AC116" s="144"/>
      <x:c r="AD116" s="144"/>
      <x:c r="AE116" s="144"/>
      <x:c r="AF116" s="144"/>
      <x:c r="AG116" s="144"/>
      <x:c r="AH116" s="144"/>
      <x:c r="AI116" s="144"/>
      <x:c r="AJ116" s="144"/>
      <x:c r="AK116" s="144"/>
      <x:c r="AL116" s="144"/>
      <x:c r="AM116" s="144"/>
      <x:c r="AN116" s="144"/>
      <x:c r="AO116" s="144"/>
      <x:c r="AP116" s="144"/>
      <x:c r="AQ116" s="144"/>
      <x:c r="AR116" s="144"/>
      <x:c r="AS116" s="144"/>
      <x:c r="AT116" s="144"/>
      <x:c r="AU116" s="144"/>
      <x:c r="AV116" s="144"/>
      <x:c r="AW116" s="144"/>
      <x:c r="AX116" s="144"/>
      <x:c r="AY116" s="144"/>
      <x:c r="AZ116" s="144"/>
    </x:row>
    <x:row r="117">
      <x:c r="A117" s="144"/>
      <x:c r="B117" s="144"/>
      <x:c r="C117" s="144"/>
      <x:c r="D117" s="144"/>
      <x:c r="E117" s="144"/>
      <x:c r="F117" s="144"/>
      <x:c r="G117" s="144"/>
      <x:c r="H117" s="144"/>
      <x:c r="I117" s="144"/>
      <x:c r="J117" s="144"/>
      <x:c r="K117" s="144"/>
      <x:c r="L117" s="144"/>
      <x:c r="M117" s="144"/>
      <x:c r="N117" s="144"/>
      <x:c r="O117" s="144"/>
      <x:c r="P117" s="144"/>
      <x:c r="Q117" s="144"/>
      <x:c r="R117" s="144"/>
      <x:c r="S117" s="144"/>
      <x:c r="T117" s="144"/>
      <x:c r="U117" s="144"/>
      <x:c r="V117" s="144"/>
      <x:c r="W117" s="144"/>
      <x:c r="X117" s="144"/>
      <x:c r="Y117" s="144"/>
      <x:c r="Z117" s="144"/>
      <x:c r="AA117" s="144"/>
      <x:c r="AB117" s="144"/>
      <x:c r="AC117" s="144"/>
      <x:c r="AD117" s="144"/>
      <x:c r="AE117" s="144"/>
      <x:c r="AF117" s="144"/>
      <x:c r="AG117" s="144"/>
      <x:c r="AH117" s="144"/>
      <x:c r="AI117" s="144"/>
      <x:c r="AJ117" s="144"/>
      <x:c r="AK117" s="144"/>
      <x:c r="AL117" s="144"/>
      <x:c r="AM117" s="144"/>
      <x:c r="AN117" s="144"/>
      <x:c r="AO117" s="144"/>
      <x:c r="AP117" s="144"/>
      <x:c r="AQ117" s="144"/>
      <x:c r="AR117" s="144"/>
      <x:c r="AS117" s="144"/>
      <x:c r="AT117" s="144"/>
      <x:c r="AU117" s="144"/>
      <x:c r="AV117" s="144"/>
      <x:c r="AW117" s="144"/>
      <x:c r="AX117" s="144"/>
      <x:c r="AY117" s="144"/>
      <x:c r="AZ117" s="144"/>
    </x:row>
    <x:row r="118">
      <x:c r="A118" s="144"/>
      <x:c r="B118" s="144"/>
      <x:c r="C118" s="144"/>
      <x:c r="D118" s="144"/>
      <x:c r="E118" s="144"/>
      <x:c r="F118" s="144"/>
      <x:c r="G118" s="144"/>
      <x:c r="H118" s="144"/>
      <x:c r="I118" s="144"/>
      <x:c r="J118" s="144"/>
      <x:c r="K118" s="144"/>
      <x:c r="L118" s="144"/>
      <x:c r="M118" s="144"/>
      <x:c r="N118" s="144"/>
      <x:c r="O118" s="144"/>
      <x:c r="P118" s="144"/>
      <x:c r="Q118" s="144"/>
      <x:c r="R118" s="144"/>
      <x:c r="S118" s="144"/>
      <x:c r="T118" s="144"/>
      <x:c r="U118" s="144"/>
      <x:c r="V118" s="144"/>
      <x:c r="W118" s="144"/>
      <x:c r="X118" s="144"/>
      <x:c r="Y118" s="144"/>
      <x:c r="Z118" s="144"/>
      <x:c r="AA118" s="144"/>
      <x:c r="AB118" s="144"/>
      <x:c r="AC118" s="144"/>
      <x:c r="AD118" s="144"/>
      <x:c r="AE118" s="144"/>
      <x:c r="AF118" s="144"/>
      <x:c r="AG118" s="144"/>
      <x:c r="AH118" s="144"/>
      <x:c r="AI118" s="144"/>
      <x:c r="AJ118" s="144"/>
      <x:c r="AK118" s="144"/>
      <x:c r="AL118" s="144"/>
      <x:c r="AM118" s="144"/>
      <x:c r="AN118" s="144"/>
      <x:c r="AO118" s="144"/>
      <x:c r="AP118" s="144"/>
      <x:c r="AQ118" s="144"/>
      <x:c r="AR118" s="144"/>
      <x:c r="AS118" s="144"/>
      <x:c r="AT118" s="144"/>
      <x:c r="AU118" s="144"/>
      <x:c r="AV118" s="144"/>
      <x:c r="AW118" s="144"/>
      <x:c r="AX118" s="144"/>
      <x:c r="AY118" s="144"/>
      <x:c r="AZ118" s="144"/>
    </x:row>
    <x:row r="119">
      <x:c r="A119" s="144"/>
      <x:c r="B119" s="144"/>
      <x:c r="C119" s="144"/>
      <x:c r="D119" s="144"/>
      <x:c r="E119" s="144"/>
      <x:c r="F119" s="144"/>
      <x:c r="G119" s="144"/>
      <x:c r="H119" s="144"/>
      <x:c r="I119" s="144"/>
      <x:c r="J119" s="144"/>
      <x:c r="K119" s="144"/>
      <x:c r="L119" s="144"/>
      <x:c r="M119" s="144"/>
      <x:c r="N119" s="144"/>
      <x:c r="O119" s="144"/>
      <x:c r="P119" s="144"/>
      <x:c r="Q119" s="144"/>
      <x:c r="R119" s="144"/>
      <x:c r="S119" s="144"/>
      <x:c r="T119" s="144"/>
      <x:c r="U119" s="144"/>
      <x:c r="V119" s="144"/>
      <x:c r="W119" s="144"/>
      <x:c r="X119" s="144"/>
      <x:c r="Y119" s="144"/>
      <x:c r="Z119" s="144"/>
      <x:c r="AA119" s="144"/>
      <x:c r="AB119" s="144"/>
      <x:c r="AC119" s="144"/>
      <x:c r="AD119" s="144"/>
      <x:c r="AE119" s="144"/>
      <x:c r="AF119" s="144"/>
      <x:c r="AG119" s="144"/>
      <x:c r="AH119" s="144"/>
      <x:c r="AI119" s="144"/>
      <x:c r="AJ119" s="144"/>
      <x:c r="AK119" s="144"/>
      <x:c r="AL119" s="144"/>
      <x:c r="AM119" s="144"/>
      <x:c r="AN119" s="144"/>
      <x:c r="AO119" s="144"/>
      <x:c r="AP119" s="144"/>
      <x:c r="AQ119" s="144"/>
      <x:c r="AR119" s="144"/>
      <x:c r="AS119" s="144"/>
      <x:c r="AT119" s="144"/>
      <x:c r="AU119" s="144"/>
      <x:c r="AV119" s="144"/>
      <x:c r="AW119" s="144"/>
      <x:c r="AX119" s="144"/>
      <x:c r="AY119" s="144"/>
      <x:c r="AZ119" s="144"/>
    </x:row>
    <x:row r="120">
      <x:c r="A120" s="144"/>
      <x:c r="B120" s="144"/>
      <x:c r="C120" s="144"/>
      <x:c r="D120" s="144"/>
      <x:c r="E120" s="144"/>
      <x:c r="F120" s="144"/>
      <x:c r="G120" s="144"/>
      <x:c r="H120" s="144"/>
      <x:c r="I120" s="144"/>
      <x:c r="J120" s="144"/>
      <x:c r="K120" s="144"/>
      <x:c r="L120" s="144"/>
      <x:c r="M120" s="144"/>
      <x:c r="N120" s="144"/>
      <x:c r="O120" s="144"/>
      <x:c r="P120" s="144"/>
      <x:c r="Q120" s="144"/>
      <x:c r="R120" s="144"/>
      <x:c r="S120" s="144"/>
      <x:c r="T120" s="144"/>
      <x:c r="U120" s="144"/>
      <x:c r="V120" s="144"/>
      <x:c r="W120" s="144"/>
      <x:c r="X120" s="144"/>
      <x:c r="Y120" s="144"/>
      <x:c r="Z120" s="144"/>
      <x:c r="AA120" s="144"/>
      <x:c r="AB120" s="144"/>
      <x:c r="AC120" s="144"/>
      <x:c r="AD120" s="144"/>
      <x:c r="AE120" s="144"/>
      <x:c r="AF120" s="144"/>
      <x:c r="AG120" s="144"/>
      <x:c r="AH120" s="144"/>
      <x:c r="AI120" s="144"/>
      <x:c r="AJ120" s="144"/>
      <x:c r="AK120" s="144"/>
      <x:c r="AL120" s="144"/>
      <x:c r="AM120" s="144"/>
      <x:c r="AN120" s="144"/>
      <x:c r="AO120" s="144"/>
      <x:c r="AP120" s="144"/>
      <x:c r="AQ120" s="144"/>
      <x:c r="AR120" s="144"/>
      <x:c r="AS120" s="144"/>
      <x:c r="AT120" s="144"/>
      <x:c r="AU120" s="144"/>
      <x:c r="AV120" s="144"/>
      <x:c r="AW120" s="144"/>
      <x:c r="AX120" s="144"/>
      <x:c r="AY120" s="144"/>
      <x:c r="AZ120" s="144"/>
    </x:row>
    <x:row r="121">
      <x:c r="A121" s="144"/>
      <x:c r="B121" s="144"/>
      <x:c r="C121" s="144"/>
      <x:c r="D121" s="144"/>
      <x:c r="E121" s="144"/>
      <x:c r="F121" s="144"/>
      <x:c r="G121" s="144"/>
      <x:c r="H121" s="144"/>
      <x:c r="I121" s="144"/>
      <x:c r="J121" s="144"/>
      <x:c r="K121" s="144"/>
      <x:c r="L121" s="144"/>
      <x:c r="M121" s="144"/>
      <x:c r="N121" s="144"/>
      <x:c r="O121" s="144"/>
      <x:c r="P121" s="144"/>
      <x:c r="Q121" s="144"/>
      <x:c r="R121" s="144"/>
      <x:c r="S121" s="144"/>
      <x:c r="T121" s="144"/>
      <x:c r="U121" s="144"/>
      <x:c r="V121" s="144"/>
      <x:c r="W121" s="144"/>
      <x:c r="X121" s="144"/>
      <x:c r="Y121" s="144"/>
      <x:c r="Z121" s="144"/>
      <x:c r="AA121" s="144"/>
      <x:c r="AB121" s="144"/>
      <x:c r="AC121" s="144"/>
      <x:c r="AD121" s="144"/>
      <x:c r="AE121" s="144"/>
      <x:c r="AF121" s="144"/>
      <x:c r="AG121" s="144"/>
      <x:c r="AH121" s="144"/>
      <x:c r="AI121" s="144"/>
      <x:c r="AJ121" s="144"/>
      <x:c r="AK121" s="144"/>
      <x:c r="AL121" s="144"/>
      <x:c r="AM121" s="144"/>
      <x:c r="AN121" s="144"/>
      <x:c r="AO121" s="144"/>
      <x:c r="AP121" s="144"/>
      <x:c r="AQ121" s="144"/>
      <x:c r="AR121" s="144"/>
      <x:c r="AS121" s="144"/>
      <x:c r="AT121" s="144"/>
      <x:c r="AU121" s="144"/>
      <x:c r="AV121" s="144"/>
      <x:c r="AW121" s="144"/>
      <x:c r="AX121" s="144"/>
      <x:c r="AY121" s="144"/>
      <x:c r="AZ121" s="144"/>
    </x:row>
    <x:row r="122">
      <x:c r="A122" s="144"/>
      <x:c r="B122" s="144"/>
      <x:c r="C122" s="144"/>
      <x:c r="D122" s="144"/>
      <x:c r="E122" s="144"/>
      <x:c r="F122" s="144"/>
      <x:c r="G122" s="144"/>
      <x:c r="H122" s="144"/>
      <x:c r="I122" s="144"/>
      <x:c r="J122" s="144"/>
      <x:c r="K122" s="144"/>
      <x:c r="L122" s="144"/>
      <x:c r="M122" s="144"/>
      <x:c r="N122" s="144"/>
      <x:c r="O122" s="144"/>
      <x:c r="P122" s="144"/>
      <x:c r="Q122" s="144"/>
      <x:c r="R122" s="144"/>
      <x:c r="S122" s="144"/>
      <x:c r="T122" s="144"/>
      <x:c r="U122" s="144"/>
      <x:c r="V122" s="144"/>
      <x:c r="W122" s="144"/>
      <x:c r="X122" s="144"/>
      <x:c r="Y122" s="144"/>
      <x:c r="Z122" s="144"/>
      <x:c r="AA122" s="144"/>
      <x:c r="AB122" s="144"/>
      <x:c r="AC122" s="144"/>
      <x:c r="AD122" s="144"/>
      <x:c r="AE122" s="144"/>
      <x:c r="AF122" s="144"/>
      <x:c r="AG122" s="144"/>
      <x:c r="AH122" s="144"/>
      <x:c r="AI122" s="144"/>
      <x:c r="AJ122" s="144"/>
      <x:c r="AK122" s="144"/>
      <x:c r="AL122" s="144"/>
      <x:c r="AM122" s="144"/>
      <x:c r="AN122" s="144"/>
      <x:c r="AO122" s="144"/>
      <x:c r="AP122" s="144"/>
      <x:c r="AQ122" s="144"/>
      <x:c r="AR122" s="144"/>
      <x:c r="AS122" s="144"/>
      <x:c r="AT122" s="144"/>
      <x:c r="AU122" s="144"/>
      <x:c r="AV122" s="144"/>
      <x:c r="AW122" s="144"/>
      <x:c r="AX122" s="144"/>
      <x:c r="AY122" s="144"/>
      <x:c r="AZ122" s="144"/>
    </x:row>
    <x:row r="123">
      <x:c r="A123" s="144"/>
      <x:c r="B123" s="144"/>
      <x:c r="C123" s="144"/>
      <x:c r="D123" s="144"/>
      <x:c r="E123" s="144"/>
      <x:c r="F123" s="144"/>
      <x:c r="G123" s="144"/>
      <x:c r="H123" s="144"/>
      <x:c r="I123" s="144"/>
      <x:c r="J123" s="144"/>
      <x:c r="K123" s="144"/>
      <x:c r="L123" s="144"/>
      <x:c r="M123" s="144"/>
      <x:c r="N123" s="144"/>
      <x:c r="O123" s="144"/>
      <x:c r="P123" s="144"/>
      <x:c r="Q123" s="144"/>
      <x:c r="R123" s="144"/>
      <x:c r="S123" s="144"/>
      <x:c r="T123" s="144"/>
      <x:c r="U123" s="144"/>
      <x:c r="V123" s="144"/>
      <x:c r="W123" s="144"/>
      <x:c r="X123" s="144"/>
      <x:c r="Y123" s="144"/>
      <x:c r="Z123" s="144"/>
      <x:c r="AA123" s="144"/>
      <x:c r="AB123" s="144"/>
      <x:c r="AC123" s="144"/>
      <x:c r="AD123" s="144"/>
      <x:c r="AE123" s="144"/>
      <x:c r="AF123" s="144"/>
      <x:c r="AG123" s="144"/>
      <x:c r="AH123" s="144"/>
      <x:c r="AI123" s="144"/>
      <x:c r="AJ123" s="144"/>
      <x:c r="AK123" s="144"/>
      <x:c r="AL123" s="144"/>
      <x:c r="AM123" s="144"/>
      <x:c r="AN123" s="144"/>
      <x:c r="AO123" s="144"/>
      <x:c r="AP123" s="144"/>
      <x:c r="AQ123" s="144"/>
      <x:c r="AR123" s="144"/>
      <x:c r="AS123" s="144"/>
      <x:c r="AT123" s="144"/>
      <x:c r="AU123" s="144"/>
      <x:c r="AV123" s="144"/>
      <x:c r="AW123" s="144"/>
      <x:c r="AX123" s="144"/>
      <x:c r="AY123" s="144"/>
      <x:c r="AZ123" s="144"/>
    </x:row>
    <x:row r="124">
      <x:c r="A124" s="144"/>
      <x:c r="B124" s="144"/>
      <x:c r="C124" s="144"/>
      <x:c r="D124" s="144"/>
      <x:c r="E124" s="144"/>
      <x:c r="F124" s="144"/>
      <x:c r="G124" s="144"/>
      <x:c r="H124" s="144"/>
      <x:c r="I124" s="144"/>
      <x:c r="J124" s="144"/>
      <x:c r="K124" s="144"/>
      <x:c r="L124" s="144"/>
      <x:c r="M124" s="144"/>
      <x:c r="N124" s="144"/>
      <x:c r="O124" s="144"/>
      <x:c r="P124" s="144"/>
      <x:c r="Q124" s="144"/>
      <x:c r="R124" s="144"/>
      <x:c r="S124" s="144"/>
      <x:c r="T124" s="144"/>
      <x:c r="U124" s="144"/>
      <x:c r="V124" s="144"/>
      <x:c r="W124" s="144"/>
      <x:c r="X124" s="144"/>
      <x:c r="Y124" s="144"/>
      <x:c r="Z124" s="144"/>
      <x:c r="AA124" s="144"/>
      <x:c r="AB124" s="144"/>
      <x:c r="AC124" s="144"/>
      <x:c r="AD124" s="144"/>
      <x:c r="AE124" s="144"/>
      <x:c r="AF124" s="144"/>
      <x:c r="AG124" s="144"/>
      <x:c r="AH124" s="144"/>
      <x:c r="AI124" s="144"/>
      <x:c r="AJ124" s="144"/>
      <x:c r="AK124" s="144"/>
      <x:c r="AL124" s="144"/>
      <x:c r="AM124" s="144"/>
      <x:c r="AN124" s="144"/>
      <x:c r="AO124" s="144"/>
      <x:c r="AP124" s="144"/>
      <x:c r="AQ124" s="144"/>
      <x:c r="AR124" s="144"/>
      <x:c r="AS124" s="144"/>
      <x:c r="AT124" s="144"/>
      <x:c r="AU124" s="144"/>
      <x:c r="AV124" s="144"/>
      <x:c r="AW124" s="144"/>
      <x:c r="AX124" s="144"/>
      <x:c r="AY124" s="144"/>
      <x:c r="AZ124" s="144"/>
    </x:row>
    <x:row r="125">
      <x:c r="A125" s="144"/>
      <x:c r="B125" s="144"/>
      <x:c r="C125" s="144"/>
      <x:c r="D125" s="144"/>
      <x:c r="E125" s="144"/>
      <x:c r="F125" s="144"/>
      <x:c r="G125" s="144"/>
      <x:c r="H125" s="144"/>
      <x:c r="I125" s="144"/>
      <x:c r="J125" s="144"/>
      <x:c r="K125" s="144"/>
      <x:c r="L125" s="144"/>
      <x:c r="M125" s="144"/>
      <x:c r="N125" s="144"/>
      <x:c r="O125" s="144"/>
      <x:c r="P125" s="144"/>
      <x:c r="Q125" s="144"/>
      <x:c r="R125" s="144"/>
      <x:c r="S125" s="144"/>
      <x:c r="T125" s="144"/>
      <x:c r="U125" s="144"/>
      <x:c r="V125" s="144"/>
      <x:c r="W125" s="144"/>
      <x:c r="X125" s="144"/>
      <x:c r="Y125" s="144"/>
      <x:c r="Z125" s="144"/>
      <x:c r="AA125" s="144"/>
      <x:c r="AB125" s="144"/>
      <x:c r="AC125" s="144"/>
      <x:c r="AD125" s="144"/>
      <x:c r="AE125" s="144"/>
      <x:c r="AF125" s="144"/>
      <x:c r="AG125" s="144"/>
      <x:c r="AH125" s="144"/>
      <x:c r="AI125" s="144"/>
      <x:c r="AJ125" s="144"/>
      <x:c r="AK125" s="144"/>
      <x:c r="AL125" s="144"/>
      <x:c r="AM125" s="144"/>
      <x:c r="AN125" s="144"/>
      <x:c r="AO125" s="144"/>
      <x:c r="AP125" s="144"/>
      <x:c r="AQ125" s="144"/>
      <x:c r="AR125" s="144"/>
      <x:c r="AS125" s="144"/>
      <x:c r="AT125" s="144"/>
      <x:c r="AU125" s="144"/>
      <x:c r="AV125" s="144"/>
      <x:c r="AW125" s="144"/>
      <x:c r="AX125" s="144"/>
      <x:c r="AY125" s="144"/>
      <x:c r="AZ125" s="144"/>
    </x:row>
    <x:row r="126">
      <x:c r="A126" s="144"/>
      <x:c r="B126" s="144"/>
      <x:c r="C126" s="144"/>
      <x:c r="D126" s="144"/>
      <x:c r="E126" s="144"/>
      <x:c r="F126" s="144"/>
      <x:c r="G126" s="144"/>
      <x:c r="H126" s="144"/>
      <x:c r="I126" s="144"/>
      <x:c r="J126" s="144"/>
      <x:c r="K126" s="144"/>
      <x:c r="L126" s="144"/>
      <x:c r="M126" s="144"/>
      <x:c r="N126" s="144"/>
      <x:c r="O126" s="144"/>
      <x:c r="P126" s="144"/>
      <x:c r="Q126" s="144"/>
      <x:c r="R126" s="144"/>
      <x:c r="S126" s="144"/>
      <x:c r="T126" s="144"/>
      <x:c r="U126" s="144"/>
      <x:c r="V126" s="144"/>
      <x:c r="W126" s="144"/>
      <x:c r="X126" s="144"/>
      <x:c r="Y126" s="144"/>
      <x:c r="Z126" s="144"/>
      <x:c r="AA126" s="144"/>
      <x:c r="AB126" s="144"/>
      <x:c r="AC126" s="144"/>
      <x:c r="AD126" s="144"/>
      <x:c r="AE126" s="144"/>
      <x:c r="AF126" s="144"/>
      <x:c r="AG126" s="144"/>
      <x:c r="AH126" s="144"/>
      <x:c r="AI126" s="144"/>
      <x:c r="AJ126" s="144"/>
      <x:c r="AK126" s="144"/>
      <x:c r="AL126" s="144"/>
      <x:c r="AM126" s="144"/>
      <x:c r="AN126" s="144"/>
      <x:c r="AO126" s="144"/>
      <x:c r="AP126" s="144"/>
      <x:c r="AQ126" s="144"/>
      <x:c r="AR126" s="144"/>
      <x:c r="AS126" s="144"/>
      <x:c r="AT126" s="144"/>
      <x:c r="AU126" s="144"/>
      <x:c r="AV126" s="144"/>
      <x:c r="AW126" s="144"/>
      <x:c r="AX126" s="144"/>
      <x:c r="AY126" s="144"/>
      <x:c r="AZ126" s="144"/>
    </x:row>
    <x:row r="127">
      <x:c r="A127" s="144"/>
      <x:c r="B127" s="144"/>
      <x:c r="C127" s="144"/>
      <x:c r="D127" s="144"/>
      <x:c r="E127" s="144"/>
      <x:c r="F127" s="144"/>
      <x:c r="G127" s="144"/>
      <x:c r="H127" s="144"/>
      <x:c r="I127" s="144"/>
      <x:c r="J127" s="144"/>
      <x:c r="K127" s="144"/>
      <x:c r="L127" s="144"/>
      <x:c r="M127" s="144"/>
      <x:c r="N127" s="144"/>
      <x:c r="O127" s="144"/>
      <x:c r="P127" s="144"/>
      <x:c r="Q127" s="144"/>
      <x:c r="R127" s="144"/>
      <x:c r="S127" s="144"/>
      <x:c r="T127" s="144"/>
      <x:c r="U127" s="144"/>
      <x:c r="V127" s="144"/>
      <x:c r="W127" s="144"/>
      <x:c r="X127" s="144"/>
      <x:c r="Y127" s="144"/>
      <x:c r="Z127" s="144"/>
      <x:c r="AA127" s="144"/>
      <x:c r="AB127" s="144"/>
      <x:c r="AC127" s="144"/>
      <x:c r="AD127" s="144"/>
      <x:c r="AE127" s="144"/>
      <x:c r="AF127" s="144"/>
      <x:c r="AG127" s="144"/>
      <x:c r="AH127" s="144"/>
      <x:c r="AI127" s="144"/>
      <x:c r="AJ127" s="144"/>
      <x:c r="AK127" s="144"/>
      <x:c r="AL127" s="144"/>
      <x:c r="AM127" s="144"/>
      <x:c r="AN127" s="144"/>
      <x:c r="AO127" s="144"/>
      <x:c r="AP127" s="144"/>
      <x:c r="AQ127" s="144"/>
      <x:c r="AR127" s="144"/>
      <x:c r="AS127" s="144"/>
      <x:c r="AT127" s="144"/>
      <x:c r="AU127" s="144"/>
      <x:c r="AV127" s="144"/>
      <x:c r="AW127" s="144"/>
      <x:c r="AX127" s="144"/>
      <x:c r="AY127" s="144"/>
      <x:c r="AZ127" s="144"/>
    </x:row>
    <x:row r="128">
      <x:c r="A128" s="144"/>
      <x:c r="B128" s="144"/>
      <x:c r="C128" s="144"/>
      <x:c r="D128" s="144"/>
      <x:c r="E128" s="144"/>
      <x:c r="F128" s="144"/>
      <x:c r="G128" s="144"/>
      <x:c r="H128" s="144"/>
      <x:c r="I128" s="144"/>
      <x:c r="J128" s="144"/>
      <x:c r="K128" s="144"/>
      <x:c r="L128" s="144"/>
      <x:c r="M128" s="144"/>
      <x:c r="N128" s="144"/>
      <x:c r="O128" s="144"/>
      <x:c r="P128" s="144"/>
      <x:c r="Q128" s="144"/>
      <x:c r="R128" s="144"/>
      <x:c r="S128" s="144"/>
      <x:c r="T128" s="144"/>
      <x:c r="U128" s="144"/>
      <x:c r="V128" s="144"/>
      <x:c r="W128" s="144"/>
      <x:c r="X128" s="144"/>
      <x:c r="Y128" s="144"/>
      <x:c r="Z128" s="144"/>
      <x:c r="AA128" s="144"/>
      <x:c r="AB128" s="144"/>
      <x:c r="AC128" s="144"/>
      <x:c r="AD128" s="144"/>
      <x:c r="AE128" s="144"/>
      <x:c r="AF128" s="144"/>
      <x:c r="AG128" s="144"/>
      <x:c r="AH128" s="144"/>
      <x:c r="AI128" s="144"/>
      <x:c r="AJ128" s="144"/>
      <x:c r="AK128" s="144"/>
      <x:c r="AL128" s="144"/>
      <x:c r="AM128" s="144"/>
      <x:c r="AN128" s="144"/>
      <x:c r="AO128" s="144"/>
      <x:c r="AP128" s="144"/>
      <x:c r="AQ128" s="144"/>
      <x:c r="AR128" s="144"/>
      <x:c r="AS128" s="144"/>
      <x:c r="AT128" s="144"/>
      <x:c r="AU128" s="144"/>
      <x:c r="AV128" s="144"/>
      <x:c r="AW128" s="144"/>
      <x:c r="AX128" s="144"/>
      <x:c r="AY128" s="144"/>
      <x:c r="AZ128" s="144"/>
    </x:row>
    <x:row r="129">
      <x:c r="A129" s="144"/>
      <x:c r="B129" s="144"/>
      <x:c r="C129" s="144"/>
      <x:c r="D129" s="144"/>
      <x:c r="E129" s="144"/>
      <x:c r="F129" s="144"/>
      <x:c r="G129" s="144"/>
      <x:c r="H129" s="144"/>
      <x:c r="I129" s="144"/>
      <x:c r="J129" s="144"/>
      <x:c r="K129" s="144"/>
      <x:c r="L129" s="144"/>
      <x:c r="M129" s="144"/>
      <x:c r="N129" s="144"/>
      <x:c r="O129" s="144"/>
      <x:c r="P129" s="144"/>
      <x:c r="Q129" s="144"/>
      <x:c r="R129" s="144"/>
      <x:c r="S129" s="144"/>
      <x:c r="T129" s="144"/>
      <x:c r="U129" s="144"/>
      <x:c r="V129" s="144"/>
      <x:c r="W129" s="144"/>
      <x:c r="X129" s="144"/>
      <x:c r="Y129" s="144"/>
      <x:c r="Z129" s="144"/>
      <x:c r="AA129" s="144"/>
      <x:c r="AB129" s="144"/>
      <x:c r="AC129" s="144"/>
      <x:c r="AD129" s="144"/>
      <x:c r="AE129" s="144"/>
      <x:c r="AF129" s="144"/>
      <x:c r="AG129" s="144"/>
      <x:c r="AH129" s="144"/>
      <x:c r="AI129" s="144"/>
      <x:c r="AJ129" s="144"/>
      <x:c r="AK129" s="144"/>
      <x:c r="AL129" s="144"/>
      <x:c r="AM129" s="144"/>
      <x:c r="AN129" s="144"/>
      <x:c r="AO129" s="144"/>
      <x:c r="AP129" s="144"/>
      <x:c r="AQ129" s="144"/>
      <x:c r="AR129" s="144"/>
      <x:c r="AS129" s="144"/>
      <x:c r="AT129" s="144"/>
      <x:c r="AU129" s="144"/>
      <x:c r="AV129" s="144"/>
      <x:c r="AW129" s="144"/>
      <x:c r="AX129" s="144"/>
      <x:c r="AY129" s="144"/>
      <x:c r="AZ129" s="144"/>
    </x:row>
    <x:row r="130">
      <x:c r="A130" s="144"/>
      <x:c r="B130" s="144"/>
      <x:c r="C130" s="144"/>
      <x:c r="D130" s="144"/>
      <x:c r="E130" s="144"/>
      <x:c r="F130" s="144"/>
      <x:c r="G130" s="144"/>
      <x:c r="H130" s="144"/>
      <x:c r="I130" s="144"/>
      <x:c r="J130" s="144"/>
      <x:c r="K130" s="144"/>
      <x:c r="L130" s="144"/>
      <x:c r="M130" s="144"/>
      <x:c r="N130" s="144"/>
      <x:c r="O130" s="144"/>
      <x:c r="P130" s="144"/>
      <x:c r="Q130" s="144"/>
      <x:c r="R130" s="144"/>
      <x:c r="S130" s="144"/>
      <x:c r="T130" s="144"/>
      <x:c r="U130" s="144"/>
      <x:c r="V130" s="144"/>
      <x:c r="W130" s="144"/>
      <x:c r="X130" s="144"/>
      <x:c r="Y130" s="144"/>
      <x:c r="Z130" s="144"/>
      <x:c r="AA130" s="144"/>
      <x:c r="AB130" s="144"/>
      <x:c r="AC130" s="144"/>
      <x:c r="AD130" s="144"/>
      <x:c r="AE130" s="144"/>
      <x:c r="AF130" s="144"/>
      <x:c r="AG130" s="144"/>
      <x:c r="AH130" s="144"/>
      <x:c r="AI130" s="144"/>
      <x:c r="AJ130" s="144"/>
      <x:c r="AK130" s="144"/>
      <x:c r="AL130" s="144"/>
      <x:c r="AM130" s="144"/>
      <x:c r="AN130" s="144"/>
      <x:c r="AO130" s="144"/>
      <x:c r="AP130" s="144"/>
      <x:c r="AQ130" s="144"/>
      <x:c r="AR130" s="144"/>
      <x:c r="AS130" s="144"/>
      <x:c r="AT130" s="144"/>
      <x:c r="AU130" s="144"/>
      <x:c r="AV130" s="144"/>
      <x:c r="AW130" s="144"/>
      <x:c r="AX130" s="144"/>
      <x:c r="AY130" s="144"/>
      <x:c r="AZ130" s="144"/>
    </x:row>
    <x:row r="131">
      <x:c r="A131" s="144"/>
      <x:c r="B131" s="144"/>
      <x:c r="C131" s="144"/>
      <x:c r="D131" s="144"/>
      <x:c r="E131" s="144"/>
      <x:c r="F131" s="144"/>
      <x:c r="G131" s="144"/>
      <x:c r="H131" s="144"/>
      <x:c r="I131" s="144"/>
      <x:c r="J131" s="144"/>
      <x:c r="K131" s="144"/>
      <x:c r="L131" s="144"/>
      <x:c r="M131" s="144"/>
      <x:c r="N131" s="144"/>
      <x:c r="O131" s="144"/>
      <x:c r="P131" s="144"/>
      <x:c r="Q131" s="144"/>
      <x:c r="R131" s="144"/>
      <x:c r="S131" s="144"/>
      <x:c r="T131" s="144"/>
      <x:c r="U131" s="144"/>
      <x:c r="V131" s="144"/>
      <x:c r="W131" s="144"/>
      <x:c r="X131" s="144"/>
      <x:c r="Y131" s="144"/>
      <x:c r="Z131" s="144"/>
      <x:c r="AA131" s="144"/>
      <x:c r="AB131" s="144"/>
      <x:c r="AC131" s="144"/>
      <x:c r="AD131" s="144"/>
      <x:c r="AE131" s="144"/>
      <x:c r="AF131" s="144"/>
      <x:c r="AG131" s="144"/>
      <x:c r="AH131" s="144"/>
      <x:c r="AI131" s="144"/>
      <x:c r="AJ131" s="144"/>
      <x:c r="AK131" s="144"/>
      <x:c r="AL131" s="144"/>
      <x:c r="AM131" s="144"/>
      <x:c r="AN131" s="144"/>
      <x:c r="AO131" s="144"/>
      <x:c r="AP131" s="144"/>
      <x:c r="AQ131" s="144"/>
      <x:c r="AR131" s="144"/>
      <x:c r="AS131" s="144"/>
      <x:c r="AT131" s="144"/>
      <x:c r="AU131" s="144"/>
      <x:c r="AV131" s="144"/>
      <x:c r="AW131" s="144"/>
      <x:c r="AX131" s="144"/>
      <x:c r="AY131" s="144"/>
      <x:c r="AZ131" s="144"/>
    </x:row>
    <x:row r="132">
      <x:c r="A132" s="144"/>
      <x:c r="B132" s="144"/>
      <x:c r="C132" s="144"/>
      <x:c r="D132" s="144"/>
      <x:c r="E132" s="144"/>
      <x:c r="F132" s="144"/>
      <x:c r="G132" s="144"/>
      <x:c r="H132" s="144"/>
      <x:c r="I132" s="144"/>
      <x:c r="J132" s="144"/>
      <x:c r="K132" s="144"/>
      <x:c r="L132" s="144"/>
      <x:c r="M132" s="144"/>
      <x:c r="N132" s="144"/>
      <x:c r="O132" s="144"/>
      <x:c r="P132" s="144"/>
      <x:c r="Q132" s="144"/>
      <x:c r="R132" s="144"/>
      <x:c r="S132" s="144"/>
      <x:c r="T132" s="144"/>
      <x:c r="U132" s="144"/>
      <x:c r="V132" s="144"/>
      <x:c r="W132" s="144"/>
      <x:c r="X132" s="144"/>
      <x:c r="Y132" s="144"/>
      <x:c r="Z132" s="144"/>
      <x:c r="AA132" s="144"/>
      <x:c r="AB132" s="144"/>
      <x:c r="AC132" s="144"/>
      <x:c r="AD132" s="144"/>
      <x:c r="AE132" s="144"/>
      <x:c r="AF132" s="144"/>
      <x:c r="AG132" s="144"/>
      <x:c r="AH132" s="144"/>
      <x:c r="AI132" s="144"/>
      <x:c r="AJ132" s="144"/>
      <x:c r="AK132" s="144"/>
      <x:c r="AL132" s="144"/>
      <x:c r="AM132" s="144"/>
      <x:c r="AN132" s="144"/>
      <x:c r="AO132" s="144"/>
      <x:c r="AP132" s="144"/>
      <x:c r="AQ132" s="144"/>
      <x:c r="AR132" s="144"/>
      <x:c r="AS132" s="144"/>
      <x:c r="AT132" s="144"/>
      <x:c r="AU132" s="144"/>
      <x:c r="AV132" s="144"/>
      <x:c r="AW132" s="144"/>
      <x:c r="AX132" s="144"/>
      <x:c r="AY132" s="144"/>
      <x:c r="AZ132" s="144"/>
    </x:row>
    <x:row r="133">
      <x:c r="A133" s="144"/>
      <x:c r="B133" s="144"/>
      <x:c r="C133" s="144"/>
      <x:c r="D133" s="144"/>
      <x:c r="E133" s="144"/>
      <x:c r="F133" s="144"/>
      <x:c r="G133" s="144"/>
      <x:c r="H133" s="144"/>
      <x:c r="I133" s="144"/>
      <x:c r="J133" s="144"/>
      <x:c r="K133" s="144"/>
      <x:c r="L133" s="144"/>
      <x:c r="M133" s="144"/>
      <x:c r="N133" s="144"/>
      <x:c r="O133" s="144"/>
      <x:c r="P133" s="144"/>
      <x:c r="Q133" s="144"/>
      <x:c r="R133" s="144"/>
      <x:c r="S133" s="144"/>
      <x:c r="T133" s="144"/>
      <x:c r="U133" s="144"/>
      <x:c r="V133" s="144"/>
      <x:c r="W133" s="144"/>
      <x:c r="X133" s="144"/>
      <x:c r="Y133" s="144"/>
      <x:c r="Z133" s="144"/>
      <x:c r="AA133" s="144"/>
      <x:c r="AB133" s="144"/>
      <x:c r="AC133" s="144"/>
      <x:c r="AD133" s="144"/>
      <x:c r="AE133" s="144"/>
      <x:c r="AF133" s="144"/>
      <x:c r="AG133" s="144"/>
      <x:c r="AH133" s="144"/>
      <x:c r="AI133" s="144"/>
      <x:c r="AJ133" s="144"/>
      <x:c r="AK133" s="144"/>
      <x:c r="AL133" s="144"/>
      <x:c r="AM133" s="144"/>
      <x:c r="AN133" s="144"/>
      <x:c r="AO133" s="144"/>
      <x:c r="AP133" s="144"/>
      <x:c r="AQ133" s="144"/>
      <x:c r="AR133" s="144"/>
      <x:c r="AS133" s="144"/>
      <x:c r="AT133" s="144"/>
      <x:c r="AU133" s="144"/>
      <x:c r="AV133" s="144"/>
      <x:c r="AW133" s="144"/>
      <x:c r="AX133" s="144"/>
      <x:c r="AY133" s="144"/>
      <x:c r="AZ133" s="144"/>
    </x:row>
    <x:row r="134">
      <x:c r="A134" s="144"/>
      <x:c r="B134" s="144"/>
      <x:c r="C134" s="144"/>
      <x:c r="D134" s="144"/>
      <x:c r="E134" s="144"/>
      <x:c r="F134" s="144"/>
      <x:c r="G134" s="144"/>
      <x:c r="H134" s="144"/>
      <x:c r="I134" s="144"/>
      <x:c r="J134" s="144"/>
      <x:c r="K134" s="144"/>
      <x:c r="L134" s="144"/>
      <x:c r="M134" s="144"/>
      <x:c r="N134" s="144"/>
      <x:c r="O134" s="144"/>
      <x:c r="P134" s="144"/>
      <x:c r="Q134" s="144"/>
      <x:c r="R134" s="144"/>
      <x:c r="S134" s="144"/>
      <x:c r="T134" s="144"/>
      <x:c r="U134" s="144"/>
      <x:c r="V134" s="144"/>
      <x:c r="W134" s="144"/>
      <x:c r="X134" s="144"/>
      <x:c r="Y134" s="144"/>
      <x:c r="Z134" s="144"/>
      <x:c r="AA134" s="144"/>
      <x:c r="AB134" s="144"/>
      <x:c r="AC134" s="144"/>
      <x:c r="AD134" s="144"/>
      <x:c r="AE134" s="144"/>
      <x:c r="AF134" s="144"/>
      <x:c r="AG134" s="144"/>
      <x:c r="AH134" s="144"/>
      <x:c r="AI134" s="144"/>
      <x:c r="AJ134" s="144"/>
      <x:c r="AK134" s="144"/>
      <x:c r="AL134" s="144"/>
      <x:c r="AM134" s="144"/>
      <x:c r="AN134" s="144"/>
      <x:c r="AO134" s="144"/>
      <x:c r="AP134" s="144"/>
      <x:c r="AQ134" s="144"/>
      <x:c r="AR134" s="144"/>
      <x:c r="AS134" s="144"/>
      <x:c r="AT134" s="144"/>
      <x:c r="AU134" s="144"/>
      <x:c r="AV134" s="144"/>
      <x:c r="AW134" s="144"/>
      <x:c r="AX134" s="144"/>
      <x:c r="AY134" s="144"/>
      <x:c r="AZ134" s="144"/>
    </x:row>
    <x:row r="135">
      <x:c r="A135" s="144"/>
      <x:c r="B135" s="144"/>
      <x:c r="C135" s="144"/>
      <x:c r="D135" s="144"/>
      <x:c r="E135" s="144"/>
      <x:c r="F135" s="144"/>
      <x:c r="G135" s="144"/>
      <x:c r="H135" s="144"/>
      <x:c r="I135" s="144"/>
      <x:c r="J135" s="144"/>
      <x:c r="K135" s="144"/>
      <x:c r="L135" s="144"/>
      <x:c r="M135" s="144"/>
      <x:c r="N135" s="144"/>
      <x:c r="O135" s="144"/>
      <x:c r="P135" s="144"/>
      <x:c r="Q135" s="144"/>
      <x:c r="R135" s="144"/>
      <x:c r="S135" s="144"/>
      <x:c r="T135" s="144"/>
      <x:c r="U135" s="144"/>
      <x:c r="V135" s="144"/>
      <x:c r="W135" s="144"/>
      <x:c r="X135" s="144"/>
      <x:c r="Y135" s="144"/>
      <x:c r="Z135" s="144"/>
      <x:c r="AA135" s="144"/>
      <x:c r="AB135" s="144"/>
      <x:c r="AC135" s="144"/>
      <x:c r="AD135" s="144"/>
      <x:c r="AE135" s="144"/>
      <x:c r="AF135" s="144"/>
      <x:c r="AG135" s="144"/>
      <x:c r="AH135" s="144"/>
      <x:c r="AI135" s="144"/>
      <x:c r="AJ135" s="144"/>
      <x:c r="AK135" s="144"/>
      <x:c r="AL135" s="144"/>
      <x:c r="AM135" s="144"/>
      <x:c r="AN135" s="144"/>
      <x:c r="AO135" s="144"/>
      <x:c r="AP135" s="144"/>
      <x:c r="AQ135" s="144"/>
      <x:c r="AR135" s="144"/>
      <x:c r="AS135" s="144"/>
      <x:c r="AT135" s="144"/>
      <x:c r="AU135" s="144"/>
      <x:c r="AV135" s="144"/>
      <x:c r="AW135" s="144"/>
      <x:c r="AX135" s="144"/>
      <x:c r="AY135" s="144"/>
      <x:c r="AZ135" s="144"/>
    </x:row>
    <x:row r="136">
      <x:c r="A136" s="144"/>
      <x:c r="B136" s="144"/>
      <x:c r="C136" s="144"/>
      <x:c r="D136" s="144"/>
      <x:c r="E136" s="144"/>
      <x:c r="F136" s="144"/>
      <x:c r="G136" s="144"/>
      <x:c r="H136" s="144"/>
      <x:c r="I136" s="144"/>
      <x:c r="J136" s="144"/>
      <x:c r="K136" s="144"/>
      <x:c r="L136" s="144"/>
      <x:c r="M136" s="144"/>
      <x:c r="N136" s="144"/>
      <x:c r="O136" s="144"/>
      <x:c r="P136" s="144"/>
      <x:c r="Q136" s="144"/>
      <x:c r="R136" s="144"/>
      <x:c r="S136" s="144"/>
      <x:c r="T136" s="144"/>
      <x:c r="U136" s="144"/>
      <x:c r="V136" s="144"/>
      <x:c r="W136" s="144"/>
      <x:c r="X136" s="144"/>
      <x:c r="Y136" s="144"/>
      <x:c r="Z136" s="144"/>
      <x:c r="AA136" s="144"/>
      <x:c r="AB136" s="144"/>
      <x:c r="AC136" s="144"/>
      <x:c r="AD136" s="144"/>
      <x:c r="AE136" s="144"/>
      <x:c r="AF136" s="144"/>
      <x:c r="AG136" s="144"/>
      <x:c r="AH136" s="144"/>
      <x:c r="AI136" s="144"/>
      <x:c r="AJ136" s="144"/>
      <x:c r="AK136" s="144"/>
      <x:c r="AL136" s="144"/>
      <x:c r="AM136" s="144"/>
      <x:c r="AN136" s="144"/>
      <x:c r="AO136" s="144"/>
      <x:c r="AP136" s="144"/>
      <x:c r="AQ136" s="144"/>
      <x:c r="AR136" s="144"/>
      <x:c r="AS136" s="144"/>
      <x:c r="AT136" s="144"/>
      <x:c r="AU136" s="144"/>
      <x:c r="AV136" s="144"/>
      <x:c r="AW136" s="144"/>
      <x:c r="AX136" s="144"/>
      <x:c r="AY136" s="144"/>
      <x:c r="AZ136" s="144"/>
    </x:row>
    <x:row r="137">
      <x:c r="A137" s="144"/>
      <x:c r="B137" s="144"/>
      <x:c r="C137" s="144"/>
      <x:c r="D137" s="144"/>
      <x:c r="E137" s="144"/>
      <x:c r="F137" s="144"/>
      <x:c r="G137" s="144"/>
      <x:c r="H137" s="144"/>
      <x:c r="I137" s="144"/>
      <x:c r="J137" s="144"/>
      <x:c r="K137" s="144"/>
      <x:c r="L137" s="144"/>
      <x:c r="M137" s="144"/>
      <x:c r="N137" s="144"/>
      <x:c r="O137" s="144"/>
      <x:c r="P137" s="144"/>
      <x:c r="Q137" s="144"/>
      <x:c r="R137" s="144"/>
      <x:c r="S137" s="144"/>
      <x:c r="T137" s="144"/>
      <x:c r="U137" s="144"/>
      <x:c r="V137" s="144"/>
      <x:c r="W137" s="144"/>
      <x:c r="X137" s="144"/>
      <x:c r="Y137" s="144"/>
      <x:c r="Z137" s="144"/>
      <x:c r="AA137" s="144"/>
      <x:c r="AB137" s="144"/>
      <x:c r="AC137" s="144"/>
      <x:c r="AD137" s="144"/>
      <x:c r="AE137" s="144"/>
      <x:c r="AF137" s="144"/>
      <x:c r="AG137" s="144"/>
      <x:c r="AH137" s="144"/>
      <x:c r="AI137" s="144"/>
      <x:c r="AJ137" s="144"/>
      <x:c r="AK137" s="144"/>
      <x:c r="AL137" s="144"/>
      <x:c r="AM137" s="144"/>
      <x:c r="AN137" s="144"/>
      <x:c r="AO137" s="144"/>
      <x:c r="AP137" s="144"/>
      <x:c r="AQ137" s="144"/>
      <x:c r="AR137" s="144"/>
      <x:c r="AS137" s="144"/>
      <x:c r="AT137" s="144"/>
      <x:c r="AU137" s="144"/>
      <x:c r="AV137" s="144"/>
      <x:c r="AW137" s="144"/>
      <x:c r="AX137" s="144"/>
      <x:c r="AY137" s="144"/>
      <x:c r="AZ137" s="144"/>
    </x:row>
    <x:row r="138">
      <x:c r="A138" s="144"/>
      <x:c r="B138" s="144"/>
      <x:c r="C138" s="144"/>
      <x:c r="D138" s="144"/>
      <x:c r="E138" s="144"/>
      <x:c r="F138" s="144"/>
      <x:c r="G138" s="144"/>
      <x:c r="H138" s="144"/>
      <x:c r="I138" s="144"/>
      <x:c r="J138" s="144"/>
      <x:c r="K138" s="144"/>
      <x:c r="L138" s="144"/>
      <x:c r="M138" s="144"/>
      <x:c r="N138" s="144"/>
      <x:c r="O138" s="144"/>
      <x:c r="P138" s="144"/>
      <x:c r="Q138" s="144"/>
      <x:c r="R138" s="144"/>
      <x:c r="S138" s="144"/>
      <x:c r="T138" s="144"/>
      <x:c r="U138" s="144"/>
      <x:c r="V138" s="144"/>
      <x:c r="W138" s="144"/>
      <x:c r="X138" s="144"/>
      <x:c r="Y138" s="144"/>
      <x:c r="Z138" s="144"/>
      <x:c r="AA138" s="144"/>
      <x:c r="AB138" s="144"/>
      <x:c r="AC138" s="144"/>
      <x:c r="AD138" s="144"/>
      <x:c r="AE138" s="144"/>
      <x:c r="AF138" s="144"/>
      <x:c r="AG138" s="144"/>
      <x:c r="AH138" s="144"/>
      <x:c r="AI138" s="144"/>
      <x:c r="AJ138" s="144"/>
      <x:c r="AK138" s="144"/>
      <x:c r="AL138" s="144"/>
      <x:c r="AM138" s="144"/>
      <x:c r="AN138" s="144"/>
      <x:c r="AO138" s="144"/>
      <x:c r="AP138" s="144"/>
      <x:c r="AQ138" s="144"/>
      <x:c r="AR138" s="144"/>
      <x:c r="AS138" s="144"/>
      <x:c r="AT138" s="144"/>
      <x:c r="AU138" s="144"/>
      <x:c r="AV138" s="144"/>
      <x:c r="AW138" s="144"/>
      <x:c r="AX138" s="144"/>
      <x:c r="AY138" s="144"/>
      <x:c r="AZ138" s="144"/>
    </x:row>
    <x:row r="139">
      <x:c r="A139" s="144"/>
      <x:c r="B139" s="144"/>
      <x:c r="C139" s="144"/>
      <x:c r="D139" s="144"/>
      <x:c r="E139" s="144"/>
      <x:c r="F139" s="144"/>
      <x:c r="G139" s="144"/>
      <x:c r="H139" s="144"/>
      <x:c r="I139" s="144"/>
      <x:c r="J139" s="144"/>
      <x:c r="K139" s="144"/>
      <x:c r="L139" s="144"/>
      <x:c r="M139" s="144"/>
      <x:c r="N139" s="144"/>
      <x:c r="O139" s="144"/>
      <x:c r="P139" s="144"/>
      <x:c r="Q139" s="144"/>
      <x:c r="R139" s="144"/>
      <x:c r="S139" s="144"/>
      <x:c r="T139" s="144"/>
      <x:c r="U139" s="144"/>
      <x:c r="V139" s="144"/>
      <x:c r="W139" s="144"/>
      <x:c r="X139" s="144"/>
      <x:c r="Y139" s="144"/>
      <x:c r="Z139" s="144"/>
      <x:c r="AA139" s="144"/>
      <x:c r="AB139" s="144"/>
      <x:c r="AC139" s="144"/>
      <x:c r="AD139" s="144"/>
      <x:c r="AE139" s="144"/>
      <x:c r="AF139" s="144"/>
      <x:c r="AG139" s="144"/>
      <x:c r="AH139" s="144"/>
      <x:c r="AI139" s="144"/>
      <x:c r="AJ139" s="144"/>
      <x:c r="AK139" s="144"/>
      <x:c r="AL139" s="144"/>
      <x:c r="AM139" s="144"/>
      <x:c r="AN139" s="144"/>
      <x:c r="AO139" s="144"/>
      <x:c r="AP139" s="144"/>
      <x:c r="AQ139" s="144"/>
      <x:c r="AR139" s="144"/>
      <x:c r="AS139" s="144"/>
      <x:c r="AT139" s="144"/>
      <x:c r="AU139" s="144"/>
      <x:c r="AV139" s="144"/>
      <x:c r="AW139" s="144"/>
      <x:c r="AX139" s="144"/>
      <x:c r="AY139" s="144"/>
      <x:c r="AZ139" s="144"/>
    </x:row>
    <x:row r="140">
      <x:c r="A140" s="144"/>
      <x:c r="B140" s="144"/>
      <x:c r="C140" s="144"/>
      <x:c r="D140" s="144"/>
      <x:c r="E140" s="144"/>
      <x:c r="F140" s="144"/>
      <x:c r="G140" s="144"/>
      <x:c r="H140" s="144"/>
      <x:c r="I140" s="144"/>
      <x:c r="J140" s="144"/>
      <x:c r="K140" s="144"/>
      <x:c r="L140" s="144"/>
      <x:c r="M140" s="144"/>
      <x:c r="N140" s="144"/>
      <x:c r="O140" s="144"/>
      <x:c r="P140" s="144"/>
      <x:c r="Q140" s="144"/>
      <x:c r="R140" s="144"/>
      <x:c r="S140" s="144"/>
      <x:c r="T140" s="144"/>
      <x:c r="U140" s="144"/>
      <x:c r="V140" s="144"/>
      <x:c r="W140" s="144"/>
      <x:c r="X140" s="144"/>
      <x:c r="Y140" s="144"/>
      <x:c r="Z140" s="144"/>
      <x:c r="AA140" s="144"/>
      <x:c r="AB140" s="144"/>
      <x:c r="AC140" s="144"/>
      <x:c r="AD140" s="144"/>
      <x:c r="AE140" s="144"/>
      <x:c r="AF140" s="144"/>
      <x:c r="AG140" s="144"/>
      <x:c r="AH140" s="144"/>
      <x:c r="AI140" s="144"/>
      <x:c r="AJ140" s="144"/>
      <x:c r="AK140" s="144"/>
      <x:c r="AL140" s="144"/>
      <x:c r="AM140" s="144"/>
      <x:c r="AN140" s="144"/>
      <x:c r="AO140" s="144"/>
      <x:c r="AP140" s="144"/>
      <x:c r="AQ140" s="144"/>
      <x:c r="AR140" s="144"/>
      <x:c r="AS140" s="144"/>
      <x:c r="AT140" s="144"/>
      <x:c r="AU140" s="144"/>
      <x:c r="AV140" s="144"/>
      <x:c r="AW140" s="144"/>
      <x:c r="AX140" s="144"/>
      <x:c r="AY140" s="144"/>
      <x:c r="AZ140" s="144"/>
    </x:row>
    <x:row r="141">
      <x:c r="A141" s="144"/>
      <x:c r="B141" s="144"/>
      <x:c r="C141" s="144"/>
      <x:c r="D141" s="144"/>
      <x:c r="E141" s="144"/>
      <x:c r="F141" s="144"/>
      <x:c r="G141" s="144"/>
      <x:c r="H141" s="144"/>
      <x:c r="I141" s="144"/>
      <x:c r="J141" s="144"/>
      <x:c r="K141" s="144"/>
      <x:c r="L141" s="144"/>
      <x:c r="M141" s="144"/>
      <x:c r="N141" s="144"/>
      <x:c r="O141" s="144"/>
      <x:c r="P141" s="144"/>
      <x:c r="Q141" s="144"/>
      <x:c r="R141" s="144"/>
      <x:c r="S141" s="144"/>
      <x:c r="T141" s="144"/>
      <x:c r="U141" s="144"/>
      <x:c r="V141" s="144"/>
      <x:c r="W141" s="144"/>
      <x:c r="X141" s="144"/>
      <x:c r="Y141" s="144"/>
      <x:c r="Z141" s="144"/>
      <x:c r="AA141" s="144"/>
      <x:c r="AB141" s="144"/>
      <x:c r="AC141" s="144"/>
      <x:c r="AD141" s="144"/>
      <x:c r="AE141" s="144"/>
      <x:c r="AF141" s="144"/>
      <x:c r="AG141" s="144"/>
      <x:c r="AH141" s="144"/>
      <x:c r="AI141" s="144"/>
      <x:c r="AJ141" s="144"/>
      <x:c r="AK141" s="144"/>
      <x:c r="AL141" s="144"/>
      <x:c r="AM141" s="144"/>
      <x:c r="AN141" s="144"/>
      <x:c r="AO141" s="144"/>
      <x:c r="AP141" s="144"/>
      <x:c r="AQ141" s="144"/>
      <x:c r="AR141" s="144"/>
      <x:c r="AS141" s="144"/>
      <x:c r="AT141" s="144"/>
      <x:c r="AU141" s="144"/>
      <x:c r="AV141" s="144"/>
      <x:c r="AW141" s="144"/>
      <x:c r="AX141" s="144"/>
      <x:c r="AY141" s="144"/>
      <x:c r="AZ141" s="144"/>
    </x:row>
    <x:row r="142">
      <x:c r="A142" s="144"/>
      <x:c r="B142" s="144"/>
      <x:c r="C142" s="144"/>
      <x:c r="D142" s="144"/>
      <x:c r="E142" s="144"/>
      <x:c r="F142" s="144"/>
      <x:c r="G142" s="144"/>
      <x:c r="H142" s="144"/>
      <x:c r="I142" s="144"/>
      <x:c r="J142" s="144"/>
      <x:c r="K142" s="144"/>
      <x:c r="L142" s="144"/>
      <x:c r="M142" s="144"/>
      <x:c r="N142" s="144"/>
      <x:c r="O142" s="144"/>
      <x:c r="P142" s="144"/>
      <x:c r="Q142" s="144"/>
      <x:c r="R142" s="144"/>
      <x:c r="S142" s="144"/>
      <x:c r="T142" s="144"/>
      <x:c r="U142" s="144"/>
      <x:c r="V142" s="144"/>
      <x:c r="W142" s="144"/>
      <x:c r="X142" s="144"/>
      <x:c r="Y142" s="144"/>
      <x:c r="Z142" s="144"/>
      <x:c r="AA142" s="144"/>
      <x:c r="AB142" s="144"/>
      <x:c r="AC142" s="144"/>
      <x:c r="AD142" s="144"/>
      <x:c r="AE142" s="144"/>
      <x:c r="AF142" s="144"/>
      <x:c r="AG142" s="144"/>
      <x:c r="AH142" s="144"/>
      <x:c r="AI142" s="144"/>
      <x:c r="AJ142" s="144"/>
      <x:c r="AK142" s="144"/>
      <x:c r="AL142" s="144"/>
      <x:c r="AM142" s="144"/>
      <x:c r="AN142" s="144"/>
      <x:c r="AO142" s="144"/>
      <x:c r="AP142" s="144"/>
      <x:c r="AQ142" s="144"/>
      <x:c r="AR142" s="144"/>
      <x:c r="AS142" s="144"/>
      <x:c r="AT142" s="144"/>
      <x:c r="AU142" s="144"/>
      <x:c r="AV142" s="144"/>
      <x:c r="AW142" s="144"/>
      <x:c r="AX142" s="144"/>
      <x:c r="AY142" s="144"/>
      <x:c r="AZ142" s="144"/>
    </x:row>
    <x:row r="143">
      <x:c r="A143" s="144"/>
      <x:c r="B143" s="144"/>
      <x:c r="C143" s="144"/>
      <x:c r="D143" s="144"/>
      <x:c r="E143" s="144"/>
      <x:c r="F143" s="144"/>
      <x:c r="G143" s="144"/>
      <x:c r="H143" s="144"/>
      <x:c r="I143" s="144"/>
      <x:c r="J143" s="144"/>
      <x:c r="K143" s="144"/>
      <x:c r="L143" s="144"/>
      <x:c r="M143" s="144"/>
      <x:c r="N143" s="144"/>
      <x:c r="O143" s="144"/>
      <x:c r="P143" s="144"/>
      <x:c r="Q143" s="144"/>
      <x:c r="R143" s="144"/>
      <x:c r="S143" s="144"/>
      <x:c r="T143" s="144"/>
      <x:c r="U143" s="144"/>
      <x:c r="V143" s="144"/>
      <x:c r="W143" s="144"/>
      <x:c r="X143" s="144"/>
      <x:c r="Y143" s="144"/>
      <x:c r="Z143" s="144"/>
      <x:c r="AA143" s="144"/>
      <x:c r="AB143" s="144"/>
      <x:c r="AC143" s="144"/>
      <x:c r="AD143" s="144"/>
      <x:c r="AE143" s="144"/>
      <x:c r="AF143" s="144"/>
      <x:c r="AG143" s="144"/>
      <x:c r="AH143" s="144"/>
      <x:c r="AI143" s="144"/>
      <x:c r="AJ143" s="144"/>
      <x:c r="AK143" s="144"/>
      <x:c r="AL143" s="144"/>
      <x:c r="AM143" s="144"/>
      <x:c r="AN143" s="144"/>
      <x:c r="AO143" s="144"/>
      <x:c r="AP143" s="144"/>
      <x:c r="AQ143" s="144"/>
      <x:c r="AR143" s="144"/>
      <x:c r="AS143" s="144"/>
      <x:c r="AT143" s="144"/>
      <x:c r="AU143" s="144"/>
      <x:c r="AV143" s="144"/>
      <x:c r="AW143" s="144"/>
      <x:c r="AX143" s="144"/>
      <x:c r="AY143" s="144"/>
      <x:c r="AZ143" s="144"/>
    </x:row>
    <x:row r="144">
      <x:c r="A144" s="144"/>
      <x:c r="B144" s="144"/>
      <x:c r="C144" s="144"/>
      <x:c r="D144" s="144"/>
      <x:c r="E144" s="144"/>
      <x:c r="F144" s="144"/>
      <x:c r="G144" s="144"/>
      <x:c r="H144" s="144"/>
      <x:c r="I144" s="144"/>
      <x:c r="J144" s="144"/>
      <x:c r="K144" s="144"/>
      <x:c r="L144" s="144"/>
      <x:c r="M144" s="144"/>
      <x:c r="N144" s="144"/>
      <x:c r="O144" s="144"/>
      <x:c r="P144" s="144"/>
      <x:c r="Q144" s="144"/>
      <x:c r="R144" s="144"/>
      <x:c r="S144" s="144"/>
      <x:c r="T144" s="144"/>
      <x:c r="U144" s="144"/>
      <x:c r="V144" s="144"/>
      <x:c r="W144" s="144"/>
      <x:c r="X144" s="144"/>
      <x:c r="Y144" s="144"/>
      <x:c r="Z144" s="144"/>
      <x:c r="AA144" s="144"/>
      <x:c r="AB144" s="144"/>
      <x:c r="AC144" s="144"/>
      <x:c r="AD144" s="144"/>
      <x:c r="AE144" s="144"/>
      <x:c r="AF144" s="144"/>
      <x:c r="AG144" s="144"/>
      <x:c r="AH144" s="144"/>
      <x:c r="AI144" s="144"/>
      <x:c r="AJ144" s="144"/>
      <x:c r="AK144" s="144"/>
      <x:c r="AL144" s="144"/>
      <x:c r="AM144" s="144"/>
      <x:c r="AN144" s="144"/>
      <x:c r="AO144" s="144"/>
      <x:c r="AP144" s="144"/>
      <x:c r="AQ144" s="144"/>
      <x:c r="AR144" s="144"/>
      <x:c r="AS144" s="144"/>
      <x:c r="AT144" s="144"/>
      <x:c r="AU144" s="144"/>
      <x:c r="AV144" s="144"/>
      <x:c r="AW144" s="144"/>
      <x:c r="AX144" s="144"/>
      <x:c r="AY144" s="144"/>
      <x:c r="AZ144" s="144"/>
    </x:row>
    <x:row r="145">
      <x:c r="A145" s="144"/>
      <x:c r="B145" s="144"/>
      <x:c r="C145" s="144"/>
      <x:c r="D145" s="144"/>
      <x:c r="E145" s="144"/>
      <x:c r="F145" s="144"/>
      <x:c r="G145" s="144"/>
      <x:c r="H145" s="144"/>
      <x:c r="I145" s="144"/>
      <x:c r="J145" s="144"/>
      <x:c r="K145" s="144"/>
      <x:c r="L145" s="144"/>
      <x:c r="M145" s="144"/>
      <x:c r="N145" s="144"/>
      <x:c r="O145" s="144"/>
      <x:c r="P145" s="144"/>
      <x:c r="Q145" s="144"/>
      <x:c r="R145" s="144"/>
      <x:c r="S145" s="144"/>
      <x:c r="T145" s="144"/>
      <x:c r="U145" s="144"/>
      <x:c r="V145" s="144"/>
      <x:c r="W145" s="144"/>
      <x:c r="X145" s="144"/>
      <x:c r="Y145" s="144"/>
      <x:c r="Z145" s="144"/>
      <x:c r="AA145" s="144"/>
      <x:c r="AB145" s="144"/>
      <x:c r="AC145" s="144"/>
      <x:c r="AD145" s="144"/>
      <x:c r="AE145" s="144"/>
      <x:c r="AF145" s="144"/>
      <x:c r="AG145" s="144"/>
      <x:c r="AH145" s="144"/>
      <x:c r="AI145" s="144"/>
      <x:c r="AJ145" s="144"/>
      <x:c r="AK145" s="144"/>
      <x:c r="AL145" s="144"/>
      <x:c r="AM145" s="144"/>
      <x:c r="AN145" s="144"/>
      <x:c r="AO145" s="144"/>
      <x:c r="AP145" s="144"/>
      <x:c r="AQ145" s="144"/>
      <x:c r="AR145" s="144"/>
      <x:c r="AS145" s="144"/>
      <x:c r="AT145" s="144"/>
      <x:c r="AU145" s="144"/>
      <x:c r="AV145" s="144"/>
      <x:c r="AW145" s="144"/>
      <x:c r="AX145" s="144"/>
      <x:c r="AY145" s="144"/>
      <x:c r="AZ145" s="144"/>
    </x:row>
    <x:row r="146">
      <x:c r="A146" s="144"/>
      <x:c r="B146" s="144"/>
      <x:c r="C146" s="144"/>
      <x:c r="D146" s="144"/>
      <x:c r="E146" s="144"/>
      <x:c r="F146" s="144"/>
      <x:c r="G146" s="144"/>
      <x:c r="H146" s="144"/>
      <x:c r="I146" s="144"/>
      <x:c r="J146" s="144"/>
      <x:c r="K146" s="144"/>
      <x:c r="L146" s="144"/>
      <x:c r="M146" s="144"/>
      <x:c r="N146" s="144"/>
      <x:c r="O146" s="144"/>
      <x:c r="P146" s="144"/>
      <x:c r="Q146" s="144"/>
      <x:c r="R146" s="144"/>
      <x:c r="S146" s="144"/>
      <x:c r="T146" s="144"/>
      <x:c r="U146" s="144"/>
      <x:c r="V146" s="144"/>
      <x:c r="W146" s="144"/>
      <x:c r="X146" s="144"/>
      <x:c r="Y146" s="144"/>
      <x:c r="Z146" s="144"/>
      <x:c r="AA146" s="144"/>
      <x:c r="AB146" s="144"/>
      <x:c r="AC146" s="144"/>
      <x:c r="AD146" s="144"/>
      <x:c r="AE146" s="144"/>
      <x:c r="AF146" s="144"/>
      <x:c r="AG146" s="144"/>
      <x:c r="AH146" s="144"/>
      <x:c r="AI146" s="144"/>
      <x:c r="AJ146" s="144"/>
      <x:c r="AK146" s="144"/>
      <x:c r="AL146" s="144"/>
      <x:c r="AM146" s="144"/>
      <x:c r="AN146" s="144"/>
      <x:c r="AO146" s="144"/>
      <x:c r="AP146" s="144"/>
      <x:c r="AQ146" s="144"/>
      <x:c r="AR146" s="144"/>
      <x:c r="AS146" s="144"/>
      <x:c r="AT146" s="144"/>
      <x:c r="AU146" s="144"/>
      <x:c r="AV146" s="144"/>
      <x:c r="AW146" s="144"/>
      <x:c r="AX146" s="144"/>
      <x:c r="AY146" s="144"/>
      <x:c r="AZ146" s="144"/>
    </x:row>
    <x:row r="147">
      <x:c r="A147" s="144"/>
      <x:c r="B147" s="144"/>
      <x:c r="C147" s="144"/>
      <x:c r="D147" s="144"/>
      <x:c r="E147" s="144"/>
      <x:c r="F147" s="144"/>
      <x:c r="G147" s="144"/>
      <x:c r="H147" s="144"/>
      <x:c r="I147" s="144"/>
      <x:c r="J147" s="144"/>
      <x:c r="K147" s="144"/>
      <x:c r="L147" s="144"/>
      <x:c r="M147" s="144"/>
      <x:c r="N147" s="144"/>
      <x:c r="O147" s="144"/>
      <x:c r="P147" s="144"/>
      <x:c r="Q147" s="144"/>
      <x:c r="R147" s="144"/>
      <x:c r="S147" s="144"/>
      <x:c r="T147" s="144"/>
      <x:c r="U147" s="144"/>
      <x:c r="V147" s="144"/>
      <x:c r="W147" s="144"/>
      <x:c r="X147" s="144"/>
      <x:c r="Y147" s="144"/>
      <x:c r="Z147" s="144"/>
      <x:c r="AA147" s="144"/>
      <x:c r="AB147" s="144"/>
      <x:c r="AC147" s="144"/>
      <x:c r="AD147" s="144"/>
      <x:c r="AE147" s="144"/>
      <x:c r="AF147" s="144"/>
      <x:c r="AG147" s="144"/>
      <x:c r="AH147" s="144"/>
      <x:c r="AI147" s="144"/>
      <x:c r="AJ147" s="144"/>
      <x:c r="AK147" s="144"/>
      <x:c r="AL147" s="144"/>
      <x:c r="AM147" s="144"/>
      <x:c r="AN147" s="144"/>
      <x:c r="AO147" s="144"/>
      <x:c r="AP147" s="144"/>
      <x:c r="AQ147" s="144"/>
      <x:c r="AR147" s="144"/>
      <x:c r="AS147" s="144"/>
      <x:c r="AT147" s="144"/>
      <x:c r="AU147" s="144"/>
      <x:c r="AV147" s="144"/>
      <x:c r="AW147" s="144"/>
      <x:c r="AX147" s="144"/>
      <x:c r="AY147" s="144"/>
      <x:c r="AZ147" s="144"/>
    </x:row>
    <x:row r="148">
      <x:c r="A148" s="144"/>
      <x:c r="B148" s="144"/>
      <x:c r="C148" s="144"/>
      <x:c r="D148" s="144"/>
      <x:c r="E148" s="144"/>
      <x:c r="F148" s="144"/>
      <x:c r="G148" s="144"/>
      <x:c r="H148" s="144"/>
      <x:c r="I148" s="144"/>
      <x:c r="J148" s="144"/>
      <x:c r="K148" s="144"/>
      <x:c r="L148" s="144"/>
      <x:c r="M148" s="144"/>
      <x:c r="N148" s="144"/>
      <x:c r="O148" s="144"/>
      <x:c r="P148" s="144"/>
      <x:c r="Q148" s="144"/>
      <x:c r="R148" s="144"/>
      <x:c r="S148" s="144"/>
      <x:c r="T148" s="144"/>
      <x:c r="U148" s="144"/>
      <x:c r="V148" s="144"/>
      <x:c r="W148" s="144"/>
      <x:c r="X148" s="144"/>
      <x:c r="Y148" s="144"/>
      <x:c r="Z148" s="144"/>
      <x:c r="AA148" s="144"/>
      <x:c r="AB148" s="144"/>
      <x:c r="AC148" s="144"/>
      <x:c r="AD148" s="144"/>
      <x:c r="AE148" s="144"/>
      <x:c r="AF148" s="144"/>
      <x:c r="AG148" s="144"/>
      <x:c r="AH148" s="144"/>
      <x:c r="AI148" s="144"/>
      <x:c r="AJ148" s="144"/>
      <x:c r="AK148" s="144"/>
      <x:c r="AL148" s="144"/>
      <x:c r="AM148" s="144"/>
      <x:c r="AN148" s="144"/>
      <x:c r="AO148" s="144"/>
      <x:c r="AP148" s="144"/>
      <x:c r="AQ148" s="144"/>
      <x:c r="AR148" s="144"/>
      <x:c r="AS148" s="144"/>
      <x:c r="AT148" s="144"/>
      <x:c r="AU148" s="144"/>
      <x:c r="AV148" s="144"/>
      <x:c r="AW148" s="144"/>
      <x:c r="AX148" s="144"/>
      <x:c r="AY148" s="144"/>
      <x:c r="AZ148" s="144"/>
    </x:row>
    <x:row r="149">
      <x:c r="A149" s="144"/>
      <x:c r="B149" s="144"/>
      <x:c r="C149" s="144"/>
      <x:c r="D149" s="144"/>
      <x:c r="E149" s="144"/>
      <x:c r="F149" s="144"/>
      <x:c r="G149" s="144"/>
      <x:c r="H149" s="144"/>
      <x:c r="I149" s="144"/>
      <x:c r="J149" s="144"/>
      <x:c r="K149" s="144"/>
      <x:c r="L149" s="144"/>
      <x:c r="M149" s="144"/>
      <x:c r="N149" s="144"/>
      <x:c r="O149" s="144"/>
      <x:c r="P149" s="144"/>
      <x:c r="Q149" s="144"/>
      <x:c r="R149" s="144"/>
      <x:c r="S149" s="144"/>
      <x:c r="T149" s="144"/>
      <x:c r="U149" s="144"/>
      <x:c r="V149" s="144"/>
      <x:c r="W149" s="144"/>
      <x:c r="X149" s="144"/>
      <x:c r="Y149" s="144"/>
      <x:c r="Z149" s="144"/>
      <x:c r="AA149" s="144"/>
      <x:c r="AB149" s="144"/>
      <x:c r="AC149" s="144"/>
      <x:c r="AD149" s="144"/>
      <x:c r="AE149" s="144"/>
      <x:c r="AF149" s="144"/>
      <x:c r="AG149" s="144"/>
      <x:c r="AH149" s="144"/>
      <x:c r="AI149" s="144"/>
      <x:c r="AJ149" s="144"/>
      <x:c r="AK149" s="144"/>
      <x:c r="AL149" s="144"/>
      <x:c r="AM149" s="144"/>
      <x:c r="AN149" s="144"/>
      <x:c r="AO149" s="144"/>
      <x:c r="AP149" s="144"/>
      <x:c r="AQ149" s="144"/>
      <x:c r="AR149" s="144"/>
      <x:c r="AS149" s="144"/>
      <x:c r="AT149" s="144"/>
      <x:c r="AU149" s="144"/>
      <x:c r="AV149" s="144"/>
      <x:c r="AW149" s="144"/>
      <x:c r="AX149" s="144"/>
      <x:c r="AY149" s="144"/>
      <x:c r="AZ149" s="144"/>
    </x:row>
    <x:row r="150">
      <x:c r="A150" s="144"/>
      <x:c r="B150" s="144"/>
      <x:c r="C150" s="144"/>
      <x:c r="D150" s="144"/>
      <x:c r="E150" s="144"/>
      <x:c r="F150" s="144"/>
      <x:c r="G150" s="144"/>
      <x:c r="H150" s="144"/>
      <x:c r="I150" s="144"/>
      <x:c r="J150" s="144"/>
      <x:c r="K150" s="144"/>
      <x:c r="L150" s="144"/>
      <x:c r="M150" s="144"/>
      <x:c r="N150" s="144"/>
      <x:c r="O150" s="144"/>
      <x:c r="P150" s="144"/>
      <x:c r="Q150" s="144"/>
      <x:c r="R150" s="144"/>
      <x:c r="S150" s="144"/>
      <x:c r="T150" s="144"/>
      <x:c r="U150" s="144"/>
      <x:c r="V150" s="144"/>
      <x:c r="W150" s="144"/>
      <x:c r="X150" s="144"/>
      <x:c r="Y150" s="144"/>
      <x:c r="Z150" s="144"/>
      <x:c r="AA150" s="144"/>
      <x:c r="AB150" s="144"/>
      <x:c r="AC150" s="144"/>
      <x:c r="AD150" s="144"/>
      <x:c r="AE150" s="144"/>
      <x:c r="AF150" s="144"/>
      <x:c r="AG150" s="144"/>
      <x:c r="AH150" s="144"/>
      <x:c r="AI150" s="144"/>
      <x:c r="AJ150" s="144"/>
      <x:c r="AK150" s="144"/>
      <x:c r="AL150" s="144"/>
      <x:c r="AM150" s="144"/>
      <x:c r="AN150" s="144"/>
      <x:c r="AO150" s="144"/>
      <x:c r="AP150" s="144"/>
      <x:c r="AQ150" s="144"/>
      <x:c r="AR150" s="144"/>
      <x:c r="AS150" s="144"/>
      <x:c r="AT150" s="144"/>
      <x:c r="AU150" s="144"/>
      <x:c r="AV150" s="144"/>
      <x:c r="AW150" s="144"/>
      <x:c r="AX150" s="144"/>
      <x:c r="AY150" s="144"/>
      <x:c r="AZ150" s="144"/>
    </x:row>
    <x:row r="151">
      <x:c r="A151" s="144"/>
      <x:c r="B151" s="144"/>
      <x:c r="C151" s="144"/>
      <x:c r="D151" s="144"/>
      <x:c r="E151" s="144"/>
      <x:c r="F151" s="144"/>
      <x:c r="G151" s="144"/>
      <x:c r="H151" s="144"/>
      <x:c r="I151" s="144"/>
      <x:c r="J151" s="144"/>
      <x:c r="K151" s="144"/>
      <x:c r="L151" s="144"/>
      <x:c r="M151" s="144"/>
      <x:c r="N151" s="144"/>
      <x:c r="O151" s="144"/>
      <x:c r="P151" s="144"/>
      <x:c r="Q151" s="144"/>
      <x:c r="R151" s="144"/>
      <x:c r="S151" s="144"/>
      <x:c r="T151" s="144"/>
      <x:c r="U151" s="144"/>
      <x:c r="V151" s="144"/>
      <x:c r="W151" s="144"/>
      <x:c r="X151" s="144"/>
      <x:c r="Y151" s="144"/>
      <x:c r="Z151" s="144"/>
      <x:c r="AA151" s="144"/>
      <x:c r="AB151" s="144"/>
      <x:c r="AC151" s="144"/>
      <x:c r="AD151" s="144"/>
      <x:c r="AE151" s="144"/>
      <x:c r="AF151" s="144"/>
      <x:c r="AG151" s="144"/>
      <x:c r="AH151" s="144"/>
      <x:c r="AI151" s="144"/>
      <x:c r="AJ151" s="144"/>
      <x:c r="AK151" s="144"/>
      <x:c r="AL151" s="144"/>
      <x:c r="AM151" s="144"/>
      <x:c r="AN151" s="144"/>
      <x:c r="AO151" s="144"/>
      <x:c r="AP151" s="144"/>
      <x:c r="AQ151" s="144"/>
      <x:c r="AR151" s="144"/>
      <x:c r="AS151" s="144"/>
      <x:c r="AT151" s="144"/>
      <x:c r="AU151" s="144"/>
      <x:c r="AV151" s="144"/>
      <x:c r="AW151" s="144"/>
      <x:c r="AX151" s="144"/>
      <x:c r="AY151" s="144"/>
      <x:c r="AZ151" s="144"/>
    </x:row>
    <x:row r="152">
      <x:c r="A152" s="144"/>
      <x:c r="B152" s="144"/>
      <x:c r="C152" s="144"/>
      <x:c r="D152" s="144"/>
      <x:c r="E152" s="144"/>
      <x:c r="F152" s="144"/>
      <x:c r="G152" s="144"/>
      <x:c r="H152" s="144"/>
      <x:c r="I152" s="144"/>
      <x:c r="J152" s="144"/>
      <x:c r="K152" s="144"/>
      <x:c r="L152" s="144"/>
      <x:c r="M152" s="144"/>
      <x:c r="N152" s="144"/>
      <x:c r="O152" s="144"/>
      <x:c r="P152" s="144"/>
      <x:c r="Q152" s="144"/>
      <x:c r="R152" s="144"/>
      <x:c r="S152" s="144"/>
      <x:c r="T152" s="144"/>
      <x:c r="U152" s="144"/>
      <x:c r="V152" s="144"/>
      <x:c r="W152" s="144"/>
      <x:c r="X152" s="144"/>
      <x:c r="Y152" s="144"/>
      <x:c r="Z152" s="144"/>
      <x:c r="AA152" s="144"/>
      <x:c r="AB152" s="144"/>
      <x:c r="AC152" s="144"/>
      <x:c r="AD152" s="144"/>
      <x:c r="AE152" s="144"/>
      <x:c r="AF152" s="144"/>
      <x:c r="AG152" s="144"/>
      <x:c r="AH152" s="144"/>
      <x:c r="AI152" s="144"/>
      <x:c r="AJ152" s="144"/>
      <x:c r="AK152" s="144"/>
      <x:c r="AL152" s="144"/>
      <x:c r="AM152" s="144"/>
      <x:c r="AN152" s="144"/>
      <x:c r="AO152" s="144"/>
      <x:c r="AP152" s="144"/>
      <x:c r="AQ152" s="144"/>
      <x:c r="AR152" s="144"/>
      <x:c r="AS152" s="144"/>
      <x:c r="AT152" s="144"/>
      <x:c r="AU152" s="144"/>
      <x:c r="AV152" s="144"/>
      <x:c r="AW152" s="144"/>
      <x:c r="AX152" s="144"/>
      <x:c r="AY152" s="144"/>
      <x:c r="AZ152" s="144"/>
    </x:row>
    <x:row r="153">
      <x:c r="A153" s="144"/>
      <x:c r="B153" s="144"/>
      <x:c r="C153" s="144"/>
      <x:c r="D153" s="144"/>
      <x:c r="E153" s="144"/>
      <x:c r="F153" s="144"/>
      <x:c r="G153" s="144"/>
      <x:c r="H153" s="144"/>
      <x:c r="I153" s="144"/>
      <x:c r="J153" s="144"/>
      <x:c r="K153" s="144"/>
      <x:c r="L153" s="144"/>
      <x:c r="M153" s="144"/>
      <x:c r="N153" s="144"/>
      <x:c r="O153" s="144"/>
      <x:c r="P153" s="144"/>
      <x:c r="Q153" s="144"/>
      <x:c r="R153" s="144"/>
      <x:c r="S153" s="144"/>
      <x:c r="T153" s="144"/>
      <x:c r="U153" s="144"/>
      <x:c r="V153" s="144"/>
      <x:c r="W153" s="144"/>
      <x:c r="X153" s="144"/>
      <x:c r="Y153" s="144"/>
      <x:c r="Z153" s="144"/>
      <x:c r="AA153" s="144"/>
      <x:c r="AB153" s="144"/>
      <x:c r="AC153" s="144"/>
      <x:c r="AD153" s="144"/>
      <x:c r="AE153" s="144"/>
      <x:c r="AF153" s="144"/>
      <x:c r="AG153" s="144"/>
      <x:c r="AH153" s="144"/>
      <x:c r="AI153" s="144"/>
      <x:c r="AJ153" s="144"/>
      <x:c r="AK153" s="144"/>
      <x:c r="AL153" s="144"/>
      <x:c r="AM153" s="144"/>
      <x:c r="AN153" s="144"/>
      <x:c r="AO153" s="144"/>
      <x:c r="AP153" s="144"/>
      <x:c r="AQ153" s="144"/>
      <x:c r="AR153" s="144"/>
      <x:c r="AS153" s="144"/>
      <x:c r="AT153" s="144"/>
      <x:c r="AU153" s="144"/>
      <x:c r="AV153" s="144"/>
      <x:c r="AW153" s="144"/>
      <x:c r="AX153" s="144"/>
      <x:c r="AY153" s="144"/>
      <x:c r="AZ153" s="144"/>
    </x:row>
    <x:row r="154">
      <x:c r="A154" s="144"/>
      <x:c r="B154" s="144"/>
      <x:c r="C154" s="144"/>
      <x:c r="D154" s="144"/>
      <x:c r="E154" s="144"/>
      <x:c r="F154" s="144"/>
      <x:c r="G154" s="144"/>
      <x:c r="H154" s="144"/>
      <x:c r="I154" s="144"/>
      <x:c r="J154" s="144"/>
      <x:c r="K154" s="144"/>
      <x:c r="L154" s="144"/>
      <x:c r="M154" s="144"/>
      <x:c r="N154" s="144"/>
      <x:c r="O154" s="144"/>
      <x:c r="P154" s="144"/>
      <x:c r="Q154" s="144"/>
      <x:c r="R154" s="144"/>
      <x:c r="S154" s="144"/>
      <x:c r="T154" s="144"/>
      <x:c r="U154" s="144"/>
      <x:c r="V154" s="144"/>
      <x:c r="W154" s="144"/>
      <x:c r="X154" s="144"/>
      <x:c r="Y154" s="144"/>
      <x:c r="Z154" s="144"/>
      <x:c r="AA154" s="144"/>
      <x:c r="AB154" s="144"/>
      <x:c r="AC154" s="144"/>
      <x:c r="AD154" s="144"/>
      <x:c r="AE154" s="144"/>
      <x:c r="AF154" s="144"/>
      <x:c r="AG154" s="144"/>
      <x:c r="AH154" s="144"/>
      <x:c r="AI154" s="144"/>
      <x:c r="AJ154" s="144"/>
      <x:c r="AK154" s="144"/>
      <x:c r="AL154" s="144"/>
      <x:c r="AM154" s="144"/>
      <x:c r="AN154" s="144"/>
      <x:c r="AO154" s="144"/>
      <x:c r="AP154" s="144"/>
      <x:c r="AQ154" s="144"/>
      <x:c r="AR154" s="144"/>
      <x:c r="AS154" s="144"/>
      <x:c r="AT154" s="144"/>
      <x:c r="AU154" s="144"/>
      <x:c r="AV154" s="144"/>
      <x:c r="AW154" s="144"/>
      <x:c r="AX154" s="144"/>
      <x:c r="AY154" s="144"/>
      <x:c r="AZ154" s="144"/>
    </x:row>
    <x:row r="155">
      <x:c r="A155" s="144"/>
      <x:c r="B155" s="144"/>
      <x:c r="C155" s="144"/>
      <x:c r="D155" s="144"/>
      <x:c r="E155" s="144"/>
      <x:c r="F155" s="144"/>
      <x:c r="G155" s="144"/>
      <x:c r="H155" s="144"/>
      <x:c r="I155" s="144"/>
      <x:c r="J155" s="144"/>
      <x:c r="K155" s="144"/>
      <x:c r="L155" s="144"/>
      <x:c r="M155" s="144"/>
      <x:c r="N155" s="144"/>
      <x:c r="O155" s="144"/>
      <x:c r="P155" s="144"/>
      <x:c r="Q155" s="144"/>
      <x:c r="R155" s="144"/>
      <x:c r="S155" s="144"/>
      <x:c r="T155" s="144"/>
      <x:c r="U155" s="144"/>
      <x:c r="V155" s="144"/>
      <x:c r="W155" s="144"/>
      <x:c r="X155" s="144"/>
      <x:c r="Y155" s="144"/>
      <x:c r="Z155" s="144"/>
      <x:c r="AA155" s="144"/>
      <x:c r="AB155" s="144"/>
      <x:c r="AC155" s="144"/>
      <x:c r="AD155" s="144"/>
      <x:c r="AE155" s="144"/>
      <x:c r="AF155" s="144"/>
      <x:c r="AG155" s="144"/>
      <x:c r="AH155" s="144"/>
      <x:c r="AI155" s="144"/>
      <x:c r="AJ155" s="144"/>
      <x:c r="AK155" s="144"/>
      <x:c r="AL155" s="144"/>
      <x:c r="AM155" s="144"/>
      <x:c r="AN155" s="144"/>
      <x:c r="AO155" s="144"/>
      <x:c r="AP155" s="144"/>
      <x:c r="AQ155" s="144"/>
      <x:c r="AR155" s="144"/>
      <x:c r="AS155" s="144"/>
      <x:c r="AT155" s="144"/>
      <x:c r="AU155" s="144"/>
      <x:c r="AV155" s="144"/>
      <x:c r="AW155" s="144"/>
      <x:c r="AX155" s="144"/>
      <x:c r="AY155" s="144"/>
      <x:c r="AZ155" s="144"/>
    </x:row>
    <x:row r="156">
      <x:c r="A156" s="144"/>
      <x:c r="B156" s="144"/>
      <x:c r="C156" s="144"/>
      <x:c r="D156" s="144"/>
      <x:c r="E156" s="144"/>
      <x:c r="F156" s="144"/>
      <x:c r="G156" s="144"/>
      <x:c r="H156" s="144"/>
      <x:c r="I156" s="144"/>
      <x:c r="J156" s="144"/>
      <x:c r="K156" s="144"/>
      <x:c r="L156" s="144"/>
      <x:c r="M156" s="144"/>
      <x:c r="N156" s="144"/>
      <x:c r="O156" s="144"/>
      <x:c r="P156" s="144"/>
      <x:c r="Q156" s="144"/>
      <x:c r="R156" s="144"/>
      <x:c r="S156" s="144"/>
      <x:c r="T156" s="144"/>
      <x:c r="U156" s="144"/>
      <x:c r="V156" s="144"/>
      <x:c r="W156" s="144"/>
      <x:c r="X156" s="144"/>
      <x:c r="Y156" s="144"/>
      <x:c r="Z156" s="144"/>
      <x:c r="AA156" s="144"/>
      <x:c r="AB156" s="144"/>
      <x:c r="AC156" s="144"/>
      <x:c r="AD156" s="144"/>
      <x:c r="AE156" s="144"/>
      <x:c r="AF156" s="144"/>
      <x:c r="AG156" s="144"/>
      <x:c r="AH156" s="144"/>
      <x:c r="AI156" s="144"/>
      <x:c r="AJ156" s="144"/>
      <x:c r="AK156" s="144"/>
      <x:c r="AL156" s="144"/>
      <x:c r="AM156" s="144"/>
      <x:c r="AN156" s="144"/>
      <x:c r="AO156" s="144"/>
      <x:c r="AP156" s="144"/>
      <x:c r="AQ156" s="144"/>
      <x:c r="AR156" s="144"/>
      <x:c r="AS156" s="144"/>
      <x:c r="AT156" s="144"/>
      <x:c r="AU156" s="144"/>
      <x:c r="AV156" s="144"/>
      <x:c r="AW156" s="144"/>
      <x:c r="AX156" s="144"/>
      <x:c r="AY156" s="144"/>
      <x:c r="AZ156" s="144"/>
    </x:row>
    <x:row r="157">
      <x:c r="A157" s="144"/>
      <x:c r="B157" s="144"/>
      <x:c r="C157" s="144"/>
      <x:c r="D157" s="144"/>
      <x:c r="E157" s="144"/>
      <x:c r="F157" s="144"/>
      <x:c r="G157" s="144"/>
      <x:c r="H157" s="144"/>
      <x:c r="I157" s="144"/>
      <x:c r="J157" s="144"/>
      <x:c r="K157" s="144"/>
      <x:c r="L157" s="144"/>
      <x:c r="M157" s="144"/>
      <x:c r="N157" s="144"/>
      <x:c r="O157" s="144"/>
      <x:c r="P157" s="144"/>
      <x:c r="Q157" s="144"/>
      <x:c r="R157" s="144"/>
      <x:c r="S157" s="144"/>
      <x:c r="T157" s="144"/>
      <x:c r="U157" s="144"/>
      <x:c r="V157" s="144"/>
      <x:c r="W157" s="144"/>
      <x:c r="X157" s="144"/>
      <x:c r="Y157" s="144"/>
      <x:c r="Z157" s="144"/>
      <x:c r="AA157" s="144"/>
      <x:c r="AB157" s="144"/>
      <x:c r="AC157" s="144"/>
      <x:c r="AD157" s="144"/>
      <x:c r="AE157" s="144"/>
      <x:c r="AF157" s="144"/>
      <x:c r="AG157" s="144"/>
      <x:c r="AH157" s="144"/>
      <x:c r="AI157" s="144"/>
      <x:c r="AJ157" s="144"/>
      <x:c r="AK157" s="144"/>
      <x:c r="AL157" s="144"/>
      <x:c r="AM157" s="144"/>
      <x:c r="AN157" s="144"/>
      <x:c r="AO157" s="144"/>
      <x:c r="AP157" s="144"/>
      <x:c r="AQ157" s="144"/>
      <x:c r="AR157" s="144"/>
      <x:c r="AS157" s="144"/>
      <x:c r="AT157" s="144"/>
      <x:c r="AU157" s="144"/>
      <x:c r="AV157" s="144"/>
      <x:c r="AW157" s="144"/>
      <x:c r="AX157" s="144"/>
      <x:c r="AY157" s="144"/>
      <x:c r="AZ157" s="144"/>
    </x:row>
    <x:row r="158">
      <x:c r="A158" s="144"/>
      <x:c r="B158" s="144"/>
      <x:c r="C158" s="144"/>
      <x:c r="D158" s="144"/>
      <x:c r="E158" s="144"/>
      <x:c r="F158" s="144"/>
      <x:c r="G158" s="144"/>
      <x:c r="H158" s="144"/>
      <x:c r="I158" s="144"/>
      <x:c r="J158" s="144"/>
      <x:c r="K158" s="144"/>
      <x:c r="L158" s="144"/>
      <x:c r="M158" s="144"/>
      <x:c r="N158" s="144"/>
      <x:c r="O158" s="144"/>
      <x:c r="P158" s="144"/>
      <x:c r="Q158" s="144"/>
      <x:c r="R158" s="144"/>
      <x:c r="S158" s="144"/>
      <x:c r="T158" s="144"/>
      <x:c r="U158" s="144"/>
      <x:c r="V158" s="144"/>
      <x:c r="W158" s="144"/>
      <x:c r="X158" s="144"/>
      <x:c r="Y158" s="144"/>
      <x:c r="Z158" s="144"/>
      <x:c r="AA158" s="144"/>
      <x:c r="AB158" s="144"/>
      <x:c r="AC158" s="144"/>
      <x:c r="AD158" s="144"/>
      <x:c r="AE158" s="144"/>
      <x:c r="AF158" s="144"/>
      <x:c r="AG158" s="144"/>
      <x:c r="AH158" s="144"/>
      <x:c r="AI158" s="144"/>
      <x:c r="AJ158" s="144"/>
      <x:c r="AK158" s="144"/>
      <x:c r="AL158" s="144"/>
      <x:c r="AM158" s="144"/>
      <x:c r="AN158" s="144"/>
      <x:c r="AO158" s="144"/>
      <x:c r="AP158" s="144"/>
      <x:c r="AQ158" s="144"/>
      <x:c r="AR158" s="144"/>
      <x:c r="AS158" s="144"/>
      <x:c r="AT158" s="144"/>
      <x:c r="AU158" s="144"/>
      <x:c r="AV158" s="144"/>
      <x:c r="AW158" s="144"/>
      <x:c r="AX158" s="144"/>
      <x:c r="AY158" s="144"/>
      <x:c r="AZ158" s="144"/>
    </x:row>
    <x:row r="159">
      <x:c r="A159" s="144"/>
      <x:c r="B159" s="144"/>
      <x:c r="C159" s="144"/>
      <x:c r="D159" s="144"/>
      <x:c r="E159" s="144"/>
      <x:c r="F159" s="144"/>
      <x:c r="G159" s="144"/>
      <x:c r="H159" s="144"/>
      <x:c r="I159" s="144"/>
      <x:c r="J159" s="144"/>
      <x:c r="K159" s="144"/>
      <x:c r="L159" s="144"/>
      <x:c r="M159" s="144"/>
      <x:c r="N159" s="144"/>
      <x:c r="O159" s="144"/>
      <x:c r="P159" s="144"/>
      <x:c r="Q159" s="144"/>
      <x:c r="R159" s="144"/>
      <x:c r="S159" s="144"/>
      <x:c r="T159" s="144"/>
      <x:c r="U159" s="144"/>
      <x:c r="V159" s="144"/>
      <x:c r="W159" s="144"/>
      <x:c r="X159" s="144"/>
      <x:c r="Y159" s="144"/>
      <x:c r="Z159" s="144"/>
      <x:c r="AA159" s="144"/>
      <x:c r="AB159" s="144"/>
      <x:c r="AC159" s="144"/>
      <x:c r="AD159" s="144"/>
      <x:c r="AE159" s="144"/>
      <x:c r="AF159" s="144"/>
      <x:c r="AG159" s="144"/>
      <x:c r="AH159" s="144"/>
      <x:c r="AI159" s="144"/>
      <x:c r="AJ159" s="144"/>
      <x:c r="AK159" s="144"/>
      <x:c r="AL159" s="144"/>
      <x:c r="AM159" s="144"/>
      <x:c r="AN159" s="144"/>
      <x:c r="AO159" s="144"/>
      <x:c r="AP159" s="144"/>
      <x:c r="AQ159" s="144"/>
      <x:c r="AR159" s="144"/>
      <x:c r="AS159" s="144"/>
      <x:c r="AT159" s="144"/>
      <x:c r="AU159" s="144"/>
      <x:c r="AV159" s="144"/>
      <x:c r="AW159" s="144"/>
      <x:c r="AX159" s="144"/>
      <x:c r="AY159" s="144"/>
      <x:c r="AZ159" s="144"/>
    </x:row>
    <x:row r="160">
      <x:c r="A160" s="144"/>
      <x:c r="B160" s="144"/>
      <x:c r="C160" s="144"/>
      <x:c r="D160" s="144"/>
      <x:c r="E160" s="144"/>
      <x:c r="F160" s="144"/>
      <x:c r="G160" s="144"/>
      <x:c r="H160" s="144"/>
      <x:c r="I160" s="144"/>
      <x:c r="J160" s="144"/>
      <x:c r="K160" s="144"/>
      <x:c r="L160" s="144"/>
      <x:c r="M160" s="144"/>
      <x:c r="N160" s="144"/>
      <x:c r="O160" s="144"/>
      <x:c r="P160" s="144"/>
      <x:c r="Q160" s="144"/>
      <x:c r="R160" s="144"/>
      <x:c r="S160" s="144"/>
      <x:c r="T160" s="144"/>
      <x:c r="U160" s="144"/>
      <x:c r="V160" s="144"/>
      <x:c r="W160" s="144"/>
      <x:c r="X160" s="144"/>
      <x:c r="Y160" s="144"/>
      <x:c r="Z160" s="144"/>
      <x:c r="AA160" s="144"/>
      <x:c r="AB160" s="144"/>
      <x:c r="AC160" s="144"/>
      <x:c r="AD160" s="144"/>
      <x:c r="AE160" s="144"/>
      <x:c r="AF160" s="144"/>
      <x:c r="AG160" s="144"/>
      <x:c r="AH160" s="144"/>
      <x:c r="AI160" s="144"/>
      <x:c r="AJ160" s="144"/>
      <x:c r="AK160" s="144"/>
      <x:c r="AL160" s="144"/>
      <x:c r="AM160" s="144"/>
      <x:c r="AN160" s="144"/>
      <x:c r="AO160" s="144"/>
      <x:c r="AP160" s="144"/>
      <x:c r="AQ160" s="144"/>
      <x:c r="AR160" s="144"/>
      <x:c r="AS160" s="144"/>
      <x:c r="AT160" s="144"/>
      <x:c r="AU160" s="144"/>
      <x:c r="AV160" s="144"/>
      <x:c r="AW160" s="144"/>
      <x:c r="AX160" s="144"/>
      <x:c r="AY160" s="144"/>
      <x:c r="AZ160" s="144"/>
    </x:row>
    <x:row r="161">
      <x:c r="A161" s="144"/>
      <x:c r="B161" s="144"/>
      <x:c r="C161" s="144"/>
      <x:c r="D161" s="144"/>
      <x:c r="E161" s="144"/>
      <x:c r="F161" s="144"/>
      <x:c r="G161" s="144"/>
      <x:c r="H161" s="144"/>
      <x:c r="I161" s="144"/>
      <x:c r="J161" s="144"/>
      <x:c r="K161" s="144"/>
      <x:c r="L161" s="144"/>
      <x:c r="M161" s="144"/>
      <x:c r="N161" s="144"/>
      <x:c r="O161" s="144"/>
      <x:c r="P161" s="144"/>
      <x:c r="Q161" s="144"/>
      <x:c r="R161" s="144"/>
      <x:c r="S161" s="144"/>
      <x:c r="T161" s="144"/>
      <x:c r="U161" s="144"/>
      <x:c r="V161" s="144"/>
      <x:c r="W161" s="144"/>
      <x:c r="X161" s="144"/>
      <x:c r="Y161" s="144"/>
      <x:c r="Z161" s="144"/>
      <x:c r="AA161" s="144"/>
      <x:c r="AB161" s="144"/>
      <x:c r="AC161" s="144"/>
      <x:c r="AD161" s="144"/>
      <x:c r="AE161" s="144"/>
      <x:c r="AF161" s="144"/>
      <x:c r="AG161" s="144"/>
      <x:c r="AH161" s="144"/>
      <x:c r="AI161" s="144"/>
      <x:c r="AJ161" s="144"/>
      <x:c r="AK161" s="144"/>
      <x:c r="AL161" s="144"/>
      <x:c r="AM161" s="144"/>
      <x:c r="AN161" s="144"/>
      <x:c r="AO161" s="144"/>
      <x:c r="AP161" s="144"/>
      <x:c r="AQ161" s="144"/>
      <x:c r="AR161" s="144"/>
      <x:c r="AS161" s="144"/>
      <x:c r="AT161" s="144"/>
      <x:c r="AU161" s="144"/>
      <x:c r="AV161" s="144"/>
      <x:c r="AW161" s="144"/>
      <x:c r="AX161" s="144"/>
      <x:c r="AY161" s="144"/>
      <x:c r="AZ161" s="144"/>
    </x:row>
    <x:row r="162">
      <x:c r="A162" s="144"/>
      <x:c r="B162" s="144"/>
      <x:c r="C162" s="144"/>
      <x:c r="D162" s="144"/>
      <x:c r="E162" s="144"/>
      <x:c r="F162" s="144"/>
      <x:c r="G162" s="144"/>
      <x:c r="H162" s="144"/>
      <x:c r="I162" s="144"/>
      <x:c r="J162" s="144"/>
      <x:c r="K162" s="144"/>
      <x:c r="L162" s="144"/>
      <x:c r="M162" s="144"/>
      <x:c r="N162" s="144"/>
      <x:c r="O162" s="144"/>
      <x:c r="P162" s="144"/>
      <x:c r="Q162" s="144"/>
      <x:c r="R162" s="144"/>
      <x:c r="S162" s="144"/>
      <x:c r="T162" s="144"/>
      <x:c r="U162" s="144"/>
      <x:c r="V162" s="144"/>
      <x:c r="W162" s="144"/>
      <x:c r="X162" s="144"/>
      <x:c r="Y162" s="144"/>
      <x:c r="Z162" s="144"/>
      <x:c r="AA162" s="144"/>
      <x:c r="AB162" s="144"/>
      <x:c r="AC162" s="144"/>
      <x:c r="AD162" s="144"/>
      <x:c r="AE162" s="144"/>
      <x:c r="AF162" s="144"/>
      <x:c r="AG162" s="144"/>
      <x:c r="AH162" s="144"/>
      <x:c r="AI162" s="144"/>
      <x:c r="AJ162" s="144"/>
      <x:c r="AK162" s="144"/>
      <x:c r="AL162" s="144"/>
      <x:c r="AM162" s="144"/>
      <x:c r="AN162" s="144"/>
      <x:c r="AO162" s="144"/>
      <x:c r="AP162" s="144"/>
      <x:c r="AQ162" s="144"/>
      <x:c r="AR162" s="144"/>
      <x:c r="AS162" s="144"/>
      <x:c r="AT162" s="144"/>
      <x:c r="AU162" s="144"/>
      <x:c r="AV162" s="144"/>
      <x:c r="AW162" s="144"/>
      <x:c r="AX162" s="144"/>
      <x:c r="AY162" s="144"/>
      <x:c r="AZ162" s="144"/>
    </x:row>
    <x:row r="163">
      <x:c r="A163" s="144"/>
      <x:c r="B163" s="144"/>
      <x:c r="C163" s="144"/>
      <x:c r="D163" s="144"/>
      <x:c r="E163" s="144"/>
      <x:c r="F163" s="144"/>
      <x:c r="G163" s="144"/>
      <x:c r="H163" s="144"/>
      <x:c r="I163" s="144"/>
      <x:c r="J163" s="144"/>
      <x:c r="K163" s="144"/>
      <x:c r="L163" s="144"/>
      <x:c r="M163" s="144"/>
      <x:c r="N163" s="144"/>
      <x:c r="O163" s="144"/>
      <x:c r="P163" s="144"/>
      <x:c r="Q163" s="144"/>
      <x:c r="R163" s="144"/>
      <x:c r="S163" s="144"/>
      <x:c r="T163" s="144"/>
      <x:c r="U163" s="144"/>
      <x:c r="V163" s="144"/>
      <x:c r="W163" s="144"/>
      <x:c r="X163" s="144"/>
      <x:c r="Y163" s="144"/>
      <x:c r="Z163" s="144"/>
      <x:c r="AA163" s="144"/>
      <x:c r="AB163" s="144"/>
      <x:c r="AC163" s="144"/>
      <x:c r="AD163" s="144"/>
      <x:c r="AE163" s="144"/>
      <x:c r="AF163" s="144"/>
      <x:c r="AG163" s="144"/>
      <x:c r="AH163" s="144"/>
      <x:c r="AI163" s="144"/>
      <x:c r="AJ163" s="144"/>
      <x:c r="AK163" s="144"/>
      <x:c r="AL163" s="144"/>
      <x:c r="AM163" s="144"/>
      <x:c r="AN163" s="144"/>
      <x:c r="AO163" s="144"/>
      <x:c r="AP163" s="144"/>
      <x:c r="AQ163" s="144"/>
      <x:c r="AR163" s="144"/>
      <x:c r="AS163" s="144"/>
      <x:c r="AT163" s="144"/>
      <x:c r="AU163" s="144"/>
      <x:c r="AV163" s="144"/>
      <x:c r="AW163" s="144"/>
      <x:c r="AX163" s="144"/>
      <x:c r="AY163" s="144"/>
      <x:c r="AZ163" s="144"/>
    </x:row>
    <x:row r="164">
      <x:c r="A164" s="144"/>
      <x:c r="B164" s="144"/>
      <x:c r="C164" s="144"/>
      <x:c r="D164" s="144"/>
      <x:c r="E164" s="144"/>
      <x:c r="F164" s="144"/>
      <x:c r="G164" s="144"/>
      <x:c r="H164" s="144"/>
      <x:c r="I164" s="144"/>
      <x:c r="J164" s="144"/>
      <x:c r="K164" s="144"/>
      <x:c r="L164" s="144"/>
      <x:c r="M164" s="144"/>
      <x:c r="N164" s="144"/>
      <x:c r="O164" s="144"/>
      <x:c r="P164" s="144"/>
      <x:c r="Q164" s="144"/>
      <x:c r="R164" s="144"/>
      <x:c r="S164" s="144"/>
      <x:c r="T164" s="144"/>
      <x:c r="U164" s="144"/>
      <x:c r="V164" s="144"/>
      <x:c r="W164" s="144"/>
      <x:c r="X164" s="144"/>
      <x:c r="Y164" s="144"/>
      <x:c r="Z164" s="144"/>
      <x:c r="AA164" s="144"/>
      <x:c r="AB164" s="144"/>
      <x:c r="AC164" s="144"/>
      <x:c r="AD164" s="144"/>
      <x:c r="AE164" s="144"/>
      <x:c r="AF164" s="144"/>
      <x:c r="AG164" s="144"/>
      <x:c r="AH164" s="144"/>
      <x:c r="AI164" s="144"/>
      <x:c r="AJ164" s="144"/>
      <x:c r="AK164" s="144"/>
      <x:c r="AL164" s="144"/>
      <x:c r="AM164" s="144"/>
      <x:c r="AN164" s="144"/>
      <x:c r="AO164" s="144"/>
      <x:c r="AP164" s="144"/>
      <x:c r="AQ164" s="144"/>
      <x:c r="AR164" s="144"/>
      <x:c r="AS164" s="144"/>
      <x:c r="AT164" s="144"/>
      <x:c r="AU164" s="144"/>
      <x:c r="AV164" s="144"/>
      <x:c r="AW164" s="144"/>
      <x:c r="AX164" s="144"/>
      <x:c r="AY164" s="144"/>
      <x:c r="AZ164" s="144"/>
    </x:row>
    <x:row r="165">
      <x:c r="A165" s="144"/>
      <x:c r="B165" s="144"/>
      <x:c r="C165" s="144"/>
      <x:c r="D165" s="144"/>
      <x:c r="E165" s="144"/>
      <x:c r="F165" s="144"/>
      <x:c r="G165" s="144"/>
      <x:c r="H165" s="144"/>
      <x:c r="I165" s="144"/>
      <x:c r="J165" s="144"/>
      <x:c r="K165" s="144"/>
      <x:c r="L165" s="144"/>
      <x:c r="M165" s="144"/>
      <x:c r="N165" s="144"/>
      <x:c r="O165" s="144"/>
      <x:c r="P165" s="144"/>
      <x:c r="Q165" s="144"/>
      <x:c r="R165" s="144"/>
      <x:c r="S165" s="144"/>
      <x:c r="T165" s="144"/>
      <x:c r="U165" s="144"/>
      <x:c r="V165" s="144"/>
      <x:c r="W165" s="144"/>
      <x:c r="X165" s="144"/>
      <x:c r="Y165" s="144"/>
      <x:c r="Z165" s="144"/>
      <x:c r="AA165" s="144"/>
      <x:c r="AB165" s="144"/>
      <x:c r="AC165" s="144"/>
      <x:c r="AD165" s="144"/>
      <x:c r="AE165" s="144"/>
      <x:c r="AF165" s="144"/>
      <x:c r="AG165" s="144"/>
      <x:c r="AH165" s="144"/>
      <x:c r="AI165" s="144"/>
      <x:c r="AJ165" s="144"/>
      <x:c r="AK165" s="144"/>
      <x:c r="AL165" s="144"/>
      <x:c r="AM165" s="144"/>
      <x:c r="AN165" s="144"/>
      <x:c r="AO165" s="144"/>
      <x:c r="AP165" s="144"/>
      <x:c r="AQ165" s="144"/>
      <x:c r="AR165" s="144"/>
      <x:c r="AS165" s="144"/>
      <x:c r="AT165" s="144"/>
      <x:c r="AU165" s="144"/>
      <x:c r="AV165" s="144"/>
      <x:c r="AW165" s="144"/>
      <x:c r="AX165" s="144"/>
      <x:c r="AY165" s="144"/>
      <x:c r="AZ165" s="144"/>
    </x:row>
    <x:row r="166">
      <x:c r="A166" s="144"/>
      <x:c r="B166" s="144"/>
      <x:c r="C166" s="144"/>
      <x:c r="D166" s="144"/>
      <x:c r="E166" s="144"/>
      <x:c r="F166" s="144"/>
      <x:c r="G166" s="144"/>
      <x:c r="H166" s="144"/>
      <x:c r="I166" s="144"/>
      <x:c r="J166" s="144"/>
      <x:c r="K166" s="144"/>
      <x:c r="L166" s="144"/>
      <x:c r="M166" s="144"/>
      <x:c r="N166" s="144"/>
      <x:c r="O166" s="144"/>
      <x:c r="P166" s="144"/>
      <x:c r="Q166" s="144"/>
      <x:c r="R166" s="144"/>
      <x:c r="S166" s="144"/>
      <x:c r="T166" s="144"/>
      <x:c r="U166" s="144"/>
      <x:c r="V166" s="144"/>
      <x:c r="W166" s="144"/>
      <x:c r="X166" s="144"/>
      <x:c r="Y166" s="144"/>
      <x:c r="Z166" s="144"/>
      <x:c r="AA166" s="144"/>
      <x:c r="AB166" s="144"/>
      <x:c r="AC166" s="144"/>
      <x:c r="AD166" s="144"/>
      <x:c r="AE166" s="144"/>
      <x:c r="AF166" s="144"/>
      <x:c r="AG166" s="144"/>
      <x:c r="AH166" s="144"/>
      <x:c r="AI166" s="144"/>
      <x:c r="AJ166" s="144"/>
      <x:c r="AK166" s="144"/>
      <x:c r="AL166" s="144"/>
      <x:c r="AM166" s="144"/>
      <x:c r="AN166" s="144"/>
      <x:c r="AO166" s="144"/>
      <x:c r="AP166" s="144"/>
      <x:c r="AQ166" s="144"/>
      <x:c r="AR166" s="144"/>
      <x:c r="AS166" s="144"/>
      <x:c r="AT166" s="144"/>
      <x:c r="AU166" s="144"/>
      <x:c r="AV166" s="144"/>
      <x:c r="AW166" s="144"/>
      <x:c r="AX166" s="144"/>
      <x:c r="AY166" s="144"/>
      <x:c r="AZ166" s="144"/>
    </x:row>
    <x:row r="167">
      <x:c r="A167" s="144"/>
      <x:c r="B167" s="144"/>
      <x:c r="C167" s="144"/>
      <x:c r="D167" s="144"/>
      <x:c r="E167" s="144"/>
      <x:c r="F167" s="144"/>
      <x:c r="G167" s="144"/>
      <x:c r="H167" s="144"/>
      <x:c r="I167" s="144"/>
      <x:c r="J167" s="144"/>
      <x:c r="K167" s="144"/>
      <x:c r="L167" s="144"/>
      <x:c r="M167" s="144"/>
      <x:c r="N167" s="144"/>
      <x:c r="O167" s="144"/>
      <x:c r="P167" s="144"/>
      <x:c r="Q167" s="144"/>
      <x:c r="R167" s="144"/>
      <x:c r="S167" s="144"/>
      <x:c r="T167" s="144"/>
      <x:c r="U167" s="144"/>
      <x:c r="V167" s="144"/>
      <x:c r="W167" s="144"/>
      <x:c r="X167" s="144"/>
      <x:c r="Y167" s="144"/>
      <x:c r="Z167" s="144"/>
      <x:c r="AA167" s="144"/>
      <x:c r="AB167" s="144"/>
      <x:c r="AC167" s="144"/>
      <x:c r="AD167" s="144"/>
      <x:c r="AE167" s="144"/>
      <x:c r="AF167" s="144"/>
      <x:c r="AG167" s="144"/>
      <x:c r="AH167" s="144"/>
      <x:c r="AI167" s="144"/>
      <x:c r="AJ167" s="144"/>
      <x:c r="AK167" s="144"/>
      <x:c r="AL167" s="144"/>
      <x:c r="AM167" s="144"/>
      <x:c r="AN167" s="144"/>
      <x:c r="AO167" s="144"/>
      <x:c r="AP167" s="144"/>
      <x:c r="AQ167" s="144"/>
      <x:c r="AR167" s="144"/>
      <x:c r="AS167" s="144"/>
      <x:c r="AT167" s="144"/>
      <x:c r="AU167" s="144"/>
      <x:c r="AV167" s="144"/>
      <x:c r="AW167" s="144"/>
      <x:c r="AX167" s="144"/>
      <x:c r="AY167" s="144"/>
      <x:c r="AZ167" s="144"/>
    </x:row>
    <x:row r="168">
      <x:c r="A168" s="144"/>
      <x:c r="B168" s="144"/>
      <x:c r="C168" s="144"/>
      <x:c r="D168" s="144"/>
      <x:c r="E168" s="144"/>
      <x:c r="F168" s="144"/>
      <x:c r="G168" s="144"/>
      <x:c r="H168" s="144"/>
      <x:c r="I168" s="144"/>
      <x:c r="J168" s="144"/>
      <x:c r="K168" s="144"/>
      <x:c r="L168" s="144"/>
      <x:c r="M168" s="144"/>
      <x:c r="N168" s="144"/>
      <x:c r="O168" s="144"/>
      <x:c r="P168" s="144"/>
      <x:c r="Q168" s="144"/>
      <x:c r="R168" s="144"/>
      <x:c r="S168" s="144"/>
      <x:c r="T168" s="144"/>
      <x:c r="U168" s="144"/>
      <x:c r="V168" s="144"/>
      <x:c r="W168" s="144"/>
      <x:c r="X168" s="144"/>
      <x:c r="Y168" s="144"/>
      <x:c r="Z168" s="144"/>
      <x:c r="AA168" s="144"/>
      <x:c r="AB168" s="144"/>
      <x:c r="AC168" s="144"/>
      <x:c r="AD168" s="144"/>
      <x:c r="AE168" s="144"/>
      <x:c r="AF168" s="144"/>
      <x:c r="AG168" s="144"/>
      <x:c r="AH168" s="144"/>
      <x:c r="AI168" s="144"/>
      <x:c r="AJ168" s="144"/>
      <x:c r="AK168" s="144"/>
      <x:c r="AL168" s="144"/>
      <x:c r="AM168" s="144"/>
      <x:c r="AN168" s="144"/>
      <x:c r="AO168" s="144"/>
      <x:c r="AP168" s="144"/>
      <x:c r="AQ168" s="144"/>
      <x:c r="AR168" s="144"/>
      <x:c r="AS168" s="144"/>
      <x:c r="AT168" s="144"/>
      <x:c r="AU168" s="144"/>
      <x:c r="AV168" s="144"/>
      <x:c r="AW168" s="144"/>
      <x:c r="AX168" s="144"/>
      <x:c r="AY168" s="144"/>
      <x:c r="AZ168" s="144"/>
    </x:row>
    <x:row r="169">
      <x:c r="A169" s="144"/>
      <x:c r="B169" s="144"/>
      <x:c r="C169" s="144"/>
      <x:c r="D169" s="144"/>
      <x:c r="E169" s="144"/>
      <x:c r="F169" s="144"/>
      <x:c r="G169" s="144"/>
      <x:c r="H169" s="144"/>
      <x:c r="I169" s="144"/>
      <x:c r="J169" s="144"/>
      <x:c r="K169" s="144"/>
      <x:c r="L169" s="144"/>
      <x:c r="M169" s="144"/>
      <x:c r="N169" s="144"/>
      <x:c r="O169" s="144"/>
      <x:c r="P169" s="144"/>
      <x:c r="Q169" s="144"/>
      <x:c r="R169" s="144"/>
      <x:c r="S169" s="144"/>
      <x:c r="T169" s="144"/>
      <x:c r="U169" s="144"/>
      <x:c r="V169" s="144"/>
      <x:c r="W169" s="144"/>
      <x:c r="X169" s="144"/>
      <x:c r="Y169" s="144"/>
      <x:c r="Z169" s="144"/>
      <x:c r="AA169" s="144"/>
      <x:c r="AB169" s="144"/>
      <x:c r="AC169" s="144"/>
      <x:c r="AD169" s="144"/>
      <x:c r="AE169" s="144"/>
      <x:c r="AF169" s="144"/>
      <x:c r="AG169" s="144"/>
      <x:c r="AH169" s="144"/>
      <x:c r="AI169" s="144"/>
      <x:c r="AJ169" s="144"/>
      <x:c r="AK169" s="144"/>
      <x:c r="AL169" s="144"/>
      <x:c r="AM169" s="144"/>
      <x:c r="AN169" s="144"/>
      <x:c r="AO169" s="144"/>
      <x:c r="AP169" s="144"/>
      <x:c r="AQ169" s="144"/>
      <x:c r="AR169" s="144"/>
      <x:c r="AS169" s="144"/>
      <x:c r="AT169" s="144"/>
      <x:c r="AU169" s="144"/>
      <x:c r="AV169" s="144"/>
      <x:c r="AW169" s="144"/>
      <x:c r="AX169" s="144"/>
      <x:c r="AY169" s="144"/>
      <x:c r="AZ169" s="144"/>
    </x:row>
    <x:row r="170">
      <x:c r="A170" s="144"/>
      <x:c r="B170" s="144"/>
      <x:c r="C170" s="144"/>
      <x:c r="D170" s="144"/>
      <x:c r="E170" s="144"/>
      <x:c r="F170" s="144"/>
      <x:c r="G170" s="144"/>
      <x:c r="H170" s="144"/>
      <x:c r="I170" s="144"/>
      <x:c r="J170" s="144"/>
      <x:c r="K170" s="144"/>
      <x:c r="L170" s="144"/>
      <x:c r="M170" s="144"/>
      <x:c r="N170" s="144"/>
      <x:c r="O170" s="144"/>
      <x:c r="P170" s="144"/>
      <x:c r="Q170" s="144"/>
      <x:c r="R170" s="144"/>
      <x:c r="S170" s="144"/>
      <x:c r="T170" s="144"/>
      <x:c r="U170" s="144"/>
      <x:c r="V170" s="144"/>
      <x:c r="W170" s="144"/>
      <x:c r="X170" s="144"/>
      <x:c r="Y170" s="144"/>
      <x:c r="Z170" s="144"/>
      <x:c r="AA170" s="144"/>
      <x:c r="AB170" s="144"/>
      <x:c r="AC170" s="144"/>
      <x:c r="AD170" s="144"/>
      <x:c r="AE170" s="144"/>
      <x:c r="AF170" s="144"/>
      <x:c r="AG170" s="144"/>
      <x:c r="AH170" s="144"/>
      <x:c r="AI170" s="144"/>
      <x:c r="AJ170" s="144"/>
      <x:c r="AK170" s="144"/>
      <x:c r="AL170" s="144"/>
      <x:c r="AM170" s="144"/>
      <x:c r="AN170" s="144"/>
      <x:c r="AO170" s="144"/>
      <x:c r="AP170" s="144"/>
      <x:c r="AQ170" s="144"/>
      <x:c r="AR170" s="144"/>
      <x:c r="AS170" s="144"/>
      <x:c r="AT170" s="144"/>
      <x:c r="AU170" s="144"/>
      <x:c r="AV170" s="144"/>
      <x:c r="AW170" s="144"/>
      <x:c r="AX170" s="144"/>
      <x:c r="AY170" s="144"/>
      <x:c r="AZ170" s="144"/>
    </x:row>
    <x:row r="171">
      <x:c r="A171" s="144"/>
      <x:c r="B171" s="144"/>
      <x:c r="C171" s="144"/>
      <x:c r="D171" s="144"/>
      <x:c r="E171" s="144"/>
      <x:c r="F171" s="144"/>
      <x:c r="G171" s="144"/>
      <x:c r="H171" s="144"/>
      <x:c r="I171" s="144"/>
      <x:c r="J171" s="144"/>
      <x:c r="K171" s="144"/>
      <x:c r="L171" s="144"/>
      <x:c r="M171" s="144"/>
      <x:c r="N171" s="144"/>
      <x:c r="O171" s="144"/>
      <x:c r="P171" s="144"/>
      <x:c r="Q171" s="144"/>
      <x:c r="R171" s="144"/>
      <x:c r="S171" s="144"/>
      <x:c r="T171" s="144"/>
      <x:c r="U171" s="144"/>
      <x:c r="V171" s="144"/>
      <x:c r="W171" s="144"/>
      <x:c r="X171" s="144"/>
      <x:c r="Y171" s="144"/>
      <x:c r="Z171" s="144"/>
      <x:c r="AA171" s="144"/>
      <x:c r="AB171" s="144"/>
      <x:c r="AC171" s="144"/>
      <x:c r="AD171" s="144"/>
      <x:c r="AE171" s="144"/>
      <x:c r="AF171" s="144"/>
      <x:c r="AG171" s="144"/>
      <x:c r="AH171" s="144"/>
      <x:c r="AI171" s="144"/>
      <x:c r="AJ171" s="144"/>
      <x:c r="AK171" s="144"/>
      <x:c r="AL171" s="144"/>
      <x:c r="AM171" s="144"/>
      <x:c r="AN171" s="144"/>
      <x:c r="AO171" s="144"/>
      <x:c r="AP171" s="144"/>
      <x:c r="AQ171" s="144"/>
      <x:c r="AR171" s="144"/>
      <x:c r="AS171" s="144"/>
      <x:c r="AT171" s="144"/>
      <x:c r="AU171" s="144"/>
      <x:c r="AV171" s="144"/>
      <x:c r="AW171" s="144"/>
      <x:c r="AX171" s="144"/>
      <x:c r="AY171" s="144"/>
      <x:c r="AZ171" s="144"/>
    </x:row>
    <x:row r="172">
      <x:c r="A172" s="144"/>
      <x:c r="B172" s="144"/>
      <x:c r="C172" s="144"/>
      <x:c r="D172" s="144"/>
      <x:c r="E172" s="144"/>
      <x:c r="F172" s="144"/>
      <x:c r="G172" s="144"/>
      <x:c r="H172" s="144"/>
      <x:c r="I172" s="144"/>
      <x:c r="J172" s="144"/>
      <x:c r="K172" s="144"/>
      <x:c r="L172" s="144"/>
      <x:c r="M172" s="144"/>
      <x:c r="N172" s="144"/>
      <x:c r="O172" s="144"/>
      <x:c r="P172" s="144"/>
      <x:c r="Q172" s="144"/>
      <x:c r="R172" s="144"/>
      <x:c r="S172" s="144"/>
      <x:c r="T172" s="144"/>
      <x:c r="U172" s="144"/>
      <x:c r="V172" s="144"/>
      <x:c r="W172" s="144"/>
      <x:c r="X172" s="144"/>
      <x:c r="Y172" s="144"/>
      <x:c r="Z172" s="144"/>
      <x:c r="AA172" s="144"/>
      <x:c r="AB172" s="144"/>
      <x:c r="AC172" s="144"/>
      <x:c r="AD172" s="144"/>
      <x:c r="AE172" s="144"/>
      <x:c r="AF172" s="144"/>
      <x:c r="AG172" s="144"/>
      <x:c r="AH172" s="144"/>
      <x:c r="AI172" s="144"/>
      <x:c r="AJ172" s="144"/>
      <x:c r="AK172" s="144"/>
      <x:c r="AL172" s="144"/>
      <x:c r="AM172" s="144"/>
      <x:c r="AN172" s="144"/>
      <x:c r="AO172" s="144"/>
      <x:c r="AP172" s="144"/>
      <x:c r="AQ172" s="144"/>
      <x:c r="AR172" s="144"/>
      <x:c r="AS172" s="144"/>
      <x:c r="AT172" s="144"/>
      <x:c r="AU172" s="144"/>
      <x:c r="AV172" s="144"/>
      <x:c r="AW172" s="144"/>
      <x:c r="AX172" s="144"/>
      <x:c r="AY172" s="144"/>
      <x:c r="AZ172" s="144"/>
    </x:row>
    <x:row r="173">
      <x:c r="A173" s="144"/>
      <x:c r="B173" s="144"/>
      <x:c r="C173" s="144"/>
      <x:c r="D173" s="144"/>
      <x:c r="E173" s="144"/>
      <x:c r="F173" s="144"/>
      <x:c r="G173" s="144"/>
      <x:c r="H173" s="144"/>
      <x:c r="I173" s="144"/>
      <x:c r="J173" s="144"/>
      <x:c r="K173" s="144"/>
      <x:c r="L173" s="144"/>
      <x:c r="M173" s="144"/>
      <x:c r="N173" s="144"/>
      <x:c r="O173" s="144"/>
      <x:c r="P173" s="144"/>
      <x:c r="Q173" s="144"/>
      <x:c r="R173" s="144"/>
      <x:c r="S173" s="144"/>
      <x:c r="T173" s="144"/>
      <x:c r="U173" s="144"/>
      <x:c r="V173" s="144"/>
      <x:c r="W173" s="144"/>
      <x:c r="X173" s="144"/>
      <x:c r="Y173" s="144"/>
      <x:c r="Z173" s="144"/>
      <x:c r="AA173" s="144"/>
      <x:c r="AB173" s="144"/>
      <x:c r="AC173" s="144"/>
      <x:c r="AD173" s="144"/>
      <x:c r="AE173" s="144"/>
      <x:c r="AF173" s="144"/>
      <x:c r="AG173" s="144"/>
      <x:c r="AH173" s="144"/>
      <x:c r="AI173" s="144"/>
      <x:c r="AJ173" s="144"/>
      <x:c r="AK173" s="144"/>
      <x:c r="AL173" s="144"/>
      <x:c r="AM173" s="144"/>
      <x:c r="AN173" s="144"/>
      <x:c r="AO173" s="144"/>
      <x:c r="AP173" s="144"/>
      <x:c r="AQ173" s="144"/>
      <x:c r="AR173" s="144"/>
      <x:c r="AS173" s="144"/>
      <x:c r="AT173" s="144"/>
      <x:c r="AU173" s="144"/>
      <x:c r="AV173" s="144"/>
      <x:c r="AW173" s="144"/>
      <x:c r="AX173" s="144"/>
      <x:c r="AY173" s="144"/>
      <x:c r="AZ173" s="144"/>
    </x:row>
    <x:row r="174">
      <x:c r="A174" s="144"/>
      <x:c r="B174" s="144"/>
      <x:c r="C174" s="144"/>
      <x:c r="D174" s="144"/>
      <x:c r="E174" s="144"/>
      <x:c r="F174" s="144"/>
      <x:c r="G174" s="144"/>
      <x:c r="H174" s="144"/>
      <x:c r="I174" s="144"/>
      <x:c r="J174" s="144"/>
      <x:c r="K174" s="144"/>
      <x:c r="L174" s="144"/>
      <x:c r="M174" s="144"/>
      <x:c r="N174" s="144"/>
      <x:c r="O174" s="144"/>
      <x:c r="P174" s="144"/>
      <x:c r="Q174" s="144"/>
      <x:c r="R174" s="144"/>
      <x:c r="S174" s="144"/>
      <x:c r="T174" s="144"/>
      <x:c r="U174" s="144"/>
      <x:c r="V174" s="144"/>
      <x:c r="W174" s="144"/>
      <x:c r="X174" s="144"/>
      <x:c r="Y174" s="144"/>
      <x:c r="Z174" s="144"/>
      <x:c r="AA174" s="144"/>
      <x:c r="AB174" s="144"/>
      <x:c r="AC174" s="144"/>
      <x:c r="AD174" s="144"/>
      <x:c r="AE174" s="144"/>
      <x:c r="AF174" s="144"/>
      <x:c r="AG174" s="144"/>
      <x:c r="AH174" s="144"/>
      <x:c r="AI174" s="144"/>
      <x:c r="AJ174" s="144"/>
      <x:c r="AK174" s="144"/>
      <x:c r="AL174" s="144"/>
      <x:c r="AM174" s="144"/>
      <x:c r="AN174" s="144"/>
      <x:c r="AO174" s="144"/>
      <x:c r="AP174" s="144"/>
      <x:c r="AQ174" s="144"/>
      <x:c r="AR174" s="144"/>
      <x:c r="AS174" s="144"/>
      <x:c r="AT174" s="144"/>
      <x:c r="AU174" s="144"/>
      <x:c r="AV174" s="144"/>
      <x:c r="AW174" s="144"/>
      <x:c r="AX174" s="144"/>
      <x:c r="AY174" s="144"/>
      <x:c r="AZ174" s="144"/>
    </x:row>
    <x:row r="175">
      <x:c r="A175" s="144"/>
      <x:c r="B175" s="144"/>
      <x:c r="C175" s="144"/>
      <x:c r="D175" s="144"/>
      <x:c r="E175" s="144"/>
      <x:c r="F175" s="144"/>
      <x:c r="G175" s="144"/>
      <x:c r="H175" s="144"/>
      <x:c r="I175" s="144"/>
      <x:c r="J175" s="144"/>
      <x:c r="K175" s="144"/>
      <x:c r="L175" s="144"/>
      <x:c r="M175" s="144"/>
      <x:c r="N175" s="144"/>
      <x:c r="O175" s="144"/>
      <x:c r="P175" s="144"/>
      <x:c r="Q175" s="144"/>
      <x:c r="R175" s="144"/>
      <x:c r="S175" s="144"/>
      <x:c r="T175" s="144"/>
      <x:c r="U175" s="144"/>
      <x:c r="V175" s="144"/>
      <x:c r="W175" s="144"/>
      <x:c r="X175" s="144"/>
      <x:c r="Y175" s="144"/>
      <x:c r="Z175" s="144"/>
      <x:c r="AA175" s="144"/>
      <x:c r="AB175" s="144"/>
      <x:c r="AC175" s="144"/>
      <x:c r="AD175" s="144"/>
      <x:c r="AE175" s="144"/>
      <x:c r="AF175" s="144"/>
      <x:c r="AG175" s="144"/>
      <x:c r="AH175" s="144"/>
      <x:c r="AI175" s="144"/>
      <x:c r="AJ175" s="144"/>
      <x:c r="AK175" s="144"/>
      <x:c r="AL175" s="144"/>
      <x:c r="AM175" s="144"/>
      <x:c r="AN175" s="144"/>
      <x:c r="AO175" s="144"/>
      <x:c r="AP175" s="144"/>
      <x:c r="AQ175" s="144"/>
      <x:c r="AR175" s="144"/>
      <x:c r="AS175" s="144"/>
      <x:c r="AT175" s="144"/>
      <x:c r="AU175" s="144"/>
      <x:c r="AV175" s="144"/>
      <x:c r="AW175" s="144"/>
      <x:c r="AX175" s="144"/>
      <x:c r="AY175" s="144"/>
      <x:c r="AZ175" s="144"/>
    </x:row>
    <x:row r="176">
      <x:c r="A176" s="144"/>
      <x:c r="B176" s="144"/>
      <x:c r="C176" s="144"/>
      <x:c r="D176" s="144"/>
      <x:c r="E176" s="144"/>
      <x:c r="F176" s="144"/>
      <x:c r="G176" s="144"/>
      <x:c r="H176" s="144"/>
      <x:c r="I176" s="144"/>
      <x:c r="J176" s="144"/>
      <x:c r="K176" s="144"/>
      <x:c r="L176" s="144"/>
      <x:c r="M176" s="144"/>
      <x:c r="N176" s="144"/>
      <x:c r="O176" s="144"/>
      <x:c r="P176" s="144"/>
      <x:c r="Q176" s="144"/>
      <x:c r="R176" s="144"/>
      <x:c r="S176" s="144"/>
      <x:c r="T176" s="144"/>
      <x:c r="U176" s="144"/>
      <x:c r="V176" s="144"/>
      <x:c r="W176" s="144"/>
      <x:c r="X176" s="144"/>
      <x:c r="Y176" s="144"/>
      <x:c r="Z176" s="144"/>
      <x:c r="AA176" s="144"/>
      <x:c r="AB176" s="144"/>
      <x:c r="AC176" s="144"/>
      <x:c r="AD176" s="144"/>
      <x:c r="AE176" s="144"/>
      <x:c r="AF176" s="144"/>
      <x:c r="AG176" s="144"/>
      <x:c r="AH176" s="144"/>
      <x:c r="AI176" s="144"/>
      <x:c r="AJ176" s="144"/>
      <x:c r="AK176" s="144"/>
      <x:c r="AL176" s="144"/>
      <x:c r="AM176" s="144"/>
      <x:c r="AN176" s="144"/>
      <x:c r="AO176" s="144"/>
      <x:c r="AP176" s="144"/>
      <x:c r="AQ176" s="144"/>
      <x:c r="AR176" s="144"/>
      <x:c r="AS176" s="144"/>
      <x:c r="AT176" s="144"/>
      <x:c r="AU176" s="144"/>
      <x:c r="AV176" s="144"/>
      <x:c r="AW176" s="144"/>
      <x:c r="AX176" s="144"/>
      <x:c r="AY176" s="144"/>
      <x:c r="AZ176" s="144"/>
    </x:row>
    <x:row r="177">
      <x:c r="A177" s="144"/>
      <x:c r="B177" s="144"/>
      <x:c r="C177" s="144"/>
      <x:c r="D177" s="144"/>
      <x:c r="E177" s="144"/>
      <x:c r="F177" s="144"/>
      <x:c r="G177" s="144"/>
      <x:c r="H177" s="144"/>
      <x:c r="I177" s="144"/>
      <x:c r="J177" s="144"/>
      <x:c r="K177" s="144"/>
      <x:c r="L177" s="144"/>
      <x:c r="M177" s="144"/>
      <x:c r="N177" s="144"/>
      <x:c r="O177" s="144"/>
      <x:c r="P177" s="144"/>
      <x:c r="Q177" s="144"/>
      <x:c r="R177" s="144"/>
      <x:c r="S177" s="144"/>
      <x:c r="T177" s="144"/>
      <x:c r="U177" s="144"/>
      <x:c r="V177" s="144"/>
      <x:c r="W177" s="144"/>
      <x:c r="X177" s="144"/>
      <x:c r="Y177" s="144"/>
      <x:c r="Z177" s="144"/>
      <x:c r="AA177" s="144"/>
      <x:c r="AB177" s="144"/>
      <x:c r="AC177" s="144"/>
      <x:c r="AD177" s="144"/>
      <x:c r="AE177" s="144"/>
      <x:c r="AF177" s="144"/>
      <x:c r="AG177" s="144"/>
      <x:c r="AH177" s="144"/>
      <x:c r="AI177" s="144"/>
      <x:c r="AJ177" s="144"/>
      <x:c r="AK177" s="144"/>
      <x:c r="AL177" s="144"/>
      <x:c r="AM177" s="144"/>
      <x:c r="AN177" s="144"/>
      <x:c r="AO177" s="144"/>
      <x:c r="AP177" s="144"/>
      <x:c r="AQ177" s="144"/>
      <x:c r="AR177" s="144"/>
      <x:c r="AS177" s="144"/>
      <x:c r="AT177" s="144"/>
      <x:c r="AU177" s="144"/>
      <x:c r="AV177" s="144"/>
      <x:c r="AW177" s="144"/>
      <x:c r="AX177" s="144"/>
      <x:c r="AY177" s="144"/>
      <x:c r="AZ177" s="144"/>
    </x:row>
    <x:row r="178">
      <x:c r="A178" s="144"/>
      <x:c r="B178" s="144"/>
      <x:c r="C178" s="144"/>
      <x:c r="D178" s="144"/>
      <x:c r="E178" s="144"/>
      <x:c r="F178" s="144"/>
      <x:c r="G178" s="144"/>
      <x:c r="H178" s="144"/>
      <x:c r="I178" s="144"/>
      <x:c r="J178" s="144"/>
      <x:c r="K178" s="144"/>
      <x:c r="L178" s="144"/>
      <x:c r="M178" s="144"/>
      <x:c r="N178" s="144"/>
      <x:c r="O178" s="144"/>
      <x:c r="P178" s="144"/>
      <x:c r="Q178" s="144"/>
      <x:c r="R178" s="144"/>
      <x:c r="S178" s="144"/>
      <x:c r="T178" s="144"/>
      <x:c r="U178" s="144"/>
      <x:c r="V178" s="144"/>
      <x:c r="W178" s="144"/>
      <x:c r="X178" s="144"/>
      <x:c r="Y178" s="144"/>
      <x:c r="Z178" s="144"/>
      <x:c r="AA178" s="144"/>
      <x:c r="AB178" s="144"/>
      <x:c r="AC178" s="144"/>
      <x:c r="AD178" s="144"/>
      <x:c r="AE178" s="144"/>
      <x:c r="AF178" s="144"/>
      <x:c r="AG178" s="144"/>
      <x:c r="AH178" s="144"/>
      <x:c r="AI178" s="144"/>
      <x:c r="AJ178" s="144"/>
      <x:c r="AK178" s="144"/>
      <x:c r="AL178" s="144"/>
      <x:c r="AM178" s="144"/>
      <x:c r="AN178" s="144"/>
      <x:c r="AO178" s="144"/>
      <x:c r="AP178" s="144"/>
      <x:c r="AQ178" s="144"/>
      <x:c r="AR178" s="144"/>
      <x:c r="AS178" s="144"/>
      <x:c r="AT178" s="144"/>
      <x:c r="AU178" s="144"/>
      <x:c r="AV178" s="144"/>
      <x:c r="AW178" s="144"/>
      <x:c r="AX178" s="144"/>
      <x:c r="AY178" s="144"/>
      <x:c r="AZ178" s="144"/>
    </x:row>
    <x:row r="179">
      <x:c r="A179" s="144"/>
      <x:c r="B179" s="144"/>
      <x:c r="C179" s="144"/>
      <x:c r="D179" s="144"/>
      <x:c r="E179" s="144"/>
      <x:c r="F179" s="144"/>
      <x:c r="G179" s="144"/>
      <x:c r="H179" s="144"/>
      <x:c r="I179" s="144"/>
      <x:c r="J179" s="144"/>
      <x:c r="K179" s="144"/>
      <x:c r="L179" s="144"/>
      <x:c r="M179" s="144"/>
      <x:c r="N179" s="144"/>
      <x:c r="O179" s="144"/>
      <x:c r="P179" s="144"/>
      <x:c r="Q179" s="144"/>
      <x:c r="R179" s="144"/>
      <x:c r="S179" s="144"/>
      <x:c r="T179" s="144"/>
      <x:c r="U179" s="144"/>
      <x:c r="V179" s="144"/>
      <x:c r="W179" s="144"/>
      <x:c r="X179" s="144"/>
      <x:c r="Y179" s="144"/>
      <x:c r="Z179" s="144"/>
      <x:c r="AA179" s="144"/>
      <x:c r="AB179" s="144"/>
      <x:c r="AC179" s="144"/>
      <x:c r="AD179" s="144"/>
      <x:c r="AE179" s="144"/>
      <x:c r="AF179" s="144"/>
      <x:c r="AG179" s="144"/>
      <x:c r="AH179" s="144"/>
      <x:c r="AI179" s="144"/>
      <x:c r="AJ179" s="144"/>
      <x:c r="AK179" s="144"/>
      <x:c r="AL179" s="144"/>
      <x:c r="AM179" s="144"/>
      <x:c r="AN179" s="144"/>
      <x:c r="AO179" s="144"/>
      <x:c r="AP179" s="144"/>
      <x:c r="AQ179" s="144"/>
      <x:c r="AR179" s="144"/>
      <x:c r="AS179" s="144"/>
      <x:c r="AT179" s="144"/>
      <x:c r="AU179" s="144"/>
      <x:c r="AV179" s="144"/>
      <x:c r="AW179" s="144"/>
      <x:c r="AX179" s="144"/>
      <x:c r="AY179" s="144"/>
      <x:c r="AZ179" s="144"/>
    </x:row>
    <x:row r="180">
      <x:c r="A180" s="144"/>
      <x:c r="B180" s="144"/>
      <x:c r="C180" s="144"/>
      <x:c r="D180" s="144"/>
      <x:c r="E180" s="144"/>
      <x:c r="F180" s="144"/>
      <x:c r="G180" s="144"/>
      <x:c r="H180" s="144"/>
      <x:c r="I180" s="144"/>
      <x:c r="J180" s="144"/>
      <x:c r="K180" s="144"/>
      <x:c r="L180" s="144"/>
      <x:c r="M180" s="144"/>
      <x:c r="N180" s="144"/>
      <x:c r="O180" s="144"/>
      <x:c r="P180" s="144"/>
      <x:c r="Q180" s="144"/>
      <x:c r="R180" s="144"/>
      <x:c r="S180" s="144"/>
      <x:c r="T180" s="144"/>
      <x:c r="U180" s="144"/>
      <x:c r="V180" s="144"/>
      <x:c r="W180" s="144"/>
      <x:c r="X180" s="144"/>
      <x:c r="Y180" s="144"/>
      <x:c r="Z180" s="144"/>
      <x:c r="AA180" s="144"/>
      <x:c r="AB180" s="144"/>
      <x:c r="AC180" s="144"/>
      <x:c r="AD180" s="144"/>
      <x:c r="AE180" s="144"/>
      <x:c r="AF180" s="144"/>
      <x:c r="AG180" s="144"/>
      <x:c r="AH180" s="144"/>
      <x:c r="AI180" s="144"/>
      <x:c r="AJ180" s="144"/>
      <x:c r="AK180" s="144"/>
      <x:c r="AL180" s="144"/>
      <x:c r="AM180" s="144"/>
      <x:c r="AN180" s="144"/>
      <x:c r="AO180" s="144"/>
      <x:c r="AP180" s="144"/>
      <x:c r="AQ180" s="144"/>
      <x:c r="AR180" s="144"/>
      <x:c r="AS180" s="144"/>
      <x:c r="AT180" s="144"/>
      <x:c r="AU180" s="144"/>
      <x:c r="AV180" s="144"/>
      <x:c r="AW180" s="144"/>
      <x:c r="AX180" s="144"/>
      <x:c r="AY180" s="144"/>
      <x:c r="AZ180" s="144"/>
    </x:row>
    <x:row r="181">
      <x:c r="A181" s="144"/>
      <x:c r="B181" s="144"/>
      <x:c r="C181" s="144"/>
      <x:c r="D181" s="144"/>
      <x:c r="E181" s="144"/>
      <x:c r="F181" s="144"/>
      <x:c r="G181" s="144"/>
      <x:c r="H181" s="144"/>
      <x:c r="I181" s="144"/>
      <x:c r="J181" s="144"/>
      <x:c r="K181" s="144"/>
      <x:c r="L181" s="144"/>
      <x:c r="M181" s="144"/>
      <x:c r="N181" s="144"/>
      <x:c r="O181" s="144"/>
      <x:c r="P181" s="144"/>
      <x:c r="Q181" s="144"/>
      <x:c r="R181" s="144"/>
      <x:c r="S181" s="144"/>
      <x:c r="T181" s="144"/>
      <x:c r="U181" s="144"/>
      <x:c r="V181" s="144"/>
      <x:c r="W181" s="144"/>
      <x:c r="X181" s="144"/>
      <x:c r="Y181" s="144"/>
      <x:c r="Z181" s="144"/>
      <x:c r="AA181" s="144"/>
      <x:c r="AB181" s="144"/>
      <x:c r="AC181" s="144"/>
      <x:c r="AD181" s="144"/>
      <x:c r="AE181" s="144"/>
      <x:c r="AF181" s="144"/>
      <x:c r="AG181" s="144"/>
      <x:c r="AH181" s="144"/>
      <x:c r="AI181" s="144"/>
      <x:c r="AJ181" s="144"/>
      <x:c r="AK181" s="144"/>
      <x:c r="AL181" s="144"/>
      <x:c r="AM181" s="144"/>
      <x:c r="AN181" s="144"/>
      <x:c r="AO181" s="144"/>
      <x:c r="AP181" s="144"/>
      <x:c r="AQ181" s="144"/>
      <x:c r="AR181" s="144"/>
      <x:c r="AS181" s="144"/>
      <x:c r="AT181" s="144"/>
      <x:c r="AU181" s="144"/>
      <x:c r="AV181" s="144"/>
      <x:c r="AW181" s="144"/>
      <x:c r="AX181" s="144"/>
      <x:c r="AY181" s="144"/>
      <x:c r="AZ181" s="144"/>
    </x:row>
    <x:row r="182">
      <x:c r="A182" s="144"/>
      <x:c r="B182" s="144"/>
      <x:c r="C182" s="144"/>
      <x:c r="D182" s="144"/>
      <x:c r="E182" s="144"/>
      <x:c r="F182" s="144"/>
      <x:c r="G182" s="144"/>
      <x:c r="H182" s="144"/>
      <x:c r="I182" s="144"/>
      <x:c r="J182" s="144"/>
      <x:c r="K182" s="144"/>
      <x:c r="L182" s="144"/>
      <x:c r="M182" s="144"/>
      <x:c r="N182" s="144"/>
      <x:c r="O182" s="144"/>
      <x:c r="P182" s="144"/>
      <x:c r="Q182" s="144"/>
      <x:c r="R182" s="144"/>
      <x:c r="S182" s="144"/>
      <x:c r="T182" s="144"/>
      <x:c r="U182" s="144"/>
      <x:c r="V182" s="144"/>
      <x:c r="W182" s="144"/>
      <x:c r="X182" s="144"/>
      <x:c r="Y182" s="144"/>
      <x:c r="Z182" s="144"/>
      <x:c r="AA182" s="144"/>
      <x:c r="AB182" s="144"/>
      <x:c r="AC182" s="144"/>
      <x:c r="AD182" s="144"/>
      <x:c r="AE182" s="144"/>
      <x:c r="AF182" s="144"/>
      <x:c r="AG182" s="144"/>
      <x:c r="AH182" s="144"/>
      <x:c r="AI182" s="144"/>
      <x:c r="AJ182" s="144"/>
      <x:c r="AK182" s="144"/>
      <x:c r="AL182" s="144"/>
      <x:c r="AM182" s="144"/>
      <x:c r="AN182" s="144"/>
      <x:c r="AO182" s="144"/>
      <x:c r="AP182" s="144"/>
      <x:c r="AQ182" s="144"/>
      <x:c r="AR182" s="144"/>
      <x:c r="AS182" s="144"/>
      <x:c r="AT182" s="144"/>
      <x:c r="AU182" s="144"/>
      <x:c r="AV182" s="144"/>
      <x:c r="AW182" s="144"/>
      <x:c r="AX182" s="144"/>
      <x:c r="AY182" s="144"/>
      <x:c r="AZ182" s="144"/>
    </x:row>
    <x:row r="183">
      <x:c r="A183" s="144"/>
      <x:c r="B183" s="144"/>
      <x:c r="C183" s="144"/>
      <x:c r="D183" s="144"/>
      <x:c r="E183" s="144"/>
      <x:c r="F183" s="144"/>
      <x:c r="G183" s="144"/>
      <x:c r="H183" s="144"/>
      <x:c r="I183" s="144"/>
      <x:c r="J183" s="144"/>
      <x:c r="K183" s="144"/>
      <x:c r="L183" s="144"/>
      <x:c r="M183" s="144"/>
      <x:c r="N183" s="144"/>
      <x:c r="O183" s="144"/>
      <x:c r="P183" s="144"/>
      <x:c r="Q183" s="144"/>
      <x:c r="R183" s="144"/>
      <x:c r="S183" s="144"/>
      <x:c r="T183" s="144"/>
      <x:c r="U183" s="144"/>
      <x:c r="V183" s="144"/>
      <x:c r="W183" s="144"/>
      <x:c r="X183" s="144"/>
      <x:c r="Y183" s="144"/>
      <x:c r="Z183" s="144"/>
      <x:c r="AA183" s="144"/>
      <x:c r="AB183" s="144"/>
      <x:c r="AC183" s="144"/>
      <x:c r="AD183" s="144"/>
      <x:c r="AE183" s="144"/>
      <x:c r="AF183" s="144"/>
      <x:c r="AG183" s="144"/>
      <x:c r="AH183" s="144"/>
      <x:c r="AI183" s="144"/>
      <x:c r="AJ183" s="144"/>
      <x:c r="AK183" s="144"/>
      <x:c r="AL183" s="144"/>
      <x:c r="AM183" s="144"/>
      <x:c r="AN183" s="144"/>
      <x:c r="AO183" s="144"/>
      <x:c r="AP183" s="144"/>
      <x:c r="AQ183" s="144"/>
      <x:c r="AR183" s="144"/>
      <x:c r="AS183" s="144"/>
      <x:c r="AT183" s="144"/>
      <x:c r="AU183" s="144"/>
      <x:c r="AV183" s="144"/>
      <x:c r="AW183" s="144"/>
      <x:c r="AX183" s="144"/>
      <x:c r="AY183" s="144"/>
      <x:c r="AZ183" s="144"/>
    </x:row>
    <x:row r="184">
      <x:c r="A184" s="144"/>
      <x:c r="B184" s="144"/>
      <x:c r="C184" s="144"/>
      <x:c r="D184" s="144"/>
      <x:c r="E184" s="144"/>
      <x:c r="F184" s="144"/>
      <x:c r="G184" s="144"/>
      <x:c r="H184" s="144"/>
      <x:c r="I184" s="144"/>
      <x:c r="J184" s="144"/>
      <x:c r="K184" s="144"/>
      <x:c r="L184" s="144"/>
      <x:c r="M184" s="144"/>
      <x:c r="N184" s="144"/>
      <x:c r="O184" s="144"/>
      <x:c r="P184" s="144"/>
      <x:c r="Q184" s="144"/>
      <x:c r="R184" s="144"/>
      <x:c r="S184" s="144"/>
      <x:c r="T184" s="144"/>
      <x:c r="U184" s="144"/>
      <x:c r="V184" s="144"/>
      <x:c r="W184" s="144"/>
      <x:c r="X184" s="144"/>
      <x:c r="Y184" s="144"/>
      <x:c r="Z184" s="144"/>
      <x:c r="AA184" s="144"/>
      <x:c r="AB184" s="144"/>
      <x:c r="AC184" s="144"/>
      <x:c r="AD184" s="144"/>
      <x:c r="AE184" s="144"/>
      <x:c r="AF184" s="144"/>
      <x:c r="AG184" s="144"/>
      <x:c r="AH184" s="144"/>
      <x:c r="AI184" s="144"/>
      <x:c r="AJ184" s="144"/>
      <x:c r="AK184" s="144"/>
      <x:c r="AL184" s="144"/>
      <x:c r="AM184" s="144"/>
      <x:c r="AN184" s="144"/>
      <x:c r="AO184" s="144"/>
      <x:c r="AP184" s="144"/>
      <x:c r="AQ184" s="144"/>
      <x:c r="AR184" s="144"/>
      <x:c r="AS184" s="144"/>
      <x:c r="AT184" s="144"/>
      <x:c r="AU184" s="144"/>
      <x:c r="AV184" s="144"/>
      <x:c r="AW184" s="144"/>
      <x:c r="AX184" s="144"/>
      <x:c r="AY184" s="144"/>
      <x:c r="AZ184" s="144"/>
    </x:row>
    <x:row r="185">
      <x:c r="A185" s="144"/>
      <x:c r="B185" s="144"/>
      <x:c r="C185" s="144"/>
      <x:c r="D185" s="144"/>
      <x:c r="E185" s="144"/>
      <x:c r="F185" s="144"/>
      <x:c r="G185" s="144"/>
      <x:c r="H185" s="144"/>
      <x:c r="I185" s="144"/>
      <x:c r="J185" s="144"/>
      <x:c r="K185" s="144"/>
      <x:c r="L185" s="144"/>
      <x:c r="M185" s="144"/>
      <x:c r="N185" s="144"/>
      <x:c r="O185" s="144"/>
      <x:c r="P185" s="144"/>
      <x:c r="Q185" s="144"/>
      <x:c r="R185" s="144"/>
      <x:c r="S185" s="144"/>
      <x:c r="T185" s="144"/>
      <x:c r="U185" s="144"/>
      <x:c r="V185" s="144"/>
      <x:c r="W185" s="144"/>
      <x:c r="X185" s="144"/>
      <x:c r="Y185" s="144"/>
      <x:c r="Z185" s="144"/>
      <x:c r="AA185" s="144"/>
      <x:c r="AB185" s="144"/>
      <x:c r="AC185" s="144"/>
      <x:c r="AD185" s="144"/>
      <x:c r="AE185" s="144"/>
      <x:c r="AF185" s="144"/>
      <x:c r="AG185" s="144"/>
      <x:c r="AH185" s="144"/>
      <x:c r="AI185" s="144"/>
      <x:c r="AJ185" s="144"/>
      <x:c r="AK185" s="144"/>
      <x:c r="AL185" s="144"/>
      <x:c r="AM185" s="144"/>
      <x:c r="AN185" s="144"/>
      <x:c r="AO185" s="144"/>
      <x:c r="AP185" s="144"/>
      <x:c r="AQ185" s="144"/>
      <x:c r="AR185" s="144"/>
      <x:c r="AS185" s="144"/>
      <x:c r="AT185" s="144"/>
      <x:c r="AU185" s="144"/>
      <x:c r="AV185" s="144"/>
      <x:c r="AW185" s="144"/>
      <x:c r="AX185" s="144"/>
      <x:c r="AY185" s="144"/>
      <x:c r="AZ185" s="144"/>
    </x:row>
    <x:row r="186">
      <x:c r="A186" s="144"/>
      <x:c r="B186" s="144"/>
      <x:c r="C186" s="144"/>
      <x:c r="D186" s="144"/>
      <x:c r="E186" s="144"/>
      <x:c r="F186" s="144"/>
      <x:c r="G186" s="144"/>
      <x:c r="H186" s="144"/>
      <x:c r="I186" s="144"/>
      <x:c r="J186" s="144"/>
      <x:c r="K186" s="144"/>
      <x:c r="L186" s="144"/>
      <x:c r="M186" s="144"/>
      <x:c r="N186" s="144"/>
      <x:c r="O186" s="144"/>
      <x:c r="P186" s="144"/>
      <x:c r="Q186" s="144"/>
      <x:c r="R186" s="144"/>
      <x:c r="S186" s="144"/>
      <x:c r="T186" s="144"/>
      <x:c r="U186" s="144"/>
      <x:c r="V186" s="144"/>
      <x:c r="W186" s="144"/>
      <x:c r="X186" s="144"/>
      <x:c r="Y186" s="144"/>
      <x:c r="Z186" s="144"/>
      <x:c r="AA186" s="144"/>
      <x:c r="AB186" s="144"/>
      <x:c r="AC186" s="144"/>
      <x:c r="AD186" s="144"/>
      <x:c r="AE186" s="144"/>
      <x:c r="AF186" s="144"/>
      <x:c r="AG186" s="144"/>
      <x:c r="AH186" s="144"/>
      <x:c r="AI186" s="144"/>
      <x:c r="AJ186" s="144"/>
      <x:c r="AK186" s="144"/>
      <x:c r="AL186" s="144"/>
      <x:c r="AM186" s="144"/>
      <x:c r="AN186" s="144"/>
      <x:c r="AO186" s="144"/>
      <x:c r="AP186" s="144"/>
      <x:c r="AQ186" s="144"/>
      <x:c r="AR186" s="144"/>
      <x:c r="AS186" s="144"/>
      <x:c r="AT186" s="144"/>
      <x:c r="AU186" s="144"/>
      <x:c r="AV186" s="144"/>
      <x:c r="AW186" s="144"/>
      <x:c r="AX186" s="144"/>
      <x:c r="AY186" s="144"/>
      <x:c r="AZ186" s="144"/>
    </x:row>
    <x:row r="187">
      <x:c r="A187" s="144"/>
      <x:c r="B187" s="144"/>
      <x:c r="C187" s="144"/>
      <x:c r="D187" s="144"/>
      <x:c r="E187" s="144"/>
      <x:c r="F187" s="144"/>
      <x:c r="G187" s="144"/>
      <x:c r="H187" s="144"/>
      <x:c r="I187" s="144"/>
      <x:c r="J187" s="144"/>
      <x:c r="K187" s="144"/>
      <x:c r="L187" s="144"/>
      <x:c r="M187" s="144"/>
      <x:c r="N187" s="144"/>
      <x:c r="O187" s="144"/>
      <x:c r="P187" s="144"/>
      <x:c r="Q187" s="144"/>
      <x:c r="R187" s="144"/>
      <x:c r="S187" s="144"/>
      <x:c r="T187" s="144"/>
      <x:c r="U187" s="144"/>
      <x:c r="V187" s="144"/>
      <x:c r="W187" s="144"/>
      <x:c r="X187" s="144"/>
      <x:c r="Y187" s="144"/>
      <x:c r="Z187" s="144"/>
      <x:c r="AA187" s="144"/>
      <x:c r="AB187" s="144"/>
      <x:c r="AC187" s="144"/>
      <x:c r="AD187" s="144"/>
      <x:c r="AE187" s="144"/>
      <x:c r="AF187" s="144"/>
      <x:c r="AG187" s="144"/>
      <x:c r="AH187" s="144"/>
      <x:c r="AI187" s="144"/>
      <x:c r="AJ187" s="144"/>
      <x:c r="AK187" s="144"/>
      <x:c r="AL187" s="144"/>
      <x:c r="AM187" s="144"/>
      <x:c r="AN187" s="144"/>
      <x:c r="AO187" s="144"/>
      <x:c r="AP187" s="144"/>
      <x:c r="AQ187" s="144"/>
      <x:c r="AR187" s="144"/>
      <x:c r="AS187" s="144"/>
      <x:c r="AT187" s="144"/>
      <x:c r="AU187" s="144"/>
      <x:c r="AV187" s="144"/>
      <x:c r="AW187" s="144"/>
      <x:c r="AX187" s="144"/>
      <x:c r="AY187" s="144"/>
      <x:c r="AZ187" s="144"/>
    </x:row>
    <x:row r="188">
      <x:c r="A188" s="144"/>
      <x:c r="B188" s="144"/>
      <x:c r="C188" s="144"/>
      <x:c r="D188" s="144"/>
      <x:c r="E188" s="144"/>
      <x:c r="F188" s="144"/>
      <x:c r="G188" s="144"/>
      <x:c r="H188" s="144"/>
      <x:c r="I188" s="144"/>
      <x:c r="J188" s="144"/>
      <x:c r="K188" s="144"/>
      <x:c r="L188" s="144"/>
      <x:c r="M188" s="144"/>
      <x:c r="N188" s="144"/>
      <x:c r="O188" s="144"/>
      <x:c r="P188" s="144"/>
      <x:c r="Q188" s="144"/>
      <x:c r="R188" s="144"/>
      <x:c r="S188" s="144"/>
      <x:c r="T188" s="144"/>
      <x:c r="U188" s="144"/>
      <x:c r="V188" s="144"/>
      <x:c r="W188" s="144"/>
      <x:c r="X188" s="144"/>
      <x:c r="Y188" s="144"/>
      <x:c r="Z188" s="144"/>
      <x:c r="AA188" s="144"/>
      <x:c r="AB188" s="144"/>
      <x:c r="AC188" s="144"/>
      <x:c r="AD188" s="144"/>
      <x:c r="AE188" s="144"/>
      <x:c r="AF188" s="144"/>
      <x:c r="AG188" s="144"/>
      <x:c r="AH188" s="144"/>
      <x:c r="AI188" s="144"/>
      <x:c r="AJ188" s="144"/>
      <x:c r="AK188" s="144"/>
      <x:c r="AL188" s="144"/>
      <x:c r="AM188" s="144"/>
      <x:c r="AN188" s="144"/>
      <x:c r="AO188" s="144"/>
      <x:c r="AP188" s="144"/>
      <x:c r="AQ188" s="144"/>
      <x:c r="AR188" s="144"/>
      <x:c r="AS188" s="144"/>
      <x:c r="AT188" s="144"/>
      <x:c r="AU188" s="144"/>
      <x:c r="AV188" s="144"/>
      <x:c r="AW188" s="144"/>
      <x:c r="AX188" s="144"/>
      <x:c r="AY188" s="144"/>
      <x:c r="AZ188" s="144"/>
    </x:row>
    <x:row r="189">
      <x:c r="A189" s="144"/>
      <x:c r="B189" s="144"/>
      <x:c r="C189" s="144"/>
      <x:c r="D189" s="144"/>
      <x:c r="E189" s="144"/>
      <x:c r="F189" s="144"/>
      <x:c r="G189" s="144"/>
      <x:c r="H189" s="144"/>
      <x:c r="I189" s="144"/>
      <x:c r="J189" s="144"/>
      <x:c r="K189" s="144"/>
      <x:c r="L189" s="144"/>
      <x:c r="M189" s="144"/>
      <x:c r="N189" s="144"/>
      <x:c r="O189" s="144"/>
      <x:c r="P189" s="144"/>
      <x:c r="Q189" s="144"/>
      <x:c r="R189" s="144"/>
      <x:c r="S189" s="144"/>
      <x:c r="T189" s="144"/>
      <x:c r="U189" s="144"/>
      <x:c r="V189" s="144"/>
      <x:c r="W189" s="144"/>
      <x:c r="X189" s="144"/>
      <x:c r="Y189" s="144"/>
      <x:c r="Z189" s="144"/>
      <x:c r="AA189" s="144"/>
      <x:c r="AB189" s="144"/>
      <x:c r="AC189" s="144"/>
      <x:c r="AD189" s="144"/>
      <x:c r="AE189" s="144"/>
      <x:c r="AF189" s="144"/>
      <x:c r="AG189" s="144"/>
      <x:c r="AH189" s="144"/>
      <x:c r="AI189" s="144"/>
      <x:c r="AJ189" s="144"/>
      <x:c r="AK189" s="144"/>
      <x:c r="AL189" s="144"/>
      <x:c r="AM189" s="144"/>
      <x:c r="AN189" s="144"/>
      <x:c r="AO189" s="144"/>
      <x:c r="AP189" s="144"/>
      <x:c r="AQ189" s="144"/>
      <x:c r="AR189" s="144"/>
      <x:c r="AS189" s="144"/>
      <x:c r="AT189" s="144"/>
      <x:c r="AU189" s="144"/>
      <x:c r="AV189" s="144"/>
      <x:c r="AW189" s="144"/>
      <x:c r="AX189" s="144"/>
      <x:c r="AY189" s="144"/>
      <x:c r="AZ189" s="144"/>
    </x:row>
    <x:row r="190">
      <x:c r="A190" s="144"/>
      <x:c r="B190" s="144"/>
      <x:c r="C190" s="144"/>
      <x:c r="D190" s="144"/>
      <x:c r="E190" s="144"/>
      <x:c r="F190" s="144"/>
      <x:c r="G190" s="144"/>
      <x:c r="H190" s="144"/>
      <x:c r="I190" s="144"/>
      <x:c r="J190" s="144"/>
      <x:c r="K190" s="144"/>
      <x:c r="L190" s="144"/>
      <x:c r="M190" s="144"/>
      <x:c r="N190" s="144"/>
      <x:c r="O190" s="144"/>
      <x:c r="P190" s="144"/>
      <x:c r="Q190" s="144"/>
      <x:c r="R190" s="144"/>
      <x:c r="S190" s="144"/>
      <x:c r="T190" s="144"/>
      <x:c r="U190" s="144"/>
      <x:c r="V190" s="144"/>
      <x:c r="W190" s="144"/>
      <x:c r="X190" s="144"/>
      <x:c r="Y190" s="144"/>
      <x:c r="Z190" s="144"/>
      <x:c r="AA190" s="144"/>
      <x:c r="AB190" s="144"/>
      <x:c r="AC190" s="144"/>
      <x:c r="AD190" s="144"/>
      <x:c r="AE190" s="144"/>
      <x:c r="AF190" s="144"/>
      <x:c r="AG190" s="144"/>
      <x:c r="AH190" s="144"/>
      <x:c r="AI190" s="144"/>
      <x:c r="AJ190" s="144"/>
      <x:c r="AK190" s="144"/>
      <x:c r="AL190" s="144"/>
      <x:c r="AM190" s="144"/>
      <x:c r="AN190" s="144"/>
      <x:c r="AO190" s="144"/>
      <x:c r="AP190" s="144"/>
      <x:c r="AQ190" s="144"/>
      <x:c r="AR190" s="144"/>
      <x:c r="AS190" s="144"/>
      <x:c r="AT190" s="144"/>
      <x:c r="AU190" s="144"/>
      <x:c r="AV190" s="144"/>
      <x:c r="AW190" s="144"/>
      <x:c r="AX190" s="144"/>
      <x:c r="AY190" s="144"/>
      <x:c r="AZ190" s="144"/>
    </x:row>
    <x:row r="191">
      <x:c r="A191" s="144"/>
      <x:c r="B191" s="144"/>
      <x:c r="C191" s="144"/>
      <x:c r="D191" s="144"/>
      <x:c r="E191" s="144"/>
      <x:c r="F191" s="144"/>
      <x:c r="G191" s="144"/>
      <x:c r="H191" s="144"/>
      <x:c r="I191" s="144"/>
      <x:c r="J191" s="144"/>
      <x:c r="K191" s="144"/>
      <x:c r="L191" s="144"/>
      <x:c r="M191" s="144"/>
      <x:c r="N191" s="144"/>
      <x:c r="O191" s="144"/>
      <x:c r="P191" s="144"/>
      <x:c r="Q191" s="144"/>
      <x:c r="R191" s="144"/>
      <x:c r="S191" s="144"/>
      <x:c r="T191" s="144"/>
      <x:c r="U191" s="144"/>
      <x:c r="V191" s="144"/>
      <x:c r="W191" s="144"/>
      <x:c r="X191" s="144"/>
      <x:c r="Y191" s="144"/>
      <x:c r="Z191" s="144"/>
      <x:c r="AA191" s="144"/>
      <x:c r="AB191" s="144"/>
      <x:c r="AC191" s="144"/>
      <x:c r="AD191" s="144"/>
      <x:c r="AE191" s="144"/>
      <x:c r="AF191" s="144"/>
      <x:c r="AG191" s="144"/>
      <x:c r="AH191" s="144"/>
      <x:c r="AI191" s="144"/>
      <x:c r="AJ191" s="144"/>
      <x:c r="AK191" s="144"/>
      <x:c r="AL191" s="144"/>
      <x:c r="AM191" s="144"/>
      <x:c r="AN191" s="144"/>
      <x:c r="AO191" s="144"/>
      <x:c r="AP191" s="144"/>
      <x:c r="AQ191" s="144"/>
      <x:c r="AR191" s="144"/>
      <x:c r="AS191" s="144"/>
      <x:c r="AT191" s="144"/>
      <x:c r="AU191" s="144"/>
      <x:c r="AV191" s="144"/>
      <x:c r="AW191" s="144"/>
      <x:c r="AX191" s="144"/>
      <x:c r="AY191" s="144"/>
      <x:c r="AZ191" s="144"/>
    </x:row>
    <x:row r="192">
      <x:c r="A192" s="144"/>
      <x:c r="B192" s="144"/>
      <x:c r="C192" s="144"/>
      <x:c r="D192" s="144"/>
      <x:c r="E192" s="144"/>
      <x:c r="F192" s="144"/>
      <x:c r="G192" s="144"/>
      <x:c r="H192" s="144"/>
      <x:c r="I192" s="144"/>
      <x:c r="J192" s="144"/>
      <x:c r="K192" s="144"/>
      <x:c r="L192" s="144"/>
      <x:c r="M192" s="144"/>
      <x:c r="N192" s="144"/>
      <x:c r="O192" s="144"/>
      <x:c r="P192" s="144"/>
      <x:c r="Q192" s="144"/>
      <x:c r="R192" s="144"/>
      <x:c r="S192" s="144"/>
      <x:c r="T192" s="144"/>
      <x:c r="U192" s="144"/>
      <x:c r="V192" s="144"/>
      <x:c r="W192" s="144"/>
      <x:c r="X192" s="144"/>
      <x:c r="Y192" s="144"/>
      <x:c r="Z192" s="144"/>
      <x:c r="AA192" s="144"/>
      <x:c r="AB192" s="144"/>
      <x:c r="AC192" s="144"/>
      <x:c r="AD192" s="144"/>
      <x:c r="AE192" s="144"/>
      <x:c r="AF192" s="144"/>
      <x:c r="AG192" s="144"/>
      <x:c r="AH192" s="144"/>
      <x:c r="AI192" s="144"/>
      <x:c r="AJ192" s="144"/>
      <x:c r="AK192" s="144"/>
      <x:c r="AL192" s="144"/>
      <x:c r="AM192" s="144"/>
      <x:c r="AN192" s="144"/>
      <x:c r="AO192" s="144"/>
      <x:c r="AP192" s="144"/>
      <x:c r="AQ192" s="144"/>
      <x:c r="AR192" s="144"/>
      <x:c r="AS192" s="144"/>
      <x:c r="AT192" s="144"/>
      <x:c r="AU192" s="144"/>
      <x:c r="AV192" s="144"/>
      <x:c r="AW192" s="144"/>
      <x:c r="AX192" s="144"/>
      <x:c r="AY192" s="144"/>
      <x:c r="AZ192" s="144"/>
    </x:row>
    <x:row r="193">
      <x:c r="A193" s="144"/>
      <x:c r="B193" s="144"/>
      <x:c r="C193" s="144"/>
      <x:c r="D193" s="144"/>
      <x:c r="E193" s="144"/>
      <x:c r="F193" s="144"/>
      <x:c r="G193" s="144"/>
      <x:c r="H193" s="144"/>
      <x:c r="I193" s="144"/>
      <x:c r="J193" s="144"/>
      <x:c r="K193" s="144"/>
      <x:c r="L193" s="144"/>
      <x:c r="M193" s="144"/>
      <x:c r="N193" s="144"/>
      <x:c r="O193" s="144"/>
      <x:c r="P193" s="144"/>
      <x:c r="Q193" s="144"/>
      <x:c r="R193" s="144"/>
      <x:c r="S193" s="144"/>
      <x:c r="T193" s="144"/>
      <x:c r="U193" s="144"/>
      <x:c r="V193" s="144"/>
      <x:c r="W193" s="144"/>
      <x:c r="X193" s="144"/>
      <x:c r="Y193" s="144"/>
      <x:c r="Z193" s="144"/>
      <x:c r="AA193" s="144"/>
      <x:c r="AB193" s="144"/>
      <x:c r="AC193" s="144"/>
      <x:c r="AD193" s="144"/>
      <x:c r="AE193" s="144"/>
      <x:c r="AF193" s="144"/>
      <x:c r="AG193" s="144"/>
      <x:c r="AH193" s="144"/>
      <x:c r="AI193" s="144"/>
      <x:c r="AJ193" s="144"/>
      <x:c r="AK193" s="144"/>
      <x:c r="AL193" s="144"/>
      <x:c r="AM193" s="144"/>
      <x:c r="AN193" s="144"/>
      <x:c r="AO193" s="144"/>
      <x:c r="AP193" s="144"/>
      <x:c r="AQ193" s="144"/>
      <x:c r="AR193" s="144"/>
      <x:c r="AS193" s="144"/>
      <x:c r="AT193" s="144"/>
      <x:c r="AU193" s="144"/>
      <x:c r="AV193" s="144"/>
      <x:c r="AW193" s="144"/>
      <x:c r="AX193" s="144"/>
      <x:c r="AY193" s="144"/>
      <x:c r="AZ193" s="144"/>
    </x:row>
    <x:row r="194">
      <x:c r="A194" s="144"/>
      <x:c r="B194" s="144"/>
      <x:c r="C194" s="144"/>
      <x:c r="D194" s="144"/>
      <x:c r="E194" s="144"/>
      <x:c r="F194" s="144"/>
      <x:c r="G194" s="144"/>
      <x:c r="H194" s="144"/>
      <x:c r="I194" s="144"/>
      <x:c r="J194" s="144"/>
      <x:c r="K194" s="144"/>
      <x:c r="L194" s="144"/>
      <x:c r="M194" s="144"/>
      <x:c r="N194" s="144"/>
      <x:c r="O194" s="144"/>
      <x:c r="P194" s="144"/>
      <x:c r="Q194" s="144"/>
      <x:c r="R194" s="144"/>
      <x:c r="S194" s="144"/>
      <x:c r="T194" s="144"/>
      <x:c r="U194" s="144"/>
      <x:c r="V194" s="144"/>
      <x:c r="W194" s="144"/>
      <x:c r="X194" s="144"/>
      <x:c r="Y194" s="144"/>
      <x:c r="Z194" s="144"/>
      <x:c r="AA194" s="144"/>
      <x:c r="AB194" s="144"/>
      <x:c r="AC194" s="144"/>
      <x:c r="AD194" s="144"/>
      <x:c r="AE194" s="144"/>
      <x:c r="AF194" s="144"/>
      <x:c r="AG194" s="144"/>
      <x:c r="AH194" s="144"/>
      <x:c r="AI194" s="144"/>
      <x:c r="AJ194" s="144"/>
      <x:c r="AK194" s="144"/>
      <x:c r="AL194" s="144"/>
      <x:c r="AM194" s="144"/>
      <x:c r="AN194" s="144"/>
      <x:c r="AO194" s="144"/>
      <x:c r="AP194" s="144"/>
      <x:c r="AQ194" s="144"/>
      <x:c r="AR194" s="144"/>
      <x:c r="AS194" s="144"/>
      <x:c r="AT194" s="144"/>
      <x:c r="AU194" s="144"/>
      <x:c r="AV194" s="144"/>
      <x:c r="AW194" s="144"/>
      <x:c r="AX194" s="144"/>
      <x:c r="AY194" s="144"/>
      <x:c r="AZ194" s="144"/>
    </x:row>
    <x:row r="195">
      <x:c r="A195" s="144"/>
      <x:c r="B195" s="144"/>
      <x:c r="C195" s="144"/>
      <x:c r="D195" s="144"/>
      <x:c r="E195" s="144"/>
      <x:c r="F195" s="144"/>
      <x:c r="G195" s="144"/>
      <x:c r="H195" s="144"/>
      <x:c r="I195" s="144"/>
      <x:c r="J195" s="144"/>
      <x:c r="K195" s="144"/>
      <x:c r="L195" s="144"/>
      <x:c r="M195" s="144"/>
      <x:c r="N195" s="144"/>
      <x:c r="O195" s="144"/>
      <x:c r="P195" s="144"/>
      <x:c r="Q195" s="144"/>
      <x:c r="R195" s="144"/>
      <x:c r="S195" s="144"/>
      <x:c r="T195" s="144"/>
      <x:c r="U195" s="144"/>
      <x:c r="V195" s="144"/>
      <x:c r="W195" s="144"/>
      <x:c r="X195" s="144"/>
      <x:c r="Y195" s="144"/>
      <x:c r="Z195" s="144"/>
      <x:c r="AA195" s="144"/>
      <x:c r="AB195" s="144"/>
      <x:c r="AC195" s="144"/>
      <x:c r="AD195" s="144"/>
      <x:c r="AE195" s="144"/>
      <x:c r="AF195" s="144"/>
      <x:c r="AG195" s="144"/>
      <x:c r="AH195" s="144"/>
      <x:c r="AI195" s="144"/>
      <x:c r="AJ195" s="144"/>
      <x:c r="AK195" s="144"/>
      <x:c r="AL195" s="144"/>
      <x:c r="AM195" s="144"/>
      <x:c r="AN195" s="144"/>
      <x:c r="AO195" s="144"/>
      <x:c r="AP195" s="144"/>
      <x:c r="AQ195" s="144"/>
      <x:c r="AR195" s="144"/>
      <x:c r="AS195" s="144"/>
      <x:c r="AT195" s="144"/>
      <x:c r="AU195" s="144"/>
      <x:c r="AV195" s="144"/>
      <x:c r="AW195" s="144"/>
      <x:c r="AX195" s="144"/>
      <x:c r="AY195" s="144"/>
      <x:c r="AZ195" s="144"/>
    </x:row>
    <x:row r="196">
      <x:c r="A196" s="144"/>
      <x:c r="B196" s="144"/>
      <x:c r="C196" s="144"/>
      <x:c r="D196" s="144"/>
      <x:c r="E196" s="144"/>
      <x:c r="F196" s="144"/>
      <x:c r="G196" s="144"/>
      <x:c r="H196" s="144"/>
      <x:c r="I196" s="144"/>
      <x:c r="J196" s="144"/>
      <x:c r="K196" s="144"/>
      <x:c r="L196" s="144"/>
      <x:c r="M196" s="144"/>
      <x:c r="N196" s="144"/>
      <x:c r="O196" s="144"/>
      <x:c r="P196" s="144"/>
      <x:c r="Q196" s="144"/>
      <x:c r="R196" s="144"/>
      <x:c r="S196" s="144"/>
      <x:c r="T196" s="144"/>
      <x:c r="U196" s="144"/>
      <x:c r="V196" s="144"/>
      <x:c r="W196" s="144"/>
      <x:c r="X196" s="144"/>
      <x:c r="Y196" s="144"/>
      <x:c r="Z196" s="144"/>
      <x:c r="AA196" s="144"/>
      <x:c r="AB196" s="144"/>
      <x:c r="AC196" s="144"/>
      <x:c r="AD196" s="144"/>
      <x:c r="AE196" s="144"/>
      <x:c r="AF196" s="144"/>
      <x:c r="AG196" s="144"/>
      <x:c r="AH196" s="144"/>
      <x:c r="AI196" s="144"/>
      <x:c r="AJ196" s="144"/>
      <x:c r="AK196" s="144"/>
      <x:c r="AL196" s="144"/>
      <x:c r="AM196" s="144"/>
      <x:c r="AN196" s="144"/>
      <x:c r="AO196" s="144"/>
      <x:c r="AP196" s="144"/>
      <x:c r="AQ196" s="144"/>
      <x:c r="AR196" s="144"/>
      <x:c r="AS196" s="144"/>
      <x:c r="AT196" s="144"/>
      <x:c r="AU196" s="144"/>
      <x:c r="AV196" s="144"/>
      <x:c r="AW196" s="144"/>
      <x:c r="AX196" s="144"/>
      <x:c r="AY196" s="144"/>
      <x:c r="AZ196" s="144"/>
    </x:row>
    <x:row r="197">
      <x:c r="A197" s="144"/>
      <x:c r="B197" s="144"/>
      <x:c r="C197" s="144"/>
      <x:c r="D197" s="144"/>
      <x:c r="E197" s="144"/>
      <x:c r="F197" s="144"/>
      <x:c r="G197" s="144"/>
      <x:c r="H197" s="144"/>
      <x:c r="I197" s="144"/>
      <x:c r="J197" s="144"/>
      <x:c r="K197" s="144"/>
      <x:c r="L197" s="144"/>
      <x:c r="M197" s="144"/>
      <x:c r="N197" s="144"/>
      <x:c r="O197" s="144"/>
      <x:c r="P197" s="144"/>
      <x:c r="Q197" s="144"/>
      <x:c r="R197" s="144"/>
      <x:c r="S197" s="144"/>
      <x:c r="T197" s="144"/>
      <x:c r="U197" s="144"/>
      <x:c r="V197" s="144"/>
      <x:c r="W197" s="144"/>
      <x:c r="X197" s="144"/>
      <x:c r="Y197" s="144"/>
      <x:c r="Z197" s="144"/>
      <x:c r="AA197" s="144"/>
      <x:c r="AB197" s="144"/>
      <x:c r="AC197" s="144"/>
      <x:c r="AD197" s="144"/>
      <x:c r="AE197" s="144"/>
      <x:c r="AF197" s="144"/>
      <x:c r="AG197" s="144"/>
      <x:c r="AH197" s="144"/>
      <x:c r="AI197" s="144"/>
      <x:c r="AJ197" s="144"/>
      <x:c r="AK197" s="144"/>
      <x:c r="AL197" s="144"/>
      <x:c r="AM197" s="144"/>
      <x:c r="AN197" s="144"/>
      <x:c r="AO197" s="144"/>
      <x:c r="AP197" s="144"/>
      <x:c r="AQ197" s="144"/>
      <x:c r="AR197" s="144"/>
      <x:c r="AS197" s="144"/>
      <x:c r="AT197" s="144"/>
      <x:c r="AU197" s="144"/>
      <x:c r="AV197" s="144"/>
      <x:c r="AW197" s="144"/>
      <x:c r="AX197" s="144"/>
      <x:c r="AY197" s="144"/>
      <x:c r="AZ197" s="144"/>
    </x:row>
    <x:row r="198">
      <x:c r="A198" s="144"/>
      <x:c r="B198" s="144"/>
      <x:c r="C198" s="144"/>
      <x:c r="D198" s="144"/>
      <x:c r="E198" s="144"/>
      <x:c r="F198" s="144"/>
      <x:c r="G198" s="144"/>
      <x:c r="H198" s="144"/>
      <x:c r="I198" s="144"/>
      <x:c r="J198" s="144"/>
      <x:c r="K198" s="144"/>
      <x:c r="L198" s="144"/>
      <x:c r="M198" s="144"/>
      <x:c r="N198" s="144"/>
      <x:c r="O198" s="144"/>
      <x:c r="P198" s="144"/>
      <x:c r="Q198" s="144"/>
      <x:c r="R198" s="144"/>
      <x:c r="S198" s="144"/>
      <x:c r="T198" s="144"/>
      <x:c r="U198" s="144"/>
      <x:c r="V198" s="144"/>
      <x:c r="W198" s="144"/>
      <x:c r="X198" s="144"/>
      <x:c r="Y198" s="144"/>
      <x:c r="Z198" s="144"/>
      <x:c r="AA198" s="144"/>
      <x:c r="AB198" s="144"/>
      <x:c r="AC198" s="144"/>
      <x:c r="AD198" s="144"/>
      <x:c r="AE198" s="144"/>
      <x:c r="AF198" s="144"/>
      <x:c r="AG198" s="144"/>
      <x:c r="AH198" s="144"/>
      <x:c r="AI198" s="144"/>
      <x:c r="AJ198" s="144"/>
      <x:c r="AK198" s="144"/>
      <x:c r="AL198" s="144"/>
      <x:c r="AM198" s="144"/>
      <x:c r="AN198" s="144"/>
      <x:c r="AO198" s="144"/>
      <x:c r="AP198" s="144"/>
      <x:c r="AQ198" s="144"/>
      <x:c r="AR198" s="144"/>
      <x:c r="AS198" s="144"/>
      <x:c r="AT198" s="144"/>
      <x:c r="AU198" s="144"/>
      <x:c r="AV198" s="144"/>
      <x:c r="AW198" s="144"/>
      <x:c r="AX198" s="144"/>
      <x:c r="AY198" s="144"/>
      <x:c r="AZ198" s="144"/>
    </x:row>
    <x:row r="199">
      <x:c r="A199" s="144"/>
      <x:c r="B199" s="144"/>
      <x:c r="C199" s="144"/>
      <x:c r="D199" s="144"/>
      <x:c r="E199" s="144"/>
      <x:c r="F199" s="144"/>
      <x:c r="G199" s="144"/>
      <x:c r="H199" s="144"/>
      <x:c r="I199" s="144"/>
      <x:c r="J199" s="144"/>
      <x:c r="K199" s="144"/>
      <x:c r="L199" s="144"/>
      <x:c r="M199" s="144"/>
      <x:c r="N199" s="144"/>
      <x:c r="O199" s="144"/>
      <x:c r="P199" s="144"/>
      <x:c r="Q199" s="144"/>
      <x:c r="R199" s="144"/>
      <x:c r="S199" s="144"/>
      <x:c r="T199" s="144"/>
      <x:c r="U199" s="144"/>
      <x:c r="V199" s="144"/>
      <x:c r="W199" s="144"/>
      <x:c r="X199" s="144"/>
      <x:c r="Y199" s="144"/>
      <x:c r="Z199" s="144"/>
      <x:c r="AA199" s="144"/>
      <x:c r="AB199" s="144"/>
      <x:c r="AC199" s="144"/>
      <x:c r="AD199" s="144"/>
      <x:c r="AE199" s="144"/>
      <x:c r="AF199" s="144"/>
      <x:c r="AG199" s="144"/>
      <x:c r="AH199" s="144"/>
      <x:c r="AI199" s="144"/>
      <x:c r="AJ199" s="144"/>
      <x:c r="AK199" s="144"/>
      <x:c r="AL199" s="144"/>
      <x:c r="AM199" s="144"/>
      <x:c r="AN199" s="144"/>
      <x:c r="AO199" s="144"/>
      <x:c r="AP199" s="144"/>
      <x:c r="AQ199" s="144"/>
      <x:c r="AR199" s="144"/>
      <x:c r="AS199" s="144"/>
      <x:c r="AT199" s="144"/>
      <x:c r="AU199" s="144"/>
      <x:c r="AV199" s="144"/>
      <x:c r="AW199" s="144"/>
      <x:c r="AX199" s="144"/>
      <x:c r="AY199" s="144"/>
      <x:c r="AZ199" s="144"/>
    </x:row>
    <x:row r="200">
      <x:c r="A200" s="144"/>
      <x:c r="B200" s="144"/>
      <x:c r="C200" s="144"/>
      <x:c r="D200" s="144"/>
      <x:c r="E200" s="144"/>
      <x:c r="F200" s="144"/>
      <x:c r="G200" s="144"/>
      <x:c r="H200" s="144"/>
      <x:c r="I200" s="144"/>
      <x:c r="J200" s="144"/>
      <x:c r="K200" s="144"/>
      <x:c r="L200" s="144"/>
      <x:c r="M200" s="144"/>
      <x:c r="N200" s="144"/>
      <x:c r="O200" s="144"/>
      <x:c r="P200" s="144"/>
      <x:c r="Q200" s="144"/>
      <x:c r="R200" s="144"/>
      <x:c r="S200" s="144"/>
      <x:c r="T200" s="144"/>
      <x:c r="U200" s="144"/>
      <x:c r="V200" s="144"/>
      <x:c r="W200" s="144"/>
      <x:c r="X200" s="144"/>
      <x:c r="Y200" s="144"/>
      <x:c r="Z200" s="144"/>
      <x:c r="AA200" s="144"/>
      <x:c r="AB200" s="144"/>
      <x:c r="AC200" s="144"/>
      <x:c r="AD200" s="144"/>
      <x:c r="AE200" s="144"/>
      <x:c r="AF200" s="144"/>
      <x:c r="AG200" s="144"/>
      <x:c r="AH200" s="144"/>
      <x:c r="AI200" s="144"/>
      <x:c r="AJ200" s="144"/>
      <x:c r="AK200" s="144"/>
      <x:c r="AL200" s="144"/>
      <x:c r="AM200" s="144"/>
      <x:c r="AN200" s="144"/>
      <x:c r="AO200" s="144"/>
      <x:c r="AP200" s="144"/>
      <x:c r="AQ200" s="144"/>
      <x:c r="AR200" s="144"/>
      <x:c r="AS200" s="144"/>
      <x:c r="AT200" s="144"/>
      <x:c r="AU200" s="144"/>
      <x:c r="AV200" s="144"/>
      <x:c r="AW200" s="144"/>
      <x:c r="AX200" s="144"/>
      <x:c r="AY200" s="144"/>
      <x:c r="AZ200" s="144"/>
    </x:row>
    <x:row r="201">
      <x:c r="A201" s="144"/>
      <x:c r="B201" s="144"/>
      <x:c r="C201" s="144"/>
      <x:c r="D201" s="144"/>
      <x:c r="E201" s="144"/>
      <x:c r="F201" s="144"/>
      <x:c r="G201" s="144"/>
      <x:c r="H201" s="144"/>
      <x:c r="I201" s="144"/>
      <x:c r="J201" s="144"/>
      <x:c r="K201" s="144"/>
      <x:c r="L201" s="144"/>
      <x:c r="M201" s="144"/>
      <x:c r="N201" s="144"/>
      <x:c r="O201" s="144"/>
      <x:c r="P201" s="144"/>
      <x:c r="Q201" s="144"/>
      <x:c r="R201" s="144"/>
      <x:c r="S201" s="144"/>
      <x:c r="T201" s="144"/>
      <x:c r="U201" s="144"/>
      <x:c r="V201" s="144"/>
      <x:c r="W201" s="144"/>
      <x:c r="X201" s="144"/>
      <x:c r="Y201" s="144"/>
      <x:c r="Z201" s="144"/>
      <x:c r="AA201" s="144"/>
      <x:c r="AB201" s="144"/>
      <x:c r="AC201" s="144"/>
      <x:c r="AD201" s="144"/>
      <x:c r="AE201" s="144"/>
      <x:c r="AF201" s="144"/>
      <x:c r="AG201" s="144"/>
      <x:c r="AH201" s="144"/>
      <x:c r="AI201" s="144"/>
      <x:c r="AJ201" s="144"/>
      <x:c r="AK201" s="144"/>
      <x:c r="AL201" s="144"/>
      <x:c r="AM201" s="144"/>
      <x:c r="AN201" s="144"/>
      <x:c r="AO201" s="144"/>
      <x:c r="AP201" s="144"/>
      <x:c r="AQ201" s="144"/>
      <x:c r="AR201" s="144"/>
      <x:c r="AS201" s="144"/>
      <x:c r="AT201" s="144"/>
      <x:c r="AU201" s="144"/>
      <x:c r="AV201" s="144"/>
      <x:c r="AW201" s="144"/>
      <x:c r="AX201" s="144"/>
      <x:c r="AY201" s="144"/>
      <x:c r="AZ201" s="144"/>
    </x:row>
    <x:row r="202">
      <x:c r="A202" s="144"/>
      <x:c r="B202" s="144"/>
      <x:c r="C202" s="144"/>
      <x:c r="D202" s="144"/>
      <x:c r="E202" s="144"/>
      <x:c r="F202" s="144"/>
      <x:c r="G202" s="144"/>
      <x:c r="H202" s="144"/>
      <x:c r="I202" s="144"/>
      <x:c r="J202" s="144"/>
      <x:c r="K202" s="144"/>
      <x:c r="L202" s="144"/>
      <x:c r="M202" s="144"/>
      <x:c r="N202" s="144"/>
      <x:c r="O202" s="144"/>
      <x:c r="P202" s="144"/>
      <x:c r="Q202" s="144"/>
      <x:c r="R202" s="144"/>
      <x:c r="S202" s="144"/>
      <x:c r="T202" s="144"/>
      <x:c r="U202" s="144"/>
      <x:c r="V202" s="144"/>
      <x:c r="W202" s="144"/>
      <x:c r="X202" s="144"/>
      <x:c r="Y202" s="144"/>
      <x:c r="Z202" s="144"/>
      <x:c r="AA202" s="144"/>
      <x:c r="AB202" s="144"/>
      <x:c r="AC202" s="144"/>
      <x:c r="AD202" s="144"/>
      <x:c r="AE202" s="144"/>
      <x:c r="AF202" s="144"/>
      <x:c r="AG202" s="144"/>
      <x:c r="AH202" s="144"/>
      <x:c r="AI202" s="144"/>
      <x:c r="AJ202" s="144"/>
      <x:c r="AK202" s="144"/>
      <x:c r="AL202" s="144"/>
      <x:c r="AM202" s="144"/>
      <x:c r="AN202" s="144"/>
      <x:c r="AO202" s="144"/>
      <x:c r="AP202" s="144"/>
      <x:c r="AQ202" s="144"/>
      <x:c r="AR202" s="144"/>
      <x:c r="AS202" s="144"/>
      <x:c r="AT202" s="144"/>
      <x:c r="AU202" s="144"/>
      <x:c r="AV202" s="144"/>
      <x:c r="AW202" s="144"/>
      <x:c r="AX202" s="144"/>
      <x:c r="AY202" s="144"/>
      <x:c r="AZ202" s="144"/>
    </x:row>
    <x:row r="203">
      <x:c r="A203" s="144"/>
      <x:c r="B203" s="144"/>
      <x:c r="C203" s="144"/>
      <x:c r="D203" s="144"/>
      <x:c r="E203" s="144"/>
      <x:c r="F203" s="144"/>
      <x:c r="G203" s="144"/>
      <x:c r="H203" s="144"/>
      <x:c r="I203" s="144"/>
      <x:c r="J203" s="144"/>
      <x:c r="K203" s="144"/>
      <x:c r="L203" s="144"/>
      <x:c r="M203" s="144"/>
      <x:c r="N203" s="144"/>
      <x:c r="O203" s="144"/>
      <x:c r="P203" s="144"/>
      <x:c r="Q203" s="144"/>
      <x:c r="R203" s="144"/>
      <x:c r="S203" s="144"/>
      <x:c r="T203" s="144"/>
      <x:c r="U203" s="144"/>
      <x:c r="V203" s="144"/>
      <x:c r="W203" s="144"/>
      <x:c r="X203" s="144"/>
      <x:c r="Y203" s="144"/>
      <x:c r="Z203" s="144"/>
      <x:c r="AA203" s="144"/>
      <x:c r="AB203" s="144"/>
      <x:c r="AC203" s="144"/>
      <x:c r="AD203" s="144"/>
      <x:c r="AE203" s="144"/>
      <x:c r="AF203" s="144"/>
      <x:c r="AG203" s="144"/>
      <x:c r="AH203" s="144"/>
      <x:c r="AI203" s="144"/>
      <x:c r="AJ203" s="144"/>
      <x:c r="AK203" s="144"/>
      <x:c r="AL203" s="144"/>
      <x:c r="AM203" s="144"/>
      <x:c r="AN203" s="144"/>
      <x:c r="AO203" s="144"/>
      <x:c r="AP203" s="144"/>
      <x:c r="AQ203" s="144"/>
      <x:c r="AR203" s="144"/>
      <x:c r="AS203" s="144"/>
      <x:c r="AT203" s="144"/>
      <x:c r="AU203" s="144"/>
      <x:c r="AV203" s="144"/>
      <x:c r="AW203" s="144"/>
      <x:c r="AX203" s="144"/>
      <x:c r="AY203" s="144"/>
      <x:c r="AZ203" s="144"/>
    </x:row>
  </x:sheetData>
  <x:mergeCells>
    <x:mergeCell ref="A1:Z1"/>
    <x:mergeCell ref="A2:Z2"/>
    <x:mergeCell ref="AE1:AU1"/>
    <x:mergeCell ref="AE2:AU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sheetData>
    <x:row r="1" ht="18">
      <x:c r="A1" s="239" t="s">
        <x:v>999</x:v>
      </x:c>
      <x:c r="B1" s="239"/>
      <x:c r="C1" s="239"/>
      <x:c r="D1" s="239"/>
      <x:c r="E1" s="239"/>
      <x:c r="F1" s="239"/>
      <x:c r="G1" s="239"/>
      <x:c r="H1" s="239"/>
      <x:c r="I1" s="239"/>
      <x:c r="J1" s="239"/>
      <x:c r="K1" s="239"/>
      <x:c r="L1" s="239"/>
      <x:c r="M1" s="239"/>
      <x:c r="N1" s="239"/>
      <x:c r="O1" s="239"/>
      <x:c r="P1" s="239"/>
      <x:c r="Q1" s="239"/>
      <x:c r="R1" s="239"/>
      <x:c r="S1" s="239"/>
      <x:c r="T1" s="239"/>
      <x:c r="U1" s="239"/>
      <x:c r="V1" s="239"/>
      <x:c r="W1" s="239"/>
    </x:row>
    <x:row r="2">
      <x:c r="A2" s="240" t="s">
        <x:v>1000</x:v>
      </x:c>
      <x:c r="B2" s="240"/>
      <x:c r="C2" s="240"/>
      <x:c r="D2" s="240"/>
      <x:c r="E2" s="240"/>
      <x:c r="F2" s="240"/>
      <x:c r="G2" s="240"/>
      <x:c r="H2" s="240"/>
      <x:c r="I2" s="240"/>
      <x:c r="J2" s="240"/>
      <x:c r="K2" s="240"/>
      <x:c r="L2" s="240"/>
      <x:c r="M2" s="240"/>
      <x:c r="N2" s="240"/>
      <x:c r="O2" s="240"/>
      <x:c r="P2" s="240"/>
      <x:c r="Q2" s="240"/>
      <x:c r="R2" s="240"/>
      <x:c r="S2" s="240"/>
      <x:c r="T2" s="240"/>
      <x:c r="U2" s="240"/>
      <x:c r="V2" s="240"/>
      <x:c r="W2" s="240"/>
    </x:row>
    <x:row r="3" ht="45">
      <x:c r="A3" s="147" t="s">
        <x:v>953</x:v>
      </x:c>
      <x:c r="B3" s="147" t="s">
        <x:v>955</x:v>
      </x:c>
      <x:c r="C3" s="147" t="s">
        <x:v>957</x:v>
      </x:c>
      <x:c r="D3" s="147" t="s">
        <x:v>958</x:v>
      </x:c>
      <x:c r="E3" s="147" t="s">
        <x:v>959</x:v>
      </x:c>
      <x:c r="F3" s="147" t="s">
        <x:v>960</x:v>
      </x:c>
      <x:c r="G3" s="147" t="s">
        <x:v>961</x:v>
      </x:c>
      <x:c r="H3" s="147" t="s">
        <x:v>962</x:v>
      </x:c>
      <x:c r="I3" s="147" t="s">
        <x:v>1001</x:v>
      </x:c>
      <x:c r="J3" s="147" t="s">
        <x:v>1002</x:v>
      </x:c>
      <x:c r="K3" s="147" t="s">
        <x:v>1003</x:v>
      </x:c>
      <x:c r="L3" s="147" t="s">
        <x:v>1004</x:v>
      </x:c>
      <x:c r="M3" s="147" t="s">
        <x:v>1005</x:v>
      </x:c>
      <x:c r="N3" s="147" t="s">
        <x:v>894</x:v>
      </x:c>
      <x:c r="O3" s="147" t="s">
        <x:v>1006</x:v>
      </x:c>
      <x:c r="P3" s="147" t="s">
        <x:v>1007</x:v>
      </x:c>
      <x:c r="Q3" s="147" t="s">
        <x:v>1008</x:v>
      </x:c>
      <x:c r="R3" s="147" t="s">
        <x:v>1009</x:v>
      </x:c>
      <x:c r="S3" s="147" t="s">
        <x:v>1010</x:v>
      </x:c>
      <x:c r="T3" s="147" t="s">
        <x:v>965</x:v>
      </x:c>
      <x:c r="U3" s="147" t="s">
        <x:v>1011</x:v>
      </x:c>
      <x:c r="V3" s="147" t="s">
        <x:v>1012</x:v>
      </x:c>
      <x:c r="W3" s="147" t="s">
        <x:v>981</x:v>
      </x:c>
    </x:row>
    <x:row r="4">
      <x:c r="R4" t="str">
        <x:f t="shared" ref="R4:R35" si="0">IF(OR(I4="",J4=""),"",POWER(I4-J4,2))</x:f>
      </x:c>
      <x:c r="S4" t="str">
        <x:f t="shared" ref="S4:S35" si="1">IF(OR(I4="",J4=""),"",-((J4*LN(MAX(MIN(I4,0.999999),0.000001)))+((1-J4)*LN(MAX(MIN(1-I4,0.999999),0.000001)))))</x:f>
      </x:c>
    </x:row>
    <x:row r="5">
      <x:c r="R5" t="str">
        <x:f t="shared" si="0"/>
      </x:c>
      <x:c r="S5" t="str">
        <x:f t="shared" si="1"/>
      </x:c>
    </x:row>
    <x:row r="6">
      <x:c r="R6" t="str">
        <x:f t="shared" si="0"/>
      </x:c>
      <x:c r="S6" t="str">
        <x:f t="shared" si="1"/>
      </x:c>
    </x:row>
    <x:row r="7">
      <x:c r="R7" t="str">
        <x:f t="shared" si="0"/>
      </x:c>
      <x:c r="S7" t="str">
        <x:f t="shared" si="1"/>
      </x:c>
    </x:row>
    <x:row r="8">
      <x:c r="R8" t="str">
        <x:f t="shared" si="0"/>
      </x:c>
      <x:c r="S8" t="str">
        <x:f t="shared" si="1"/>
      </x:c>
    </x:row>
    <x:row r="9">
      <x:c r="R9" t="str">
        <x:f t="shared" si="0"/>
      </x:c>
      <x:c r="S9" t="str">
        <x:f t="shared" si="1"/>
      </x:c>
    </x:row>
    <x:row r="10">
      <x:c r="R10" t="str">
        <x:f t="shared" si="0"/>
      </x:c>
      <x:c r="S10" t="str">
        <x:f t="shared" si="1"/>
      </x:c>
    </x:row>
    <x:row r="11">
      <x:c r="R11" t="str">
        <x:f t="shared" si="0"/>
      </x:c>
      <x:c r="S11" t="str">
        <x:f t="shared" si="1"/>
      </x:c>
    </x:row>
    <x:row r="12">
      <x:c r="R12" t="str">
        <x:f t="shared" si="0"/>
      </x:c>
      <x:c r="S12" t="str">
        <x:f t="shared" si="1"/>
      </x:c>
    </x:row>
    <x:row r="13">
      <x:c r="R13" t="str">
        <x:f t="shared" si="0"/>
      </x:c>
      <x:c r="S13" t="str">
        <x:f t="shared" si="1"/>
      </x:c>
    </x:row>
    <x:row r="14">
      <x:c r="R14" t="str">
        <x:f t="shared" si="0"/>
      </x:c>
      <x:c r="S14" t="str">
        <x:f t="shared" si="1"/>
      </x:c>
    </x:row>
    <x:row r="15">
      <x:c r="R15" t="str">
        <x:f t="shared" si="0"/>
      </x:c>
      <x:c r="S15" t="str">
        <x:f t="shared" si="1"/>
      </x:c>
    </x:row>
    <x:row r="16">
      <x:c r="R16" t="str">
        <x:f t="shared" si="0"/>
      </x:c>
      <x:c r="S16" t="str">
        <x:f t="shared" si="1"/>
      </x:c>
    </x:row>
    <x:row r="17">
      <x:c r="R17" t="str">
        <x:f t="shared" si="0"/>
      </x:c>
      <x:c r="S17" t="str">
        <x:f t="shared" si="1"/>
      </x:c>
    </x:row>
    <x:row r="18">
      <x:c r="R18" t="str">
        <x:f t="shared" si="0"/>
      </x:c>
      <x:c r="S18" t="str">
        <x:f t="shared" si="1"/>
      </x:c>
    </x:row>
    <x:row r="19">
      <x:c r="R19" t="str">
        <x:f t="shared" si="0"/>
      </x:c>
      <x:c r="S19" t="str">
        <x:f t="shared" si="1"/>
      </x:c>
    </x:row>
    <x:row r="20">
      <x:c r="R20" t="str">
        <x:f t="shared" si="0"/>
      </x:c>
      <x:c r="S20" t="str">
        <x:f t="shared" si="1"/>
      </x:c>
    </x:row>
    <x:row r="21">
      <x:c r="R21" t="str">
        <x:f t="shared" si="0"/>
      </x:c>
      <x:c r="S21" t="str">
        <x:f t="shared" si="1"/>
      </x:c>
    </x:row>
    <x:row r="22">
      <x:c r="R22" t="str">
        <x:f t="shared" si="0"/>
      </x:c>
      <x:c r="S22" t="str">
        <x:f t="shared" si="1"/>
      </x:c>
    </x:row>
    <x:row r="23">
      <x:c r="R23" t="str">
        <x:f t="shared" si="0"/>
      </x:c>
      <x:c r="S23" t="str">
        <x:f t="shared" si="1"/>
      </x:c>
    </x:row>
    <x:row r="24">
      <x:c r="R24" t="str">
        <x:f t="shared" si="0"/>
      </x:c>
      <x:c r="S24" t="str">
        <x:f t="shared" si="1"/>
      </x:c>
    </x:row>
    <x:row r="25">
      <x:c r="R25" t="str">
        <x:f t="shared" si="0"/>
      </x:c>
      <x:c r="S25" t="str">
        <x:f t="shared" si="1"/>
      </x:c>
    </x:row>
    <x:row r="26">
      <x:c r="R26" t="str">
        <x:f t="shared" si="0"/>
      </x:c>
      <x:c r="S26" t="str">
        <x:f t="shared" si="1"/>
      </x:c>
    </x:row>
    <x:row r="27">
      <x:c r="R27" t="str">
        <x:f t="shared" si="0"/>
      </x:c>
      <x:c r="S27" t="str">
        <x:f t="shared" si="1"/>
      </x:c>
    </x:row>
    <x:row r="28">
      <x:c r="R28" t="str">
        <x:f t="shared" si="0"/>
      </x:c>
      <x:c r="S28" t="str">
        <x:f t="shared" si="1"/>
      </x:c>
    </x:row>
    <x:row r="29">
      <x:c r="R29" t="str">
        <x:f t="shared" si="0"/>
      </x:c>
      <x:c r="S29" t="str">
        <x:f t="shared" si="1"/>
      </x:c>
    </x:row>
    <x:row r="30">
      <x:c r="R30" t="str">
        <x:f t="shared" si="0"/>
      </x:c>
      <x:c r="S30" t="str">
        <x:f t="shared" si="1"/>
      </x:c>
    </x:row>
    <x:row r="31">
      <x:c r="R31" t="str">
        <x:f t="shared" si="0"/>
      </x:c>
      <x:c r="S31" t="str">
        <x:f t="shared" si="1"/>
      </x:c>
    </x:row>
    <x:row r="32">
      <x:c r="R32" t="str">
        <x:f t="shared" si="0"/>
      </x:c>
      <x:c r="S32" t="str">
        <x:f t="shared" si="1"/>
      </x:c>
    </x:row>
    <x:row r="33">
      <x:c r="R33" t="str">
        <x:f t="shared" si="0"/>
      </x:c>
      <x:c r="S33" t="str">
        <x:f t="shared" si="1"/>
      </x:c>
    </x:row>
    <x:row r="34">
      <x:c r="R34" t="str">
        <x:f t="shared" si="0"/>
      </x:c>
      <x:c r="S34" t="str">
        <x:f t="shared" si="1"/>
      </x:c>
    </x:row>
    <x:row r="35">
      <x:c r="R35" t="str">
        <x:f t="shared" si="0"/>
      </x:c>
      <x:c r="S35" t="str">
        <x:f t="shared" si="1"/>
      </x:c>
    </x:row>
    <x:row r="36">
      <x:c r="R36" t="str">
        <x:f t="shared" ref="R36:R67" si="2">IF(OR(I36="",J36=""),"",POWER(I36-J36,2))</x:f>
      </x:c>
      <x:c r="S36" t="str">
        <x:f t="shared" ref="S36:S67" si="3">IF(OR(I36="",J36=""),"",-((J36*LN(MAX(MIN(I36,0.999999),0.000001)))+((1-J36)*LN(MAX(MIN(1-I36,0.999999),0.000001)))))</x:f>
      </x:c>
    </x:row>
    <x:row r="37">
      <x:c r="R37" t="str">
        <x:f t="shared" si="2"/>
      </x:c>
      <x:c r="S37" t="str">
        <x:f t="shared" si="3"/>
      </x:c>
    </x:row>
    <x:row r="38">
      <x:c r="R38" t="str">
        <x:f t="shared" si="2"/>
      </x:c>
      <x:c r="S38" t="str">
        <x:f t="shared" si="3"/>
      </x:c>
    </x:row>
    <x:row r="39">
      <x:c r="R39" t="str">
        <x:f t="shared" si="2"/>
      </x:c>
      <x:c r="S39" t="str">
        <x:f t="shared" si="3"/>
      </x:c>
    </x:row>
    <x:row r="40">
      <x:c r="R40" t="str">
        <x:f t="shared" si="2"/>
      </x:c>
      <x:c r="S40" t="str">
        <x:f t="shared" si="3"/>
      </x:c>
    </x:row>
    <x:row r="41">
      <x:c r="R41" t="str">
        <x:f t="shared" si="2"/>
      </x:c>
      <x:c r="S41" t="str">
        <x:f t="shared" si="3"/>
      </x:c>
    </x:row>
    <x:row r="42">
      <x:c r="R42" t="str">
        <x:f t="shared" si="2"/>
      </x:c>
      <x:c r="S42" t="str">
        <x:f t="shared" si="3"/>
      </x:c>
    </x:row>
    <x:row r="43">
      <x:c r="R43" t="str">
        <x:f t="shared" si="2"/>
      </x:c>
      <x:c r="S43" t="str">
        <x:f t="shared" si="3"/>
      </x:c>
    </x:row>
    <x:row r="44">
      <x:c r="R44" t="str">
        <x:f t="shared" si="2"/>
      </x:c>
      <x:c r="S44" t="str">
        <x:f t="shared" si="3"/>
      </x:c>
    </x:row>
    <x:row r="45">
      <x:c r="R45" t="str">
        <x:f t="shared" si="2"/>
      </x:c>
      <x:c r="S45" t="str">
        <x:f t="shared" si="3"/>
      </x:c>
    </x:row>
    <x:row r="46">
      <x:c r="R46" t="str">
        <x:f t="shared" si="2"/>
      </x:c>
      <x:c r="S46" t="str">
        <x:f t="shared" si="3"/>
      </x:c>
    </x:row>
    <x:row r="47">
      <x:c r="R47" t="str">
        <x:f t="shared" si="2"/>
      </x:c>
      <x:c r="S47" t="str">
        <x:f t="shared" si="3"/>
      </x:c>
    </x:row>
    <x:row r="48">
      <x:c r="R48" t="str">
        <x:f t="shared" si="2"/>
      </x:c>
      <x:c r="S48" t="str">
        <x:f t="shared" si="3"/>
      </x:c>
    </x:row>
    <x:row r="49">
      <x:c r="R49" t="str">
        <x:f t="shared" si="2"/>
      </x:c>
      <x:c r="S49" t="str">
        <x:f t="shared" si="3"/>
      </x:c>
    </x:row>
    <x:row r="50">
      <x:c r="R50" t="str">
        <x:f t="shared" si="2"/>
      </x:c>
      <x:c r="S50" t="str">
        <x:f t="shared" si="3"/>
      </x:c>
    </x:row>
    <x:row r="51">
      <x:c r="R51" t="str">
        <x:f t="shared" si="2"/>
      </x:c>
      <x:c r="S51" t="str">
        <x:f t="shared" si="3"/>
      </x:c>
    </x:row>
    <x:row r="52">
      <x:c r="R52" t="str">
        <x:f t="shared" si="2"/>
      </x:c>
      <x:c r="S52" t="str">
        <x:f t="shared" si="3"/>
      </x:c>
    </x:row>
    <x:row r="53">
      <x:c r="R53" t="str">
        <x:f t="shared" si="2"/>
      </x:c>
      <x:c r="S53" t="str">
        <x:f t="shared" si="3"/>
      </x:c>
    </x:row>
    <x:row r="54">
      <x:c r="R54" t="str">
        <x:f t="shared" si="2"/>
      </x:c>
      <x:c r="S54" t="str">
        <x:f t="shared" si="3"/>
      </x:c>
    </x:row>
    <x:row r="55">
      <x:c r="R55" t="str">
        <x:f t="shared" si="2"/>
      </x:c>
      <x:c r="S55" t="str">
        <x:f t="shared" si="3"/>
      </x:c>
    </x:row>
    <x:row r="56">
      <x:c r="R56" t="str">
        <x:f t="shared" si="2"/>
      </x:c>
      <x:c r="S56" t="str">
        <x:f t="shared" si="3"/>
      </x:c>
    </x:row>
    <x:row r="57">
      <x:c r="R57" t="str">
        <x:f t="shared" si="2"/>
      </x:c>
      <x:c r="S57" t="str">
        <x:f t="shared" si="3"/>
      </x:c>
    </x:row>
    <x:row r="58">
      <x:c r="R58" t="str">
        <x:f t="shared" si="2"/>
      </x:c>
      <x:c r="S58" t="str">
        <x:f t="shared" si="3"/>
      </x:c>
    </x:row>
    <x:row r="59">
      <x:c r="R59" t="str">
        <x:f t="shared" si="2"/>
      </x:c>
      <x:c r="S59" t="str">
        <x:f t="shared" si="3"/>
      </x:c>
    </x:row>
    <x:row r="60">
      <x:c r="R60" t="str">
        <x:f t="shared" si="2"/>
      </x:c>
      <x:c r="S60" t="str">
        <x:f t="shared" si="3"/>
      </x:c>
    </x:row>
    <x:row r="61">
      <x:c r="R61" t="str">
        <x:f t="shared" si="2"/>
      </x:c>
      <x:c r="S61" t="str">
        <x:f t="shared" si="3"/>
      </x:c>
    </x:row>
    <x:row r="62">
      <x:c r="R62" t="str">
        <x:f t="shared" si="2"/>
      </x:c>
      <x:c r="S62" t="str">
        <x:f t="shared" si="3"/>
      </x:c>
    </x:row>
    <x:row r="63">
      <x:c r="R63" t="str">
        <x:f t="shared" si="2"/>
      </x:c>
      <x:c r="S63" t="str">
        <x:f t="shared" si="3"/>
      </x:c>
    </x:row>
    <x:row r="64">
      <x:c r="R64" t="str">
        <x:f t="shared" si="2"/>
      </x:c>
      <x:c r="S64" t="str">
        <x:f t="shared" si="3"/>
      </x:c>
    </x:row>
    <x:row r="65">
      <x:c r="R65" t="str">
        <x:f t="shared" si="2"/>
      </x:c>
      <x:c r="S65" t="str">
        <x:f t="shared" si="3"/>
      </x:c>
    </x:row>
    <x:row r="66">
      <x:c r="R66" t="str">
        <x:f t="shared" si="2"/>
      </x:c>
      <x:c r="S66" t="str">
        <x:f t="shared" si="3"/>
      </x:c>
    </x:row>
    <x:row r="67">
      <x:c r="R67" t="str">
        <x:f t="shared" si="2"/>
      </x:c>
      <x:c r="S67" t="str">
        <x:f t="shared" si="3"/>
      </x:c>
    </x:row>
    <x:row r="68">
      <x:c r="R68" t="str">
        <x:f t="shared" ref="R68:R99" si="4">IF(OR(I68="",J68=""),"",POWER(I68-J68,2))</x:f>
      </x:c>
      <x:c r="S68" t="str">
        <x:f t="shared" ref="S68:S99" si="5">IF(OR(I68="",J68=""),"",-((J68*LN(MAX(MIN(I68,0.999999),0.000001)))+((1-J68)*LN(MAX(MIN(1-I68,0.999999),0.000001)))))</x:f>
      </x:c>
    </x:row>
    <x:row r="69">
      <x:c r="R69" t="str">
        <x:f t="shared" si="4"/>
      </x:c>
      <x:c r="S69" t="str">
        <x:f t="shared" si="5"/>
      </x:c>
    </x:row>
    <x:row r="70">
      <x:c r="R70" t="str">
        <x:f t="shared" si="4"/>
      </x:c>
      <x:c r="S70" t="str">
        <x:f t="shared" si="5"/>
      </x:c>
    </x:row>
    <x:row r="71">
      <x:c r="R71" t="str">
        <x:f t="shared" si="4"/>
      </x:c>
      <x:c r="S71" t="str">
        <x:f t="shared" si="5"/>
      </x:c>
    </x:row>
    <x:row r="72">
      <x:c r="R72" t="str">
        <x:f t="shared" si="4"/>
      </x:c>
      <x:c r="S72" t="str">
        <x:f t="shared" si="5"/>
      </x:c>
    </x:row>
    <x:row r="73">
      <x:c r="R73" t="str">
        <x:f t="shared" si="4"/>
      </x:c>
      <x:c r="S73" t="str">
        <x:f t="shared" si="5"/>
      </x:c>
    </x:row>
    <x:row r="74">
      <x:c r="R74" t="str">
        <x:f t="shared" si="4"/>
      </x:c>
      <x:c r="S74" t="str">
        <x:f t="shared" si="5"/>
      </x:c>
    </x:row>
    <x:row r="75">
      <x:c r="R75" t="str">
        <x:f t="shared" si="4"/>
      </x:c>
      <x:c r="S75" t="str">
        <x:f t="shared" si="5"/>
      </x:c>
    </x:row>
    <x:row r="76">
      <x:c r="R76" t="str">
        <x:f t="shared" si="4"/>
      </x:c>
      <x:c r="S76" t="str">
        <x:f t="shared" si="5"/>
      </x:c>
    </x:row>
    <x:row r="77">
      <x:c r="R77" t="str">
        <x:f t="shared" si="4"/>
      </x:c>
      <x:c r="S77" t="str">
        <x:f t="shared" si="5"/>
      </x:c>
    </x:row>
    <x:row r="78">
      <x:c r="R78" t="str">
        <x:f t="shared" si="4"/>
      </x:c>
      <x:c r="S78" t="str">
        <x:f t="shared" si="5"/>
      </x:c>
    </x:row>
    <x:row r="79">
      <x:c r="R79" t="str">
        <x:f t="shared" si="4"/>
      </x:c>
      <x:c r="S79" t="str">
        <x:f t="shared" si="5"/>
      </x:c>
    </x:row>
    <x:row r="80">
      <x:c r="R80" t="str">
        <x:f t="shared" si="4"/>
      </x:c>
      <x:c r="S80" t="str">
        <x:f t="shared" si="5"/>
      </x:c>
    </x:row>
    <x:row r="81">
      <x:c r="R81" t="str">
        <x:f t="shared" si="4"/>
      </x:c>
      <x:c r="S81" t="str">
        <x:f t="shared" si="5"/>
      </x:c>
    </x:row>
    <x:row r="82">
      <x:c r="R82" t="str">
        <x:f t="shared" si="4"/>
      </x:c>
      <x:c r="S82" t="str">
        <x:f t="shared" si="5"/>
      </x:c>
    </x:row>
    <x:row r="83">
      <x:c r="R83" t="str">
        <x:f t="shared" si="4"/>
      </x:c>
      <x:c r="S83" t="str">
        <x:f t="shared" si="5"/>
      </x:c>
    </x:row>
    <x:row r="84">
      <x:c r="R84" t="str">
        <x:f t="shared" si="4"/>
      </x:c>
      <x:c r="S84" t="str">
        <x:f t="shared" si="5"/>
      </x:c>
    </x:row>
    <x:row r="85">
      <x:c r="R85" t="str">
        <x:f t="shared" si="4"/>
      </x:c>
      <x:c r="S85" t="str">
        <x:f t="shared" si="5"/>
      </x:c>
    </x:row>
    <x:row r="86">
      <x:c r="R86" t="str">
        <x:f t="shared" si="4"/>
      </x:c>
      <x:c r="S86" t="str">
        <x:f t="shared" si="5"/>
      </x:c>
    </x:row>
    <x:row r="87">
      <x:c r="R87" t="str">
        <x:f t="shared" si="4"/>
      </x:c>
      <x:c r="S87" t="str">
        <x:f t="shared" si="5"/>
      </x:c>
    </x:row>
    <x:row r="88">
      <x:c r="R88" t="str">
        <x:f t="shared" si="4"/>
      </x:c>
      <x:c r="S88" t="str">
        <x:f t="shared" si="5"/>
      </x:c>
    </x:row>
    <x:row r="89">
      <x:c r="R89" t="str">
        <x:f t="shared" si="4"/>
      </x:c>
      <x:c r="S89" t="str">
        <x:f t="shared" si="5"/>
      </x:c>
    </x:row>
    <x:row r="90">
      <x:c r="R90" t="str">
        <x:f t="shared" si="4"/>
      </x:c>
      <x:c r="S90" t="str">
        <x:f t="shared" si="5"/>
      </x:c>
    </x:row>
    <x:row r="91">
      <x:c r="R91" t="str">
        <x:f t="shared" si="4"/>
      </x:c>
      <x:c r="S91" t="str">
        <x:f t="shared" si="5"/>
      </x:c>
    </x:row>
    <x:row r="92">
      <x:c r="R92" t="str">
        <x:f t="shared" si="4"/>
      </x:c>
      <x:c r="S92" t="str">
        <x:f t="shared" si="5"/>
      </x:c>
    </x:row>
    <x:row r="93">
      <x:c r="R93" t="str">
        <x:f t="shared" si="4"/>
      </x:c>
      <x:c r="S93" t="str">
        <x:f t="shared" si="5"/>
      </x:c>
    </x:row>
    <x:row r="94">
      <x:c r="R94" t="str">
        <x:f t="shared" si="4"/>
      </x:c>
      <x:c r="S94" t="str">
        <x:f t="shared" si="5"/>
      </x:c>
    </x:row>
    <x:row r="95">
      <x:c r="R95" t="str">
        <x:f t="shared" si="4"/>
      </x:c>
      <x:c r="S95" t="str">
        <x:f t="shared" si="5"/>
      </x:c>
    </x:row>
    <x:row r="96">
      <x:c r="R96" t="str">
        <x:f t="shared" si="4"/>
      </x:c>
      <x:c r="S96" t="str">
        <x:f t="shared" si="5"/>
      </x:c>
    </x:row>
    <x:row r="97">
      <x:c r="R97" t="str">
        <x:f t="shared" si="4"/>
      </x:c>
      <x:c r="S97" t="str">
        <x:f t="shared" si="5"/>
      </x:c>
    </x:row>
    <x:row r="98">
      <x:c r="R98" t="str">
        <x:f t="shared" si="4"/>
      </x:c>
      <x:c r="S98" t="str">
        <x:f t="shared" si="5"/>
      </x:c>
    </x:row>
    <x:row r="99">
      <x:c r="R99" t="str">
        <x:f t="shared" si="4"/>
      </x:c>
      <x:c r="S99" t="str">
        <x:f t="shared" si="5"/>
      </x:c>
    </x:row>
    <x:row r="100">
      <x:c r="R100" t="str">
        <x:f t="shared" ref="R100:R131" si="6">IF(OR(I100="",J100=""),"",POWER(I100-J100,2))</x:f>
      </x:c>
      <x:c r="S100" t="str">
        <x:f t="shared" ref="S100:S131" si="7">IF(OR(I100="",J100=""),"",-((J100*LN(MAX(MIN(I100,0.999999),0.000001)))+((1-J100)*LN(MAX(MIN(1-I100,0.999999),0.000001)))))</x:f>
      </x:c>
    </x:row>
    <x:row r="101">
      <x:c r="R101" t="str">
        <x:f t="shared" si="6"/>
      </x:c>
      <x:c r="S101" t="str">
        <x:f t="shared" si="7"/>
      </x:c>
    </x:row>
    <x:row r="102">
      <x:c r="R102" t="str">
        <x:f t="shared" si="6"/>
      </x:c>
      <x:c r="S102" t="str">
        <x:f t="shared" si="7"/>
      </x:c>
    </x:row>
    <x:row r="103">
      <x:c r="R103" t="str">
        <x:f t="shared" si="6"/>
      </x:c>
      <x:c r="S103" t="str">
        <x:f t="shared" si="7"/>
      </x:c>
    </x:row>
    <x:row r="104">
      <x:c r="R104" t="str">
        <x:f t="shared" si="6"/>
      </x:c>
      <x:c r="S104" t="str">
        <x:f t="shared" si="7"/>
      </x:c>
    </x:row>
    <x:row r="105">
      <x:c r="R105" t="str">
        <x:f t="shared" si="6"/>
      </x:c>
      <x:c r="S105" t="str">
        <x:f t="shared" si="7"/>
      </x:c>
    </x:row>
    <x:row r="106">
      <x:c r="R106" t="str">
        <x:f t="shared" si="6"/>
      </x:c>
      <x:c r="S106" t="str">
        <x:f t="shared" si="7"/>
      </x:c>
    </x:row>
    <x:row r="107">
      <x:c r="R107" t="str">
        <x:f t="shared" si="6"/>
      </x:c>
      <x:c r="S107" t="str">
        <x:f t="shared" si="7"/>
      </x:c>
    </x:row>
    <x:row r="108">
      <x:c r="R108" t="str">
        <x:f t="shared" si="6"/>
      </x:c>
      <x:c r="S108" t="str">
        <x:f t="shared" si="7"/>
      </x:c>
    </x:row>
    <x:row r="109">
      <x:c r="R109" t="str">
        <x:f t="shared" si="6"/>
      </x:c>
      <x:c r="S109" t="str">
        <x:f t="shared" si="7"/>
      </x:c>
    </x:row>
    <x:row r="110">
      <x:c r="R110" t="str">
        <x:f t="shared" si="6"/>
      </x:c>
      <x:c r="S110" t="str">
        <x:f t="shared" si="7"/>
      </x:c>
    </x:row>
    <x:row r="111">
      <x:c r="R111" t="str">
        <x:f t="shared" si="6"/>
      </x:c>
      <x:c r="S111" t="str">
        <x:f t="shared" si="7"/>
      </x:c>
    </x:row>
    <x:row r="112">
      <x:c r="R112" t="str">
        <x:f t="shared" si="6"/>
      </x:c>
      <x:c r="S112" t="str">
        <x:f t="shared" si="7"/>
      </x:c>
    </x:row>
    <x:row r="113">
      <x:c r="R113" t="str">
        <x:f t="shared" si="6"/>
      </x:c>
      <x:c r="S113" t="str">
        <x:f t="shared" si="7"/>
      </x:c>
    </x:row>
    <x:row r="114">
      <x:c r="R114" t="str">
        <x:f t="shared" si="6"/>
      </x:c>
      <x:c r="S114" t="str">
        <x:f t="shared" si="7"/>
      </x:c>
    </x:row>
    <x:row r="115">
      <x:c r="R115" t="str">
        <x:f t="shared" si="6"/>
      </x:c>
      <x:c r="S115" t="str">
        <x:f t="shared" si="7"/>
      </x:c>
    </x:row>
    <x:row r="116">
      <x:c r="R116" t="str">
        <x:f t="shared" si="6"/>
      </x:c>
      <x:c r="S116" t="str">
        <x:f t="shared" si="7"/>
      </x:c>
    </x:row>
    <x:row r="117">
      <x:c r="R117" t="str">
        <x:f t="shared" si="6"/>
      </x:c>
      <x:c r="S117" t="str">
        <x:f t="shared" si="7"/>
      </x:c>
    </x:row>
    <x:row r="118">
      <x:c r="R118" t="str">
        <x:f t="shared" si="6"/>
      </x:c>
      <x:c r="S118" t="str">
        <x:f t="shared" si="7"/>
      </x:c>
    </x:row>
    <x:row r="119">
      <x:c r="R119" t="str">
        <x:f t="shared" si="6"/>
      </x:c>
      <x:c r="S119" t="str">
        <x:f t="shared" si="7"/>
      </x:c>
    </x:row>
    <x:row r="120">
      <x:c r="R120" t="str">
        <x:f t="shared" si="6"/>
      </x:c>
      <x:c r="S120" t="str">
        <x:f t="shared" si="7"/>
      </x:c>
    </x:row>
    <x:row r="121">
      <x:c r="R121" t="str">
        <x:f t="shared" si="6"/>
      </x:c>
      <x:c r="S121" t="str">
        <x:f t="shared" si="7"/>
      </x:c>
    </x:row>
    <x:row r="122">
      <x:c r="R122" t="str">
        <x:f t="shared" si="6"/>
      </x:c>
      <x:c r="S122" t="str">
        <x:f t="shared" si="7"/>
      </x:c>
    </x:row>
    <x:row r="123">
      <x:c r="R123" t="str">
        <x:f t="shared" si="6"/>
      </x:c>
      <x:c r="S123" t="str">
        <x:f t="shared" si="7"/>
      </x:c>
    </x:row>
    <x:row r="124">
      <x:c r="R124" t="str">
        <x:f t="shared" si="6"/>
      </x:c>
      <x:c r="S124" t="str">
        <x:f t="shared" si="7"/>
      </x:c>
    </x:row>
    <x:row r="125">
      <x:c r="R125" t="str">
        <x:f t="shared" si="6"/>
      </x:c>
      <x:c r="S125" t="str">
        <x:f t="shared" si="7"/>
      </x:c>
    </x:row>
    <x:row r="126">
      <x:c r="R126" t="str">
        <x:f t="shared" si="6"/>
      </x:c>
      <x:c r="S126" t="str">
        <x:f t="shared" si="7"/>
      </x:c>
    </x:row>
    <x:row r="127">
      <x:c r="R127" t="str">
        <x:f t="shared" si="6"/>
      </x:c>
      <x:c r="S127" t="str">
        <x:f t="shared" si="7"/>
      </x:c>
    </x:row>
    <x:row r="128">
      <x:c r="R128" t="str">
        <x:f t="shared" si="6"/>
      </x:c>
      <x:c r="S128" t="str">
        <x:f t="shared" si="7"/>
      </x:c>
    </x:row>
    <x:row r="129">
      <x:c r="R129" t="str">
        <x:f t="shared" si="6"/>
      </x:c>
      <x:c r="S129" t="str">
        <x:f t="shared" si="7"/>
      </x:c>
    </x:row>
    <x:row r="130">
      <x:c r="R130" t="str">
        <x:f t="shared" si="6"/>
      </x:c>
      <x:c r="S130" t="str">
        <x:f t="shared" si="7"/>
      </x:c>
    </x:row>
    <x:row r="131">
      <x:c r="R131" t="str">
        <x:f t="shared" si="6"/>
      </x:c>
      <x:c r="S131" t="str">
        <x:f t="shared" si="7"/>
      </x:c>
    </x:row>
    <x:row r="132">
      <x:c r="R132" t="str">
        <x:f t="shared" ref="R132:R163" si="8">IF(OR(I132="",J132=""),"",POWER(I132-J132,2))</x:f>
      </x:c>
      <x:c r="S132" t="str">
        <x:f t="shared" ref="S132:S163" si="9">IF(OR(I132="",J132=""),"",-((J132*LN(MAX(MIN(I132,0.999999),0.000001)))+((1-J132)*LN(MAX(MIN(1-I132,0.999999),0.000001)))))</x:f>
      </x:c>
    </x:row>
    <x:row r="133">
      <x:c r="R133" t="str">
        <x:f t="shared" si="8"/>
      </x:c>
      <x:c r="S133" t="str">
        <x:f t="shared" si="9"/>
      </x:c>
    </x:row>
    <x:row r="134">
      <x:c r="R134" t="str">
        <x:f t="shared" si="8"/>
      </x:c>
      <x:c r="S134" t="str">
        <x:f t="shared" si="9"/>
      </x:c>
    </x:row>
    <x:row r="135">
      <x:c r="R135" t="str">
        <x:f t="shared" si="8"/>
      </x:c>
      <x:c r="S135" t="str">
        <x:f t="shared" si="9"/>
      </x:c>
    </x:row>
    <x:row r="136">
      <x:c r="R136" t="str">
        <x:f t="shared" si="8"/>
      </x:c>
      <x:c r="S136" t="str">
        <x:f t="shared" si="9"/>
      </x:c>
    </x:row>
    <x:row r="137">
      <x:c r="R137" t="str">
        <x:f t="shared" si="8"/>
      </x:c>
      <x:c r="S137" t="str">
        <x:f t="shared" si="9"/>
      </x:c>
    </x:row>
    <x:row r="138">
      <x:c r="R138" t="str">
        <x:f t="shared" si="8"/>
      </x:c>
      <x:c r="S138" t="str">
        <x:f t="shared" si="9"/>
      </x:c>
    </x:row>
    <x:row r="139">
      <x:c r="R139" t="str">
        <x:f t="shared" si="8"/>
      </x:c>
      <x:c r="S139" t="str">
        <x:f t="shared" si="9"/>
      </x:c>
    </x:row>
    <x:row r="140">
      <x:c r="R140" t="str">
        <x:f t="shared" si="8"/>
      </x:c>
      <x:c r="S140" t="str">
        <x:f t="shared" si="9"/>
      </x:c>
    </x:row>
    <x:row r="141">
      <x:c r="R141" t="str">
        <x:f t="shared" si="8"/>
      </x:c>
      <x:c r="S141" t="str">
        <x:f t="shared" si="9"/>
      </x:c>
    </x:row>
    <x:row r="142">
      <x:c r="R142" t="str">
        <x:f t="shared" si="8"/>
      </x:c>
      <x:c r="S142" t="str">
        <x:f t="shared" si="9"/>
      </x:c>
    </x:row>
    <x:row r="143">
      <x:c r="R143" t="str">
        <x:f t="shared" si="8"/>
      </x:c>
      <x:c r="S143" t="str">
        <x:f t="shared" si="9"/>
      </x:c>
    </x:row>
    <x:row r="144">
      <x:c r="R144" t="str">
        <x:f t="shared" si="8"/>
      </x:c>
      <x:c r="S144" t="str">
        <x:f t="shared" si="9"/>
      </x:c>
    </x:row>
    <x:row r="145">
      <x:c r="R145" t="str">
        <x:f t="shared" si="8"/>
      </x:c>
      <x:c r="S145" t="str">
        <x:f t="shared" si="9"/>
      </x:c>
    </x:row>
    <x:row r="146">
      <x:c r="R146" t="str">
        <x:f t="shared" si="8"/>
      </x:c>
      <x:c r="S146" t="str">
        <x:f t="shared" si="9"/>
      </x:c>
    </x:row>
    <x:row r="147">
      <x:c r="R147" t="str">
        <x:f t="shared" si="8"/>
      </x:c>
      <x:c r="S147" t="str">
        <x:f t="shared" si="9"/>
      </x:c>
    </x:row>
    <x:row r="148">
      <x:c r="R148" t="str">
        <x:f t="shared" si="8"/>
      </x:c>
      <x:c r="S148" t="str">
        <x:f t="shared" si="9"/>
      </x:c>
    </x:row>
    <x:row r="149">
      <x:c r="R149" t="str">
        <x:f t="shared" si="8"/>
      </x:c>
      <x:c r="S149" t="str">
        <x:f t="shared" si="9"/>
      </x:c>
    </x:row>
    <x:row r="150">
      <x:c r="R150" t="str">
        <x:f t="shared" si="8"/>
      </x:c>
      <x:c r="S150" t="str">
        <x:f t="shared" si="9"/>
      </x:c>
    </x:row>
    <x:row r="151">
      <x:c r="R151" t="str">
        <x:f t="shared" si="8"/>
      </x:c>
      <x:c r="S151" t="str">
        <x:f t="shared" si="9"/>
      </x:c>
    </x:row>
    <x:row r="152">
      <x:c r="R152" t="str">
        <x:f t="shared" si="8"/>
      </x:c>
      <x:c r="S152" t="str">
        <x:f t="shared" si="9"/>
      </x:c>
    </x:row>
    <x:row r="153">
      <x:c r="R153" t="str">
        <x:f t="shared" si="8"/>
      </x:c>
      <x:c r="S153" t="str">
        <x:f t="shared" si="9"/>
      </x:c>
    </x:row>
    <x:row r="154">
      <x:c r="R154" t="str">
        <x:f t="shared" si="8"/>
      </x:c>
      <x:c r="S154" t="str">
        <x:f t="shared" si="9"/>
      </x:c>
    </x:row>
    <x:row r="155">
      <x:c r="R155" t="str">
        <x:f t="shared" si="8"/>
      </x:c>
      <x:c r="S155" t="str">
        <x:f t="shared" si="9"/>
      </x:c>
    </x:row>
    <x:row r="156">
      <x:c r="R156" t="str">
        <x:f t="shared" si="8"/>
      </x:c>
      <x:c r="S156" t="str">
        <x:f t="shared" si="9"/>
      </x:c>
    </x:row>
    <x:row r="157">
      <x:c r="R157" t="str">
        <x:f t="shared" si="8"/>
      </x:c>
      <x:c r="S157" t="str">
        <x:f t="shared" si="9"/>
      </x:c>
    </x:row>
    <x:row r="158">
      <x:c r="R158" t="str">
        <x:f t="shared" si="8"/>
      </x:c>
      <x:c r="S158" t="str">
        <x:f t="shared" si="9"/>
      </x:c>
    </x:row>
    <x:row r="159">
      <x:c r="R159" t="str">
        <x:f t="shared" si="8"/>
      </x:c>
      <x:c r="S159" t="str">
        <x:f t="shared" si="9"/>
      </x:c>
    </x:row>
    <x:row r="160">
      <x:c r="R160" t="str">
        <x:f t="shared" si="8"/>
      </x:c>
      <x:c r="S160" t="str">
        <x:f t="shared" si="9"/>
      </x:c>
    </x:row>
    <x:row r="161">
      <x:c r="R161" t="str">
        <x:f t="shared" si="8"/>
      </x:c>
      <x:c r="S161" t="str">
        <x:f t="shared" si="9"/>
      </x:c>
    </x:row>
    <x:row r="162">
      <x:c r="R162" t="str">
        <x:f t="shared" si="8"/>
      </x:c>
      <x:c r="S162" t="str">
        <x:f t="shared" si="9"/>
      </x:c>
    </x:row>
    <x:row r="163">
      <x:c r="R163" t="str">
        <x:f t="shared" si="8"/>
      </x:c>
      <x:c r="S163" t="str">
        <x:f t="shared" si="9"/>
      </x:c>
    </x:row>
    <x:row r="164">
      <x:c r="R164" t="str">
        <x:f t="shared" ref="R164:R195" si="10">IF(OR(I164="",J164=""),"",POWER(I164-J164,2))</x:f>
      </x:c>
      <x:c r="S164" t="str">
        <x:f t="shared" ref="S164:S195" si="11">IF(OR(I164="",J164=""),"",-((J164*LN(MAX(MIN(I164,0.999999),0.000001)))+((1-J164)*LN(MAX(MIN(1-I164,0.999999),0.000001)))))</x:f>
      </x:c>
    </x:row>
    <x:row r="165">
      <x:c r="R165" t="str">
        <x:f t="shared" si="10"/>
      </x:c>
      <x:c r="S165" t="str">
        <x:f t="shared" si="11"/>
      </x:c>
    </x:row>
    <x:row r="166">
      <x:c r="R166" t="str">
        <x:f t="shared" si="10"/>
      </x:c>
      <x:c r="S166" t="str">
        <x:f t="shared" si="11"/>
      </x:c>
    </x:row>
    <x:row r="167">
      <x:c r="R167" t="str">
        <x:f t="shared" si="10"/>
      </x:c>
      <x:c r="S167" t="str">
        <x:f t="shared" si="11"/>
      </x:c>
    </x:row>
    <x:row r="168">
      <x:c r="R168" t="str">
        <x:f t="shared" si="10"/>
      </x:c>
      <x:c r="S168" t="str">
        <x:f t="shared" si="11"/>
      </x:c>
    </x:row>
    <x:row r="169">
      <x:c r="R169" t="str">
        <x:f t="shared" si="10"/>
      </x:c>
      <x:c r="S169" t="str">
        <x:f t="shared" si="11"/>
      </x:c>
    </x:row>
    <x:row r="170">
      <x:c r="R170" t="str">
        <x:f t="shared" si="10"/>
      </x:c>
      <x:c r="S170" t="str">
        <x:f t="shared" si="11"/>
      </x:c>
    </x:row>
    <x:row r="171">
      <x:c r="R171" t="str">
        <x:f t="shared" si="10"/>
      </x:c>
      <x:c r="S171" t="str">
        <x:f t="shared" si="11"/>
      </x:c>
    </x:row>
    <x:row r="172">
      <x:c r="R172" t="str">
        <x:f t="shared" si="10"/>
      </x:c>
      <x:c r="S172" t="str">
        <x:f t="shared" si="11"/>
      </x:c>
    </x:row>
    <x:row r="173">
      <x:c r="R173" t="str">
        <x:f t="shared" si="10"/>
      </x:c>
      <x:c r="S173" t="str">
        <x:f t="shared" si="11"/>
      </x:c>
    </x:row>
    <x:row r="174">
      <x:c r="R174" t="str">
        <x:f t="shared" si="10"/>
      </x:c>
      <x:c r="S174" t="str">
        <x:f t="shared" si="11"/>
      </x:c>
    </x:row>
    <x:row r="175">
      <x:c r="R175" t="str">
        <x:f t="shared" si="10"/>
      </x:c>
      <x:c r="S175" t="str">
        <x:f t="shared" si="11"/>
      </x:c>
    </x:row>
    <x:row r="176">
      <x:c r="R176" t="str">
        <x:f t="shared" si="10"/>
      </x:c>
      <x:c r="S176" t="str">
        <x:f t="shared" si="11"/>
      </x:c>
    </x:row>
    <x:row r="177">
      <x:c r="R177" t="str">
        <x:f t="shared" si="10"/>
      </x:c>
      <x:c r="S177" t="str">
        <x:f t="shared" si="11"/>
      </x:c>
    </x:row>
    <x:row r="178">
      <x:c r="R178" t="str">
        <x:f t="shared" si="10"/>
      </x:c>
      <x:c r="S178" t="str">
        <x:f t="shared" si="11"/>
      </x:c>
    </x:row>
    <x:row r="179">
      <x:c r="R179" t="str">
        <x:f t="shared" si="10"/>
      </x:c>
      <x:c r="S179" t="str">
        <x:f t="shared" si="11"/>
      </x:c>
    </x:row>
    <x:row r="180">
      <x:c r="R180" t="str">
        <x:f t="shared" si="10"/>
      </x:c>
      <x:c r="S180" t="str">
        <x:f t="shared" si="11"/>
      </x:c>
    </x:row>
    <x:row r="181">
      <x:c r="R181" t="str">
        <x:f t="shared" si="10"/>
      </x:c>
      <x:c r="S181" t="str">
        <x:f t="shared" si="11"/>
      </x:c>
    </x:row>
    <x:row r="182">
      <x:c r="R182" t="str">
        <x:f t="shared" si="10"/>
      </x:c>
      <x:c r="S182" t="str">
        <x:f t="shared" si="11"/>
      </x:c>
    </x:row>
    <x:row r="183">
      <x:c r="R183" t="str">
        <x:f t="shared" si="10"/>
      </x:c>
      <x:c r="S183" t="str">
        <x:f t="shared" si="11"/>
      </x:c>
    </x:row>
    <x:row r="184">
      <x:c r="R184" t="str">
        <x:f t="shared" si="10"/>
      </x:c>
      <x:c r="S184" t="str">
        <x:f t="shared" si="11"/>
      </x:c>
    </x:row>
    <x:row r="185">
      <x:c r="R185" t="str">
        <x:f t="shared" si="10"/>
      </x:c>
      <x:c r="S185" t="str">
        <x:f t="shared" si="11"/>
      </x:c>
    </x:row>
    <x:row r="186">
      <x:c r="R186" t="str">
        <x:f t="shared" si="10"/>
      </x:c>
      <x:c r="S186" t="str">
        <x:f t="shared" si="11"/>
      </x:c>
    </x:row>
    <x:row r="187">
      <x:c r="R187" t="str">
        <x:f t="shared" si="10"/>
      </x:c>
      <x:c r="S187" t="str">
        <x:f t="shared" si="11"/>
      </x:c>
    </x:row>
    <x:row r="188">
      <x:c r="R188" t="str">
        <x:f t="shared" si="10"/>
      </x:c>
      <x:c r="S188" t="str">
        <x:f t="shared" si="11"/>
      </x:c>
    </x:row>
    <x:row r="189">
      <x:c r="R189" t="str">
        <x:f t="shared" si="10"/>
      </x:c>
      <x:c r="S189" t="str">
        <x:f t="shared" si="11"/>
      </x:c>
    </x:row>
    <x:row r="190">
      <x:c r="R190" t="str">
        <x:f t="shared" si="10"/>
      </x:c>
      <x:c r="S190" t="str">
        <x:f t="shared" si="11"/>
      </x:c>
    </x:row>
    <x:row r="191">
      <x:c r="R191" t="str">
        <x:f t="shared" si="10"/>
      </x:c>
      <x:c r="S191" t="str">
        <x:f t="shared" si="11"/>
      </x:c>
    </x:row>
    <x:row r="192">
      <x:c r="R192" t="str">
        <x:f t="shared" si="10"/>
      </x:c>
      <x:c r="S192" t="str">
        <x:f t="shared" si="11"/>
      </x:c>
    </x:row>
    <x:row r="193">
      <x:c r="R193" t="str">
        <x:f t="shared" si="10"/>
      </x:c>
      <x:c r="S193" t="str">
        <x:f t="shared" si="11"/>
      </x:c>
    </x:row>
    <x:row r="194">
      <x:c r="R194" t="str">
        <x:f t="shared" si="10"/>
      </x:c>
      <x:c r="S194" t="str">
        <x:f t="shared" si="11"/>
      </x:c>
    </x:row>
    <x:row r="195">
      <x:c r="R195" t="str">
        <x:f t="shared" si="10"/>
      </x:c>
      <x:c r="S195" t="str">
        <x:f t="shared" si="11"/>
      </x:c>
    </x:row>
    <x:row r="196">
      <x:c r="R196" t="str">
        <x:f t="shared" ref="R196:R203" si="12">IF(OR(I196="",J196=""),"",POWER(I196-J196,2))</x:f>
      </x:c>
      <x:c r="S196" t="str">
        <x:f t="shared" ref="S196:S203" si="13">IF(OR(I196="",J196=""),"",-((J196*LN(MAX(MIN(I196,0.999999),0.000001)))+((1-J196)*LN(MAX(MIN(1-I196,0.999999),0.000001)))))</x:f>
      </x:c>
    </x:row>
    <x:row r="197">
      <x:c r="R197" t="str">
        <x:f t="shared" si="12"/>
      </x:c>
      <x:c r="S197" t="str">
        <x:f t="shared" si="13"/>
      </x:c>
    </x:row>
    <x:row r="198">
      <x:c r="R198" t="str">
        <x:f t="shared" si="12"/>
      </x:c>
      <x:c r="S198" t="str">
        <x:f t="shared" si="13"/>
      </x:c>
    </x:row>
    <x:row r="199">
      <x:c r="R199" t="str">
        <x:f t="shared" si="12"/>
      </x:c>
      <x:c r="S199" t="str">
        <x:f t="shared" si="13"/>
      </x:c>
    </x:row>
    <x:row r="200">
      <x:c r="R200" t="str">
        <x:f t="shared" si="12"/>
      </x:c>
      <x:c r="S200" t="str">
        <x:f t="shared" si="13"/>
      </x:c>
    </x:row>
    <x:row r="201">
      <x:c r="R201" t="str">
        <x:f t="shared" si="12"/>
      </x:c>
      <x:c r="S201" t="str">
        <x:f t="shared" si="13"/>
      </x:c>
    </x:row>
    <x:row r="202">
      <x:c r="R202" t="str">
        <x:f t="shared" si="12"/>
      </x:c>
      <x:c r="S202" t="str">
        <x:f t="shared" si="13"/>
      </x:c>
    </x:row>
    <x:row r="203">
      <x:c r="R203" t="str">
        <x:f t="shared" si="12"/>
      </x:c>
      <x:c r="S203" t="str">
        <x:f t="shared" si="13"/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sheetData>
    <x:row r="1" ht="18">
      <x:c r="A1" s="235" t="s">
        <x:v>1013</x:v>
      </x:c>
      <x:c r="B1" s="235"/>
      <x:c r="C1" s="235"/>
      <x:c r="D1" s="235"/>
      <x:c r="E1" s="235"/>
      <x:c r="F1" s="235"/>
    </x:row>
    <x:row r="2">
      <x:c r="A2" s="236" t="s">
        <x:v>1014</x:v>
      </x:c>
      <x:c r="B2" s="236"/>
      <x:c r="C2" s="236"/>
      <x:c r="D2" s="236"/>
      <x:c r="E2" s="236"/>
      <x:c r="F2" s="236"/>
    </x:row>
    <x:row r="3" ht="30">
      <x:c r="A3" s="147" t="s">
        <x:v>1015</x:v>
      </x:c>
      <x:c r="B3" s="147" t="s">
        <x:v>1016</x:v>
      </x:c>
      <x:c r="C3" s="147" t="s">
        <x:v>1017</x:v>
      </x:c>
      <x:c r="D3" s="147" t="s">
        <x:v>1018</x:v>
      </x:c>
      <x:c r="E3" s="147" t="s">
        <x:v>1009</x:v>
      </x:c>
      <x:c r="F3" s="147" t="s">
        <x:v>1019</x:v>
      </x:c>
    </x:row>
    <x:row r="4">
      <x:c r="A4">
        <x:v>1</x:v>
      </x:c>
      <x:c r="B4" t="n">
        <x:f>COUNTIF(Settlement!$T$4:$T$203,A4)</x:f>
        <x:v>0</x:v>
      </x:c>
      <x:c r="C4" t="n">
        <x:f>SUMIF(Settlement!$T$4:$T$203,A4,Settlement!$J$4:$J$203)</x:f>
        <x:v>0</x:v>
      </x:c>
      <x:c r="D4" t="str">
        <x:f>IFERROR(C4/B4,"")</x:f>
      </x:c>
      <x:c r="E4" t="str">
        <x:f>IFERROR(SUMIF(Settlement!$T$4:$T$203,A4,Settlement!$R$4:$R$203)/B4,"")</x:f>
      </x:c>
      <x:c r="F4" t="str">
        <x:f>IF(D4="","",1-D4)</x:f>
      </x:c>
    </x:row>
    <x:row r="5">
      <x:c r="A5">
        <x:v>2</x:v>
      </x:c>
      <x:c r="B5" t="n">
        <x:f>COUNTIF(Settlement!$T$4:$T$203,A5)</x:f>
        <x:v>0</x:v>
      </x:c>
      <x:c r="C5" t="n">
        <x:f>SUMIF(Settlement!$T$4:$T$203,A5,Settlement!$J$4:$J$203)</x:f>
        <x:v>0</x:v>
      </x:c>
      <x:c r="D5" t="str">
        <x:f>IFERROR(C5/B5,"")</x:f>
      </x:c>
      <x:c r="E5" t="str">
        <x:f>IFERROR(SUMIF(Settlement!$T$4:$T$203,A5,Settlement!$R$4:$R$203)/B5,"")</x:f>
      </x:c>
      <x:c r="F5" t="str">
        <x:f>IF(D5="","",1-D5)</x:f>
      </x:c>
    </x:row>
    <x:row r="6">
      <x:c r="A6">
        <x:v>3</x:v>
      </x:c>
      <x:c r="B6" t="n">
        <x:f>COUNTIF(Settlement!$T$4:$T$203,A6)</x:f>
        <x:v>0</x:v>
      </x:c>
      <x:c r="C6" t="n">
        <x:f>SUMIF(Settlement!$T$4:$T$203,A6,Settlement!$J$4:$J$203)</x:f>
        <x:v>0</x:v>
      </x:c>
      <x:c r="D6" t="str">
        <x:f>IFERROR(C6/B6,"")</x:f>
      </x:c>
      <x:c r="E6" t="str">
        <x:f>IFERROR(SUMIF(Settlement!$T$4:$T$203,A6,Settlement!$R$4:$R$203)/B6,"")</x:f>
      </x:c>
      <x:c r="F6" t="str">
        <x:f>IF(D6="","",1-D6)</x:f>
      </x:c>
    </x:row>
    <x:row r="7">
      <x:c r="A7">
        <x:v>4</x:v>
      </x:c>
      <x:c r="B7" t="n">
        <x:f>COUNTIF(Settlement!$T$4:$T$203,A7)</x:f>
        <x:v>0</x:v>
      </x:c>
      <x:c r="C7" t="n">
        <x:f>SUMIF(Settlement!$T$4:$T$203,A7,Settlement!$J$4:$J$203)</x:f>
        <x:v>0</x:v>
      </x:c>
      <x:c r="D7" t="str">
        <x:f>IFERROR(C7/B7,"")</x:f>
      </x:c>
      <x:c r="E7" t="str">
        <x:f>IFERROR(SUMIF(Settlement!$T$4:$T$203,A7,Settlement!$R$4:$R$203)/B7,"")</x:f>
      </x:c>
      <x:c r="F7" t="str">
        <x:f>IF(D7="","",1-D7)</x:f>
      </x:c>
    </x:row>
    <x:row r="8">
      <x:c r="A8">
        <x:v>5</x:v>
      </x:c>
      <x:c r="B8" t="n">
        <x:f>COUNTIF(Settlement!$T$4:$T$203,A8)</x:f>
        <x:v>0</x:v>
      </x:c>
      <x:c r="C8" t="n">
        <x:f>SUMIF(Settlement!$T$4:$T$203,A8,Settlement!$J$4:$J$203)</x:f>
        <x:v>0</x:v>
      </x:c>
      <x:c r="D8" t="str">
        <x:f>IFERROR(C8/B8,"")</x:f>
      </x:c>
      <x:c r="E8" t="str">
        <x:f>IFERROR(SUMIF(Settlement!$T$4:$T$203,A8,Settlement!$R$4:$R$203)/B8,"")</x:f>
      </x:c>
      <x:c r="F8" t="str">
        <x:f>IF(D8="","",1-D8)</x:f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sheetData>
    <x:row r="1" ht="18">
      <x:c r="A1" s="235" t="s">
        <x:v>1020</x:v>
      </x:c>
      <x:c r="B1" s="235"/>
      <x:c r="C1" s="235"/>
      <x:c r="D1" s="235"/>
      <x:c r="E1" s="235"/>
      <x:c r="F1" s="235"/>
      <x:c r="G1" s="235"/>
    </x:row>
    <x:row r="2">
      <x:c r="A2" s="236" t="s">
        <x:v>1021</x:v>
      </x:c>
      <x:c r="B2" s="236"/>
      <x:c r="C2" s="236"/>
      <x:c r="D2" s="236"/>
      <x:c r="E2" s="236"/>
      <x:c r="F2" s="236"/>
      <x:c r="G2" s="236"/>
    </x:row>
    <x:row r="3" ht="30">
      <x:c r="A3" s="147" t="s">
        <x:v>1022</x:v>
      </x:c>
      <x:c r="B3" s="147" t="s">
        <x:v>1023</x:v>
      </x:c>
      <x:c r="C3" s="147" t="s">
        <x:v>1016</x:v>
      </x:c>
      <x:c r="D3" s="147" t="s">
        <x:v>1024</x:v>
      </x:c>
      <x:c r="E3" s="147" t="s">
        <x:v>1025</x:v>
      </x:c>
      <x:c r="F3" s="147" t="s">
        <x:v>1026</x:v>
      </x:c>
      <x:c r="G3" s="147" t="s">
        <x:v>35</x:v>
      </x:c>
    </x:row>
    <x:row r="4">
      <x:c r="A4">
        <x:v>0.5</x:v>
      </x:c>
      <x:c r="B4">
        <x:v>0.6</x:v>
      </x:c>
      <x:c r="C4" t="n">
        <x:f>COUNTIFS(Settlement!$I$4:$I$203,"&gt;="&amp;A4,Settlement!$I$4:$I$203,"&lt;"&amp;B4,Settlement!$J$4:$J$203,"&lt;&gt;")</x:f>
        <x:v>0</x:v>
      </x:c>
      <x:c r="D4" t="str">
        <x:f>IFERROR(SUMIFS(Settlement!$I$4:$I$203,Settlement!$I$4:$I$203,"&gt;="&amp;A4,Settlement!$I$4:$I$203,"&lt;"&amp;B4)/C4,"")</x:f>
      </x:c>
      <x:c r="E4" t="str">
        <x:f>IFERROR(SUMIFS(Settlement!$J$4:$J$203,Settlement!$I$4:$I$203,"&gt;="&amp;A4,Settlement!$I$4:$I$203,"&lt;"&amp;B4)/C4,"")</x:f>
      </x:c>
      <x:c r="F4" t="str">
        <x:f t="shared" ref="F4:F11" si="0">IF(OR(D4="",E4=""),"",D4-E4)</x:f>
      </x:c>
      <x:c r="G4" t="str">
        <x:f t="shared" ref="G4:G11" si="1">IF(C4&lt;10,"LOW N",IF(ABS(F4)&lt;=0.03,"OK",IF(ABS(F4)&lt;=0.06,"WATCH","DRIFT")))</x:f>
        <x:v>LOW N</x:v>
      </x:c>
    </x:row>
    <x:row r="5">
      <x:c r="A5">
        <x:v>0.6</x:v>
      </x:c>
      <x:c r="B5">
        <x:v>0.7</x:v>
      </x:c>
      <x:c r="C5" t="n">
        <x:f>COUNTIFS(Settlement!$I$4:$I$203,"&gt;="&amp;A5,Settlement!$I$4:$I$203,"&lt;"&amp;B5,Settlement!$J$4:$J$203,"&lt;&gt;")</x:f>
        <x:v>0</x:v>
      </x:c>
      <x:c r="D5" t="str">
        <x:f>IFERROR(SUMIFS(Settlement!$I$4:$I$203,Settlement!$I$4:$I$203,"&gt;="&amp;A5,Settlement!$I$4:$I$203,"&lt;"&amp;B5)/C5,"")</x:f>
      </x:c>
      <x:c r="E5" t="str">
        <x:f>IFERROR(SUMIFS(Settlement!$J$4:$J$203,Settlement!$I$4:$I$203,"&gt;="&amp;A5,Settlement!$I$4:$I$203,"&lt;"&amp;B5)/C5,"")</x:f>
      </x:c>
      <x:c r="F5" t="str">
        <x:f t="shared" si="0"/>
      </x:c>
      <x:c r="G5" t="str">
        <x:f t="shared" si="1"/>
        <x:v>LOW N</x:v>
      </x:c>
    </x:row>
    <x:row r="6">
      <x:c r="A6">
        <x:v>0.7</x:v>
      </x:c>
      <x:c r="B6">
        <x:v>0.8</x:v>
      </x:c>
      <x:c r="C6" t="n">
        <x:f>COUNTIFS(Settlement!$I$4:$I$203,"&gt;="&amp;A6,Settlement!$I$4:$I$203,"&lt;"&amp;B6,Settlement!$J$4:$J$203,"&lt;&gt;")</x:f>
        <x:v>0</x:v>
      </x:c>
      <x:c r="D6" t="str">
        <x:f>IFERROR(SUMIFS(Settlement!$I$4:$I$203,Settlement!$I$4:$I$203,"&gt;="&amp;A6,Settlement!$I$4:$I$203,"&lt;"&amp;B6)/C6,"")</x:f>
      </x:c>
      <x:c r="E6" t="str">
        <x:f>IFERROR(SUMIFS(Settlement!$J$4:$J$203,Settlement!$I$4:$I$203,"&gt;="&amp;A6,Settlement!$I$4:$I$203,"&lt;"&amp;B6)/C6,"")</x:f>
      </x:c>
      <x:c r="F6" t="str">
        <x:f t="shared" si="0"/>
      </x:c>
      <x:c r="G6" t="str">
        <x:f t="shared" si="1"/>
        <x:v>LOW N</x:v>
      </x:c>
    </x:row>
    <x:row r="7">
      <x:c r="A7">
        <x:v>0.8</x:v>
      </x:c>
      <x:c r="B7">
        <x:v>0.85</x:v>
      </x:c>
      <x:c r="C7" t="n">
        <x:f>COUNTIFS(Settlement!$I$4:$I$203,"&gt;="&amp;A7,Settlement!$I$4:$I$203,"&lt;"&amp;B7,Settlement!$J$4:$J$203,"&lt;&gt;")</x:f>
        <x:v>0</x:v>
      </x:c>
      <x:c r="D7" t="str">
        <x:f>IFERROR(SUMIFS(Settlement!$I$4:$I$203,Settlement!$I$4:$I$203,"&gt;="&amp;A7,Settlement!$I$4:$I$203,"&lt;"&amp;B7)/C7,"")</x:f>
      </x:c>
      <x:c r="E7" t="str">
        <x:f>IFERROR(SUMIFS(Settlement!$J$4:$J$203,Settlement!$I$4:$I$203,"&gt;="&amp;A7,Settlement!$I$4:$I$203,"&lt;"&amp;B7)/C7,"")</x:f>
      </x:c>
      <x:c r="F7" t="str">
        <x:f t="shared" si="0"/>
      </x:c>
      <x:c r="G7" t="str">
        <x:f t="shared" si="1"/>
        <x:v>LOW N</x:v>
      </x:c>
    </x:row>
    <x:row r="8">
      <x:c r="A8">
        <x:v>0.85</x:v>
      </x:c>
      <x:c r="B8">
        <x:v>0.9</x:v>
      </x:c>
      <x:c r="C8" t="n">
        <x:f>COUNTIFS(Settlement!$I$4:$I$203,"&gt;="&amp;A8,Settlement!$I$4:$I$203,"&lt;"&amp;B8,Settlement!$J$4:$J$203,"&lt;&gt;")</x:f>
        <x:v>0</x:v>
      </x:c>
      <x:c r="D8" t="str">
        <x:f>IFERROR(SUMIFS(Settlement!$I$4:$I$203,Settlement!$I$4:$I$203,"&gt;="&amp;A8,Settlement!$I$4:$I$203,"&lt;"&amp;B8)/C8,"")</x:f>
      </x:c>
      <x:c r="E8" t="str">
        <x:f>IFERROR(SUMIFS(Settlement!$J$4:$J$203,Settlement!$I$4:$I$203,"&gt;="&amp;A8,Settlement!$I$4:$I$203,"&lt;"&amp;B8)/C8,"")</x:f>
      </x:c>
      <x:c r="F8" t="str">
        <x:f t="shared" si="0"/>
      </x:c>
      <x:c r="G8" t="str">
        <x:f t="shared" si="1"/>
        <x:v>LOW N</x:v>
      </x:c>
    </x:row>
    <x:row r="9">
      <x:c r="A9">
        <x:v>0.9</x:v>
      </x:c>
      <x:c r="B9">
        <x:v>0.92</x:v>
      </x:c>
      <x:c r="C9" t="n">
        <x:f>COUNTIFS(Settlement!$I$4:$I$203,"&gt;="&amp;A9,Settlement!$I$4:$I$203,"&lt;"&amp;B9,Settlement!$J$4:$J$203,"&lt;&gt;")</x:f>
        <x:v>0</x:v>
      </x:c>
      <x:c r="D9" t="str">
        <x:f>IFERROR(SUMIFS(Settlement!$I$4:$I$203,Settlement!$I$4:$I$203,"&gt;="&amp;A9,Settlement!$I$4:$I$203,"&lt;"&amp;B9)/C9,"")</x:f>
      </x:c>
      <x:c r="E9" t="str">
        <x:f>IFERROR(SUMIFS(Settlement!$J$4:$J$203,Settlement!$I$4:$I$203,"&gt;="&amp;A9,Settlement!$I$4:$I$203,"&lt;"&amp;B9)/C9,"")</x:f>
      </x:c>
      <x:c r="F9" t="str">
        <x:f t="shared" si="0"/>
      </x:c>
      <x:c r="G9" t="str">
        <x:f t="shared" si="1"/>
        <x:v>LOW N</x:v>
      </x:c>
    </x:row>
    <x:row r="10">
      <x:c r="A10">
        <x:v>0.92</x:v>
      </x:c>
      <x:c r="B10">
        <x:v>0.95</x:v>
      </x:c>
      <x:c r="C10" t="n">
        <x:f>COUNTIFS(Settlement!$I$4:$I$203,"&gt;="&amp;A10,Settlement!$I$4:$I$203,"&lt;"&amp;B10,Settlement!$J$4:$J$203,"&lt;&gt;")</x:f>
        <x:v>0</x:v>
      </x:c>
      <x:c r="D10" t="str">
        <x:f>IFERROR(SUMIFS(Settlement!$I$4:$I$203,Settlement!$I$4:$I$203,"&gt;="&amp;A10,Settlement!$I$4:$I$203,"&lt;"&amp;B10)/C10,"")</x:f>
      </x:c>
      <x:c r="E10" t="str">
        <x:f>IFERROR(SUMIFS(Settlement!$J$4:$J$203,Settlement!$I$4:$I$203,"&gt;="&amp;A10,Settlement!$I$4:$I$203,"&lt;"&amp;B10)/C10,"")</x:f>
      </x:c>
      <x:c r="F10" t="str">
        <x:f t="shared" si="0"/>
      </x:c>
      <x:c r="G10" t="str">
        <x:f t="shared" si="1"/>
        <x:v>LOW N</x:v>
      </x:c>
    </x:row>
    <x:row r="11">
      <x:c r="A11">
        <x:v>0.95</x:v>
      </x:c>
      <x:c r="B11">
        <x:v>1.0009999999999999</x:v>
      </x:c>
      <x:c r="C11" t="n">
        <x:f>COUNTIFS(Settlement!$I$4:$I$203,"&gt;="&amp;A11,Settlement!$I$4:$I$203,"&lt;"&amp;B11,Settlement!$J$4:$J$203,"&lt;&gt;")</x:f>
        <x:v>0</x:v>
      </x:c>
      <x:c r="D11" t="str">
        <x:f>IFERROR(SUMIFS(Settlement!$I$4:$I$203,Settlement!$I$4:$I$203,"&gt;="&amp;A11,Settlement!$I$4:$I$203,"&lt;"&amp;B11)/C11,"")</x:f>
      </x:c>
      <x:c r="E11" t="str">
        <x:f>IFERROR(SUMIFS(Settlement!$J$4:$J$203,Settlement!$I$4:$I$203,"&gt;="&amp;A11,Settlement!$I$4:$I$203,"&lt;"&amp;B11)/C11,"")</x:f>
      </x:c>
      <x:c r="F11" t="str">
        <x:f t="shared" si="0"/>
      </x:c>
      <x:c r="G11" t="str">
        <x:f t="shared" si="1"/>
        <x:v>LOW 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sheetData>
    <x:row r="1" ht="18">
      <x:c r="A1" s="235" t="s">
        <x:v>1027</x:v>
      </x:c>
      <x:c r="B1" s="235"/>
      <x:c r="C1" s="235"/>
      <x:c r="D1" s="235"/>
      <x:c r="E1" s="235"/>
    </x:row>
    <x:row r="2">
      <x:c r="A2" s="236" t="s">
        <x:v>1028</x:v>
      </x:c>
      <x:c r="B2" s="236"/>
      <x:c r="C2" s="236"/>
      <x:c r="D2" s="236"/>
      <x:c r="E2" s="236"/>
    </x:row>
    <x:row r="3" ht="45">
      <x:c r="A3" s="147" t="s">
        <x:v>1029</x:v>
      </x:c>
      <x:c r="B3" s="147" t="s">
        <x:v>1030</x:v>
      </x:c>
      <x:c r="C3" s="147" t="s">
        <x:v>1031</x:v>
      </x:c>
      <x:c r="D3" s="147" t="s">
        <x:v>1032</x:v>
      </x:c>
      <x:c r="E3" s="147" t="s">
        <x:v>981</x:v>
      </x:c>
    </x:row>
    <x:row r="4">
      <x:c r="A4" t="s">
        <x:v>1033</x:v>
      </x:c>
      <x:c r="B4" t="n">
        <x:f>COUNTIFS(Settlement!$J$4:$J$203,0,Settlement!$O$4:$O$203,A4)</x:f>
        <x:v>0</x:v>
      </x:c>
      <x:c r="C4" t="str">
        <x:f>IFERROR(B4/COUNTIF(Settlement!$J$4:$J$203,0),"")</x:f>
      </x:c>
    </x:row>
    <x:row r="5">
      <x:c r="A5" t="s">
        <x:v>1034</x:v>
      </x:c>
      <x:c r="B5" t="n">
        <x:f>COUNTIFS(Settlement!$J$4:$J$203,0,Settlement!$O$4:$O$203,A5)</x:f>
        <x:v>0</x:v>
      </x:c>
      <x:c r="C5" t="str">
        <x:f>IFERROR(B5/COUNTIF(Settlement!$J$4:$J$203,0),"")</x:f>
      </x:c>
    </x:row>
    <x:row r="6">
      <x:c r="A6" t="s">
        <x:v>1035</x:v>
      </x:c>
      <x:c r="B6" t="n">
        <x:f>COUNTIFS(Settlement!$J$4:$J$203,0,Settlement!$O$4:$O$203,A6)</x:f>
        <x:v>0</x:v>
      </x:c>
      <x:c r="C6" t="str">
        <x:f>IFERROR(B6/COUNTIF(Settlement!$J$4:$J$203,0),"")</x:f>
      </x:c>
    </x:row>
    <x:row r="7">
      <x:c r="A7" t="s">
        <x:v>1036</x:v>
      </x:c>
      <x:c r="B7" t="n">
        <x:f>COUNTIFS(Settlement!$J$4:$J$203,0,Settlement!$O$4:$O$203,A7)</x:f>
        <x:v>0</x:v>
      </x:c>
      <x:c r="C7" t="str">
        <x:f>IFERROR(B7/COUNTIF(Settlement!$J$4:$J$203,0),"")</x:f>
      </x:c>
    </x:row>
    <x:row r="8">
      <x:c r="A8" t="s">
        <x:v>1037</x:v>
      </x:c>
      <x:c r="B8" t="n">
        <x:f>COUNTIFS(Settlement!$J$4:$J$203,0,Settlement!$O$4:$O$203,A8)</x:f>
        <x:v>0</x:v>
      </x:c>
      <x:c r="C8" t="str">
        <x:f>IFERROR(B8/COUNTIF(Settlement!$J$4:$J$203,0),"")</x:f>
      </x:c>
    </x:row>
    <x:row r="9">
      <x:c r="A9" t="s">
        <x:v>1038</x:v>
      </x:c>
      <x:c r="B9" t="n">
        <x:f>COUNTIFS(Settlement!$J$4:$J$203,0,Settlement!$O$4:$O$203,A9)</x:f>
        <x:v>0</x:v>
      </x:c>
      <x:c r="C9" t="str">
        <x:f>IFERROR(B9/COUNTIF(Settlement!$J$4:$J$203,0),"")</x:f>
      </x:c>
    </x:row>
    <x:row r="10">
      <x:c r="A10" t="s">
        <x:v>1039</x:v>
      </x:c>
      <x:c r="B10" t="n">
        <x:f>COUNTIFS(Settlement!$J$4:$J$203,0,Settlement!$O$4:$O$203,A10)</x:f>
        <x:v>0</x:v>
      </x:c>
      <x:c r="C10" t="str">
        <x:f>IFERROR(B10/COUNTIF(Settlement!$J$4:$J$203,0),"")</x:f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sheetData>
    <x:row r="1" ht="18">
      <x:c r="A1" s="235" t="s">
        <x:v>1040</x:v>
      </x:c>
      <x:c r="B1" s="235"/>
      <x:c r="C1" s="235"/>
      <x:c r="D1" s="235"/>
      <x:c r="E1" s="235"/>
      <x:c r="F1" s="235"/>
      <x:c r="G1" s="235"/>
      <x:c r="H1" s="235"/>
    </x:row>
    <x:row r="2">
      <x:c r="A2" s="236" t="s">
        <x:v>1041</x:v>
      </x:c>
      <x:c r="B2" s="236"/>
      <x:c r="C2" s="236"/>
      <x:c r="D2" s="236"/>
      <x:c r="E2" s="236"/>
      <x:c r="F2" s="236"/>
      <x:c r="G2" s="236"/>
      <x:c r="H2" s="236"/>
    </x:row>
    <x:row r="3" ht="30">
      <x:c r="A3" s="147" t="s">
        <x:v>957</x:v>
      </x:c>
      <x:c r="B3" s="147" t="s">
        <x:v>1016</x:v>
      </x:c>
      <x:c r="C3" s="147" t="s">
        <x:v>1017</x:v>
      </x:c>
      <x:c r="D3" s="147" t="s">
        <x:v>1018</x:v>
      </x:c>
      <x:c r="E3" s="147" t="s">
        <x:v>1024</x:v>
      </x:c>
      <x:c r="F3" s="147" t="s">
        <x:v>1026</x:v>
      </x:c>
      <x:c r="G3" s="147" t="s">
        <x:v>1009</x:v>
      </x:c>
      <x:c r="H3" s="147" t="s">
        <x:v>1042</x:v>
      </x:c>
    </x:row>
    <x:row r="4">
      <x:c r="B4" t="str">
        <x:f>IF(A4="","",COUNTIF(Settlement!$C$4:$C$203,A4))</x:f>
      </x:c>
      <x:c r="C4" t="str">
        <x:f>IF(A4="","",SUMIF(Settlement!$C$4:$C$203,A4,Settlement!$J$4:$J$203))</x:f>
      </x:c>
      <x:c r="D4" t="str">
        <x:f t="shared" ref="D4:D33" si="0">IFERROR(C4/B4,"")</x:f>
      </x:c>
      <x:c r="E4" t="str">
        <x:f>IFERROR(SUMIF(Settlement!$C$4:$C$203,A4,Settlement!$I$4:$I$203)/B4,"")</x:f>
      </x:c>
      <x:c r="F4" t="str">
        <x:f t="shared" ref="F4:F33" si="1">IF(OR(D4="",E4=""),"",E4-D4)</x:f>
      </x:c>
      <x:c r="G4" t="str">
        <x:f>IFERROR(SUMIF(Settlement!$C$4:$C$203,A4,Settlement!$R$4:$R$203)/B4,"")</x:f>
      </x:c>
      <x:c r="H4" t="str">
        <x:f t="shared" ref="H4:H33" si="2">IF(A4="","",IF(B4&lt;10,"LOW N",IF(ABS(F4)&lt;=0.05,"STABLE","WATCH")))</x:f>
      </x:c>
    </x:row>
    <x:row r="5">
      <x:c r="B5" t="str">
        <x:f>IF(A5="","",COUNTIF(Settlement!$C$4:$C$203,A5))</x:f>
      </x:c>
      <x:c r="C5" t="str">
        <x:f>IF(A5="","",SUMIF(Settlement!$C$4:$C$203,A5,Settlement!$J$4:$J$203))</x:f>
      </x:c>
      <x:c r="D5" t="str">
        <x:f t="shared" si="0"/>
      </x:c>
      <x:c r="E5" t="str">
        <x:f>IFERROR(SUMIF(Settlement!$C$4:$C$203,A5,Settlement!$I$4:$I$203)/B5,"")</x:f>
      </x:c>
      <x:c r="F5" t="str">
        <x:f t="shared" si="1"/>
      </x:c>
      <x:c r="G5" t="str">
        <x:f>IFERROR(SUMIF(Settlement!$C$4:$C$203,A5,Settlement!$R$4:$R$203)/B5,"")</x:f>
      </x:c>
      <x:c r="H5" t="str">
        <x:f t="shared" si="2"/>
      </x:c>
    </x:row>
    <x:row r="6">
      <x:c r="B6" t="str">
        <x:f>IF(A6="","",COUNTIF(Settlement!$C$4:$C$203,A6))</x:f>
      </x:c>
      <x:c r="C6" t="str">
        <x:f>IF(A6="","",SUMIF(Settlement!$C$4:$C$203,A6,Settlement!$J$4:$J$203))</x:f>
      </x:c>
      <x:c r="D6" t="str">
        <x:f t="shared" si="0"/>
      </x:c>
      <x:c r="E6" t="str">
        <x:f>IFERROR(SUMIF(Settlement!$C$4:$C$203,A6,Settlement!$I$4:$I$203)/B6,"")</x:f>
      </x:c>
      <x:c r="F6" t="str">
        <x:f t="shared" si="1"/>
      </x:c>
      <x:c r="G6" t="str">
        <x:f>IFERROR(SUMIF(Settlement!$C$4:$C$203,A6,Settlement!$R$4:$R$203)/B6,"")</x:f>
      </x:c>
      <x:c r="H6" t="str">
        <x:f t="shared" si="2"/>
      </x:c>
    </x:row>
    <x:row r="7">
      <x:c r="B7" t="str">
        <x:f>IF(A7="","",COUNTIF(Settlement!$C$4:$C$203,A7))</x:f>
      </x:c>
      <x:c r="C7" t="str">
        <x:f>IF(A7="","",SUMIF(Settlement!$C$4:$C$203,A7,Settlement!$J$4:$J$203))</x:f>
      </x:c>
      <x:c r="D7" t="str">
        <x:f t="shared" si="0"/>
      </x:c>
      <x:c r="E7" t="str">
        <x:f>IFERROR(SUMIF(Settlement!$C$4:$C$203,A7,Settlement!$I$4:$I$203)/B7,"")</x:f>
      </x:c>
      <x:c r="F7" t="str">
        <x:f t="shared" si="1"/>
      </x:c>
      <x:c r="G7" t="str">
        <x:f>IFERROR(SUMIF(Settlement!$C$4:$C$203,A7,Settlement!$R$4:$R$203)/B7,"")</x:f>
      </x:c>
      <x:c r="H7" t="str">
        <x:f t="shared" si="2"/>
      </x:c>
    </x:row>
    <x:row r="8">
      <x:c r="B8" t="str">
        <x:f>IF(A8="","",COUNTIF(Settlement!$C$4:$C$203,A8))</x:f>
      </x:c>
      <x:c r="C8" t="str">
        <x:f>IF(A8="","",SUMIF(Settlement!$C$4:$C$203,A8,Settlement!$J$4:$J$203))</x:f>
      </x:c>
      <x:c r="D8" t="str">
        <x:f t="shared" si="0"/>
      </x:c>
      <x:c r="E8" t="str">
        <x:f>IFERROR(SUMIF(Settlement!$C$4:$C$203,A8,Settlement!$I$4:$I$203)/B8,"")</x:f>
      </x:c>
      <x:c r="F8" t="str">
        <x:f t="shared" si="1"/>
      </x:c>
      <x:c r="G8" t="str">
        <x:f>IFERROR(SUMIF(Settlement!$C$4:$C$203,A8,Settlement!$R$4:$R$203)/B8,"")</x:f>
      </x:c>
      <x:c r="H8" t="str">
        <x:f t="shared" si="2"/>
      </x:c>
    </x:row>
    <x:row r="9">
      <x:c r="B9" t="str">
        <x:f>IF(A9="","",COUNTIF(Settlement!$C$4:$C$203,A9))</x:f>
      </x:c>
      <x:c r="C9" t="str">
        <x:f>IF(A9="","",SUMIF(Settlement!$C$4:$C$203,A9,Settlement!$J$4:$J$203))</x:f>
      </x:c>
      <x:c r="D9" t="str">
        <x:f t="shared" si="0"/>
      </x:c>
      <x:c r="E9" t="str">
        <x:f>IFERROR(SUMIF(Settlement!$C$4:$C$203,A9,Settlement!$I$4:$I$203)/B9,"")</x:f>
      </x:c>
      <x:c r="F9" t="str">
        <x:f t="shared" si="1"/>
      </x:c>
      <x:c r="G9" t="str">
        <x:f>IFERROR(SUMIF(Settlement!$C$4:$C$203,A9,Settlement!$R$4:$R$203)/B9,"")</x:f>
      </x:c>
      <x:c r="H9" t="str">
        <x:f t="shared" si="2"/>
      </x:c>
    </x:row>
    <x:row r="10">
      <x:c r="B10" t="str">
        <x:f>IF(A10="","",COUNTIF(Settlement!$C$4:$C$203,A10))</x:f>
      </x:c>
      <x:c r="C10" t="str">
        <x:f>IF(A10="","",SUMIF(Settlement!$C$4:$C$203,A10,Settlement!$J$4:$J$203))</x:f>
      </x:c>
      <x:c r="D10" t="str">
        <x:f t="shared" si="0"/>
      </x:c>
      <x:c r="E10" t="str">
        <x:f>IFERROR(SUMIF(Settlement!$C$4:$C$203,A10,Settlement!$I$4:$I$203)/B10,"")</x:f>
      </x:c>
      <x:c r="F10" t="str">
        <x:f t="shared" si="1"/>
      </x:c>
      <x:c r="G10" t="str">
        <x:f>IFERROR(SUMIF(Settlement!$C$4:$C$203,A10,Settlement!$R$4:$R$203)/B10,"")</x:f>
      </x:c>
      <x:c r="H10" t="str">
        <x:f t="shared" si="2"/>
      </x:c>
    </x:row>
    <x:row r="11">
      <x:c r="B11" t="str">
        <x:f>IF(A11="","",COUNTIF(Settlement!$C$4:$C$203,A11))</x:f>
      </x:c>
      <x:c r="C11" t="str">
        <x:f>IF(A11="","",SUMIF(Settlement!$C$4:$C$203,A11,Settlement!$J$4:$J$203))</x:f>
      </x:c>
      <x:c r="D11" t="str">
        <x:f t="shared" si="0"/>
      </x:c>
      <x:c r="E11" t="str">
        <x:f>IFERROR(SUMIF(Settlement!$C$4:$C$203,A11,Settlement!$I$4:$I$203)/B11,"")</x:f>
      </x:c>
      <x:c r="F11" t="str">
        <x:f t="shared" si="1"/>
      </x:c>
      <x:c r="G11" t="str">
        <x:f>IFERROR(SUMIF(Settlement!$C$4:$C$203,A11,Settlement!$R$4:$R$203)/B11,"")</x:f>
      </x:c>
      <x:c r="H11" t="str">
        <x:f t="shared" si="2"/>
      </x:c>
    </x:row>
    <x:row r="12">
      <x:c r="B12" t="str">
        <x:f>IF(A12="","",COUNTIF(Settlement!$C$4:$C$203,A12))</x:f>
      </x:c>
      <x:c r="C12" t="str">
        <x:f>IF(A12="","",SUMIF(Settlement!$C$4:$C$203,A12,Settlement!$J$4:$J$203))</x:f>
      </x:c>
      <x:c r="D12" t="str">
        <x:f t="shared" si="0"/>
      </x:c>
      <x:c r="E12" t="str">
        <x:f>IFERROR(SUMIF(Settlement!$C$4:$C$203,A12,Settlement!$I$4:$I$203)/B12,"")</x:f>
      </x:c>
      <x:c r="F12" t="str">
        <x:f t="shared" si="1"/>
      </x:c>
      <x:c r="G12" t="str">
        <x:f>IFERROR(SUMIF(Settlement!$C$4:$C$203,A12,Settlement!$R$4:$R$203)/B12,"")</x:f>
      </x:c>
      <x:c r="H12" t="str">
        <x:f t="shared" si="2"/>
      </x:c>
    </x:row>
    <x:row r="13">
      <x:c r="B13" t="str">
        <x:f>IF(A13="","",COUNTIF(Settlement!$C$4:$C$203,A13))</x:f>
      </x:c>
      <x:c r="C13" t="str">
        <x:f>IF(A13="","",SUMIF(Settlement!$C$4:$C$203,A13,Settlement!$J$4:$J$203))</x:f>
      </x:c>
      <x:c r="D13" t="str">
        <x:f t="shared" si="0"/>
      </x:c>
      <x:c r="E13" t="str">
        <x:f>IFERROR(SUMIF(Settlement!$C$4:$C$203,A13,Settlement!$I$4:$I$203)/B13,"")</x:f>
      </x:c>
      <x:c r="F13" t="str">
        <x:f t="shared" si="1"/>
      </x:c>
      <x:c r="G13" t="str">
        <x:f>IFERROR(SUMIF(Settlement!$C$4:$C$203,A13,Settlement!$R$4:$R$203)/B13,"")</x:f>
      </x:c>
      <x:c r="H13" t="str">
        <x:f t="shared" si="2"/>
      </x:c>
    </x:row>
    <x:row r="14">
      <x:c r="B14" t="str">
        <x:f>IF(A14="","",COUNTIF(Settlement!$C$4:$C$203,A14))</x:f>
      </x:c>
      <x:c r="C14" t="str">
        <x:f>IF(A14="","",SUMIF(Settlement!$C$4:$C$203,A14,Settlement!$J$4:$J$203))</x:f>
      </x:c>
      <x:c r="D14" t="str">
        <x:f t="shared" si="0"/>
      </x:c>
      <x:c r="E14" t="str">
        <x:f>IFERROR(SUMIF(Settlement!$C$4:$C$203,A14,Settlement!$I$4:$I$203)/B14,"")</x:f>
      </x:c>
      <x:c r="F14" t="str">
        <x:f t="shared" si="1"/>
      </x:c>
      <x:c r="G14" t="str">
        <x:f>IFERROR(SUMIF(Settlement!$C$4:$C$203,A14,Settlement!$R$4:$R$203)/B14,"")</x:f>
      </x:c>
      <x:c r="H14" t="str">
        <x:f t="shared" si="2"/>
      </x:c>
    </x:row>
    <x:row r="15">
      <x:c r="B15" t="str">
        <x:f>IF(A15="","",COUNTIF(Settlement!$C$4:$C$203,A15))</x:f>
      </x:c>
      <x:c r="C15" t="str">
        <x:f>IF(A15="","",SUMIF(Settlement!$C$4:$C$203,A15,Settlement!$J$4:$J$203))</x:f>
      </x:c>
      <x:c r="D15" t="str">
        <x:f t="shared" si="0"/>
      </x:c>
      <x:c r="E15" t="str">
        <x:f>IFERROR(SUMIF(Settlement!$C$4:$C$203,A15,Settlement!$I$4:$I$203)/B15,"")</x:f>
      </x:c>
      <x:c r="F15" t="str">
        <x:f t="shared" si="1"/>
      </x:c>
      <x:c r="G15" t="str">
        <x:f>IFERROR(SUMIF(Settlement!$C$4:$C$203,A15,Settlement!$R$4:$R$203)/B15,"")</x:f>
      </x:c>
      <x:c r="H15" t="str">
        <x:f t="shared" si="2"/>
      </x:c>
    </x:row>
    <x:row r="16">
      <x:c r="B16" t="str">
        <x:f>IF(A16="","",COUNTIF(Settlement!$C$4:$C$203,A16))</x:f>
      </x:c>
      <x:c r="C16" t="str">
        <x:f>IF(A16="","",SUMIF(Settlement!$C$4:$C$203,A16,Settlement!$J$4:$J$203))</x:f>
      </x:c>
      <x:c r="D16" t="str">
        <x:f t="shared" si="0"/>
      </x:c>
      <x:c r="E16" t="str">
        <x:f>IFERROR(SUMIF(Settlement!$C$4:$C$203,A16,Settlement!$I$4:$I$203)/B16,"")</x:f>
      </x:c>
      <x:c r="F16" t="str">
        <x:f t="shared" si="1"/>
      </x:c>
      <x:c r="G16" t="str">
        <x:f>IFERROR(SUMIF(Settlement!$C$4:$C$203,A16,Settlement!$R$4:$R$203)/B16,"")</x:f>
      </x:c>
      <x:c r="H16" t="str">
        <x:f t="shared" si="2"/>
      </x:c>
    </x:row>
    <x:row r="17">
      <x:c r="B17" t="str">
        <x:f>IF(A17="","",COUNTIF(Settlement!$C$4:$C$203,A17))</x:f>
      </x:c>
      <x:c r="C17" t="str">
        <x:f>IF(A17="","",SUMIF(Settlement!$C$4:$C$203,A17,Settlement!$J$4:$J$203))</x:f>
      </x:c>
      <x:c r="D17" t="str">
        <x:f t="shared" si="0"/>
      </x:c>
      <x:c r="E17" t="str">
        <x:f>IFERROR(SUMIF(Settlement!$C$4:$C$203,A17,Settlement!$I$4:$I$203)/B17,"")</x:f>
      </x:c>
      <x:c r="F17" t="str">
        <x:f t="shared" si="1"/>
      </x:c>
      <x:c r="G17" t="str">
        <x:f>IFERROR(SUMIF(Settlement!$C$4:$C$203,A17,Settlement!$R$4:$R$203)/B17,"")</x:f>
      </x:c>
      <x:c r="H17" t="str">
        <x:f t="shared" si="2"/>
      </x:c>
    </x:row>
    <x:row r="18">
      <x:c r="B18" t="str">
        <x:f>IF(A18="","",COUNTIF(Settlement!$C$4:$C$203,A18))</x:f>
      </x:c>
      <x:c r="C18" t="str">
        <x:f>IF(A18="","",SUMIF(Settlement!$C$4:$C$203,A18,Settlement!$J$4:$J$203))</x:f>
      </x:c>
      <x:c r="D18" t="str">
        <x:f t="shared" si="0"/>
      </x:c>
      <x:c r="E18" t="str">
        <x:f>IFERROR(SUMIF(Settlement!$C$4:$C$203,A18,Settlement!$I$4:$I$203)/B18,"")</x:f>
      </x:c>
      <x:c r="F18" t="str">
        <x:f t="shared" si="1"/>
      </x:c>
      <x:c r="G18" t="str">
        <x:f>IFERROR(SUMIF(Settlement!$C$4:$C$203,A18,Settlement!$R$4:$R$203)/B18,"")</x:f>
      </x:c>
      <x:c r="H18" t="str">
        <x:f t="shared" si="2"/>
      </x:c>
    </x:row>
    <x:row r="19">
      <x:c r="B19" t="str">
        <x:f>IF(A19="","",COUNTIF(Settlement!$C$4:$C$203,A19))</x:f>
      </x:c>
      <x:c r="C19" t="str">
        <x:f>IF(A19="","",SUMIF(Settlement!$C$4:$C$203,A19,Settlement!$J$4:$J$203))</x:f>
      </x:c>
      <x:c r="D19" t="str">
        <x:f t="shared" si="0"/>
      </x:c>
      <x:c r="E19" t="str">
        <x:f>IFERROR(SUMIF(Settlement!$C$4:$C$203,A19,Settlement!$I$4:$I$203)/B19,"")</x:f>
      </x:c>
      <x:c r="F19" t="str">
        <x:f t="shared" si="1"/>
      </x:c>
      <x:c r="G19" t="str">
        <x:f>IFERROR(SUMIF(Settlement!$C$4:$C$203,A19,Settlement!$R$4:$R$203)/B19,"")</x:f>
      </x:c>
      <x:c r="H19" t="str">
        <x:f t="shared" si="2"/>
      </x:c>
    </x:row>
    <x:row r="20">
      <x:c r="B20" t="str">
        <x:f>IF(A20="","",COUNTIF(Settlement!$C$4:$C$203,A20))</x:f>
      </x:c>
      <x:c r="C20" t="str">
        <x:f>IF(A20="","",SUMIF(Settlement!$C$4:$C$203,A20,Settlement!$J$4:$J$203))</x:f>
      </x:c>
      <x:c r="D20" t="str">
        <x:f t="shared" si="0"/>
      </x:c>
      <x:c r="E20" t="str">
        <x:f>IFERROR(SUMIF(Settlement!$C$4:$C$203,A20,Settlement!$I$4:$I$203)/B20,"")</x:f>
      </x:c>
      <x:c r="F20" t="str">
        <x:f t="shared" si="1"/>
      </x:c>
      <x:c r="G20" t="str">
        <x:f>IFERROR(SUMIF(Settlement!$C$4:$C$203,A20,Settlement!$R$4:$R$203)/B20,"")</x:f>
      </x:c>
      <x:c r="H20" t="str">
        <x:f t="shared" si="2"/>
      </x:c>
    </x:row>
    <x:row r="21">
      <x:c r="B21" t="str">
        <x:f>IF(A21="","",COUNTIF(Settlement!$C$4:$C$203,A21))</x:f>
      </x:c>
      <x:c r="C21" t="str">
        <x:f>IF(A21="","",SUMIF(Settlement!$C$4:$C$203,A21,Settlement!$J$4:$J$203))</x:f>
      </x:c>
      <x:c r="D21" t="str">
        <x:f t="shared" si="0"/>
      </x:c>
      <x:c r="E21" t="str">
        <x:f>IFERROR(SUMIF(Settlement!$C$4:$C$203,A21,Settlement!$I$4:$I$203)/B21,"")</x:f>
      </x:c>
      <x:c r="F21" t="str">
        <x:f t="shared" si="1"/>
      </x:c>
      <x:c r="G21" t="str">
        <x:f>IFERROR(SUMIF(Settlement!$C$4:$C$203,A21,Settlement!$R$4:$R$203)/B21,"")</x:f>
      </x:c>
      <x:c r="H21" t="str">
        <x:f t="shared" si="2"/>
      </x:c>
    </x:row>
    <x:row r="22">
      <x:c r="B22" t="str">
        <x:f>IF(A22="","",COUNTIF(Settlement!$C$4:$C$203,A22))</x:f>
      </x:c>
      <x:c r="C22" t="str">
        <x:f>IF(A22="","",SUMIF(Settlement!$C$4:$C$203,A22,Settlement!$J$4:$J$203))</x:f>
      </x:c>
      <x:c r="D22" t="str">
        <x:f t="shared" si="0"/>
      </x:c>
      <x:c r="E22" t="str">
        <x:f>IFERROR(SUMIF(Settlement!$C$4:$C$203,A22,Settlement!$I$4:$I$203)/B22,"")</x:f>
      </x:c>
      <x:c r="F22" t="str">
        <x:f t="shared" si="1"/>
      </x:c>
      <x:c r="G22" t="str">
        <x:f>IFERROR(SUMIF(Settlement!$C$4:$C$203,A22,Settlement!$R$4:$R$203)/B22,"")</x:f>
      </x:c>
      <x:c r="H22" t="str">
        <x:f t="shared" si="2"/>
      </x:c>
    </x:row>
    <x:row r="23">
      <x:c r="B23" t="str">
        <x:f>IF(A23="","",COUNTIF(Settlement!$C$4:$C$203,A23))</x:f>
      </x:c>
      <x:c r="C23" t="str">
        <x:f>IF(A23="","",SUMIF(Settlement!$C$4:$C$203,A23,Settlement!$J$4:$J$203))</x:f>
      </x:c>
      <x:c r="D23" t="str">
        <x:f t="shared" si="0"/>
      </x:c>
      <x:c r="E23" t="str">
        <x:f>IFERROR(SUMIF(Settlement!$C$4:$C$203,A23,Settlement!$I$4:$I$203)/B23,"")</x:f>
      </x:c>
      <x:c r="F23" t="str">
        <x:f t="shared" si="1"/>
      </x:c>
      <x:c r="G23" t="str">
        <x:f>IFERROR(SUMIF(Settlement!$C$4:$C$203,A23,Settlement!$R$4:$R$203)/B23,"")</x:f>
      </x:c>
      <x:c r="H23" t="str">
        <x:f t="shared" si="2"/>
      </x:c>
    </x:row>
    <x:row r="24">
      <x:c r="B24" t="str">
        <x:f>IF(A24="","",COUNTIF(Settlement!$C$4:$C$203,A24))</x:f>
      </x:c>
      <x:c r="C24" t="str">
        <x:f>IF(A24="","",SUMIF(Settlement!$C$4:$C$203,A24,Settlement!$J$4:$J$203))</x:f>
      </x:c>
      <x:c r="D24" t="str">
        <x:f t="shared" si="0"/>
      </x:c>
      <x:c r="E24" t="str">
        <x:f>IFERROR(SUMIF(Settlement!$C$4:$C$203,A24,Settlement!$I$4:$I$203)/B24,"")</x:f>
      </x:c>
      <x:c r="F24" t="str">
        <x:f t="shared" si="1"/>
      </x:c>
      <x:c r="G24" t="str">
        <x:f>IFERROR(SUMIF(Settlement!$C$4:$C$203,A24,Settlement!$R$4:$R$203)/B24,"")</x:f>
      </x:c>
      <x:c r="H24" t="str">
        <x:f t="shared" si="2"/>
      </x:c>
    </x:row>
    <x:row r="25">
      <x:c r="B25" t="str">
        <x:f>IF(A25="","",COUNTIF(Settlement!$C$4:$C$203,A25))</x:f>
      </x:c>
      <x:c r="C25" t="str">
        <x:f>IF(A25="","",SUMIF(Settlement!$C$4:$C$203,A25,Settlement!$J$4:$J$203))</x:f>
      </x:c>
      <x:c r="D25" t="str">
        <x:f t="shared" si="0"/>
      </x:c>
      <x:c r="E25" t="str">
        <x:f>IFERROR(SUMIF(Settlement!$C$4:$C$203,A25,Settlement!$I$4:$I$203)/B25,"")</x:f>
      </x:c>
      <x:c r="F25" t="str">
        <x:f t="shared" si="1"/>
      </x:c>
      <x:c r="G25" t="str">
        <x:f>IFERROR(SUMIF(Settlement!$C$4:$C$203,A25,Settlement!$R$4:$R$203)/B25,"")</x:f>
      </x:c>
      <x:c r="H25" t="str">
        <x:f t="shared" si="2"/>
      </x:c>
    </x:row>
    <x:row r="26">
      <x:c r="B26" t="str">
        <x:f>IF(A26="","",COUNTIF(Settlement!$C$4:$C$203,A26))</x:f>
      </x:c>
      <x:c r="C26" t="str">
        <x:f>IF(A26="","",SUMIF(Settlement!$C$4:$C$203,A26,Settlement!$J$4:$J$203))</x:f>
      </x:c>
      <x:c r="D26" t="str">
        <x:f t="shared" si="0"/>
      </x:c>
      <x:c r="E26" t="str">
        <x:f>IFERROR(SUMIF(Settlement!$C$4:$C$203,A26,Settlement!$I$4:$I$203)/B26,"")</x:f>
      </x:c>
      <x:c r="F26" t="str">
        <x:f t="shared" si="1"/>
      </x:c>
      <x:c r="G26" t="str">
        <x:f>IFERROR(SUMIF(Settlement!$C$4:$C$203,A26,Settlement!$R$4:$R$203)/B26,"")</x:f>
      </x:c>
      <x:c r="H26" t="str">
        <x:f t="shared" si="2"/>
      </x:c>
    </x:row>
    <x:row r="27">
      <x:c r="B27" t="str">
        <x:f>IF(A27="","",COUNTIF(Settlement!$C$4:$C$203,A27))</x:f>
      </x:c>
      <x:c r="C27" t="str">
        <x:f>IF(A27="","",SUMIF(Settlement!$C$4:$C$203,A27,Settlement!$J$4:$J$203))</x:f>
      </x:c>
      <x:c r="D27" t="str">
        <x:f t="shared" si="0"/>
      </x:c>
      <x:c r="E27" t="str">
        <x:f>IFERROR(SUMIF(Settlement!$C$4:$C$203,A27,Settlement!$I$4:$I$203)/B27,"")</x:f>
      </x:c>
      <x:c r="F27" t="str">
        <x:f t="shared" si="1"/>
      </x:c>
      <x:c r="G27" t="str">
        <x:f>IFERROR(SUMIF(Settlement!$C$4:$C$203,A27,Settlement!$R$4:$R$203)/B27,"")</x:f>
      </x:c>
      <x:c r="H27" t="str">
        <x:f t="shared" si="2"/>
      </x:c>
    </x:row>
    <x:row r="28">
      <x:c r="B28" t="str">
        <x:f>IF(A28="","",COUNTIF(Settlement!$C$4:$C$203,A28))</x:f>
      </x:c>
      <x:c r="C28" t="str">
        <x:f>IF(A28="","",SUMIF(Settlement!$C$4:$C$203,A28,Settlement!$J$4:$J$203))</x:f>
      </x:c>
      <x:c r="D28" t="str">
        <x:f t="shared" si="0"/>
      </x:c>
      <x:c r="E28" t="str">
        <x:f>IFERROR(SUMIF(Settlement!$C$4:$C$203,A28,Settlement!$I$4:$I$203)/B28,"")</x:f>
      </x:c>
      <x:c r="F28" t="str">
        <x:f t="shared" si="1"/>
      </x:c>
      <x:c r="G28" t="str">
        <x:f>IFERROR(SUMIF(Settlement!$C$4:$C$203,A28,Settlement!$R$4:$R$203)/B28,"")</x:f>
      </x:c>
      <x:c r="H28" t="str">
        <x:f t="shared" si="2"/>
      </x:c>
    </x:row>
    <x:row r="29">
      <x:c r="B29" t="str">
        <x:f>IF(A29="","",COUNTIF(Settlement!$C$4:$C$203,A29))</x:f>
      </x:c>
      <x:c r="C29" t="str">
        <x:f>IF(A29="","",SUMIF(Settlement!$C$4:$C$203,A29,Settlement!$J$4:$J$203))</x:f>
      </x:c>
      <x:c r="D29" t="str">
        <x:f t="shared" si="0"/>
      </x:c>
      <x:c r="E29" t="str">
        <x:f>IFERROR(SUMIF(Settlement!$C$4:$C$203,A29,Settlement!$I$4:$I$203)/B29,"")</x:f>
      </x:c>
      <x:c r="F29" t="str">
        <x:f t="shared" si="1"/>
      </x:c>
      <x:c r="G29" t="str">
        <x:f>IFERROR(SUMIF(Settlement!$C$4:$C$203,A29,Settlement!$R$4:$R$203)/B29,"")</x:f>
      </x:c>
      <x:c r="H29" t="str">
        <x:f t="shared" si="2"/>
      </x:c>
    </x:row>
    <x:row r="30">
      <x:c r="B30" t="str">
        <x:f>IF(A30="","",COUNTIF(Settlement!$C$4:$C$203,A30))</x:f>
      </x:c>
      <x:c r="C30" t="str">
        <x:f>IF(A30="","",SUMIF(Settlement!$C$4:$C$203,A30,Settlement!$J$4:$J$203))</x:f>
      </x:c>
      <x:c r="D30" t="str">
        <x:f t="shared" si="0"/>
      </x:c>
      <x:c r="E30" t="str">
        <x:f>IFERROR(SUMIF(Settlement!$C$4:$C$203,A30,Settlement!$I$4:$I$203)/B30,"")</x:f>
      </x:c>
      <x:c r="F30" t="str">
        <x:f t="shared" si="1"/>
      </x:c>
      <x:c r="G30" t="str">
        <x:f>IFERROR(SUMIF(Settlement!$C$4:$C$203,A30,Settlement!$R$4:$R$203)/B30,"")</x:f>
      </x:c>
      <x:c r="H30" t="str">
        <x:f t="shared" si="2"/>
      </x:c>
    </x:row>
    <x:row r="31">
      <x:c r="B31" t="str">
        <x:f>IF(A31="","",COUNTIF(Settlement!$C$4:$C$203,A31))</x:f>
      </x:c>
      <x:c r="C31" t="str">
        <x:f>IF(A31="","",SUMIF(Settlement!$C$4:$C$203,A31,Settlement!$J$4:$J$203))</x:f>
      </x:c>
      <x:c r="D31" t="str">
        <x:f t="shared" si="0"/>
      </x:c>
      <x:c r="E31" t="str">
        <x:f>IFERROR(SUMIF(Settlement!$C$4:$C$203,A31,Settlement!$I$4:$I$203)/B31,"")</x:f>
      </x:c>
      <x:c r="F31" t="str">
        <x:f t="shared" si="1"/>
      </x:c>
      <x:c r="G31" t="str">
        <x:f>IFERROR(SUMIF(Settlement!$C$4:$C$203,A31,Settlement!$R$4:$R$203)/B31,"")</x:f>
      </x:c>
      <x:c r="H31" t="str">
        <x:f t="shared" si="2"/>
      </x:c>
    </x:row>
    <x:row r="32">
      <x:c r="B32" t="str">
        <x:f>IF(A32="","",COUNTIF(Settlement!$C$4:$C$203,A32))</x:f>
      </x:c>
      <x:c r="C32" t="str">
        <x:f>IF(A32="","",SUMIF(Settlement!$C$4:$C$203,A32,Settlement!$J$4:$J$203))</x:f>
      </x:c>
      <x:c r="D32" t="str">
        <x:f t="shared" si="0"/>
      </x:c>
      <x:c r="E32" t="str">
        <x:f>IFERROR(SUMIF(Settlement!$C$4:$C$203,A32,Settlement!$I$4:$I$203)/B32,"")</x:f>
      </x:c>
      <x:c r="F32" t="str">
        <x:f t="shared" si="1"/>
      </x:c>
      <x:c r="G32" t="str">
        <x:f>IFERROR(SUMIF(Settlement!$C$4:$C$203,A32,Settlement!$R$4:$R$203)/B32,"")</x:f>
      </x:c>
      <x:c r="H32" t="str">
        <x:f t="shared" si="2"/>
      </x:c>
    </x:row>
    <x:row r="33">
      <x:c r="B33" t="str">
        <x:f>IF(A33="","",COUNTIF(Settlement!$C$4:$C$203,A33))</x:f>
      </x:c>
      <x:c r="C33" t="str">
        <x:f>IF(A33="","",SUMIF(Settlement!$C$4:$C$203,A33,Settlement!$J$4:$J$203))</x:f>
      </x:c>
      <x:c r="D33" t="str">
        <x:f t="shared" si="0"/>
      </x:c>
      <x:c r="E33" t="str">
        <x:f>IFERROR(SUMIF(Settlement!$C$4:$C$203,A33,Settlement!$I$4:$I$203)/B33,"")</x:f>
      </x:c>
      <x:c r="F33" t="str">
        <x:f t="shared" si="1"/>
      </x:c>
      <x:c r="G33" t="str">
        <x:f>IFERROR(SUMIF(Settlement!$C$4:$C$203,A33,Settlement!$R$4:$R$203)/B33,"")</x:f>
      </x:c>
      <x:c r="H33" t="str">
        <x:f t="shared" si="2"/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sheetData>
    <x:row r="1" ht="18">
      <x:c r="A1" s="235" t="s">
        <x:v>1043</x:v>
      </x:c>
      <x:c r="B1" s="235"/>
      <x:c r="C1" s="235"/>
      <x:c r="D1" s="235"/>
      <x:c r="E1" s="235"/>
      <x:c r="F1" s="235"/>
      <x:c r="G1" s="235"/>
    </x:row>
    <x:row r="2">
      <x:c r="A2" s="236" t="s">
        <x:v>1044</x:v>
      </x:c>
      <x:c r="B2" s="236"/>
      <x:c r="C2" s="236"/>
      <x:c r="D2" s="236"/>
      <x:c r="E2" s="236"/>
      <x:c r="F2" s="236"/>
      <x:c r="G2" s="236"/>
    </x:row>
    <x:row r="3" ht="30">
      <x:c r="A3" s="147" t="s">
        <x:v>1045</x:v>
      </x:c>
      <x:c r="B3" s="147" t="s">
        <x:v>1016</x:v>
      </x:c>
      <x:c r="C3" s="147" t="s">
        <x:v>1017</x:v>
      </x:c>
      <x:c r="D3" s="147" t="s">
        <x:v>1018</x:v>
      </x:c>
      <x:c r="E3" s="147" t="s">
        <x:v>1024</x:v>
      </x:c>
      <x:c r="F3" s="147" t="s">
        <x:v>1026</x:v>
      </x:c>
      <x:c r="G3" s="147" t="s">
        <x:v>1009</x:v>
      </x:c>
    </x:row>
    <x:row r="4">
      <x:c r="A4">
        <x:v>46235</x:v>
      </x:c>
      <x:c r="B4" t="n">
        <x:f>IF(A4="","",COUNTIFS(Settlement!$B$4:$B$203,"&gt;="&amp;A4,Settlement!$B$4:$B$203,"&lt;"&amp;EDATE(A4,1)))</x:f>
        <x:v>0</x:v>
      </x:c>
      <x:c r="C4" t="n">
        <x:f>IF(A4="","",SUMIFS(Settlement!$J$4:$J$203,Settlement!$B$4:$B$203,"&gt;="&amp;A4,Settlement!$B$4:$B$203,"&lt;"&amp;EDATE(A4,1)))</x:f>
        <x:v>0</x:v>
      </x:c>
      <x:c r="D4" t="str">
        <x:f t="shared" ref="D4:D27" si="0">IFERROR(C4/B4,"")</x:f>
      </x:c>
      <x:c r="E4" t="str">
        <x:f>IF(A4="","",IFERROR(SUMIFS(Settlement!$I$4:$I$203,Settlement!$B$4:$B$203,"&gt;="&amp;A4,Settlement!$B$4:$B$203,"&lt;"&amp;EDATE(A4,1))/B4,""))</x:f>
      </x:c>
      <x:c r="F4" t="str">
        <x:f t="shared" ref="F4:F27" si="1">IF(OR(D4="",E4=""),"",E4-D4)</x:f>
      </x:c>
      <x:c r="G4" t="str">
        <x:f>IF(A4="","",IFERROR(SUMIFS(Settlement!$R$4:$R$203,Settlement!$B$4:$B$203,"&gt;="&amp;A4,Settlement!$B$4:$B$203,"&lt;"&amp;EDATE(A4,1))/B4,""))</x:f>
      </x:c>
    </x:row>
    <x:row r="5">
      <x:c r="B5" t="str">
        <x:f>IF(A5="","",COUNTIFS(Settlement!$B$4:$B$203,"&gt;="&amp;A5,Settlement!$B$4:$B$203,"&lt;"&amp;EDATE(A5,1)))</x:f>
      </x:c>
      <x:c r="C5" t="str">
        <x:f>IF(A5="","",SUMIFS(Settlement!$J$4:$J$203,Settlement!$B$4:$B$203,"&gt;="&amp;A5,Settlement!$B$4:$B$203,"&lt;"&amp;EDATE(A5,1)))</x:f>
      </x:c>
      <x:c r="D5" t="str">
        <x:f t="shared" si="0"/>
      </x:c>
      <x:c r="E5" t="str">
        <x:f>IF(A5="","",IFERROR(SUMIFS(Settlement!$I$4:$I$203,Settlement!$B$4:$B$203,"&gt;="&amp;A5,Settlement!$B$4:$B$203,"&lt;"&amp;EDATE(A5,1))/B5,""))</x:f>
      </x:c>
      <x:c r="F5" t="str">
        <x:f t="shared" si="1"/>
      </x:c>
      <x:c r="G5" t="str">
        <x:f>IF(A5="","",IFERROR(SUMIFS(Settlement!$R$4:$R$203,Settlement!$B$4:$B$203,"&gt;="&amp;A5,Settlement!$B$4:$B$203,"&lt;"&amp;EDATE(A5,1))/B5,""))</x:f>
      </x:c>
    </x:row>
    <x:row r="6">
      <x:c r="B6" t="str">
        <x:f>IF(A6="","",COUNTIFS(Settlement!$B$4:$B$203,"&gt;="&amp;A6,Settlement!$B$4:$B$203,"&lt;"&amp;EDATE(A6,1)))</x:f>
      </x:c>
      <x:c r="C6" t="str">
        <x:f>IF(A6="","",SUMIFS(Settlement!$J$4:$J$203,Settlement!$B$4:$B$203,"&gt;="&amp;A6,Settlement!$B$4:$B$203,"&lt;"&amp;EDATE(A6,1)))</x:f>
      </x:c>
      <x:c r="D6" t="str">
        <x:f t="shared" si="0"/>
      </x:c>
      <x:c r="E6" t="str">
        <x:f>IF(A6="","",IFERROR(SUMIFS(Settlement!$I$4:$I$203,Settlement!$B$4:$B$203,"&gt;="&amp;A6,Settlement!$B$4:$B$203,"&lt;"&amp;EDATE(A6,1))/B6,""))</x:f>
      </x:c>
      <x:c r="F6" t="str">
        <x:f t="shared" si="1"/>
      </x:c>
      <x:c r="G6" t="str">
        <x:f>IF(A6="","",IFERROR(SUMIFS(Settlement!$R$4:$R$203,Settlement!$B$4:$B$203,"&gt;="&amp;A6,Settlement!$B$4:$B$203,"&lt;"&amp;EDATE(A6,1))/B6,""))</x:f>
      </x:c>
    </x:row>
    <x:row r="7">
      <x:c r="B7" t="str">
        <x:f>IF(A7="","",COUNTIFS(Settlement!$B$4:$B$203,"&gt;="&amp;A7,Settlement!$B$4:$B$203,"&lt;"&amp;EDATE(A7,1)))</x:f>
      </x:c>
      <x:c r="C7" t="str">
        <x:f>IF(A7="","",SUMIFS(Settlement!$J$4:$J$203,Settlement!$B$4:$B$203,"&gt;="&amp;A7,Settlement!$B$4:$B$203,"&lt;"&amp;EDATE(A7,1)))</x:f>
      </x:c>
      <x:c r="D7" t="str">
        <x:f t="shared" si="0"/>
      </x:c>
      <x:c r="E7" t="str">
        <x:f>IF(A7="","",IFERROR(SUMIFS(Settlement!$I$4:$I$203,Settlement!$B$4:$B$203,"&gt;="&amp;A7,Settlement!$B$4:$B$203,"&lt;"&amp;EDATE(A7,1))/B7,""))</x:f>
      </x:c>
      <x:c r="F7" t="str">
        <x:f t="shared" si="1"/>
      </x:c>
      <x:c r="G7" t="str">
        <x:f>IF(A7="","",IFERROR(SUMIFS(Settlement!$R$4:$R$203,Settlement!$B$4:$B$203,"&gt;="&amp;A7,Settlement!$B$4:$B$203,"&lt;"&amp;EDATE(A7,1))/B7,""))</x:f>
      </x:c>
    </x:row>
    <x:row r="8">
      <x:c r="B8" t="str">
        <x:f>IF(A8="","",COUNTIFS(Settlement!$B$4:$B$203,"&gt;="&amp;A8,Settlement!$B$4:$B$203,"&lt;"&amp;EDATE(A8,1)))</x:f>
      </x:c>
      <x:c r="C8" t="str">
        <x:f>IF(A8="","",SUMIFS(Settlement!$J$4:$J$203,Settlement!$B$4:$B$203,"&gt;="&amp;A8,Settlement!$B$4:$B$203,"&lt;"&amp;EDATE(A8,1)))</x:f>
      </x:c>
      <x:c r="D8" t="str">
        <x:f t="shared" si="0"/>
      </x:c>
      <x:c r="E8" t="str">
        <x:f>IF(A8="","",IFERROR(SUMIFS(Settlement!$I$4:$I$203,Settlement!$B$4:$B$203,"&gt;="&amp;A8,Settlement!$B$4:$B$203,"&lt;"&amp;EDATE(A8,1))/B8,""))</x:f>
      </x:c>
      <x:c r="F8" t="str">
        <x:f t="shared" si="1"/>
      </x:c>
      <x:c r="G8" t="str">
        <x:f>IF(A8="","",IFERROR(SUMIFS(Settlement!$R$4:$R$203,Settlement!$B$4:$B$203,"&gt;="&amp;A8,Settlement!$B$4:$B$203,"&lt;"&amp;EDATE(A8,1))/B8,""))</x:f>
      </x:c>
    </x:row>
    <x:row r="9">
      <x:c r="B9" t="str">
        <x:f>IF(A9="","",COUNTIFS(Settlement!$B$4:$B$203,"&gt;="&amp;A9,Settlement!$B$4:$B$203,"&lt;"&amp;EDATE(A9,1)))</x:f>
      </x:c>
      <x:c r="C9" t="str">
        <x:f>IF(A9="","",SUMIFS(Settlement!$J$4:$J$203,Settlement!$B$4:$B$203,"&gt;="&amp;A9,Settlement!$B$4:$B$203,"&lt;"&amp;EDATE(A9,1)))</x:f>
      </x:c>
      <x:c r="D9" t="str">
        <x:f t="shared" si="0"/>
      </x:c>
      <x:c r="E9" t="str">
        <x:f>IF(A9="","",IFERROR(SUMIFS(Settlement!$I$4:$I$203,Settlement!$B$4:$B$203,"&gt;="&amp;A9,Settlement!$B$4:$B$203,"&lt;"&amp;EDATE(A9,1))/B9,""))</x:f>
      </x:c>
      <x:c r="F9" t="str">
        <x:f t="shared" si="1"/>
      </x:c>
      <x:c r="G9" t="str">
        <x:f>IF(A9="","",IFERROR(SUMIFS(Settlement!$R$4:$R$203,Settlement!$B$4:$B$203,"&gt;="&amp;A9,Settlement!$B$4:$B$203,"&lt;"&amp;EDATE(A9,1))/B9,""))</x:f>
      </x:c>
    </x:row>
    <x:row r="10">
      <x:c r="B10" t="str">
        <x:f>IF(A10="","",COUNTIFS(Settlement!$B$4:$B$203,"&gt;="&amp;A10,Settlement!$B$4:$B$203,"&lt;"&amp;EDATE(A10,1)))</x:f>
      </x:c>
      <x:c r="C10" t="str">
        <x:f>IF(A10="","",SUMIFS(Settlement!$J$4:$J$203,Settlement!$B$4:$B$203,"&gt;="&amp;A10,Settlement!$B$4:$B$203,"&lt;"&amp;EDATE(A10,1)))</x:f>
      </x:c>
      <x:c r="D10" t="str">
        <x:f t="shared" si="0"/>
      </x:c>
      <x:c r="E10" t="str">
        <x:f>IF(A10="","",IFERROR(SUMIFS(Settlement!$I$4:$I$203,Settlement!$B$4:$B$203,"&gt;="&amp;A10,Settlement!$B$4:$B$203,"&lt;"&amp;EDATE(A10,1))/B10,""))</x:f>
      </x:c>
      <x:c r="F10" t="str">
        <x:f t="shared" si="1"/>
      </x:c>
      <x:c r="G10" t="str">
        <x:f>IF(A10="","",IFERROR(SUMIFS(Settlement!$R$4:$R$203,Settlement!$B$4:$B$203,"&gt;="&amp;A10,Settlement!$B$4:$B$203,"&lt;"&amp;EDATE(A10,1))/B10,""))</x:f>
      </x:c>
    </x:row>
    <x:row r="11">
      <x:c r="B11" t="str">
        <x:f>IF(A11="","",COUNTIFS(Settlement!$B$4:$B$203,"&gt;="&amp;A11,Settlement!$B$4:$B$203,"&lt;"&amp;EDATE(A11,1)))</x:f>
      </x:c>
      <x:c r="C11" t="str">
        <x:f>IF(A11="","",SUMIFS(Settlement!$J$4:$J$203,Settlement!$B$4:$B$203,"&gt;="&amp;A11,Settlement!$B$4:$B$203,"&lt;"&amp;EDATE(A11,1)))</x:f>
      </x:c>
      <x:c r="D11" t="str">
        <x:f t="shared" si="0"/>
      </x:c>
      <x:c r="E11" t="str">
        <x:f>IF(A11="","",IFERROR(SUMIFS(Settlement!$I$4:$I$203,Settlement!$B$4:$B$203,"&gt;="&amp;A11,Settlement!$B$4:$B$203,"&lt;"&amp;EDATE(A11,1))/B11,""))</x:f>
      </x:c>
      <x:c r="F11" t="str">
        <x:f t="shared" si="1"/>
      </x:c>
      <x:c r="G11" t="str">
        <x:f>IF(A11="","",IFERROR(SUMIFS(Settlement!$R$4:$R$203,Settlement!$B$4:$B$203,"&gt;="&amp;A11,Settlement!$B$4:$B$203,"&lt;"&amp;EDATE(A11,1))/B11,""))</x:f>
      </x:c>
    </x:row>
    <x:row r="12">
      <x:c r="B12" t="str">
        <x:f>IF(A12="","",COUNTIFS(Settlement!$B$4:$B$203,"&gt;="&amp;A12,Settlement!$B$4:$B$203,"&lt;"&amp;EDATE(A12,1)))</x:f>
      </x:c>
      <x:c r="C12" t="str">
        <x:f>IF(A12="","",SUMIFS(Settlement!$J$4:$J$203,Settlement!$B$4:$B$203,"&gt;="&amp;A12,Settlement!$B$4:$B$203,"&lt;"&amp;EDATE(A12,1)))</x:f>
      </x:c>
      <x:c r="D12" t="str">
        <x:f t="shared" si="0"/>
      </x:c>
      <x:c r="E12" t="str">
        <x:f>IF(A12="","",IFERROR(SUMIFS(Settlement!$I$4:$I$203,Settlement!$B$4:$B$203,"&gt;="&amp;A12,Settlement!$B$4:$B$203,"&lt;"&amp;EDATE(A12,1))/B12,""))</x:f>
      </x:c>
      <x:c r="F12" t="str">
        <x:f t="shared" si="1"/>
      </x:c>
      <x:c r="G12" t="str">
        <x:f>IF(A12="","",IFERROR(SUMIFS(Settlement!$R$4:$R$203,Settlement!$B$4:$B$203,"&gt;="&amp;A12,Settlement!$B$4:$B$203,"&lt;"&amp;EDATE(A12,1))/B12,""))</x:f>
      </x:c>
    </x:row>
    <x:row r="13">
      <x:c r="B13" t="str">
        <x:f>IF(A13="","",COUNTIFS(Settlement!$B$4:$B$203,"&gt;="&amp;A13,Settlement!$B$4:$B$203,"&lt;"&amp;EDATE(A13,1)))</x:f>
      </x:c>
      <x:c r="C13" t="str">
        <x:f>IF(A13="","",SUMIFS(Settlement!$J$4:$J$203,Settlement!$B$4:$B$203,"&gt;="&amp;A13,Settlement!$B$4:$B$203,"&lt;"&amp;EDATE(A13,1)))</x:f>
      </x:c>
      <x:c r="D13" t="str">
        <x:f t="shared" si="0"/>
      </x:c>
      <x:c r="E13" t="str">
        <x:f>IF(A13="","",IFERROR(SUMIFS(Settlement!$I$4:$I$203,Settlement!$B$4:$B$203,"&gt;="&amp;A13,Settlement!$B$4:$B$203,"&lt;"&amp;EDATE(A13,1))/B13,""))</x:f>
      </x:c>
      <x:c r="F13" t="str">
        <x:f t="shared" si="1"/>
      </x:c>
      <x:c r="G13" t="str">
        <x:f>IF(A13="","",IFERROR(SUMIFS(Settlement!$R$4:$R$203,Settlement!$B$4:$B$203,"&gt;="&amp;A13,Settlement!$B$4:$B$203,"&lt;"&amp;EDATE(A13,1))/B13,""))</x:f>
      </x:c>
    </x:row>
    <x:row r="14">
      <x:c r="B14" t="str">
        <x:f>IF(A14="","",COUNTIFS(Settlement!$B$4:$B$203,"&gt;="&amp;A14,Settlement!$B$4:$B$203,"&lt;"&amp;EDATE(A14,1)))</x:f>
      </x:c>
      <x:c r="C14" t="str">
        <x:f>IF(A14="","",SUMIFS(Settlement!$J$4:$J$203,Settlement!$B$4:$B$203,"&gt;="&amp;A14,Settlement!$B$4:$B$203,"&lt;"&amp;EDATE(A14,1)))</x:f>
      </x:c>
      <x:c r="D14" t="str">
        <x:f t="shared" si="0"/>
      </x:c>
      <x:c r="E14" t="str">
        <x:f>IF(A14="","",IFERROR(SUMIFS(Settlement!$I$4:$I$203,Settlement!$B$4:$B$203,"&gt;="&amp;A14,Settlement!$B$4:$B$203,"&lt;"&amp;EDATE(A14,1))/B14,""))</x:f>
      </x:c>
      <x:c r="F14" t="str">
        <x:f t="shared" si="1"/>
      </x:c>
      <x:c r="G14" t="str">
        <x:f>IF(A14="","",IFERROR(SUMIFS(Settlement!$R$4:$R$203,Settlement!$B$4:$B$203,"&gt;="&amp;A14,Settlement!$B$4:$B$203,"&lt;"&amp;EDATE(A14,1))/B14,""))</x:f>
      </x:c>
    </x:row>
    <x:row r="15">
      <x:c r="B15" t="str">
        <x:f>IF(A15="","",COUNTIFS(Settlement!$B$4:$B$203,"&gt;="&amp;A15,Settlement!$B$4:$B$203,"&lt;"&amp;EDATE(A15,1)))</x:f>
      </x:c>
      <x:c r="C15" t="str">
        <x:f>IF(A15="","",SUMIFS(Settlement!$J$4:$J$203,Settlement!$B$4:$B$203,"&gt;="&amp;A15,Settlement!$B$4:$B$203,"&lt;"&amp;EDATE(A15,1)))</x:f>
      </x:c>
      <x:c r="D15" t="str">
        <x:f t="shared" si="0"/>
      </x:c>
      <x:c r="E15" t="str">
        <x:f>IF(A15="","",IFERROR(SUMIFS(Settlement!$I$4:$I$203,Settlement!$B$4:$B$203,"&gt;="&amp;A15,Settlement!$B$4:$B$203,"&lt;"&amp;EDATE(A15,1))/B15,""))</x:f>
      </x:c>
      <x:c r="F15" t="str">
        <x:f t="shared" si="1"/>
      </x:c>
      <x:c r="G15" t="str">
        <x:f>IF(A15="","",IFERROR(SUMIFS(Settlement!$R$4:$R$203,Settlement!$B$4:$B$203,"&gt;="&amp;A15,Settlement!$B$4:$B$203,"&lt;"&amp;EDATE(A15,1))/B15,""))</x:f>
      </x:c>
    </x:row>
    <x:row r="16">
      <x:c r="B16" t="str">
        <x:f>IF(A16="","",COUNTIFS(Settlement!$B$4:$B$203,"&gt;="&amp;A16,Settlement!$B$4:$B$203,"&lt;"&amp;EDATE(A16,1)))</x:f>
      </x:c>
      <x:c r="C16" t="str">
        <x:f>IF(A16="","",SUMIFS(Settlement!$J$4:$J$203,Settlement!$B$4:$B$203,"&gt;="&amp;A16,Settlement!$B$4:$B$203,"&lt;"&amp;EDATE(A16,1)))</x:f>
      </x:c>
      <x:c r="D16" t="str">
        <x:f t="shared" si="0"/>
      </x:c>
      <x:c r="E16" t="str">
        <x:f>IF(A16="","",IFERROR(SUMIFS(Settlement!$I$4:$I$203,Settlement!$B$4:$B$203,"&gt;="&amp;A16,Settlement!$B$4:$B$203,"&lt;"&amp;EDATE(A16,1))/B16,""))</x:f>
      </x:c>
      <x:c r="F16" t="str">
        <x:f t="shared" si="1"/>
      </x:c>
      <x:c r="G16" t="str">
        <x:f>IF(A16="","",IFERROR(SUMIFS(Settlement!$R$4:$R$203,Settlement!$B$4:$B$203,"&gt;="&amp;A16,Settlement!$B$4:$B$203,"&lt;"&amp;EDATE(A16,1))/B16,""))</x:f>
      </x:c>
    </x:row>
    <x:row r="17">
      <x:c r="B17" t="str">
        <x:f>IF(A17="","",COUNTIFS(Settlement!$B$4:$B$203,"&gt;="&amp;A17,Settlement!$B$4:$B$203,"&lt;"&amp;EDATE(A17,1)))</x:f>
      </x:c>
      <x:c r="C17" t="str">
        <x:f>IF(A17="","",SUMIFS(Settlement!$J$4:$J$203,Settlement!$B$4:$B$203,"&gt;="&amp;A17,Settlement!$B$4:$B$203,"&lt;"&amp;EDATE(A17,1)))</x:f>
      </x:c>
      <x:c r="D17" t="str">
        <x:f t="shared" si="0"/>
      </x:c>
      <x:c r="E17" t="str">
        <x:f>IF(A17="","",IFERROR(SUMIFS(Settlement!$I$4:$I$203,Settlement!$B$4:$B$203,"&gt;="&amp;A17,Settlement!$B$4:$B$203,"&lt;"&amp;EDATE(A17,1))/B17,""))</x:f>
      </x:c>
      <x:c r="F17" t="str">
        <x:f t="shared" si="1"/>
      </x:c>
      <x:c r="G17" t="str">
        <x:f>IF(A17="","",IFERROR(SUMIFS(Settlement!$R$4:$R$203,Settlement!$B$4:$B$203,"&gt;="&amp;A17,Settlement!$B$4:$B$203,"&lt;"&amp;EDATE(A17,1))/B17,""))</x:f>
      </x:c>
    </x:row>
    <x:row r="18">
      <x:c r="B18" t="str">
        <x:f>IF(A18="","",COUNTIFS(Settlement!$B$4:$B$203,"&gt;="&amp;A18,Settlement!$B$4:$B$203,"&lt;"&amp;EDATE(A18,1)))</x:f>
      </x:c>
      <x:c r="C18" t="str">
        <x:f>IF(A18="","",SUMIFS(Settlement!$J$4:$J$203,Settlement!$B$4:$B$203,"&gt;="&amp;A18,Settlement!$B$4:$B$203,"&lt;"&amp;EDATE(A18,1)))</x:f>
      </x:c>
      <x:c r="D18" t="str">
        <x:f t="shared" si="0"/>
      </x:c>
      <x:c r="E18" t="str">
        <x:f>IF(A18="","",IFERROR(SUMIFS(Settlement!$I$4:$I$203,Settlement!$B$4:$B$203,"&gt;="&amp;A18,Settlement!$B$4:$B$203,"&lt;"&amp;EDATE(A18,1))/B18,""))</x:f>
      </x:c>
      <x:c r="F18" t="str">
        <x:f t="shared" si="1"/>
      </x:c>
      <x:c r="G18" t="str">
        <x:f>IF(A18="","",IFERROR(SUMIFS(Settlement!$R$4:$R$203,Settlement!$B$4:$B$203,"&gt;="&amp;A18,Settlement!$B$4:$B$203,"&lt;"&amp;EDATE(A18,1))/B18,""))</x:f>
      </x:c>
    </x:row>
    <x:row r="19">
      <x:c r="B19" t="str">
        <x:f>IF(A19="","",COUNTIFS(Settlement!$B$4:$B$203,"&gt;="&amp;A19,Settlement!$B$4:$B$203,"&lt;"&amp;EDATE(A19,1)))</x:f>
      </x:c>
      <x:c r="C19" t="str">
        <x:f>IF(A19="","",SUMIFS(Settlement!$J$4:$J$203,Settlement!$B$4:$B$203,"&gt;="&amp;A19,Settlement!$B$4:$B$203,"&lt;"&amp;EDATE(A19,1)))</x:f>
      </x:c>
      <x:c r="D19" t="str">
        <x:f t="shared" si="0"/>
      </x:c>
      <x:c r="E19" t="str">
        <x:f>IF(A19="","",IFERROR(SUMIFS(Settlement!$I$4:$I$203,Settlement!$B$4:$B$203,"&gt;="&amp;A19,Settlement!$B$4:$B$203,"&lt;"&amp;EDATE(A19,1))/B19,""))</x:f>
      </x:c>
      <x:c r="F19" t="str">
        <x:f t="shared" si="1"/>
      </x:c>
      <x:c r="G19" t="str">
        <x:f>IF(A19="","",IFERROR(SUMIFS(Settlement!$R$4:$R$203,Settlement!$B$4:$B$203,"&gt;="&amp;A19,Settlement!$B$4:$B$203,"&lt;"&amp;EDATE(A19,1))/B19,""))</x:f>
      </x:c>
    </x:row>
    <x:row r="20">
      <x:c r="B20" t="str">
        <x:f>IF(A20="","",COUNTIFS(Settlement!$B$4:$B$203,"&gt;="&amp;A20,Settlement!$B$4:$B$203,"&lt;"&amp;EDATE(A20,1)))</x:f>
      </x:c>
      <x:c r="C20" t="str">
        <x:f>IF(A20="","",SUMIFS(Settlement!$J$4:$J$203,Settlement!$B$4:$B$203,"&gt;="&amp;A20,Settlement!$B$4:$B$203,"&lt;"&amp;EDATE(A20,1)))</x:f>
      </x:c>
      <x:c r="D20" t="str">
        <x:f t="shared" si="0"/>
      </x:c>
      <x:c r="E20" t="str">
        <x:f>IF(A20="","",IFERROR(SUMIFS(Settlement!$I$4:$I$203,Settlement!$B$4:$B$203,"&gt;="&amp;A20,Settlement!$B$4:$B$203,"&lt;"&amp;EDATE(A20,1))/B20,""))</x:f>
      </x:c>
      <x:c r="F20" t="str">
        <x:f t="shared" si="1"/>
      </x:c>
      <x:c r="G20" t="str">
        <x:f>IF(A20="","",IFERROR(SUMIFS(Settlement!$R$4:$R$203,Settlement!$B$4:$B$203,"&gt;="&amp;A20,Settlement!$B$4:$B$203,"&lt;"&amp;EDATE(A20,1))/B20,""))</x:f>
      </x:c>
    </x:row>
    <x:row r="21">
      <x:c r="B21" t="str">
        <x:f>IF(A21="","",COUNTIFS(Settlement!$B$4:$B$203,"&gt;="&amp;A21,Settlement!$B$4:$B$203,"&lt;"&amp;EDATE(A21,1)))</x:f>
      </x:c>
      <x:c r="C21" t="str">
        <x:f>IF(A21="","",SUMIFS(Settlement!$J$4:$J$203,Settlement!$B$4:$B$203,"&gt;="&amp;A21,Settlement!$B$4:$B$203,"&lt;"&amp;EDATE(A21,1)))</x:f>
      </x:c>
      <x:c r="D21" t="str">
        <x:f t="shared" si="0"/>
      </x:c>
      <x:c r="E21" t="str">
        <x:f>IF(A21="","",IFERROR(SUMIFS(Settlement!$I$4:$I$203,Settlement!$B$4:$B$203,"&gt;="&amp;A21,Settlement!$B$4:$B$203,"&lt;"&amp;EDATE(A21,1))/B21,""))</x:f>
      </x:c>
      <x:c r="F21" t="str">
        <x:f t="shared" si="1"/>
      </x:c>
      <x:c r="G21" t="str">
        <x:f>IF(A21="","",IFERROR(SUMIFS(Settlement!$R$4:$R$203,Settlement!$B$4:$B$203,"&gt;="&amp;A21,Settlement!$B$4:$B$203,"&lt;"&amp;EDATE(A21,1))/B21,""))</x:f>
      </x:c>
    </x:row>
    <x:row r="22">
      <x:c r="B22" t="str">
        <x:f>IF(A22="","",COUNTIFS(Settlement!$B$4:$B$203,"&gt;="&amp;A22,Settlement!$B$4:$B$203,"&lt;"&amp;EDATE(A22,1)))</x:f>
      </x:c>
      <x:c r="C22" t="str">
        <x:f>IF(A22="","",SUMIFS(Settlement!$J$4:$J$203,Settlement!$B$4:$B$203,"&gt;="&amp;A22,Settlement!$B$4:$B$203,"&lt;"&amp;EDATE(A22,1)))</x:f>
      </x:c>
      <x:c r="D22" t="str">
        <x:f t="shared" si="0"/>
      </x:c>
      <x:c r="E22" t="str">
        <x:f>IF(A22="","",IFERROR(SUMIFS(Settlement!$I$4:$I$203,Settlement!$B$4:$B$203,"&gt;="&amp;A22,Settlement!$B$4:$B$203,"&lt;"&amp;EDATE(A22,1))/B22,""))</x:f>
      </x:c>
      <x:c r="F22" t="str">
        <x:f t="shared" si="1"/>
      </x:c>
      <x:c r="G22" t="str">
        <x:f>IF(A22="","",IFERROR(SUMIFS(Settlement!$R$4:$R$203,Settlement!$B$4:$B$203,"&gt;="&amp;A22,Settlement!$B$4:$B$203,"&lt;"&amp;EDATE(A22,1))/B22,""))</x:f>
      </x:c>
    </x:row>
    <x:row r="23">
      <x:c r="B23" t="str">
        <x:f>IF(A23="","",COUNTIFS(Settlement!$B$4:$B$203,"&gt;="&amp;A23,Settlement!$B$4:$B$203,"&lt;"&amp;EDATE(A23,1)))</x:f>
      </x:c>
      <x:c r="C23" t="str">
        <x:f>IF(A23="","",SUMIFS(Settlement!$J$4:$J$203,Settlement!$B$4:$B$203,"&gt;="&amp;A23,Settlement!$B$4:$B$203,"&lt;"&amp;EDATE(A23,1)))</x:f>
      </x:c>
      <x:c r="D23" t="str">
        <x:f t="shared" si="0"/>
      </x:c>
      <x:c r="E23" t="str">
        <x:f>IF(A23="","",IFERROR(SUMIFS(Settlement!$I$4:$I$203,Settlement!$B$4:$B$203,"&gt;="&amp;A23,Settlement!$B$4:$B$203,"&lt;"&amp;EDATE(A23,1))/B23,""))</x:f>
      </x:c>
      <x:c r="F23" t="str">
        <x:f t="shared" si="1"/>
      </x:c>
      <x:c r="G23" t="str">
        <x:f>IF(A23="","",IFERROR(SUMIFS(Settlement!$R$4:$R$203,Settlement!$B$4:$B$203,"&gt;="&amp;A23,Settlement!$B$4:$B$203,"&lt;"&amp;EDATE(A23,1))/B23,""))</x:f>
      </x:c>
    </x:row>
    <x:row r="24">
      <x:c r="B24" t="str">
        <x:f>IF(A24="","",COUNTIFS(Settlement!$B$4:$B$203,"&gt;="&amp;A24,Settlement!$B$4:$B$203,"&lt;"&amp;EDATE(A24,1)))</x:f>
      </x:c>
      <x:c r="C24" t="str">
        <x:f>IF(A24="","",SUMIFS(Settlement!$J$4:$J$203,Settlement!$B$4:$B$203,"&gt;="&amp;A24,Settlement!$B$4:$B$203,"&lt;"&amp;EDATE(A24,1)))</x:f>
      </x:c>
      <x:c r="D24" t="str">
        <x:f t="shared" si="0"/>
      </x:c>
      <x:c r="E24" t="str">
        <x:f>IF(A24="","",IFERROR(SUMIFS(Settlement!$I$4:$I$203,Settlement!$B$4:$B$203,"&gt;="&amp;A24,Settlement!$B$4:$B$203,"&lt;"&amp;EDATE(A24,1))/B24,""))</x:f>
      </x:c>
      <x:c r="F24" t="str">
        <x:f t="shared" si="1"/>
      </x:c>
      <x:c r="G24" t="str">
        <x:f>IF(A24="","",IFERROR(SUMIFS(Settlement!$R$4:$R$203,Settlement!$B$4:$B$203,"&gt;="&amp;A24,Settlement!$B$4:$B$203,"&lt;"&amp;EDATE(A24,1))/B24,""))</x:f>
      </x:c>
    </x:row>
    <x:row r="25">
      <x:c r="B25" t="str">
        <x:f>IF(A25="","",COUNTIFS(Settlement!$B$4:$B$203,"&gt;="&amp;A25,Settlement!$B$4:$B$203,"&lt;"&amp;EDATE(A25,1)))</x:f>
      </x:c>
      <x:c r="C25" t="str">
        <x:f>IF(A25="","",SUMIFS(Settlement!$J$4:$J$203,Settlement!$B$4:$B$203,"&gt;="&amp;A25,Settlement!$B$4:$B$203,"&lt;"&amp;EDATE(A25,1)))</x:f>
      </x:c>
      <x:c r="D25" t="str">
        <x:f t="shared" si="0"/>
      </x:c>
      <x:c r="E25" t="str">
        <x:f>IF(A25="","",IFERROR(SUMIFS(Settlement!$I$4:$I$203,Settlement!$B$4:$B$203,"&gt;="&amp;A25,Settlement!$B$4:$B$203,"&lt;"&amp;EDATE(A25,1))/B25,""))</x:f>
      </x:c>
      <x:c r="F25" t="str">
        <x:f t="shared" si="1"/>
      </x:c>
      <x:c r="G25" t="str">
        <x:f>IF(A25="","",IFERROR(SUMIFS(Settlement!$R$4:$R$203,Settlement!$B$4:$B$203,"&gt;="&amp;A25,Settlement!$B$4:$B$203,"&lt;"&amp;EDATE(A25,1))/B25,""))</x:f>
      </x:c>
    </x:row>
    <x:row r="26">
      <x:c r="B26" t="str">
        <x:f>IF(A26="","",COUNTIFS(Settlement!$B$4:$B$203,"&gt;="&amp;A26,Settlement!$B$4:$B$203,"&lt;"&amp;EDATE(A26,1)))</x:f>
      </x:c>
      <x:c r="C26" t="str">
        <x:f>IF(A26="","",SUMIFS(Settlement!$J$4:$J$203,Settlement!$B$4:$B$203,"&gt;="&amp;A26,Settlement!$B$4:$B$203,"&lt;"&amp;EDATE(A26,1)))</x:f>
      </x:c>
      <x:c r="D26" t="str">
        <x:f t="shared" si="0"/>
      </x:c>
      <x:c r="E26" t="str">
        <x:f>IF(A26="","",IFERROR(SUMIFS(Settlement!$I$4:$I$203,Settlement!$B$4:$B$203,"&gt;="&amp;A26,Settlement!$B$4:$B$203,"&lt;"&amp;EDATE(A26,1))/B26,""))</x:f>
      </x:c>
      <x:c r="F26" t="str">
        <x:f t="shared" si="1"/>
      </x:c>
      <x:c r="G26" t="str">
        <x:f>IF(A26="","",IFERROR(SUMIFS(Settlement!$R$4:$R$203,Settlement!$B$4:$B$203,"&gt;="&amp;A26,Settlement!$B$4:$B$203,"&lt;"&amp;EDATE(A26,1))/B26,""))</x:f>
      </x:c>
    </x:row>
    <x:row r="27">
      <x:c r="B27" t="str">
        <x:f>IF(A27="","",COUNTIFS(Settlement!$B$4:$B$203,"&gt;="&amp;A27,Settlement!$B$4:$B$203,"&lt;"&amp;EDATE(A27,1)))</x:f>
      </x:c>
      <x:c r="C27" t="str">
        <x:f>IF(A27="","",SUMIFS(Settlement!$J$4:$J$203,Settlement!$B$4:$B$203,"&gt;="&amp;A27,Settlement!$B$4:$B$203,"&lt;"&amp;EDATE(A27,1)))</x:f>
      </x:c>
      <x:c r="D27" t="str">
        <x:f t="shared" si="0"/>
      </x:c>
      <x:c r="E27" t="str">
        <x:f>IF(A27="","",IFERROR(SUMIFS(Settlement!$I$4:$I$203,Settlement!$B$4:$B$203,"&gt;="&amp;A27,Settlement!$B$4:$B$203,"&lt;"&amp;EDATE(A27,1))/B27,""))</x:f>
      </x:c>
      <x:c r="F27" t="str">
        <x:f t="shared" si="1"/>
      </x:c>
      <x:c r="G27" t="str">
        <x:f>IF(A27="","",IFERROR(SUMIFS(Settlement!$R$4:$R$203,Settlement!$B$4:$B$203,"&gt;="&amp;A27,Settlement!$B$4:$B$203,"&lt;"&amp;EDATE(A27,1))/B27,""))</x:f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sheetData>
    <x:row r="1" ht="18">
      <x:c r="A1" s="235" t="s">
        <x:v>1046</x:v>
      </x:c>
      <x:c r="B1" s="235"/>
      <x:c r="C1" s="235"/>
      <x:c r="D1" s="235"/>
      <x:c r="E1" s="235"/>
      <x:c r="F1" s="235"/>
      <x:c r="G1" s="235"/>
      <x:c r="H1" s="235"/>
      <x:c r="I1" s="235"/>
      <x:c r="J1" s="235"/>
      <x:c r="K1" s="235"/>
      <x:c r="L1" s="235"/>
    </x:row>
    <x:row r="2">
      <x:c r="A2" s="236" t="s">
        <x:v>1047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</x:row>
    <x:row r="3" ht="60">
      <x:c r="A3" s="147" t="s">
        <x:v>1048</x:v>
      </x:c>
      <x:c r="B3" s="147" t="s">
        <x:v>1049</x:v>
      </x:c>
      <x:c r="C3" s="147" t="s">
        <x:v>1050</x:v>
      </x:c>
      <x:c r="D3" s="147" t="s">
        <x:v>1051</x:v>
      </x:c>
      <x:c r="E3" s="147" t="s">
        <x:v>1052</x:v>
      </x:c>
      <x:c r="F3" s="147" t="s">
        <x:v>1053</x:v>
      </x:c>
      <x:c r="G3" s="147" t="s">
        <x:v>1054</x:v>
      </x:c>
      <x:c r="H3" s="147" t="s">
        <x:v>1055</x:v>
      </x:c>
      <x:c r="I3" s="147" t="s">
        <x:v>1056</x:v>
      </x:c>
      <x:c r="J3" s="147" t="s">
        <x:v>1057</x:v>
      </x:c>
      <x:c r="K3" s="147" t="s">
        <x:v>1058</x:v>
      </x:c>
      <x:c r="L3" s="147" t="s">
        <x:v>981</x:v>
      </x:c>
    </x:row>
    <x:row r="4">
      <x:c r="A4" t="s">
        <x:v>1059</x:v>
      </x:c>
      <x:c r="B4" t="s">
        <x:v>1059</x:v>
      </x:c>
      <x:c r="C4" t="s">
        <x:v>1060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24" customWidth="1"/>
    <x:col min="2" max="2" width="20" customWidth="1"/>
    <x:col min="3" max="4" width="30" customWidth="1"/>
    <x:col min="5" max="5" width="50" customWidth="1"/>
    <x:col min="6" max="6" width="18" customWidth="1"/>
    <x:col min="7" max="7" width="26" customWidth="1"/>
    <x:col min="8" max="8" width="24" customWidth="1"/>
  </x:cols>
  <x:sheetData>
    <x:row r="1" ht="18">
      <x:c r="A1" s="235" t="s">
        <x:v>1061</x:v>
      </x:c>
      <x:c r="B1" s="235"/>
      <x:c r="C1" s="235"/>
      <x:c r="D1" s="235"/>
      <x:c r="E1" s="235"/>
      <x:c r="F1" s="235"/>
      <x:c r="G1" s="235"/>
      <x:c r="H1" s="235"/>
    </x:row>
    <x:row r="2">
      <x:c r="A2" s="236" t="s">
        <x:v>1062</x:v>
      </x:c>
      <x:c r="B2" s="236"/>
      <x:c r="C2" s="236"/>
      <x:c r="D2" s="236"/>
      <x:c r="E2" s="236"/>
      <x:c r="F2" s="236"/>
      <x:c r="G2" s="236"/>
      <x:c r="H2" s="236"/>
    </x:row>
    <x:row r="3" ht="30">
      <x:c r="A3" s="147" t="s">
        <x:v>1063</x:v>
      </x:c>
      <x:c r="B3" s="147" t="s">
        <x:v>1064</x:v>
      </x:c>
      <x:c r="C3" s="147" t="s">
        <x:v>1065</x:v>
      </x:c>
      <x:c r="D3" s="147" t="s">
        <x:v>1066</x:v>
      </x:c>
      <x:c r="E3" s="147" t="s">
        <x:v>1067</x:v>
      </x:c>
      <x:c r="F3" s="147" t="s">
        <x:v>1068</x:v>
      </x:c>
      <x:c r="G3" s="147" t="s">
        <x:v>1069</x:v>
      </x:c>
      <x:c r="H3" s="147" t="s">
        <x:v>35</x:v>
      </x:c>
    </x:row>
    <x:row r="4">
      <x:c r="A4" t="s">
        <x:v>1070</x:v>
      </x:c>
      <x:c r="B4" t="n">
        <x:f>COUNT(Settlement!$J$4:$J$203)</x:f>
        <x:v>0</x:v>
      </x:c>
      <x:c r="C4" t="s">
        <x:v>1071</x:v>
      </x:c>
      <x:c r="D4" t="s">
        <x:v>1072</x:v>
      </x:c>
      <x:c r="E4" t="s">
        <x:v>1073</x:v>
      </x:c>
      <x:c r="F4">
        <x:v>0</x:v>
      </x:c>
      <x:c r="H4" t="s">
        <x:v>1074</x:v>
      </x:c>
    </x:row>
    <x:row r="5">
      <x:c r="A5" t="s">
        <x:v>1017</x:v>
      </x:c>
      <x:c r="B5" t="n">
        <x:f>SUM(Settlement!$J$4:$J$203)</x:f>
        <x:v>0</x:v>
      </x:c>
      <x:c r="C5" t="s">
        <x:v>1075</x:v>
      </x:c>
      <x:c r="D5" t="s">
        <x:v>1076</x:v>
      </x:c>
      <x:c r="F5" t="s">
        <x:v>1059</x:v>
      </x:c>
    </x:row>
    <x:row r="6">
      <x:c r="A6" t="s">
        <x:v>1077</x:v>
      </x:c>
      <x:c r="B6" t="str">
        <x:f>IFERROR(B5/B4,"")</x:f>
      </x:c>
      <x:c r="C6" t="s">
        <x:v>1078</x:v>
      </x:c>
      <x:c r="D6" t="s">
        <x:v>1079</x:v>
      </x:c>
    </x:row>
    <x:row r="7">
      <x:c r="A7" t="s">
        <x:v>1080</x:v>
      </x:c>
      <x:c r="B7" t="str">
        <x:f>IF(B4=0,"",((B5/B4)+(1.96^2)/(2*B4)-1.96*SQRT((B5/B4)*(1-B5/B4)/B4+(1.96^2)/(4*B4^2)))/(1+(1.96^2)/B4))</x:f>
      </x:c>
      <x:c r="C7" t="s">
        <x:v>1081</x:v>
      </x:c>
      <x:c r="D7" t="s">
        <x:v>1082</x:v>
      </x:c>
    </x:row>
    <x:row r="8">
      <x:c r="A8" t="s">
        <x:v>1083</x:v>
      </x:c>
      <x:c r="B8" t="str">
        <x:f>IF(B4=0,"",((B5/B4)+(1.96^2)/(2*B4)+1.96*SQRT((B5/B4)*(1-B5/B4)/B4+(1.96^2)/(4*B4^2)))/(1+(1.96^2)/B4))</x:f>
      </x:c>
      <x:c r="C8" t="s">
        <x:v>1084</x:v>
      </x:c>
      <x:c r="D8" t="s">
        <x:v>1082</x:v>
      </x:c>
    </x:row>
    <x:row r="9">
      <x:c r="A9" t="s">
        <x:v>1085</x:v>
      </x:c>
      <x:c r="B9" t="str">
        <x:f>IFERROR(AVERAGE(Settlement!$I$4:$I$203),"")</x:f>
      </x:c>
      <x:c r="C9" t="s">
        <x:v>1086</x:v>
      </x:c>
      <x:c r="D9" t="s">
        <x:v>1087</x:v>
      </x:c>
    </x:row>
    <x:row r="10">
      <x:c r="A10" t="s">
        <x:v>1088</x:v>
      </x:c>
      <x:c r="B10" t="str">
        <x:f>IF(OR(B9="",B6=""),"",B9-B6)</x:f>
      </x:c>
      <x:c r="C10" t="s">
        <x:v>1089</x:v>
      </x:c>
      <x:c r="D10" t="s">
        <x:v>1082</x:v>
      </x:c>
    </x:row>
    <x:row r="11">
      <x:c r="A11" t="s">
        <x:v>1009</x:v>
      </x:c>
      <x:c r="B11" t="str">
        <x:f>IFERROR(AVERAGE(Settlement!$R$4:$R$203),"")</x:f>
      </x:c>
      <x:c r="C11" t="s">
        <x:v>1090</x:v>
      </x:c>
      <x:c r="D11" t="s">
        <x:v>1082</x:v>
      </x:c>
      <x:c r="G11" t="s">
        <x:v>1059</x:v>
      </x:c>
    </x:row>
    <x:row r="12">
      <x:c r="A12" t="s">
        <x:v>857</x:v>
      </x:c>
      <x:c r="B12" t="str">
        <x:f>IFERROR(AVERAGE(Settlement!$S$4:$S$203),"")</x:f>
      </x:c>
      <x:c r="C12" t="s">
        <x:v>1090</x:v>
      </x:c>
      <x:c r="D12" t="s">
        <x:v>1082</x:v>
      </x:c>
      <x:c r="G12" t="s">
        <x:v>1059</x:v>
      </x:c>
    </x:row>
    <x:row r="13">
      <x:c r="A13" t="s">
        <x:v>1091</x:v>
      </x:c>
      <x:c r="B13" t="n">
        <x:f>COUNTIF(League_Summary!$B$4:$B$33,"&gt;0")</x:f>
        <x:v>0</x:v>
      </x:c>
      <x:c r="C13" t="s">
        <x:v>1092</x:v>
      </x:c>
      <x:c r="D13" t="s">
        <x:v>1082</x:v>
      </x:c>
    </x:row>
    <x:row r="14">
      <x:c r="A14" t="s">
        <x:v>1093</x:v>
      </x:c>
      <x:c r="B14" t="n">
        <x:f>COUNTIF(League_Summary!$H$4:$H$33,"STABLE")</x:f>
        <x:v>0</x:v>
      </x:c>
      <x:c r="C14" t="s">
        <x:v>1094</x:v>
      </x:c>
      <x:c r="D14" t="s">
        <x:v>1082</x:v>
      </x:c>
    </x:row>
    <x:row r="15">
      <x:c r="A15" t="s">
        <x:v>1095</x:v>
      </x:c>
      <x:c r="B15" t="s">
        <x:v>1096</x:v>
      </x:c>
      <x:c r="C15" t="s">
        <x:v>1097</x:v>
      </x:c>
      <x:c r="D15" t="s">
        <x:v>1098</x:v>
      </x:c>
      <x:c r="H15" t="s">
        <x:v>1099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cols>
    <x:col min="1" max="1" width="44" customWidth="1"/>
    <x:col min="2" max="2" width="8.375" customWidth="1"/>
    <x:col min="3" max="3" width="64.5" customWidth="1"/>
    <x:col min="4" max="4" width="44.125" customWidth="1"/>
    <x:col min="5" max="5" width="30.5" customWidth="1"/>
    <x:col min="6" max="6" width="7.375" customWidth="1"/>
  </x:cols>
  <x:sheetData>
    <x:row r="1" ht="18">
      <x:c r="A1" s="235" t="s">
        <x:v>1100</x:v>
      </x:c>
      <x:c r="B1" s="235"/>
      <x:c r="C1" s="235"/>
      <x:c r="D1" s="235"/>
      <x:c r="E1" s="235"/>
      <x:c r="F1" s="235"/>
    </x:row>
    <x:row r="2">
      <x:c r="A2" s="236" t="s">
        <x:v>1101</x:v>
      </x:c>
      <x:c r="B2" s="236"/>
      <x:c r="C2" s="236"/>
      <x:c r="D2" s="236"/>
      <x:c r="E2" s="236"/>
      <x:c r="F2" s="236"/>
    </x:row>
    <x:row r="3" ht="15">
      <x:c r="A3" s="147" t="s">
        <x:v>1102</x:v>
      </x:c>
      <x:c r="B3" s="147" t="s">
        <x:v>1103</x:v>
      </x:c>
      <x:c r="C3" s="147" t="s">
        <x:v>1104</x:v>
      </x:c>
      <x:c r="D3" s="147" t="s">
        <x:v>1105</x:v>
      </x:c>
      <x:c r="E3" s="147" t="s">
        <x:v>1106</x:v>
      </x:c>
      <x:c r="F3" s="147" t="s">
        <x:v>1107</x:v>
      </x:c>
    </x:row>
    <x:row r="4">
      <x:c r="A4" s="144" t="s">
        <x:v>969</x:v>
      </x:c>
      <x:c r="B4" s="144"/>
      <x:c r="C4" s="144" t="s">
        <x:v>1108</x:v>
      </x:c>
      <x:c r="D4" s="144" t="s">
        <x:v>1109</x:v>
      </x:c>
      <x:c r="E4" s="144" t="s">
        <x:v>1110</x:v>
      </x:c>
      <x:c r="F4" s="144" t="s">
        <x:v>1111</x:v>
      </x:c>
    </x:row>
    <x:row r="5">
      <x:c r="A5" s="144" t="s">
        <x:v>970</x:v>
      </x:c>
      <x:c r="B5" s="144"/>
      <x:c r="C5" s="144" t="s">
        <x:v>1112</x:v>
      </x:c>
      <x:c r="D5" s="144" t="s">
        <x:v>1113</x:v>
      </x:c>
      <x:c r="E5" s="144" t="s">
        <x:v>1110</x:v>
      </x:c>
      <x:c r="F5" s="144" t="s">
        <x:v>1111</x:v>
      </x:c>
    </x:row>
    <x:row r="6">
      <x:c r="A6" s="144" t="s">
        <x:v>971</x:v>
      </x:c>
      <x:c r="B6" s="144"/>
      <x:c r="C6" s="144" t="s">
        <x:v>1114</x:v>
      </x:c>
      <x:c r="D6" s="144" t="s">
        <x:v>1115</x:v>
      </x:c>
      <x:c r="E6" s="144" t="s">
        <x:v>1110</x:v>
      </x:c>
      <x:c r="F6" s="144" t="s">
        <x:v>1111</x:v>
      </x:c>
    </x:row>
    <x:row r="7">
      <x:c r="A7" s="144" t="s">
        <x:v>972</x:v>
      </x:c>
      <x:c r="B7" s="144"/>
      <x:c r="C7" s="144" t="s">
        <x:v>1116</x:v>
      </x:c>
      <x:c r="D7" s="144" t="s">
        <x:v>1117</x:v>
      </x:c>
      <x:c r="E7" s="144" t="s">
        <x:v>1118</x:v>
      </x:c>
      <x:c r="F7" s="144" t="s">
        <x:v>1111</x:v>
      </x:c>
    </x:row>
    <x:row r="8">
      <x:c r="A8" s="144" t="s">
        <x:v>973</x:v>
      </x:c>
      <x:c r="B8" s="144"/>
      <x:c r="C8" s="144" t="s">
        <x:v>1119</x:v>
      </x:c>
      <x:c r="D8" s="144" t="s">
        <x:v>15</x:v>
      </x:c>
      <x:c r="E8" s="144" t="s">
        <x:v>1110</x:v>
      </x:c>
      <x:c r="F8" s="144" t="s">
        <x:v>1111</x:v>
      </x:c>
    </x:row>
    <x:row r="9">
      <x:c r="A9" s="144" t="s">
        <x:v>974</x:v>
      </x:c>
      <x:c r="B9" s="144"/>
      <x:c r="C9" s="144" t="s">
        <x:v>1120</x:v>
      </x:c>
      <x:c r="D9" s="144" t="s">
        <x:v>15</x:v>
      </x:c>
      <x:c r="E9" s="144" t="s">
        <x:v>1110</x:v>
      </x:c>
      <x:c r="F9" s="144" t="s">
        <x:v>1111</x:v>
      </x:c>
    </x:row>
    <x:row r="10">
      <x:c r="A10" s="144" t="s">
        <x:v>975</x:v>
      </x:c>
      <x:c r="B10" s="144"/>
      <x:c r="C10" s="144" t="s">
        <x:v>1121</x:v>
      </x:c>
      <x:c r="D10" s="144" t="s">
        <x:v>15</x:v>
      </x:c>
      <x:c r="E10" s="144" t="s">
        <x:v>1110</x:v>
      </x:c>
      <x:c r="F10" s="144" t="s">
        <x:v>1111</x:v>
      </x:c>
    </x:row>
    <x:row r="11">
      <x:c r="A11" s="144" t="s">
        <x:v>976</x:v>
      </x:c>
      <x:c r="B11" s="144">
        <x:v>0</x:v>
      </x:c>
      <x:c r="C11" s="144" t="s">
        <x:v>1122</x:v>
      </x:c>
      <x:c r="D11" s="144" t="s">
        <x:v>1123</x:v>
      </x:c>
      <x:c r="E11" s="144" t="s">
        <x:v>1124</x:v>
      </x:c>
      <x:c r="F11" s="144" t="s">
        <x:v>1125</x:v>
      </x:c>
    </x:row>
    <x:row r="12" ht="28.5">
      <x:c r="A12" s="144" t="s">
        <x:v>977</x:v>
      </x:c>
      <x:c r="B12" s="144" t="s">
        <x:v>1126</x:v>
      </x:c>
      <x:c r="C12" s="144" t="s">
        <x:v>1127</x:v>
      </x:c>
      <x:c r="D12" s="144" t="s">
        <x:v>1128</x:v>
      </x:c>
      <x:c r="E12" s="144" t="s">
        <x:v>1124</x:v>
      </x:c>
      <x:c r="F12" s="144" t="s">
        <x:v>1125</x:v>
      </x:c>
    </x:row>
    <x:row r="13" ht="28.5">
      <x:c r="A13" s="144" t="s">
        <x:v>979</x:v>
      </x:c>
      <x:c r="B13" s="144" t="s">
        <x:v>871</x:v>
      </x:c>
      <x:c r="C13" s="144" t="s">
        <x:v>1129</x:v>
      </x:c>
      <x:c r="D13" s="144" t="s">
        <x:v>1130</x:v>
      </x:c>
      <x:c r="E13" s="144" t="s">
        <x:v>1131</x:v>
      </x:c>
      <x:c r="F13" s="144" t="s">
        <x:v>1125</x:v>
      </x:c>
    </x:row>
    <x:row r="14" ht="28.5">
      <x:c r="A14" s="144" t="s">
        <x:v>978</x:v>
      </x:c>
      <x:c r="B14" s="144" t="n">
        <x:f>IF(AND(B11&gt;=2,B12="CONFIRMED",B13="SCĂZUT"),0.94,IF(B13="SCĂZUT",0.92,IF(B13="MEDIU",0.91,0.9)))</x:f>
        <x:v>0.9</x:v>
      </x:c>
      <x:c r="C14" s="144" t="s">
        <x:v>1132</x:v>
      </x:c>
      <x:c r="D14" s="144" t="s">
        <x:v>1133</x:v>
      </x:c>
      <x:c r="E14" s="144" t="s">
        <x:v>1131</x:v>
      </x:c>
      <x:c r="F14" s="144" t="s">
        <x:v>1125</x:v>
      </x:c>
    </x:row>
    <x:row r="15">
      <x:c r="A15" s="144" t="s">
        <x:v>964</x:v>
      </x:c>
      <x:c r="B15" s="144" t="str">
        <x:f>IF(B7="","",MIN(1-B7,B14))</x:f>
      </x:c>
      <x:c r="C15" s="144" t="s">
        <x:v>1134</x:v>
      </x:c>
      <x:c r="D15" s="144" t="s">
        <x:v>1135</x:v>
      </x:c>
      <x:c r="E15" s="144" t="s">
        <x:v>1136</x:v>
      </x:c>
      <x:c r="F15" s="144" t="s">
        <x:v>1111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cols>
    <x:col min="1" max="1" width="31" customWidth="1"/>
    <x:col min="2" max="4" width="17" customWidth="1"/>
    <x:col min="5" max="5" width="18" customWidth="1"/>
    <x:col min="6" max="6" width="34" customWidth="1"/>
  </x:cols>
  <x:sheetData>
    <x:row r="1" ht="18">
      <x:c r="A1" s="241" t="s">
        <x:v>1137</x:v>
      </x:c>
      <x:c r="B1" s="241"/>
      <x:c r="C1" s="241"/>
      <x:c r="D1" s="241"/>
      <x:c r="E1" s="241"/>
      <x:c r="F1" s="241"/>
    </x:row>
    <x:row r="2" ht="15">
      <x:c r="A2" s="165" t="s">
        <x:v>3</x:v>
      </x:c>
      <x:c r="B2" s="165" t="str">
        <x:f>Dashboard!B4</x:f>
        <x:v>DEMO-LIGA-001</x:v>
      </x:c>
    </x:row>
    <x:row r="4" ht="15">
      <x:c r="A4" s="164" t="s">
        <x:v>860</x:v>
      </x:c>
      <x:c r="B4" s="164" t="s">
        <x:v>2</x:v>
      </x:c>
      <x:c r="C4" s="164" t="s">
        <x:v>1138</x:v>
      </x:c>
      <x:c r="D4" s="164" t="s">
        <x:v>35</x:v>
      </x:c>
      <x:c r="E4" s="164" t="s">
        <x:v>899</x:v>
      </x:c>
      <x:c r="F4" s="164" t="s">
        <x:v>314</x:v>
      </x:c>
    </x:row>
    <x:row r="5" ht="29.100000381469727" customHeight="1">
      <x:c r="A5" s="166" t="s">
        <x:v>231</x:v>
      </x:c>
      <x:c r="B5" s="168" t="n">
        <x:f>IFERROR(INDEX('Analize meciuri'!$FY$4:$FY$103,MATCH($B$2,'Analize meciuri'!$A$4:$A$103,0)),"")</x:f>
        <x:v>0.2</x:v>
      </x:c>
      <x:c r="C5" s="167" t="n">
        <x:f>'Setari model'!$B$113</x:f>
        <x:v>0.2</x:v>
      </x:c>
      <x:c r="D5" s="166" t="str">
        <x:f t="shared" ref="D5:D23" si="0">IF(B5="","",IF(OR(B5="DA",B5="SCĂZUT"),"PASS",IF(OR(B5="NU",B5="MEDIU",B5="RIDICAT",B5="NEDETERMINAT"),"FLAG","INFO")))</x:f>
        <x:v>INFO</x:v>
      </x:c>
      <x:c r="E5" s="166" t="s">
        <x:v>1139</x:v>
      </x:c>
      <x:c r="F5" s="166" t="s">
        <x:v>1140</x:v>
      </x:c>
    </x:row>
    <x:row r="6" ht="29.100000381469727" customHeight="1">
      <x:c r="A6" s="166" t="s">
        <x:v>232</x:v>
      </x:c>
      <x:c r="B6" s="168" t="n">
        <x:f>IFERROR(INDEX('Analize meciuri'!$FZ$4:$FZ$103,MATCH($B$2,'Analize meciuri'!$A$4:$A$103,0)),"")</x:f>
        <x:v>0.2</x:v>
      </x:c>
      <x:c r="C6" s="167" t="n">
        <x:f>'Setari model'!$B$113</x:f>
        <x:v>0.2</x:v>
      </x:c>
      <x:c r="D6" s="166" t="str">
        <x:f t="shared" si="0"/>
        <x:v>INFO</x:v>
      </x:c>
      <x:c r="E6" s="166" t="s">
        <x:v>1139</x:v>
      </x:c>
      <x:c r="F6" s="166" t="s">
        <x:v>1140</x:v>
      </x:c>
    </x:row>
    <x:row r="7" ht="29.100000381469727" customHeight="1">
      <x:c r="A7" s="166" t="s">
        <x:v>238</x:v>
      </x:c>
      <x:c r="B7" s="167" t="str">
        <x:f>IFERROR(INDEX('Analize meciuri'!$GF$4:$GF$103,MATCH($B$2,'Analize meciuri'!$A$4:$A$103,0)),"")</x:f>
        <x:v>DA</x:v>
      </x:c>
      <x:c r="C7" s="167"/>
      <x:c r="D7" s="166" t="str">
        <x:f t="shared" si="0"/>
        <x:v>PASS</x:v>
      </x:c>
      <x:c r="E7" s="166" t="s">
        <x:v>1141</x:v>
      </x:c>
      <x:c r="F7" s="166" t="s">
        <x:v>1142</x:v>
      </x:c>
    </x:row>
    <x:row r="8" ht="29.100000381469727" customHeight="1">
      <x:c r="A8" s="166" t="s">
        <x:v>239</x:v>
      </x:c>
      <x:c r="B8" s="167" t="str">
        <x:f>IFERROR(INDEX('Analize meciuri'!$GG$4:$GG$103,MATCH($B$2,'Analize meciuri'!$A$4:$A$103,0)),"")</x:f>
        <x:v>DA</x:v>
      </x:c>
      <x:c r="C8" s="167"/>
      <x:c r="D8" s="166" t="str">
        <x:f t="shared" si="0"/>
        <x:v>PASS</x:v>
      </x:c>
      <x:c r="E8" s="166" t="s">
        <x:v>1141</x:v>
      </x:c>
      <x:c r="F8" s="166" t="s">
        <x:v>1142</x:v>
      </x:c>
    </x:row>
    <x:row r="9" ht="29.100000381469727" customHeight="1">
      <x:c r="A9" s="166" t="s">
        <x:v>126</x:v>
      </x:c>
      <x:c r="B9" s="169" t="n">
        <x:f>IFERROR(INDEX('Analize meciuri'!$BS$4:$BS$103,MATCH($B$2,'Analize meciuri'!$A$4:$A$103,0)),"")</x:f>
        <x:v>2.748512085714587</x:v>
      </x:c>
      <x:c r="C9" s="167"/>
      <x:c r="D9" s="166" t="str">
        <x:f t="shared" si="0"/>
        <x:v>INFO</x:v>
      </x:c>
      <x:c r="E9" s="166" t="s">
        <x:v>1143</x:v>
      </x:c>
      <x:c r="F9" s="166" t="s">
        <x:v>1144</x:v>
      </x:c>
    </x:row>
    <x:row r="10" ht="29.100000381469727" customHeight="1">
      <x:c r="A10" s="166" t="s">
        <x:v>235</x:v>
      </x:c>
      <x:c r="B10" s="169" t="n">
        <x:f>IFERROR(INDEX('Analize meciuri'!$GC$4:$GC$103,MATCH($B$2,'Analize meciuri'!$A$4:$A$103,0)),"")</x:f>
        <x:v>1.032258064516129</x:v>
      </x:c>
      <x:c r="C10" s="167" t="n">
        <x:f>'Setari model'!$B$117</x:f>
        <x:v>0.9</x:v>
      </x:c>
      <x:c r="D10" s="166" t="str">
        <x:f t="shared" si="0"/>
        <x:v>INFO</x:v>
      </x:c>
      <x:c r="E10" s="166" t="s">
        <x:v>1145</x:v>
      </x:c>
      <x:c r="F10" s="166" t="s">
        <x:v>1146</x:v>
      </x:c>
    </x:row>
    <x:row r="11" ht="29.100000381469727" customHeight="1">
      <x:c r="A11" s="166" t="s">
        <x:v>236</x:v>
      </x:c>
      <x:c r="B11" s="169" t="n">
        <x:f>IFERROR(INDEX('Analize meciuri'!$GD$4:$GD$103,MATCH($B$2,'Analize meciuri'!$A$4:$A$103,0)),"")</x:f>
        <x:v>0.923076923076923</x:v>
      </x:c>
      <x:c r="C11" s="167" t="n">
        <x:f>'Setari model'!$B$117</x:f>
        <x:v>0.9</x:v>
      </x:c>
      <x:c r="D11" s="166" t="str">
        <x:f t="shared" si="0"/>
        <x:v>INFO</x:v>
      </x:c>
      <x:c r="E11" s="166" t="s">
        <x:v>1145</x:v>
      </x:c>
      <x:c r="F11" s="166" t="s">
        <x:v>1146</x:v>
      </x:c>
    </x:row>
    <x:row r="12" ht="29.100000381469727" customHeight="1">
      <x:c r="A12" s="166" t="s">
        <x:v>237</x:v>
      </x:c>
      <x:c r="B12" s="169" t="n">
        <x:f>IFERROR(INDEX('Analize meciuri'!$GE$4:$GE$103,MATCH($B$2,'Analize meciuri'!$A$4:$A$103,0)),"")</x:f>
        <x:v>1.425</x:v>
      </x:c>
      <x:c r="C12" s="167" t="n">
        <x:f>'Setari model'!$B$118</x:f>
        <x:v>0.8</x:v>
      </x:c>
      <x:c r="D12" s="166" t="str">
        <x:f t="shared" si="0"/>
        <x:v>INFO</x:v>
      </x:c>
      <x:c r="E12" s="166" t="s">
        <x:v>1145</x:v>
      </x:c>
      <x:c r="F12" s="166" t="s">
        <x:v>1147</x:v>
      </x:c>
    </x:row>
    <x:row r="13" ht="29.100000381469727" customHeight="1">
      <x:c r="A13" s="166" t="s">
        <x:v>240</x:v>
      </x:c>
      <x:c r="B13" s="167" t="str">
        <x:f>IFERROR(INDEX('Analize meciuri'!$GH$4:$GH$103,MATCH($B$2,'Analize meciuri'!$A$4:$A$103,0)),"")</x:f>
        <x:v>NU</x:v>
      </x:c>
      <x:c r="C13" s="167"/>
      <x:c r="D13" s="166" t="str">
        <x:f t="shared" si="0"/>
        <x:v>FLAG</x:v>
      </x:c>
      <x:c r="E13" s="166" t="s">
        <x:v>1148</x:v>
      </x:c>
      <x:c r="F13" s="166" t="s">
        <x:v>1149</x:v>
      </x:c>
    </x:row>
    <x:row r="14" ht="29.100000381469727" customHeight="1">
      <x:c r="A14" s="166" t="s">
        <x:v>241</x:v>
      </x:c>
      <x:c r="B14" s="167" t="str">
        <x:f>IFERROR(INDEX('Analize meciuri'!$GI$4:$GI$103,MATCH($B$2,'Analize meciuri'!$A$4:$A$103,0)),"")</x:f>
        <x:v>DA</x:v>
      </x:c>
      <x:c r="C14" s="167"/>
      <x:c r="D14" s="166" t="str">
        <x:f t="shared" si="0"/>
        <x:v>PASS</x:v>
      </x:c>
      <x:c r="E14" s="166" t="s">
        <x:v>1141</x:v>
      </x:c>
      <x:c r="F14" s="166" t="s">
        <x:v>1150</x:v>
      </x:c>
    </x:row>
    <x:row r="15" ht="29.100000381469727" customHeight="1">
      <x:c r="A15" s="166" t="s">
        <x:v>1151</x:v>
      </x:c>
      <x:c r="B15" s="168" t="n">
        <x:f>IFERROR(INDEX('Analize meciuri'!$GJ$4:$GJ$103,MATCH($B$2,'Analize meciuri'!$A$4:$A$103,0)),"")</x:f>
        <x:v>0</x:v>
      </x:c>
      <x:c r="C15" s="167"/>
      <x:c r="D15" s="166" t="str">
        <x:f t="shared" si="0"/>
        <x:v>INFO</x:v>
      </x:c>
      <x:c r="E15" s="166" t="s">
        <x:v>1152</x:v>
      </x:c>
      <x:c r="F15" s="166" t="s">
        <x:v>1153</x:v>
      </x:c>
    </x:row>
    <x:row r="16" ht="29.100000381469727" customHeight="1">
      <x:c r="A16" s="166" t="s">
        <x:v>1154</x:v>
      </x:c>
      <x:c r="B16" s="170" t="n">
        <x:f>IFERROR(INDEX('Analize meciuri'!$GK$4:$GK$103,MATCH($B$2,'Analize meciuri'!$A$4:$A$103,0)),"")</x:f>
        <x:v>1</x:v>
      </x:c>
      <x:c r="C16" s="167"/>
      <x:c r="D16" s="166" t="str">
        <x:f t="shared" si="0"/>
        <x:v>INFO</x:v>
      </x:c>
      <x:c r="E16" s="166" t="s">
        <x:v>1155</x:v>
      </x:c>
      <x:c r="F16" s="166" t="s">
        <x:v>1156</x:v>
      </x:c>
    </x:row>
    <x:row r="17" ht="29.100000381469727" customHeight="1">
      <x:c r="A17" s="166" t="s">
        <x:v>21</x:v>
      </x:c>
      <x:c r="B17" s="168" t="n">
        <x:f>IFERROR(INDEX('Analize meciuri'!$GL$4:$GL$103,MATCH($B$2,'Analize meciuri'!$A$4:$A$103,0)),"")</x:f>
        <x:v>0.05643773654116299</x:v>
      </x:c>
      <x:c r="C17" s="167"/>
      <x:c r="D17" s="166" t="str">
        <x:f t="shared" si="0"/>
        <x:v>INFO</x:v>
      </x:c>
      <x:c r="E17" s="166" t="s">
        <x:v>34</x:v>
      </x:c>
      <x:c r="F17" s="166" t="s">
        <x:v>1157</x:v>
      </x:c>
    </x:row>
    <x:row r="18" ht="29.100000381469727" customHeight="1">
      <x:c r="A18" s="166" t="s">
        <x:v>1158</x:v>
      </x:c>
      <x:c r="B18" s="167" t="str">
        <x:f>IFERROR(INDEX('Analize meciuri'!$GM$4:$GM$103,MATCH($B$2,'Analize meciuri'!$A$4:$A$103,0)),"")</x:f>
        <x:v>DA</x:v>
      </x:c>
      <x:c r="C18" s="167"/>
      <x:c r="D18" s="166" t="str">
        <x:f t="shared" si="0"/>
        <x:v>PASS</x:v>
      </x:c>
      <x:c r="E18" s="166" t="s">
        <x:v>1159</x:v>
      </x:c>
      <x:c r="F18" s="166" t="s">
        <x:v>1160</x:v>
      </x:c>
    </x:row>
    <x:row r="19" ht="29.100000381469727" customHeight="1">
      <x:c r="A19" s="166" t="s">
        <x:v>859</x:v>
      </x:c>
      <x:c r="B19" s="167" t="str">
        <x:f>IFERROR(INDEX('Analize meciuri'!$GN$4:$GN$103,MATCH($B$2,'Analize meciuri'!$A$4:$A$103,0)),"")</x:f>
        <x:v>SCĂZUT</x:v>
      </x:c>
      <x:c r="C19" s="167"/>
      <x:c r="D19" s="166" t="str">
        <x:f t="shared" si="0"/>
        <x:v>PASS</x:v>
      </x:c>
      <x:c r="E19" s="166" t="s">
        <x:v>1159</x:v>
      </x:c>
      <x:c r="F19" s="166" t="s">
        <x:v>1161</x:v>
      </x:c>
    </x:row>
    <x:row r="20" ht="29.100000381469727" customHeight="1">
      <x:c r="A20" s="166" t="s">
        <x:v>1162</x:v>
      </x:c>
      <x:c r="B20" s="168" t="n">
        <x:f>IFERROR(INDEX('Analize meciuri'!$GO$4:$GO$103,MATCH($B$2,'Analize meciuri'!$A$4:$A$103,0)),"")</x:f>
        <x:v>0.92</x:v>
      </x:c>
      <x:c r="C20" s="167"/>
      <x:c r="D20" s="166" t="str">
        <x:f t="shared" si="0"/>
        <x:v>INFO</x:v>
      </x:c>
      <x:c r="E20" s="166" t="s">
        <x:v>1163</x:v>
      </x:c>
      <x:c r="F20" s="166" t="s">
        <x:v>1164</x:v>
      </x:c>
    </x:row>
    <x:row r="21" ht="29.100000381469727" customHeight="1">
      <x:c r="A21" s="166" t="s">
        <x:v>244</x:v>
      </x:c>
      <x:c r="B21" s="168" t="n">
        <x:f>IFERROR(INDEX('Analize meciuri'!$GP$4:$GP$103,MATCH($B$2,'Analize meciuri'!$A$4:$A$103,0)),"")</x:f>
        <x:v>0.92</x:v>
      </x:c>
      <x:c r="C21" s="167"/>
      <x:c r="D21" s="166" t="str">
        <x:f t="shared" si="0"/>
        <x:v>INFO</x:v>
      </x:c>
      <x:c r="E21" s="166" t="s">
        <x:v>1165</x:v>
      </x:c>
      <x:c r="F21" s="166" t="s">
        <x:v>1166</x:v>
      </x:c>
    </x:row>
    <x:row r="22" ht="29.100000381469727" customHeight="1">
      <x:c r="A22" s="166" t="s">
        <x:v>1167</x:v>
      </x:c>
      <x:c r="B22" s="167" t="str">
        <x:f>IFERROR(INDEX('Analize meciuri'!$GU$4:$GU$103,MATCH($B$2,'Analize meciuri'!$A$4:$A$103,0)),"")</x:f>
        <x:v>NU – LINEUP NECONFIRMAT</x:v>
      </x:c>
      <x:c r="C22" s="167"/>
      <x:c r="D22" s="166" t="str">
        <x:f t="shared" si="0"/>
        <x:v>INFO</x:v>
      </x:c>
      <x:c r="E22" s="166" t="s">
        <x:v>1159</x:v>
      </x:c>
      <x:c r="F22" s="166" t="s">
        <x:v>1160</x:v>
      </x:c>
    </x:row>
    <x:row r="23" ht="29.100000381469727" customHeight="1">
      <x:c r="A23" s="166" t="s">
        <x:v>858</x:v>
      </x:c>
      <x:c r="B23" s="167" t="str">
        <x:f>IFERROR(INDEX('Analize meciuri'!$GV$4:$GV$103,MATCH($B$2,'Analize meciuri'!$A$4:$A$103,0)),"")</x:f>
        <x:v>WATCH / NO BET</x:v>
      </x:c>
      <x:c r="C23" s="167"/>
      <x:c r="D23" s="166" t="str">
        <x:f t="shared" si="0"/>
        <x:v>INFO</x:v>
      </x:c>
      <x:c r="E23" s="166" t="s">
        <x:v>1168</x:v>
      </x:c>
      <x:c r="F23" s="166" t="s">
        <x:v>1169</x:v>
      </x:c>
    </x:row>
  </x:sheetData>
  <x:mergeCells>
    <x:mergeCell ref="A1:F1"/>
  </x:mergeCells>
  <x:conditionalFormatting sqref="D5:D23">
    <x:cfRule type="containsText" dxfId="1" priority="1" operator="containsText" text="PASS"/>
    <x:cfRule type="containsText" dxfId="0" priority="2" operator="containsText" text="FLAG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25"/>
  <x:cols>
    <x:col min="1" max="1" width="24" customWidth="1"/>
    <x:col min="2" max="8" width="30" customWidth="1"/>
  </x:cols>
  <x:sheetData>
    <x:row r="1" ht="24" customHeight="1">
      <x:c r="A1" s="242" t="s">
        <x:v>1170</x:v>
      </x:c>
      <x:c r="B1" s="242"/>
      <x:c r="C1" s="242"/>
      <x:c r="D1" s="242"/>
      <x:c r="E1" s="242"/>
      <x:c r="F1" s="242"/>
      <x:c r="G1" s="242"/>
      <x:c r="H1" s="242"/>
    </x:row>
    <x:row r="2">
      <x:c r="A2" s="243" t="s">
        <x:v>1171</x:v>
      </x:c>
      <x:c r="B2" s="243"/>
      <x:c r="C2" s="243"/>
      <x:c r="D2" s="243"/>
      <x:c r="E2" s="243"/>
      <x:c r="F2" s="243"/>
      <x:c r="G2" s="243"/>
      <x:c r="H2" s="243"/>
    </x:row>
    <x:row r="4" ht="15">
      <x:c r="A4" s="172" t="s">
        <x:v>1172</x:v>
      </x:c>
      <x:c r="B4" s="172"/>
      <x:c r="C4" s="172"/>
      <x:c r="D4" s="172"/>
      <x:c r="E4" s="172"/>
      <x:c r="F4" s="172"/>
      <x:c r="G4" s="172"/>
      <x:c r="H4" s="172"/>
    </x:row>
    <x:row r="5" ht="28.5">
      <x:c r="A5" s="144" t="s">
        <x:v>1173</x:v>
      </x:c>
      <x:c r="B5" s="144"/>
      <x:c r="C5" s="144"/>
      <x:c r="D5" s="144"/>
      <x:c r="E5" s="144"/>
      <x:c r="F5" s="144"/>
    </x:row>
    <x:row r="6">
      <x:c r="A6" s="144"/>
      <x:c r="B6" s="144"/>
      <x:c r="C6" s="144"/>
      <x:c r="D6" s="144"/>
      <x:c r="E6" s="144"/>
      <x:c r="F6" s="144"/>
    </x:row>
    <x:row r="7">
      <x:c r="A7" s="144" t="s">
        <x:v>1174</x:v>
      </x:c>
      <x:c r="B7" s="144" t="s">
        <x:v>1175</x:v>
      </x:c>
      <x:c r="C7" s="144" t="s">
        <x:v>1176</x:v>
      </x:c>
      <x:c r="D7" s="144" t="s">
        <x:v>384</x:v>
      </x:c>
      <x:c r="E7" s="144" t="s">
        <x:v>1177</x:v>
      </x:c>
      <x:c r="F7" s="144" t="s">
        <x:v>1178</x:v>
      </x:c>
    </x:row>
    <x:row r="8" ht="42.75">
      <x:c r="A8" s="144" t="s">
        <x:v>934</x:v>
      </x:c>
      <x:c r="B8" s="144" t="s">
        <x:v>1179</x:v>
      </x:c>
      <x:c r="C8" s="144" t="s">
        <x:v>1180</x:v>
      </x:c>
      <x:c r="D8" s="144" t="s">
        <x:v>1181</x:v>
      </x:c>
      <x:c r="E8" s="144" t="s">
        <x:v>1182</x:v>
      </x:c>
      <x:c r="F8" s="144" t="s">
        <x:v>1183</x:v>
      </x:c>
    </x:row>
    <x:row r="9" ht="57">
      <x:c r="A9" s="144" t="s">
        <x:v>934</x:v>
      </x:c>
      <x:c r="B9" s="144" t="s">
        <x:v>1184</x:v>
      </x:c>
      <x:c r="C9" s="144" t="s">
        <x:v>1185</x:v>
      </x:c>
      <x:c r="D9" s="144" t="s">
        <x:v>1186</x:v>
      </x:c>
      <x:c r="E9" s="144" t="s">
        <x:v>1187</x:v>
      </x:c>
      <x:c r="F9" s="144" t="s">
        <x:v>1188</x:v>
      </x:c>
    </x:row>
    <x:row r="10" ht="28.5">
      <x:c r="A10" s="144" t="s">
        <x:v>1189</x:v>
      </x:c>
      <x:c r="B10" s="144" t="s">
        <x:v>1190</x:v>
      </x:c>
      <x:c r="C10" s="144" t="s">
        <x:v>1191</x:v>
      </x:c>
      <x:c r="D10" s="144" t="s">
        <x:v>1192</x:v>
      </x:c>
      <x:c r="E10" s="144" t="s">
        <x:v>1193</x:v>
      </x:c>
      <x:c r="F10" s="144" t="s">
        <x:v>1194</x:v>
      </x:c>
    </x:row>
    <x:row r="13" ht="15">
      <x:c r="A13" s="172" t="s">
        <x:v>1195</x:v>
      </x:c>
      <x:c r="B13" s="172"/>
      <x:c r="C13" s="172"/>
      <x:c r="D13" s="172"/>
      <x:c r="E13" s="172"/>
      <x:c r="F13" s="172"/>
      <x:c r="G13" s="172"/>
      <x:c r="H13" s="172"/>
    </x:row>
    <x:row r="14" ht="42.75">
      <x:c r="A14" s="144" t="s">
        <x:v>1196</x:v>
      </x:c>
      <x:c r="B14" s="144"/>
      <x:c r="C14" s="144"/>
      <x:c r="D14" s="144"/>
      <x:c r="E14" s="144"/>
      <x:c r="F14" s="144"/>
      <x:c r="G14" s="144"/>
    </x:row>
    <x:row r="15" ht="28.5">
      <x:c r="A15" s="144" t="s">
        <x:v>1197</x:v>
      </x:c>
      <x:c r="B15" s="144"/>
      <x:c r="C15" s="144"/>
      <x:c r="D15" s="144"/>
      <x:c r="E15" s="144"/>
      <x:c r="F15" s="144"/>
      <x:c r="G15" s="144"/>
    </x:row>
    <x:row r="16">
      <x:c r="A16" s="144" t="s">
        <x:v>1198</x:v>
      </x:c>
      <x:c r="B16" s="144" t="s">
        <x:v>1199</x:v>
      </x:c>
      <x:c r="C16" s="144" t="s">
        <x:v>1200</x:v>
      </x:c>
      <x:c r="D16" s="144" t="s">
        <x:v>1201</x:v>
      </x:c>
      <x:c r="E16" s="144" t="s">
        <x:v>1202</x:v>
      </x:c>
      <x:c r="F16" s="144" t="s">
        <x:v>1203</x:v>
      </x:c>
      <x:c r="G16" s="144" t="s">
        <x:v>1204</x:v>
      </x:c>
    </x:row>
    <x:row r="17" ht="28.5">
      <x:c r="A17" s="144" t="s">
        <x:v>934</x:v>
      </x:c>
      <x:c r="B17" s="144" t="s">
        <x:v>1205</x:v>
      </x:c>
      <x:c r="C17" s="144" t="s">
        <x:v>1206</x:v>
      </x:c>
      <x:c r="D17" s="144" t="s">
        <x:v>1207</x:v>
      </x:c>
      <x:c r="E17" s="144" t="s">
        <x:v>1208</x:v>
      </x:c>
      <x:c r="F17" s="144" t="s">
        <x:v>1209</x:v>
      </x:c>
      <x:c r="G17" s="144" t="s">
        <x:v>1210</x:v>
      </x:c>
    </x:row>
    <x:row r="18" ht="42.75">
      <x:c r="A18" s="144" t="s">
        <x:v>1189</x:v>
      </x:c>
      <x:c r="B18" s="144" t="s">
        <x:v>1211</x:v>
      </x:c>
      <x:c r="C18" s="144" t="s">
        <x:v>1212</x:v>
      </x:c>
      <x:c r="D18" s="144" t="s">
        <x:v>1213</x:v>
      </x:c>
      <x:c r="E18" s="144" t="s">
        <x:v>1214</x:v>
      </x:c>
      <x:c r="F18" s="144" t="s">
        <x:v>1215</x:v>
      </x:c>
      <x:c r="G18" s="144" t="s">
        <x:v>1216</x:v>
      </x:c>
    </x:row>
    <x:row r="21" ht="15">
      <x:c r="A21" s="172" t="s">
        <x:v>1217</x:v>
      </x:c>
      <x:c r="B21" s="172"/>
      <x:c r="C21" s="172"/>
      <x:c r="D21" s="172"/>
      <x:c r="E21" s="172"/>
      <x:c r="F21" s="172"/>
      <x:c r="G21" s="172"/>
      <x:c r="H21" s="172"/>
    </x:row>
    <x:row r="22" ht="28.5">
      <x:c r="A22" s="144" t="s">
        <x:v>1218</x:v>
      </x:c>
      <x:c r="B22" s="144"/>
      <x:c r="C22" s="144"/>
      <x:c r="D22" s="144"/>
      <x:c r="E22" s="144"/>
      <x:c r="F22" s="144"/>
    </x:row>
    <x:row r="23">
      <x:c r="A23" s="144"/>
      <x:c r="B23" s="144"/>
      <x:c r="C23" s="144"/>
      <x:c r="D23" s="144"/>
      <x:c r="E23" s="144"/>
      <x:c r="F23" s="144"/>
    </x:row>
    <x:row r="24">
      <x:c r="A24" s="144" t="s">
        <x:v>1174</x:v>
      </x:c>
      <x:c r="B24" s="144" t="s">
        <x:v>1219</x:v>
      </x:c>
      <x:c r="C24" s="144" t="s">
        <x:v>1220</x:v>
      </x:c>
      <x:c r="D24" s="144" t="s">
        <x:v>384</x:v>
      </x:c>
      <x:c r="E24" s="144" t="s">
        <x:v>1177</x:v>
      </x:c>
      <x:c r="F24" s="144" t="s">
        <x:v>1221</x:v>
      </x:c>
    </x:row>
    <x:row r="25" ht="42.75">
      <x:c r="A25" s="144" t="s">
        <x:v>934</x:v>
      </x:c>
      <x:c r="B25" s="144" t="s">
        <x:v>1222</x:v>
      </x:c>
      <x:c r="C25" s="144" t="s">
        <x:v>1223</x:v>
      </x:c>
      <x:c r="D25" s="144" t="s">
        <x:v>1224</x:v>
      </x:c>
      <x:c r="E25" s="144" t="s">
        <x:v>1225</x:v>
      </x:c>
      <x:c r="F25" s="144" t="s">
        <x:v>1226</x:v>
      </x:c>
    </x:row>
    <x:row r="26" ht="42.75">
      <x:c r="A26" s="144" t="s">
        <x:v>934</x:v>
      </x:c>
      <x:c r="B26" s="144" t="s">
        <x:v>1227</x:v>
      </x:c>
      <x:c r="C26" s="144" t="s">
        <x:v>1228</x:v>
      </x:c>
      <x:c r="D26" s="144" t="s">
        <x:v>1229</x:v>
      </x:c>
      <x:c r="E26" s="144" t="s">
        <x:v>1230</x:v>
      </x:c>
      <x:c r="F26" s="144" t="s">
        <x:v>1226</x:v>
      </x:c>
    </x:row>
    <x:row r="27" ht="28.5">
      <x:c r="A27" s="144" t="s">
        <x:v>934</x:v>
      </x:c>
      <x:c r="B27" s="144" t="s">
        <x:v>241</x:v>
      </x:c>
      <x:c r="C27" s="144" t="s">
        <x:v>1231</x:v>
      </x:c>
      <x:c r="D27" s="144" t="s">
        <x:v>1232</x:v>
      </x:c>
      <x:c r="E27" s="144" t="s">
        <x:v>1233</x:v>
      </x:c>
      <x:c r="F27" s="144" t="s">
        <x:v>1226</x:v>
      </x:c>
    </x:row>
    <x:row r="28" ht="42.75">
      <x:c r="A28" s="144" t="s">
        <x:v>308</x:v>
      </x:c>
      <x:c r="B28" s="144" t="s">
        <x:v>1234</x:v>
      </x:c>
      <x:c r="C28" s="144" t="s">
        <x:v>1235</x:v>
      </x:c>
      <x:c r="D28" s="144" t="s">
        <x:v>1236</x:v>
      </x:c>
      <x:c r="E28" s="144" t="s">
        <x:v>1237</x:v>
      </x:c>
      <x:c r="F28" s="144" t="s">
        <x:v>1238</x:v>
      </x:c>
    </x:row>
    <x:row r="31" ht="15">
      <x:c r="A31" s="172" t="s">
        <x:v>1239</x:v>
      </x:c>
      <x:c r="B31" s="172"/>
      <x:c r="C31" s="172"/>
      <x:c r="D31" s="172"/>
      <x:c r="E31" s="172"/>
      <x:c r="F31" s="172"/>
      <x:c r="G31" s="172"/>
      <x:c r="H31" s="172"/>
    </x:row>
    <x:row r="32">
      <x:c r="A32" s="144" t="s">
        <x:v>1240</x:v>
      </x:c>
      <x:c r="B32" s="144"/>
      <x:c r="C32" s="144"/>
      <x:c r="D32" s="144"/>
      <x:c r="E32" s="144"/>
      <x:c r="F32" s="144"/>
    </x:row>
    <x:row r="33">
      <x:c r="A33" s="144"/>
      <x:c r="B33" s="144"/>
      <x:c r="C33" s="144"/>
      <x:c r="D33" s="144"/>
      <x:c r="E33" s="144"/>
      <x:c r="F33" s="144"/>
    </x:row>
    <x:row r="34">
      <x:c r="A34" s="144" t="s">
        <x:v>1174</x:v>
      </x:c>
      <x:c r="B34" s="144" t="s">
        <x:v>1219</x:v>
      </x:c>
      <x:c r="C34" s="144" t="s">
        <x:v>1177</x:v>
      </x:c>
      <x:c r="D34" s="144" t="s">
        <x:v>1241</x:v>
      </x:c>
      <x:c r="E34" s="144" t="s">
        <x:v>1242</x:v>
      </x:c>
      <x:c r="F34" s="144" t="s">
        <x:v>900</x:v>
      </x:c>
    </x:row>
    <x:row r="35" ht="28.5">
      <x:c r="A35" s="144" t="s">
        <x:v>1189</x:v>
      </x:c>
      <x:c r="B35" s="144" t="s">
        <x:v>1243</x:v>
      </x:c>
      <x:c r="C35" s="144" t="s">
        <x:v>1244</x:v>
      </x:c>
      <x:c r="D35" s="144" t="s">
        <x:v>1245</x:v>
      </x:c>
      <x:c r="E35" s="144" t="s">
        <x:v>1246</x:v>
      </x:c>
      <x:c r="F35" s="144"/>
    </x:row>
    <x:row r="36" ht="28.5">
      <x:c r="A36" s="144" t="s">
        <x:v>1247</x:v>
      </x:c>
      <x:c r="B36" s="144" t="s">
        <x:v>1248</x:v>
      </x:c>
      <x:c r="C36" s="144" t="s">
        <x:v>1249</x:v>
      </x:c>
      <x:c r="D36" s="144" t="s">
        <x:v>1250</x:v>
      </x:c>
      <x:c r="E36" s="144" t="s">
        <x:v>1251</x:v>
      </x:c>
      <x:c r="F36" s="144"/>
    </x:row>
    <x:row r="37" ht="42.75">
      <x:c r="A37" s="144" t="s">
        <x:v>1252</x:v>
      </x:c>
      <x:c r="B37" s="144" t="s">
        <x:v>1253</x:v>
      </x:c>
      <x:c r="C37" s="144" t="s">
        <x:v>1254</x:v>
      </x:c>
      <x:c r="D37" s="144" t="s">
        <x:v>1255</x:v>
      </x:c>
      <x:c r="E37" s="144" t="s">
        <x:v>1256</x:v>
      </x:c>
      <x:c r="F37" s="144"/>
    </x:row>
    <x:row r="38" ht="42.75">
      <x:c r="A38" s="144" t="s">
        <x:v>1257</x:v>
      </x:c>
      <x:c r="B38" s="144" t="s">
        <x:v>1258</x:v>
      </x:c>
      <x:c r="C38" s="144" t="s">
        <x:v>1259</x:v>
      </x:c>
      <x:c r="D38" s="144" t="s">
        <x:v>1260</x:v>
      </x:c>
      <x:c r="E38" s="144" t="s">
        <x:v>1251</x:v>
      </x:c>
      <x:c r="F38" s="144"/>
    </x:row>
    <x:row r="39">
      <x:c r="A39" s="144" t="s">
        <x:v>1261</x:v>
      </x:c>
      <x:c r="B39" s="144" t="s">
        <x:v>1262</x:v>
      </x:c>
      <x:c r="C39" s="144" t="s">
        <x:v>1263</x:v>
      </x:c>
      <x:c r="D39" s="144" t="s">
        <x:v>1264</x:v>
      </x:c>
      <x:c r="E39" s="144" t="s">
        <x:v>1251</x:v>
      </x:c>
      <x:c r="F39" s="144"/>
    </x:row>
    <x:row r="42" ht="15">
      <x:c r="A42" s="172" t="s">
        <x:v>1265</x:v>
      </x:c>
      <x:c r="B42" s="172"/>
      <x:c r="C42" s="172"/>
      <x:c r="D42" s="172"/>
      <x:c r="E42" s="172"/>
      <x:c r="F42" s="172"/>
      <x:c r="G42" s="172"/>
      <x:c r="H42" s="172"/>
    </x:row>
    <x:row r="43">
      <x:c r="A43" s="144" t="s">
        <x:v>1266</x:v>
      </x:c>
      <x:c r="B43" s="144"/>
      <x:c r="C43" s="144"/>
      <x:c r="D43" s="144"/>
      <x:c r="E43" s="144"/>
      <x:c r="F43" s="144"/>
    </x:row>
    <x:row r="44">
      <x:c r="A44" s="144" t="s">
        <x:v>1174</x:v>
      </x:c>
      <x:c r="B44" s="144" t="s">
        <x:v>1267</x:v>
      </x:c>
      <x:c r="C44" s="144" t="s">
        <x:v>1268</x:v>
      </x:c>
      <x:c r="D44" s="144" t="s">
        <x:v>1269</x:v>
      </x:c>
      <x:c r="E44" s="144" t="s">
        <x:v>1241</x:v>
      </x:c>
      <x:c r="F44" s="144" t="s">
        <x:v>1270</x:v>
      </x:c>
    </x:row>
    <x:row r="45" ht="42.75">
      <x:c r="A45" s="144" t="s">
        <x:v>934</x:v>
      </x:c>
      <x:c r="B45" s="144" t="s">
        <x:v>1271</x:v>
      </x:c>
      <x:c r="C45" s="144" t="s">
        <x:v>1272</x:v>
      </x:c>
      <x:c r="D45" s="144" t="s">
        <x:v>1273</x:v>
      </x:c>
      <x:c r="E45" s="144" t="s">
        <x:v>1274</x:v>
      </x:c>
      <x:c r="F45" s="144" t="s">
        <x:v>1275</x:v>
      </x:c>
    </x:row>
    <x:row r="46" ht="42.75">
      <x:c r="A46" s="144" t="s">
        <x:v>1189</x:v>
      </x:c>
      <x:c r="B46" s="144" t="s">
        <x:v>1276</x:v>
      </x:c>
      <x:c r="C46" s="144" t="s">
        <x:v>1277</x:v>
      </x:c>
      <x:c r="D46" s="144" t="s">
        <x:v>1278</x:v>
      </x:c>
      <x:c r="E46" s="144" t="s">
        <x:v>1279</x:v>
      </x:c>
      <x:c r="F46" s="144" t="s">
        <x:v>1280</x:v>
      </x:c>
    </x:row>
    <x:row r="47" ht="28.5">
      <x:c r="A47" s="144" t="s">
        <x:v>1247</x:v>
      </x:c>
      <x:c r="B47" s="144" t="s">
        <x:v>1281</x:v>
      </x:c>
      <x:c r="C47" s="144" t="s">
        <x:v>1282</x:v>
      </x:c>
      <x:c r="D47" s="144" t="s">
        <x:v>1283</x:v>
      </x:c>
      <x:c r="E47" s="144" t="s">
        <x:v>1284</x:v>
      </x:c>
      <x:c r="F47" s="144" t="s">
        <x:v>1285</x:v>
      </x:c>
    </x:row>
    <x:row r="48" ht="57">
      <x:c r="A48" s="144" t="s">
        <x:v>1252</x:v>
      </x:c>
      <x:c r="B48" s="144" t="s">
        <x:v>1286</x:v>
      </x:c>
      <x:c r="C48" s="144" t="s">
        <x:v>1287</x:v>
      </x:c>
      <x:c r="D48" s="144" t="s">
        <x:v>1288</x:v>
      </x:c>
      <x:c r="E48" s="144" t="s">
        <x:v>1289</x:v>
      </x:c>
      <x:c r="F48" s="144" t="s">
        <x:v>1290</x:v>
      </x:c>
    </x:row>
    <x:row r="49" ht="42.75">
      <x:c r="A49" s="144" t="s">
        <x:v>1257</x:v>
      </x:c>
      <x:c r="B49" s="144" t="s">
        <x:v>1291</x:v>
      </x:c>
      <x:c r="C49" s="144" t="s">
        <x:v>1292</x:v>
      </x:c>
      <x:c r="D49" s="144" t="s">
        <x:v>1293</x:v>
      </x:c>
      <x:c r="E49" s="144" t="s">
        <x:v>1294</x:v>
      </x:c>
      <x:c r="F49" s="144" t="s">
        <x:v>1295</x:v>
      </x:c>
    </x:row>
    <x:row r="51" ht="15">
      <x:c r="A51" s="178" t="str">
        <x:v>CORECȚIE IMPLEMENTARE – WORKBOOK OPTIMIZAT V3</x:v>
      </x:c>
      <x:c r="B51" s="178"/>
      <x:c r="C51" s="178"/>
      <x:c r="D51" s="178"/>
      <x:c r="E51" s="178"/>
      <x:c r="F51" s="178"/>
    </x:row>
    <x:row r="52" ht="15">
      <x:c r="A52" s="179" t="s">
        <x:v>1174</x:v>
      </x:c>
      <x:c r="B52" s="179" t="s">
        <x:v>1219</x:v>
      </x:c>
      <x:c r="C52" s="179" t="s">
        <x:v>1296</x:v>
      </x:c>
      <x:c r="D52" s="179" t="s">
        <x:v>1269</x:v>
      </x:c>
      <x:c r="E52" s="179" t="s">
        <x:v>1241</x:v>
      </x:c>
      <x:c r="F52" s="179" t="s">
        <x:v>1297</x:v>
      </x:c>
    </x:row>
    <x:row r="53" ht="32" customHeight="1">
      <x:c r="A53" s="180" t="str">
        <x:v>P0</x:v>
      </x:c>
      <x:c r="B53" s="180" t="str">
        <x:v>Recomandare finală</x:v>
      </x:c>
      <x:c r="C53" s="180" t="str">
        <x:v>HK citește direct HI: Risk Score + G0.</x:v>
      </x:c>
      <x:c r="D53" s="180" t="str">
        <x:v>Pragurile și ponderile</x:v>
      </x:c>
      <x:c r="E53" s="180" t="str">
        <x:v>Cota/EV/lineup eliminate din verdict</x:v>
      </x:c>
      <x:c r="F53" s="180" t="str">
        <x:v>Analize meciuri!HG:HK</x:v>
      </x:c>
    </x:row>
    <x:row r="54" ht="32" customHeight="1">
      <x:c r="A54" s="180" t="str">
        <x:v>P1</x:v>
      </x:c>
      <x:c r="B54" s="180" t="str">
        <x:v>G0 separat</x:v>
      </x:c>
      <x:c r="C54" s="180" t="str">
        <x:v>HG verifică numai datele critice prin GM.</x:v>
      </x:c>
      <x:c r="D54" s="180" t="str">
        <x:v>Clasificarea zero-mass</x:v>
      </x:c>
      <x:c r="E54" s="180" t="str">
        <x:v>Lineup neconfirmat nu mai produce Nivel 5</x:v>
      </x:c>
      <x:c r="F54" s="180" t="str">
        <x:v>Analize meciuri!GM,HG:HH</x:v>
      </x:c>
    </x:row>
    <x:row r="55" ht="32" customHeight="1">
      <x:c r="A55" s="180" t="str">
        <x:v>P2</x:v>
      </x:c>
      <x:c r="B55" s="180" t="str">
        <x:v>Dependențe indirecte eliminate</x:v>
      </x:c>
      <x:c r="C55" s="180" t="str">
        <x:v>GZ, GH și HC nu folosesc cota, EV sau confirmarea lineup-ului.</x:v>
      </x:c>
      <x:c r="D55" s="180" t="str">
        <x:v>Motorul probabilistic istoric</x:v>
      </x:c>
      <x:c r="E55" s="180" t="str">
        <x:v>Risk Score tehnic independent</x:v>
      </x:c>
      <x:c r="F55" s="180" t="str">
        <x:v>Analize meciuri!GH,GZ,HC</x:v>
      </x:c>
    </x:row>
    <x:row r="56" ht="32" customHeight="1">
      <x:c r="A56" s="180" t="str">
        <x:v>P3</x:v>
      </x:c>
      <x:c r="B56" s="180" t="str">
        <x:v>Plafoane separate</x:v>
      </x:c>
      <x:c r="C56" s="180" t="str">
        <x:v>GO păstrează 90/91/92/94% numai pentru probabilitatea raportată.</x:v>
      </x:c>
      <x:c r="D56" s="180" t="str">
        <x:v>Valorile plafoanelor</x:v>
      </x:c>
      <x:c r="E56" s="180" t="str">
        <x:v>P_cap nu stabilește recomandarea</x:v>
      </x:c>
      <x:c r="F56" s="180" t="str">
        <x:v>Analize meciuri!GO,HK</x:v>
      </x:c>
    </x:row>
    <x:row r="58">
      <x:c r="A58" s="249" t="str">
        <x:v>UPDATE METODOLOGIC v9 – WORKBOOK OPTIMIZAT V4</x:v>
      </x:c>
      <x:c r="B58" s="249"/>
      <x:c r="C58" s="249"/>
      <x:c r="D58" s="249"/>
      <x:c r="E58" s="249"/>
      <x:c r="F58" s="249"/>
      <x:c r="G58" s="249"/>
      <x:c r="H58" s="249"/>
    </x:row>
    <x:row r="60">
      <x:c r="A60" s="254" t="str">
        <x:v>Prioritate</x:v>
      </x:c>
      <x:c r="B60" s="254" t="str">
        <x:v>Modificare</x:v>
      </x:c>
      <x:c r="C60" s="254" t="str">
        <x:v>Regulă activă</x:v>
      </x:c>
      <x:c r="D60" s="254" t="str">
        <x:v>Parametri</x:v>
      </x:c>
      <x:c r="E60" s="254" t="str">
        <x:v>Impact</x:v>
      </x:c>
      <x:c r="F60" s="254" t="str">
        <x:v>Trasabilitate</x:v>
      </x:c>
    </x:row>
    <x:row r="61" ht="68" customHeight="1">
      <x:c r="A61" s="251" t="str">
        <x:v>P0</x:v>
      </x:c>
      <x:c r="B61" s="251" t="str">
        <x:v>Eliminare FB</x:v>
      </x:c>
      <x:c r="C61" s="251" t="str">
        <x:v>Fără input manual low-tempo în formule sau G0</x:v>
      </x:c>
      <x:c r="D61" s="251" t="str">
        <x:v>B95/B96 retrase</x:v>
      </x:c>
      <x:c r="E61" s="251" t="str">
        <x:v>Blocajul FB dispare</x:v>
      </x:c>
      <x:c r="F61" s="251" t="str">
        <x:v>Analize meciuri!FH/FK; toate rândurile 4:103</x:v>
      </x:c>
    </x:row>
    <x:row r="62" ht="68" customHeight="1">
      <x:c r="A62" s="251" t="str">
        <x:v>P0</x:v>
      </x:c>
      <x:c r="B62" s="251" t="str">
        <x:v>Componentă HT</x:v>
      </x:c>
      <x:c r="C62" s="251" t="str">
        <x:v>Se păstrează exclusiv termenul statistic existent</x:v>
      </x:c>
      <x:c r="D62" s="251" t="str">
        <x:v>B94=0,75; B93=0,20</x:v>
      </x:c>
      <x:c r="E62" s="251" t="str">
        <x:v>Fără redistribuirea ponderii manuale</x:v>
      </x:c>
      <x:c r="F62" s="251" t="str">
        <x:v>Setari model!B89/B93/B94</x:v>
      </x:c>
    </x:row>
    <x:row r="63" ht="68" customHeight="1">
      <x:c r="A63" s="251" t="str">
        <x:v>P1</x:v>
      </x:c>
      <x:c r="B63" s="251" t="str">
        <x:v>Cote fair</x:v>
      </x:c>
      <x:c r="C63" s="251" t="str">
        <x:v>Gol dacă probabilitatea lipsește; altfel 1/P pentru P&gt;0</x:v>
      </x:c>
      <x:c r="D63" s="251" t="str">
        <x:v>Neschimbate</x:v>
      </x:c>
      <x:c r="E63" s="251" t="str">
        <x:v>Elimină #VALUE! pentru probabilitate goală</x:v>
      </x:c>
      <x:c r="F63" s="251" t="str">
        <x:v>Analize meciuri!FQ/GQ; toate rândurile 4:103</x:v>
      </x:c>
    </x:row>
    <x:row r="64" ht="68" customHeight="1">
      <x:c r="A64" s="251" t="str">
        <x:v>Control</x:v>
      </x:c>
      <x:c r="B64" s="251" t="str">
        <x:v>Versiuni separate</x:v>
      </x:c>
      <x:c r="C64" s="251" t="str">
        <x:v>Metodologie v9; fișier optimizat V4</x:v>
      </x:c>
      <x:c r="D64" s="251" t="str">
        <x:v>Restul pragurilor păstrate</x:v>
      </x:c>
      <x:c r="E64" s="251" t="str">
        <x:v>Snapshoturile anterioare rămân distincte</x:v>
      </x:c>
      <x:c r="F64" s="251" t="str">
        <x:v>DOCUMENTATIE_MODEL!A449:H464</x:v>
      </x:c>
    </x:row>
  </x:sheetData>
  <x:mergeCells>
    <x:mergeCell ref="A1:H1"/>
    <x:mergeCell ref="A2:H2"/>
    <x:mergeCell ref="A58:H58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25"/>
  <x:cols>
    <x:col min="1" max="1" width="24" customWidth="1"/>
    <x:col min="2" max="9" width="30" customWidth="1"/>
  </x:cols>
  <x:sheetData>
    <x:row r="1" ht="24" customHeight="1">
      <x:c r="A1" s="242" t="s">
        <x:v>1298</x:v>
      </x:c>
      <x:c r="B1" s="242"/>
      <x:c r="C1" s="242"/>
      <x:c r="D1" s="242"/>
      <x:c r="E1" s="242"/>
      <x:c r="F1" s="242"/>
      <x:c r="G1" s="242"/>
      <x:c r="H1" s="242"/>
    </x:row>
    <x:row r="2">
      <x:c r="A2" s="243" t="s">
        <x:v>1171</x:v>
      </x:c>
      <x:c r="B2" s="243"/>
      <x:c r="C2" s="243"/>
      <x:c r="D2" s="243"/>
      <x:c r="E2" s="243"/>
      <x:c r="F2" s="243"/>
      <x:c r="G2" s="243"/>
      <x:c r="H2" s="243"/>
    </x:row>
    <x:row r="4" ht="15">
      <x:c r="A4" s="172" t="s">
        <x:v>1299</x:v>
      </x:c>
      <x:c r="B4" s="172"/>
      <x:c r="C4" s="172"/>
      <x:c r="D4" s="172"/>
      <x:c r="E4" s="172"/>
      <x:c r="F4" s="172"/>
      <x:c r="G4" s="172"/>
      <x:c r="H4" s="172"/>
    </x:row>
    <x:row r="5" ht="28.5">
      <x:c r="A5" s="144" t="s">
        <x:v>1300</x:v>
      </x:c>
      <x:c r="B5" s="144" t="s">
        <x:v>1301</x:v>
      </x:c>
      <x:c r="C5" s="144" t="s">
        <x:v>1301</x:v>
      </x:c>
      <x:c r="D5" s="144" t="s">
        <x:v>1301</x:v>
      </x:c>
      <x:c r="E5" s="144" t="s">
        <x:v>1301</x:v>
      </x:c>
      <x:c r="F5" s="144" t="s">
        <x:v>1301</x:v>
      </x:c>
      <x:c r="G5" s="144" t="s">
        <x:v>1301</x:v>
      </x:c>
      <x:c r="H5" s="144" t="s">
        <x:v>1301</x:v>
      </x:c>
    </x:row>
    <x:row r="6" ht="28.5">
      <x:c r="A6" s="144" t="s">
        <x:v>1301</x:v>
      </x:c>
      <x:c r="B6" s="144" t="s">
        <x:v>1301</x:v>
      </x:c>
      <x:c r="C6" s="144" t="s">
        <x:v>1301</x:v>
      </x:c>
      <x:c r="D6" s="144" t="s">
        <x:v>1301</x:v>
      </x:c>
      <x:c r="E6" s="144" t="s">
        <x:v>1301</x:v>
      </x:c>
      <x:c r="F6" s="144" t="s">
        <x:v>1301</x:v>
      </x:c>
      <x:c r="G6" s="144" t="s">
        <x:v>1301</x:v>
      </x:c>
      <x:c r="H6" s="144" t="s">
        <x:v>1301</x:v>
      </x:c>
    </x:row>
    <x:row r="7" ht="99.75">
      <x:c r="A7" s="144" t="s">
        <x:v>1302</x:v>
      </x:c>
      <x:c r="B7" s="144" t="s">
        <x:v>1302</x:v>
      </x:c>
      <x:c r="C7" s="144" t="s">
        <x:v>1302</x:v>
      </x:c>
      <x:c r="D7" s="144" t="s">
        <x:v>1302</x:v>
      </x:c>
      <x:c r="E7" s="144" t="s">
        <x:v>1302</x:v>
      </x:c>
      <x:c r="F7" s="144" t="s">
        <x:v>1302</x:v>
      </x:c>
      <x:c r="G7" s="144" t="s">
        <x:v>1302</x:v>
      </x:c>
      <x:c r="H7" s="144" t="s">
        <x:v>1302</x:v>
      </x:c>
    </x:row>
    <x:row r="8" ht="99.75">
      <x:c r="A8" s="144" t="s">
        <x:v>1302</x:v>
      </x:c>
      <x:c r="B8" s="144" t="s">
        <x:v>1302</x:v>
      </x:c>
      <x:c r="C8" s="144" t="s">
        <x:v>1302</x:v>
      </x:c>
      <x:c r="D8" s="144" t="s">
        <x:v>1302</x:v>
      </x:c>
      <x:c r="E8" s="144" t="s">
        <x:v>1302</x:v>
      </x:c>
      <x:c r="F8" s="144" t="s">
        <x:v>1302</x:v>
      </x:c>
      <x:c r="G8" s="144" t="s">
        <x:v>1302</x:v>
      </x:c>
      <x:c r="H8" s="144" t="s">
        <x:v>1302</x:v>
      </x:c>
    </x:row>
    <x:row r="9">
      <x:c r="A9" s="144"/>
      <x:c r="B9" s="144"/>
      <x:c r="C9" s="144"/>
      <x:c r="D9" s="144"/>
      <x:c r="E9" s="144"/>
      <x:c r="F9" s="144"/>
      <x:c r="G9" s="144"/>
      <x:c r="H9" s="144"/>
    </x:row>
    <x:row r="10">
      <x:c r="A10" s="144" t="s">
        <x:v>1303</x:v>
      </x:c>
      <x:c r="B10" s="144" t="s">
        <x:v>1303</x:v>
      </x:c>
      <x:c r="C10" s="144" t="s">
        <x:v>1303</x:v>
      </x:c>
      <x:c r="D10" s="144" t="s">
        <x:v>1303</x:v>
      </x:c>
      <x:c r="E10" s="144" t="s">
        <x:v>1303</x:v>
      </x:c>
      <x:c r="F10" s="144" t="s">
        <x:v>1303</x:v>
      </x:c>
      <x:c r="G10" s="144" t="s">
        <x:v>1303</x:v>
      </x:c>
      <x:c r="H10" s="144" t="s">
        <x:v>1303</x:v>
      </x:c>
    </x:row>
    <x:row r="11">
      <x:c r="A11" s="144" t="s">
        <x:v>1304</x:v>
      </x:c>
      <x:c r="B11" s="144" t="s">
        <x:v>1305</x:v>
      </x:c>
      <x:c r="C11" s="144" t="s">
        <x:v>1306</x:v>
      </x:c>
      <x:c r="D11" s="144" t="s">
        <x:v>1307</x:v>
      </x:c>
      <x:c r="E11" s="144"/>
      <x:c r="F11" s="144"/>
      <x:c r="G11" s="144"/>
      <x:c r="H11" s="144"/>
    </x:row>
    <x:row r="12" ht="42.75">
      <x:c r="A12" s="144">
        <x:v>1</x:v>
      </x:c>
      <x:c r="B12" s="144" t="s">
        <x:v>1308</x:v>
      </x:c>
      <x:c r="C12" s="144" t="s">
        <x:v>1309</x:v>
      </x:c>
      <x:c r="D12" s="144" t="s">
        <x:v>1310</x:v>
      </x:c>
      <x:c r="E12" s="144"/>
      <x:c r="F12" s="144"/>
      <x:c r="G12" s="144"/>
      <x:c r="H12" s="144"/>
    </x:row>
    <x:row r="13" ht="42.75">
      <x:c r="A13" s="144">
        <x:v>2</x:v>
      </x:c>
      <x:c r="B13" s="144" t="s">
        <x:v>1311</x:v>
      </x:c>
      <x:c r="C13" s="144" t="s">
        <x:v>1312</x:v>
      </x:c>
      <x:c r="D13" s="144" t="s">
        <x:v>1313</x:v>
      </x:c>
      <x:c r="E13" s="144"/>
      <x:c r="F13" s="144"/>
      <x:c r="G13" s="144"/>
      <x:c r="H13" s="144"/>
    </x:row>
    <x:row r="14" ht="28.5">
      <x:c r="A14" s="144">
        <x:v>3</x:v>
      </x:c>
      <x:c r="B14" s="144" t="s">
        <x:v>1314</x:v>
      </x:c>
      <x:c r="C14" s="144" t="s">
        <x:v>1315</x:v>
      </x:c>
      <x:c r="D14" s="144" t="s">
        <x:v>1316</x:v>
      </x:c>
      <x:c r="E14" s="144"/>
      <x:c r="F14" s="144"/>
      <x:c r="G14" s="144"/>
      <x:c r="H14" s="144"/>
    </x:row>
    <x:row r="15" ht="28.5">
      <x:c r="A15" s="144">
        <x:v>4</x:v>
      </x:c>
      <x:c r="B15" s="144" t="s">
        <x:v>1317</x:v>
      </x:c>
      <x:c r="C15" s="144" t="s">
        <x:v>1318</x:v>
      </x:c>
      <x:c r="D15" s="144" t="s">
        <x:v>1319</x:v>
      </x:c>
      <x:c r="E15" s="144"/>
      <x:c r="F15" s="144"/>
      <x:c r="G15" s="144"/>
      <x:c r="H15" s="144"/>
    </x:row>
    <x:row r="16" ht="42.75">
      <x:c r="A16" s="144">
        <x:v>5</x:v>
      </x:c>
      <x:c r="B16" s="144" t="s">
        <x:v>1320</x:v>
      </x:c>
      <x:c r="C16" s="144" t="str">
        <x:v>Factorul combină ratele 0–0, blank×clean-sheet reciproc, finishing/xG și istoricul 0–0 la pauză. Evaluarea FB este eliminată.</x:v>
      </x:c>
      <x:c r="D16" s="144" t="s">
        <x:v>1321</x:v>
      </x:c>
      <x:c r="E16" s="144"/>
      <x:c r="F16" s="144"/>
      <x:c r="G16" s="144"/>
      <x:c r="H16" s="144"/>
    </x:row>
    <x:row r="17" ht="42.75">
      <x:c r="A17" s="144">
        <x:v>6</x:v>
      </x:c>
      <x:c r="B17" s="144" t="s">
        <x:v>1322</x:v>
      </x:c>
      <x:c r="C17" s="144" t="s">
        <x:v>1323</x:v>
      </x:c>
      <x:c r="D17" s="144" t="s">
        <x:v>1324</x:v>
      </x:c>
      <x:c r="E17" s="144"/>
      <x:c r="F17" s="144"/>
      <x:c r="G17" s="144"/>
      <x:c r="H17" s="144"/>
    </x:row>
    <x:row r="18" ht="28.5">
      <x:c r="A18" s="144">
        <x:v>7</x:v>
      </x:c>
      <x:c r="B18" s="144" t="s">
        <x:v>1325</x:v>
      </x:c>
      <x:c r="C18" s="144" t="s">
        <x:v>1326</x:v>
      </x:c>
      <x:c r="D18" s="144" t="s">
        <x:v>1327</x:v>
      </x:c>
      <x:c r="E18" s="144"/>
      <x:c r="F18" s="144"/>
      <x:c r="G18" s="144"/>
      <x:c r="H18" s="144"/>
    </x:row>
    <x:row r="19" ht="28.5">
      <x:c r="A19" s="144">
        <x:v>8</x:v>
      </x:c>
      <x:c r="B19" s="144" t="s">
        <x:v>1328</x:v>
      </x:c>
      <x:c r="C19" s="144" t="s">
        <x:v>1329</x:v>
      </x:c>
      <x:c r="D19" s="144" t="s">
        <x:v>1330</x:v>
      </x:c>
      <x:c r="E19" s="144"/>
      <x:c r="F19" s="144"/>
      <x:c r="G19" s="144"/>
      <x:c r="H19" s="144"/>
    </x:row>
    <x:row r="20">
      <x:c r="A20" s="144"/>
      <x:c r="B20" s="144"/>
      <x:c r="C20" s="144"/>
      <x:c r="D20" s="144"/>
      <x:c r="E20" s="144"/>
      <x:c r="F20" s="144"/>
      <x:c r="G20" s="144"/>
      <x:c r="H20" s="144"/>
    </x:row>
    <x:row r="21" ht="28.5">
      <x:c r="A21" s="144" t="s">
        <x:v>1331</x:v>
      </x:c>
      <x:c r="B21" s="144" t="s">
        <x:v>1331</x:v>
      </x:c>
      <x:c r="C21" s="144" t="s">
        <x:v>1331</x:v>
      </x:c>
      <x:c r="D21" s="144" t="s">
        <x:v>1331</x:v>
      </x:c>
      <x:c r="E21" s="144" t="s">
        <x:v>1331</x:v>
      </x:c>
      <x:c r="F21" s="144" t="s">
        <x:v>1331</x:v>
      </x:c>
      <x:c r="G21" s="144" t="s">
        <x:v>1331</x:v>
      </x:c>
      <x:c r="H21" s="144" t="s">
        <x:v>1331</x:v>
      </x:c>
    </x:row>
    <x:row r="22">
      <x:c r="A22" s="144" t="s">
        <x:v>1332</x:v>
      </x:c>
      <x:c r="B22" s="144" t="s">
        <x:v>312</x:v>
      </x:c>
      <x:c r="C22" s="144" t="s">
        <x:v>1333</x:v>
      </x:c>
      <x:c r="D22" s="144" t="s">
        <x:v>1334</x:v>
      </x:c>
      <x:c r="E22" s="144" t="s">
        <x:v>1335</x:v>
      </x:c>
      <x:c r="F22" s="144" t="s">
        <x:v>1336</x:v>
      </x:c>
      <x:c r="G22" s="144"/>
      <x:c r="H22" s="144"/>
    </x:row>
    <x:row r="23" ht="28.5">
      <x:c r="A23" s="144" t="s">
        <x:v>1337</x:v>
      </x:c>
      <x:c r="B23" s="144" t="s">
        <x:v>1338</x:v>
      </x:c>
      <x:c r="C23" s="144" t="s">
        <x:v>1339</x:v>
      </x:c>
      <x:c r="D23" s="144" t="s">
        <x:v>1340</x:v>
      </x:c>
      <x:c r="E23" s="144" t="s">
        <x:v>1341</x:v>
      </x:c>
      <x:c r="F23" s="144" t="s">
        <x:v>1342</x:v>
      </x:c>
      <x:c r="G23" s="144"/>
      <x:c r="H23" s="144"/>
    </x:row>
    <x:row r="24" ht="28.5">
      <x:c r="A24" s="144" t="s">
        <x:v>1337</x:v>
      </x:c>
      <x:c r="B24" s="144" t="s">
        <x:v>1343</x:v>
      </x:c>
      <x:c r="C24" s="144" t="s">
        <x:v>1344</x:v>
      </x:c>
      <x:c r="D24" s="144" t="s">
        <x:v>1345</x:v>
      </x:c>
      <x:c r="E24" s="144" t="s">
        <x:v>1346</x:v>
      </x:c>
      <x:c r="F24" s="144" t="s">
        <x:v>1347</x:v>
      </x:c>
      <x:c r="G24" s="144"/>
      <x:c r="H24" s="144"/>
    </x:row>
    <x:row r="25">
      <x:c r="A25" s="144" t="s">
        <x:v>1348</x:v>
      </x:c>
      <x:c r="B25" s="144" t="s">
        <x:v>1349</x:v>
      </x:c>
      <x:c r="C25" s="144" t="s">
        <x:v>1350</x:v>
      </x:c>
      <x:c r="D25" s="144" t="s">
        <x:v>1351</x:v>
      </x:c>
      <x:c r="E25" s="144" t="s">
        <x:v>1352</x:v>
      </x:c>
      <x:c r="F25" s="144" t="s">
        <x:v>1353</x:v>
      </x:c>
      <x:c r="G25" s="144"/>
      <x:c r="H25" s="144"/>
    </x:row>
    <x:row r="26" ht="42.75">
      <x:c r="A26" s="144" t="s">
        <x:v>1354</x:v>
      </x:c>
      <x:c r="B26" s="144" t="str">
        <x:v>% 0–0 + FTS×CS + finishing/xG + 0–0 HT</x:v>
      </x:c>
      <x:c r="C26" s="144" t="s">
        <x:v>1355</x:v>
      </x:c>
      <x:c r="D26" s="144" t="str">
        <x:v>Blank reciproc, clean-sheet reciproc, subfinalizare și frecvența 0–0 la pauză</x:v>
      </x:c>
      <x:c r="E26" s="144" t="s">
        <x:v>1346</x:v>
      </x:c>
      <x:c r="F26" s="144" t="s">
        <x:v>1356</x:v>
      </x:c>
      <x:c r="G26" s="144"/>
      <x:c r="H26" s="144"/>
    </x:row>
    <x:row r="27" ht="28.5">
      <x:c r="A27" s="144" t="s">
        <x:v>304</x:v>
      </x:c>
      <x:c r="B27" s="144" t="s">
        <x:v>1357</x:v>
      </x:c>
      <x:c r="C27" s="144" t="s">
        <x:v>1358</x:v>
      </x:c>
      <x:c r="D27" s="144" t="s">
        <x:v>1359</x:v>
      </x:c>
      <x:c r="E27" s="144" t="s">
        <x:v>1360</x:v>
      </x:c>
      <x:c r="F27" s="144" t="s">
        <x:v>1361</x:v>
      </x:c>
      <x:c r="G27" s="144"/>
      <x:c r="H27" s="144"/>
    </x:row>
    <x:row r="28" ht="28.5">
      <x:c r="A28" s="144" t="s">
        <x:v>305</x:v>
      </x:c>
      <x:c r="B28" s="144" t="s">
        <x:v>1362</x:v>
      </x:c>
      <x:c r="C28" s="144" t="s">
        <x:v>1363</x:v>
      </x:c>
      <x:c r="D28" s="144" t="s">
        <x:v>1364</x:v>
      </x:c>
      <x:c r="E28" s="144" t="s">
        <x:v>1341</x:v>
      </x:c>
      <x:c r="F28" s="144" t="s">
        <x:v>1365</x:v>
      </x:c>
      <x:c r="G28" s="144"/>
      <x:c r="H28" s="144"/>
    </x:row>
    <x:row r="29" ht="28.5">
      <x:c r="A29" s="144" t="s">
        <x:v>15</x:v>
      </x:c>
      <x:c r="B29" s="144" t="s">
        <x:v>260</x:v>
      </x:c>
      <x:c r="C29" s="144" t="s">
        <x:v>1366</x:v>
      </x:c>
      <x:c r="D29" s="144" t="s">
        <x:v>1367</x:v>
      </x:c>
      <x:c r="E29" s="144" t="s">
        <x:v>1368</x:v>
      </x:c>
      <x:c r="F29" s="144" t="s">
        <x:v>1369</x:v>
      </x:c>
      <x:c r="G29" s="144"/>
      <x:c r="H29" s="144"/>
    </x:row>
    <x:row r="30" ht="28.5">
      <x:c r="A30" s="144" t="s">
        <x:v>15</x:v>
      </x:c>
      <x:c r="B30" s="144" t="s">
        <x:v>1370</x:v>
      </x:c>
      <x:c r="C30" s="144" t="s">
        <x:v>1371</x:v>
      </x:c>
      <x:c r="D30" s="144" t="s">
        <x:v>1372</x:v>
      </x:c>
      <x:c r="E30" s="144" t="s">
        <x:v>1368</x:v>
      </x:c>
      <x:c r="F30" s="144" t="s">
        <x:v>1373</x:v>
      </x:c>
      <x:c r="G30" s="144"/>
      <x:c r="H30" s="144"/>
    </x:row>
    <x:row r="31" ht="28.5">
      <x:c r="A31" s="144" t="s">
        <x:v>15</x:v>
      </x:c>
      <x:c r="B31" s="144" t="s">
        <x:v>1374</x:v>
      </x:c>
      <x:c r="C31" s="144" t="s">
        <x:v>1375</x:v>
      </x:c>
      <x:c r="D31" s="144" t="s">
        <x:v>1376</x:v>
      </x:c>
      <x:c r="E31" s="144" t="s">
        <x:v>1368</x:v>
      </x:c>
      <x:c r="F31" s="144" t="s">
        <x:v>1377</x:v>
      </x:c>
      <x:c r="G31" s="144"/>
      <x:c r="H31" s="144"/>
    </x:row>
    <x:row r="32" ht="28.5">
      <x:c r="A32" s="144" t="s">
        <x:v>15</x:v>
      </x:c>
      <x:c r="B32" s="144" t="s">
        <x:v>1378</x:v>
      </x:c>
      <x:c r="C32" s="144" t="s">
        <x:v>1379</x:v>
      </x:c>
      <x:c r="D32" s="144" t="s">
        <x:v>1380</x:v>
      </x:c>
      <x:c r="E32" s="144" t="s">
        <x:v>1381</x:v>
      </x:c>
      <x:c r="F32" s="144" t="s">
        <x:v>1382</x:v>
      </x:c>
      <x:c r="G32" s="144"/>
      <x:c r="H32" s="144"/>
    </x:row>
    <x:row r="33" ht="28.5">
      <x:c r="A33" s="144" t="s">
        <x:v>15</x:v>
      </x:c>
      <x:c r="B33" s="144" t="s">
        <x:v>1383</x:v>
      </x:c>
      <x:c r="C33" s="144" t="s">
        <x:v>1384</x:v>
      </x:c>
      <x:c r="D33" s="144" t="s">
        <x:v>1385</x:v>
      </x:c>
      <x:c r="E33" s="144" t="s">
        <x:v>1368</x:v>
      </x:c>
      <x:c r="F33" s="144" t="s">
        <x:v>1386</x:v>
      </x:c>
      <x:c r="G33" s="144"/>
      <x:c r="H33" s="144"/>
    </x:row>
    <x:row r="34" ht="28.5">
      <x:c r="A34" s="144" t="s">
        <x:v>15</x:v>
      </x:c>
      <x:c r="B34" s="144" t="s">
        <x:v>292</x:v>
      </x:c>
      <x:c r="C34" s="144" t="s">
        <x:v>1387</x:v>
      </x:c>
      <x:c r="D34" s="144" t="s">
        <x:v>1388</x:v>
      </x:c>
      <x:c r="E34" s="144" t="s">
        <x:v>1389</x:v>
      </x:c>
      <x:c r="F34" s="144" t="s">
        <x:v>1390</x:v>
      </x:c>
      <x:c r="G34" s="144"/>
      <x:c r="H34" s="144"/>
    </x:row>
    <x:row r="35">
      <x:c r="A35" s="144" t="s">
        <x:v>1391</x:v>
      </x:c>
      <x:c r="B35" s="144" t="s">
        <x:v>1392</x:v>
      </x:c>
      <x:c r="C35" s="144" t="s">
        <x:v>1393</x:v>
      </x:c>
      <x:c r="D35" s="144" t="s">
        <x:v>1394</x:v>
      </x:c>
      <x:c r="E35" s="144" t="s">
        <x:v>1341</x:v>
      </x:c>
      <x:c r="F35" s="144" t="s">
        <x:v>1395</x:v>
      </x:c>
      <x:c r="G35" s="144"/>
      <x:c r="H35" s="144"/>
    </x:row>
    <x:row r="36" ht="28.5">
      <x:c r="A36" s="144" t="s">
        <x:v>1391</x:v>
      </x:c>
      <x:c r="B36" s="144" t="s">
        <x:v>1396</x:v>
      </x:c>
      <x:c r="C36" s="144" t="s">
        <x:v>1397</x:v>
      </x:c>
      <x:c r="D36" s="144" t="s">
        <x:v>1398</x:v>
      </x:c>
      <x:c r="E36" s="144" t="s">
        <x:v>1352</x:v>
      </x:c>
      <x:c r="F36" s="144" t="s">
        <x:v>1399</x:v>
      </x:c>
      <x:c r="G36" s="144"/>
      <x:c r="H36" s="144"/>
    </x:row>
    <x:row r="37" ht="28.5">
      <x:c r="A37" s="144" t="s">
        <x:v>1400</x:v>
      </x:c>
      <x:c r="B37" s="144" t="s">
        <x:v>1401</x:v>
      </x:c>
      <x:c r="C37" s="144" t="s">
        <x:v>1402</x:v>
      </x:c>
      <x:c r="D37" s="144" t="s">
        <x:v>1403</x:v>
      </x:c>
      <x:c r="E37" s="144" t="s">
        <x:v>1341</x:v>
      </x:c>
      <x:c r="F37" s="144" t="s">
        <x:v>1404</x:v>
      </x:c>
      <x:c r="G37" s="144"/>
      <x:c r="H37" s="144"/>
    </x:row>
    <x:row r="38" ht="28.5">
      <x:c r="A38" s="144" t="s">
        <x:v>1405</x:v>
      </x:c>
      <x:c r="B38" s="144" t="s">
        <x:v>1406</x:v>
      </x:c>
      <x:c r="C38" s="144" t="s">
        <x:v>1407</x:v>
      </x:c>
      <x:c r="D38" s="144" t="s">
        <x:v>1408</x:v>
      </x:c>
      <x:c r="E38" s="144" t="s">
        <x:v>1409</x:v>
      </x:c>
      <x:c r="F38" s="144" t="s">
        <x:v>1410</x:v>
      </x:c>
      <x:c r="G38" s="144"/>
      <x:c r="H38" s="144"/>
    </x:row>
    <x:row r="39">
      <x:c r="A39" s="144" t="s">
        <x:v>327</x:v>
      </x:c>
      <x:c r="B39" s="144" t="s">
        <x:v>1411</x:v>
      </x:c>
      <x:c r="C39" s="144" t="s">
        <x:v>1412</x:v>
      </x:c>
      <x:c r="D39" s="144" t="s">
        <x:v>1413</x:v>
      </x:c>
      <x:c r="E39" s="144" t="s">
        <x:v>1360</x:v>
      </x:c>
      <x:c r="F39" s="144" t="s">
        <x:v>1414</x:v>
      </x:c>
      <x:c r="G39" s="144"/>
      <x:c r="H39" s="144"/>
    </x:row>
    <x:row r="40" ht="28.5">
      <x:c r="A40" s="144" t="s">
        <x:v>1415</x:v>
      </x:c>
      <x:c r="B40" s="144" t="s">
        <x:v>1416</x:v>
      </x:c>
      <x:c r="C40" s="144" t="s">
        <x:v>1417</x:v>
      </x:c>
      <x:c r="D40" s="144" t="s">
        <x:v>1418</x:v>
      </x:c>
      <x:c r="E40" s="144" t="s">
        <x:v>1360</x:v>
      </x:c>
      <x:c r="F40" s="144" t="s">
        <x:v>1419</x:v>
      </x:c>
      <x:c r="G40" s="144"/>
      <x:c r="H40" s="144"/>
    </x:row>
    <x:row r="41">
      <x:c r="A41" s="144" t="s">
        <x:v>1420</x:v>
      </x:c>
      <x:c r="B41" s="144" t="s">
        <x:v>1421</x:v>
      </x:c>
      <x:c r="C41" s="144" t="s">
        <x:v>1422</x:v>
      </x:c>
      <x:c r="D41" s="144" t="s">
        <x:v>1423</x:v>
      </x:c>
      <x:c r="E41" s="144" t="s">
        <x:v>1341</x:v>
      </x:c>
      <x:c r="F41" s="144" t="s">
        <x:v>1424</x:v>
      </x:c>
      <x:c r="G41" s="144"/>
      <x:c r="H41" s="144"/>
    </x:row>
    <x:row r="42" ht="28.5">
      <x:c r="A42" s="144" t="s">
        <x:v>1425</x:v>
      </x:c>
      <x:c r="B42" s="144" t="s">
        <x:v>1426</x:v>
      </x:c>
      <x:c r="C42" s="144" t="s">
        <x:v>1427</x:v>
      </x:c>
      <x:c r="D42" s="144" t="s">
        <x:v>1428</x:v>
      </x:c>
      <x:c r="E42" s="144" t="s">
        <x:v>1346</x:v>
      </x:c>
      <x:c r="F42" s="144" t="s">
        <x:v>1429</x:v>
      </x:c>
      <x:c r="G42" s="144"/>
      <x:c r="H42" s="144"/>
    </x:row>
    <x:row r="43">
      <x:c r="A43" s="144"/>
      <x:c r="B43" s="144"/>
      <x:c r="C43" s="144"/>
      <x:c r="D43" s="144"/>
      <x:c r="E43" s="144"/>
      <x:c r="F43" s="144"/>
      <x:c r="G43" s="144"/>
      <x:c r="H43" s="144"/>
    </x:row>
    <x:row r="44" ht="30" customHeight="1">
      <x:c r="A44" s="144" t="str">
        <x:v>3. CONFIDENCE SCORE ȘI VERDICT ISTORIC (AUDIT – NU ESTE RECOMANDAREA FINALĂ)</x:v>
      </x:c>
      <x:c r="B44" s="144" t="s">
        <x:v>1430</x:v>
      </x:c>
      <x:c r="C44" s="144" t="s">
        <x:v>1430</x:v>
      </x:c>
      <x:c r="D44" s="144" t="s">
        <x:v>1430</x:v>
      </x:c>
      <x:c r="E44" s="144" t="s">
        <x:v>1430</x:v>
      </x:c>
      <x:c r="F44" s="144" t="s">
        <x:v>1430</x:v>
      </x:c>
      <x:c r="G44" s="144" t="s">
        <x:v>1430</x:v>
      </x:c>
      <x:c r="H44" s="144" t="s">
        <x:v>1430</x:v>
      </x:c>
    </x:row>
    <x:row r="45">
      <x:c r="A45" s="144" t="s">
        <x:v>884</x:v>
      </x:c>
      <x:c r="B45" s="144" t="s">
        <x:v>915</x:v>
      </x:c>
      <x:c r="C45" s="144" t="s">
        <x:v>1431</x:v>
      </x:c>
      <x:c r="D45" s="144" t="s">
        <x:v>1432</x:v>
      </x:c>
      <x:c r="E45" s="144"/>
      <x:c r="F45" s="144"/>
      <x:c r="G45" s="144"/>
      <x:c r="H45" s="144"/>
    </x:row>
    <x:row r="46" ht="28.5">
      <x:c r="A46" s="144" t="s">
        <x:v>135</x:v>
      </x:c>
      <x:c r="B46" s="144">
        <x:v>0.3</x:v>
      </x:c>
      <x:c r="C46" s="144" t="s">
        <x:v>1433</x:v>
      </x:c>
      <x:c r="D46" s="144" t="s">
        <x:v>1434</x:v>
      </x:c>
      <x:c r="E46" s="144"/>
      <x:c r="F46" s="144"/>
      <x:c r="G46" s="144"/>
      <x:c r="H46" s="144"/>
    </x:row>
    <x:row r="47" ht="28.5">
      <x:c r="A47" s="144" t="s">
        <x:v>1435</x:v>
      </x:c>
      <x:c r="B47" s="144">
        <x:v>0.2</x:v>
      </x:c>
      <x:c r="C47" s="144" t="s">
        <x:v>1436</x:v>
      </x:c>
      <x:c r="D47" s="144" t="s">
        <x:v>1437</x:v>
      </x:c>
      <x:c r="E47" s="144"/>
      <x:c r="F47" s="144"/>
      <x:c r="G47" s="144"/>
      <x:c r="H47" s="144"/>
    </x:row>
    <x:row r="48" ht="28.5">
      <x:c r="A48" s="144" t="s">
        <x:v>137</x:v>
      </x:c>
      <x:c r="B48" s="144">
        <x:v>0.2</x:v>
      </x:c>
      <x:c r="C48" s="144" t="s">
        <x:v>1438</x:v>
      </x:c>
      <x:c r="D48" s="144" t="s">
        <x:v>1439</x:v>
      </x:c>
      <x:c r="E48" s="144"/>
      <x:c r="F48" s="144"/>
      <x:c r="G48" s="144"/>
      <x:c r="H48" s="144"/>
    </x:row>
    <x:row r="49" ht="28.5">
      <x:c r="A49" s="144" t="s">
        <x:v>1440</x:v>
      </x:c>
      <x:c r="B49" s="144">
        <x:v>0.15</x:v>
      </x:c>
      <x:c r="C49" s="144" t="s">
        <x:v>1441</x:v>
      </x:c>
      <x:c r="D49" s="144" t="s">
        <x:v>1442</x:v>
      </x:c>
      <x:c r="E49" s="144"/>
      <x:c r="F49" s="144"/>
      <x:c r="G49" s="144"/>
      <x:c r="H49" s="144"/>
    </x:row>
    <x:row r="50">
      <x:c r="A50" s="144" t="s">
        <x:v>1443</x:v>
      </x:c>
      <x:c r="B50" s="144">
        <x:v>0.15</x:v>
      </x:c>
      <x:c r="C50" s="144" t="s">
        <x:v>1444</x:v>
      </x:c>
      <x:c r="D50" s="144" t="s">
        <x:v>1445</x:v>
      </x:c>
      <x:c r="E50" s="144"/>
      <x:c r="F50" s="144"/>
      <x:c r="G50" s="144"/>
      <x:c r="H50" s="144"/>
    </x:row>
    <x:row r="51">
      <x:c r="A51" s="144" t="s">
        <x:v>1446</x:v>
      </x:c>
      <x:c r="B51" s="144"/>
      <x:c r="C51" s="144" t="s">
        <x:v>1447</x:v>
      </x:c>
      <x:c r="D51" s="144" t="s">
        <x:v>1448</x:v>
      </x:c>
      <x:c r="E51" s="144"/>
      <x:c r="F51" s="144"/>
      <x:c r="G51" s="144"/>
      <x:c r="H51" s="144"/>
    </x:row>
    <x:row r="52">
      <x:c r="A52" s="144"/>
      <x:c r="B52" s="144"/>
      <x:c r="C52" s="144"/>
      <x:c r="D52" s="144"/>
      <x:c r="E52" s="144"/>
      <x:c r="F52" s="144"/>
      <x:c r="G52" s="144"/>
      <x:c r="H52" s="144"/>
    </x:row>
    <x:row r="53">
      <x:c r="A53" s="144" t="str">
        <x:v>Verdict istoric v5</x:v>
      </x:c>
      <x:c r="B53" s="144" t="s">
        <x:v>1449</x:v>
      </x:c>
      <x:c r="C53" s="144" t="s">
        <x:v>314</x:v>
      </x:c>
      <x:c r="D53" s="144" t="s">
        <x:v>897</x:v>
      </x:c>
      <x:c r="E53" s="144"/>
      <x:c r="F53" s="144"/>
      <x:c r="G53" s="144"/>
      <x:c r="H53" s="144"/>
    </x:row>
    <x:row r="54" ht="28.5">
      <x:c r="A54" s="144" t="s">
        <x:v>1450</x:v>
      </x:c>
      <x:c r="B54" s="144" t="s">
        <x:v>1451</x:v>
      </x:c>
      <x:c r="C54" s="144" t="s">
        <x:v>1452</x:v>
      </x:c>
      <x:c r="D54" s="144" t="s">
        <x:v>1453</x:v>
      </x:c>
      <x:c r="E54" s="144"/>
      <x:c r="F54" s="144"/>
      <x:c r="G54" s="144"/>
      <x:c r="H54" s="144"/>
    </x:row>
    <x:row r="55" ht="28.5">
      <x:c r="A55" s="144" t="s">
        <x:v>1454</x:v>
      </x:c>
      <x:c r="B55" s="144" t="s">
        <x:v>1455</x:v>
      </x:c>
      <x:c r="C55" s="144" t="s">
        <x:v>1456</x:v>
      </x:c>
      <x:c r="D55" s="144" t="s">
        <x:v>1457</x:v>
      </x:c>
      <x:c r="E55" s="144"/>
      <x:c r="F55" s="144"/>
      <x:c r="G55" s="144"/>
      <x:c r="H55" s="144"/>
    </x:row>
    <x:row r="56" ht="28.5">
      <x:c r="A56" s="144" t="s">
        <x:v>1458</x:v>
      </x:c>
      <x:c r="B56" s="144" t="s">
        <x:v>1459</x:v>
      </x:c>
      <x:c r="C56" s="144" t="s">
        <x:v>1460</x:v>
      </x:c>
      <x:c r="D56" s="144" t="s">
        <x:v>1461</x:v>
      </x:c>
      <x:c r="E56" s="144"/>
      <x:c r="F56" s="144"/>
      <x:c r="G56" s="144"/>
      <x:c r="H56" s="144"/>
    </x:row>
    <x:row r="57" ht="28.5">
      <x:c r="A57" s="144" t="s">
        <x:v>1462</x:v>
      </x:c>
      <x:c r="B57" s="144" t="s">
        <x:v>1463</x:v>
      </x:c>
      <x:c r="C57" s="144" t="s">
        <x:v>1464</x:v>
      </x:c>
      <x:c r="D57" s="144" t="s">
        <x:v>1465</x:v>
      </x:c>
      <x:c r="E57" s="144"/>
      <x:c r="F57" s="144"/>
      <x:c r="G57" s="144"/>
      <x:c r="H57" s="144"/>
    </x:row>
    <x:row r="58">
      <x:c r="A58" s="144"/>
      <x:c r="B58" s="144"/>
      <x:c r="C58" s="144"/>
      <x:c r="D58" s="144"/>
      <x:c r="E58" s="144"/>
      <x:c r="F58" s="144"/>
      <x:c r="G58" s="144"/>
      <x:c r="H58" s="144"/>
    </x:row>
    <x:row r="59" ht="36" customHeight="1">
      <x:c r="A59" s="144" t="str">
        <x:v>• Cota și EV-ul pot fi evaluate separat ca informații de preț, dar nu modifică recomandarea tehnică bazată pe Risk Score și G0.</x:v>
      </x:c>
      <x:c r="B59" s="144" t="s">
        <x:v>1466</x:v>
      </x:c>
      <x:c r="C59" s="144" t="s">
        <x:v>1466</x:v>
      </x:c>
      <x:c r="D59" s="144" t="s">
        <x:v>1466</x:v>
      </x:c>
      <x:c r="E59" s="144" t="s">
        <x:v>1466</x:v>
      </x:c>
      <x:c r="F59" s="144" t="s">
        <x:v>1466</x:v>
      </x:c>
      <x:c r="G59" s="144" t="s">
        <x:v>1466</x:v>
      </x:c>
      <x:c r="H59" s="144" t="s">
        <x:v>1466</x:v>
      </x:c>
    </x:row>
    <x:row r="60" ht="99.75">
      <x:c r="A60" s="144" t="s">
        <x:v>1467</x:v>
      </x:c>
      <x:c r="B60" s="144"/>
      <x:c r="C60" s="144"/>
      <x:c r="D60" s="144"/>
      <x:c r="E60" s="144"/>
      <x:c r="F60" s="144"/>
      <x:c r="G60" s="144"/>
      <x:c r="H60" s="144"/>
    </x:row>
    <x:row r="61" ht="71.25">
      <x:c r="A61" s="144" t="s">
        <x:v>1468</x:v>
      </x:c>
      <x:c r="B61" s="144"/>
      <x:c r="C61" s="144"/>
      <x:c r="D61" s="144"/>
      <x:c r="E61" s="144"/>
      <x:c r="F61" s="144"/>
      <x:c r="G61" s="144"/>
      <x:c r="H61" s="144"/>
    </x:row>
    <x:row r="62" ht="57">
      <x:c r="A62" s="144" t="s">
        <x:v>1469</x:v>
      </x:c>
      <x:c r="B62" s="144"/>
      <x:c r="C62" s="144"/>
      <x:c r="D62" s="144"/>
      <x:c r="E62" s="144"/>
      <x:c r="F62" s="144"/>
      <x:c r="G62" s="144"/>
      <x:c r="H62" s="144"/>
    </x:row>
    <x:row r="63" ht="57">
      <x:c r="A63" s="144" t="s">
        <x:v>1470</x:v>
      </x:c>
      <x:c r="B63" s="144"/>
      <x:c r="C63" s="144"/>
      <x:c r="D63" s="144"/>
      <x:c r="E63" s="144"/>
      <x:c r="F63" s="144"/>
      <x:c r="G63" s="144"/>
      <x:c r="H63" s="144"/>
    </x:row>
    <x:row r="64" ht="71.25">
      <x:c r="A64" s="144" t="s">
        <x:v>1471</x:v>
      </x:c>
      <x:c r="B64" s="144"/>
      <x:c r="C64" s="144"/>
      <x:c r="D64" s="144"/>
      <x:c r="E64" s="144"/>
      <x:c r="F64" s="144"/>
      <x:c r="G64" s="144"/>
      <x:c r="H64" s="144"/>
    </x:row>
    <x:row r="65" ht="71.25">
      <x:c r="A65" s="144" t="s">
        <x:v>1472</x:v>
      </x:c>
      <x:c r="B65" s="144"/>
      <x:c r="C65" s="144"/>
      <x:c r="D65" s="144"/>
      <x:c r="E65" s="144"/>
      <x:c r="F65" s="144"/>
      <x:c r="G65" s="144"/>
      <x:c r="H65" s="144"/>
    </x:row>
    <x:row r="66" ht="142.5">
      <x:c r="A66" s="144" t="s">
        <x:v>1473</x:v>
      </x:c>
      <x:c r="B66" s="144"/>
      <x:c r="C66" s="144"/>
      <x:c r="D66" s="144"/>
      <x:c r="E66" s="144"/>
      <x:c r="F66" s="144"/>
      <x:c r="G66" s="144"/>
      <x:c r="H66" s="144"/>
    </x:row>
    <x:row r="67" ht="156.75">
      <x:c r="A67" s="144" t="s">
        <x:v>1474</x:v>
      </x:c>
      <x:c r="B67" s="144"/>
      <x:c r="C67" s="144"/>
      <x:c r="D67" s="144"/>
      <x:c r="E67" s="144"/>
      <x:c r="F67" s="144"/>
      <x:c r="G67" s="144"/>
      <x:c r="H67" s="144"/>
    </x:row>
    <x:row r="70" ht="15">
      <x:c r="A70" s="172" t="s">
        <x:v>1475</x:v>
      </x:c>
      <x:c r="B70" s="172"/>
      <x:c r="C70" s="172"/>
      <x:c r="D70" s="172"/>
      <x:c r="E70" s="172"/>
      <x:c r="F70" s="172"/>
      <x:c r="G70" s="172"/>
      <x:c r="H70" s="172"/>
    </x:row>
    <x:row r="71" ht="42.75">
      <x:c r="A71" s="144" t="s">
        <x:v>1476</x:v>
      </x:c>
      <x:c r="B71" s="144"/>
      <x:c r="C71" s="144"/>
      <x:c r="D71" s="144"/>
      <x:c r="E71" s="144"/>
      <x:c r="F71" s="144"/>
      <x:c r="G71" s="144"/>
      <x:c r="H71" s="144"/>
    </x:row>
    <x:row r="72" ht="44" customHeight="1">
      <x:c r="A72" s="144" t="str">
        <x:v>Scop: explică toate câmpurile istorice și active. Recomandarea finală curentă folosește exclusiv Risk Score, benzile de risc și G0 pentru date critice (GY:HK). Cota, EV și lineup-ul rămân informative; GO poate folosi confirmările numai pentru plafonul probabilității raportate.</x:v>
      </x:c>
      <x:c r="B72" s="144"/>
      <x:c r="C72" s="144"/>
      <x:c r="D72" s="144"/>
      <x:c r="E72" s="144"/>
      <x:c r="F72" s="144"/>
      <x:c r="G72" s="144"/>
      <x:c r="H72" s="144"/>
    </x:row>
    <x:row r="73">
      <x:c r="A73" s="144"/>
      <x:c r="B73" s="144"/>
      <x:c r="C73" s="144"/>
      <x:c r="D73" s="144"/>
      <x:c r="E73" s="144"/>
      <x:c r="F73" s="144"/>
      <x:c r="G73" s="144"/>
      <x:c r="H73" s="144"/>
    </x:row>
    <x:row r="74">
      <x:c r="A74" s="144" t="s">
        <x:v>1477</x:v>
      </x:c>
      <x:c r="B74" s="144" t="s">
        <x:v>1332</x:v>
      </x:c>
      <x:c r="C74" s="144" t="s">
        <x:v>1478</x:v>
      </x:c>
      <x:c r="D74" s="144" t="s">
        <x:v>1479</x:v>
      </x:c>
      <x:c r="E74" s="144" t="s">
        <x:v>1480</x:v>
      </x:c>
      <x:c r="F74" s="144" t="s">
        <x:v>1481</x:v>
      </x:c>
      <x:c r="G74" s="144" t="s">
        <x:v>1482</x:v>
      </x:c>
      <x:c r="H74" s="144" t="s">
        <x:v>1483</x:v>
      </x:c>
    </x:row>
    <x:row r="75" ht="42.75">
      <x:c r="A75" s="144">
        <x:v>2</x:v>
      </x:c>
      <x:c r="B75" s="144" t="s">
        <x:v>53</x:v>
      </x:c>
      <x:c r="C75" s="144" t="s">
        <x:v>3</x:v>
      </x:c>
      <x:c r="D75" s="144" t="s">
        <x:v>1484</x:v>
      </x:c>
      <x:c r="E75" s="144" t="s">
        <x:v>1485</x:v>
      </x:c>
      <x:c r="F75" s="144" t="s">
        <x:v>1486</x:v>
      </x:c>
      <x:c r="G75" s="144" t="s">
        <x:v>1487</x:v>
      </x:c>
      <x:c r="H75" s="144" t="s">
        <x:v>1488</x:v>
      </x:c>
    </x:row>
    <x:row r="76" ht="28.5">
      <x:c r="A76" s="144">
        <x:v>3</x:v>
      </x:c>
      <x:c r="B76" s="144" t="s">
        <x:v>53</x:v>
      </x:c>
      <x:c r="C76" s="144" t="s">
        <x:v>67</x:v>
      </x:c>
      <x:c r="D76" s="144" t="s">
        <x:v>1489</x:v>
      </x:c>
      <x:c r="E76" s="144" t="s">
        <x:v>1490</x:v>
      </x:c>
      <x:c r="F76" s="144" t="s">
        <x:v>1491</x:v>
      </x:c>
      <x:c r="G76" s="144" t="s">
        <x:v>1487</x:v>
      </x:c>
      <x:c r="H76" s="144" t="s">
        <x:v>1492</x:v>
      </x:c>
    </x:row>
    <x:row r="77" ht="42.75">
      <x:c r="A77" s="144">
        <x:v>4</x:v>
      </x:c>
      <x:c r="B77" s="144" t="s">
        <x:v>53</x:v>
      </x:c>
      <x:c r="C77" s="144" t="s">
        <x:v>14</x:v>
      </x:c>
      <x:c r="D77" s="144" t="s">
        <x:v>1493</x:v>
      </x:c>
      <x:c r="E77" s="144" t="s">
        <x:v>1494</x:v>
      </x:c>
      <x:c r="F77" s="144" t="s">
        <x:v>1495</x:v>
      </x:c>
      <x:c r="G77" s="144" t="s">
        <x:v>1487</x:v>
      </x:c>
      <x:c r="H77" s="144" t="s">
        <x:v>1496</x:v>
      </x:c>
    </x:row>
    <x:row r="78" ht="28.5">
      <x:c r="A78" s="144">
        <x:v>5</x:v>
      </x:c>
      <x:c r="B78" s="144" t="s">
        <x:v>53</x:v>
      </x:c>
      <x:c r="C78" s="144" t="s">
        <x:v>11</x:v>
      </x:c>
      <x:c r="D78" s="144" t="s">
        <x:v>1497</x:v>
      </x:c>
      <x:c r="E78" s="144" t="s">
        <x:v>1498</x:v>
      </x:c>
      <x:c r="F78" s="144" t="s">
        <x:v>1491</x:v>
      </x:c>
      <x:c r="G78" s="144" t="s">
        <x:v>1487</x:v>
      </x:c>
      <x:c r="H78" s="144" t="s">
        <x:v>1499</x:v>
      </x:c>
    </x:row>
    <x:row r="79" ht="42.75">
      <x:c r="A79" s="144">
        <x:v>6</x:v>
      </x:c>
      <x:c r="B79" s="144" t="s">
        <x:v>53</x:v>
      </x:c>
      <x:c r="C79" s="144" t="s">
        <x:v>68</x:v>
      </x:c>
      <x:c r="D79" s="144" t="s">
        <x:v>1500</x:v>
      </x:c>
      <x:c r="E79" s="144" t="s">
        <x:v>1501</x:v>
      </x:c>
      <x:c r="F79" s="144" t="s">
        <x:v>1502</x:v>
      </x:c>
      <x:c r="G79" s="144" t="s">
        <x:v>1503</x:v>
      </x:c>
      <x:c r="H79" s="144" t="s">
        <x:v>1504</x:v>
      </x:c>
    </x:row>
    <x:row r="80" ht="42.75">
      <x:c r="A80" s="144">
        <x:v>7</x:v>
      </x:c>
      <x:c r="B80" s="144" t="s">
        <x:v>53</x:v>
      </x:c>
      <x:c r="C80" s="144" t="s">
        <x:v>69</x:v>
      </x:c>
      <x:c r="D80" s="144" t="s">
        <x:v>1505</x:v>
      </x:c>
      <x:c r="E80" s="144" t="s">
        <x:v>1506</x:v>
      </x:c>
      <x:c r="F80" s="144" t="s">
        <x:v>1491</x:v>
      </x:c>
      <x:c r="G80" s="144" t="s">
        <x:v>1487</x:v>
      </x:c>
      <x:c r="H80" s="144" t="s">
        <x:v>1507</x:v>
      </x:c>
    </x:row>
    <x:row r="81" ht="28.5">
      <x:c r="A81" s="144">
        <x:v>8</x:v>
      </x:c>
      <x:c r="B81" s="144" t="s">
        <x:v>53</x:v>
      </x:c>
      <x:c r="C81" s="144" t="s">
        <x:v>9</x:v>
      </x:c>
      <x:c r="D81" s="144" t="s">
        <x:v>1508</x:v>
      </x:c>
      <x:c r="E81" s="144" t="s">
        <x:v>1509</x:v>
      </x:c>
      <x:c r="F81" s="144" t="s">
        <x:v>1491</x:v>
      </x:c>
      <x:c r="G81" s="144" t="s">
        <x:v>1487</x:v>
      </x:c>
      <x:c r="H81" s="144" t="s">
        <x:v>1510</x:v>
      </x:c>
    </x:row>
    <x:row r="82" ht="28.5">
      <x:c r="A82" s="144">
        <x:v>9</x:v>
      </x:c>
      <x:c r="B82" s="144" t="s">
        <x:v>53</x:v>
      </x:c>
      <x:c r="C82" s="144" t="s">
        <x:v>10</x:v>
      </x:c>
      <x:c r="D82" s="144" t="s">
        <x:v>1511</x:v>
      </x:c>
      <x:c r="E82" s="144" t="s">
        <x:v>1512</x:v>
      </x:c>
      <x:c r="F82" s="144" t="s">
        <x:v>1491</x:v>
      </x:c>
      <x:c r="G82" s="144" t="s">
        <x:v>1487</x:v>
      </x:c>
      <x:c r="H82" s="144" t="s">
        <x:v>1513</x:v>
      </x:c>
    </x:row>
    <x:row r="83" ht="42.75">
      <x:c r="A83" s="144">
        <x:v>10</x:v>
      </x:c>
      <x:c r="B83" s="144" t="s">
        <x:v>54</x:v>
      </x:c>
      <x:c r="C83" s="144" t="s">
        <x:v>70</x:v>
      </x:c>
      <x:c r="D83" s="144" t="s">
        <x:v>1514</x:v>
      </x:c>
      <x:c r="E83" s="144" t="s">
        <x:v>1515</x:v>
      </x:c>
      <x:c r="F83" s="144" t="s">
        <x:v>1516</x:v>
      </x:c>
      <x:c r="G83" s="144" t="s">
        <x:v>1487</x:v>
      </x:c>
      <x:c r="H83" s="144" t="s">
        <x:v>1517</x:v>
      </x:c>
    </x:row>
    <x:row r="84" ht="42.75">
      <x:c r="A84" s="144">
        <x:v>11</x:v>
      </x:c>
      <x:c r="B84" s="144" t="s">
        <x:v>54</x:v>
      </x:c>
      <x:c r="C84" s="144" t="s">
        <x:v>71</x:v>
      </x:c>
      <x:c r="D84" s="144" t="s">
        <x:v>1518</x:v>
      </x:c>
      <x:c r="E84" s="144" t="s">
        <x:v>1519</x:v>
      </x:c>
      <x:c r="F84" s="144" t="s">
        <x:v>1520</x:v>
      </x:c>
      <x:c r="G84" s="144" t="s">
        <x:v>1487</x:v>
      </x:c>
      <x:c r="H84" s="144" t="s">
        <x:v>1521</x:v>
      </x:c>
    </x:row>
    <x:row r="85" ht="42.75">
      <x:c r="A85" s="144">
        <x:v>12</x:v>
      </x:c>
      <x:c r="B85" s="144" t="s">
        <x:v>54</x:v>
      </x:c>
      <x:c r="C85" s="144" t="s">
        <x:v>72</x:v>
      </x:c>
      <x:c r="D85" s="144" t="s">
        <x:v>1522</x:v>
      </x:c>
      <x:c r="E85" s="144" t="s">
        <x:v>1523</x:v>
      </x:c>
      <x:c r="F85" s="144" t="s">
        <x:v>1520</x:v>
      </x:c>
      <x:c r="G85" s="144" t="s">
        <x:v>1487</x:v>
      </x:c>
      <x:c r="H85" s="144" t="s">
        <x:v>1524</x:v>
      </x:c>
    </x:row>
    <x:row r="86" ht="42.75">
      <x:c r="A86" s="144">
        <x:v>13</x:v>
      </x:c>
      <x:c r="B86" s="144" t="s">
        <x:v>54</x:v>
      </x:c>
      <x:c r="C86" s="144" t="s">
        <x:v>73</x:v>
      </x:c>
      <x:c r="D86" s="144" t="s">
        <x:v>1525</x:v>
      </x:c>
      <x:c r="E86" s="144" t="s">
        <x:v>1526</x:v>
      </x:c>
      <x:c r="F86" s="144" t="s">
        <x:v>1527</x:v>
      </x:c>
      <x:c r="G86" s="144" t="s">
        <x:v>1487</x:v>
      </x:c>
      <x:c r="H86" s="144" t="s">
        <x:v>1528</x:v>
      </x:c>
    </x:row>
    <x:row r="87" ht="42.75">
      <x:c r="A87" s="144">
        <x:v>14</x:v>
      </x:c>
      <x:c r="B87" s="144" t="s">
        <x:v>54</x:v>
      </x:c>
      <x:c r="C87" s="144" t="s">
        <x:v>74</x:v>
      </x:c>
      <x:c r="D87" s="144" t="s">
        <x:v>1529</x:v>
      </x:c>
      <x:c r="E87" s="144" t="s">
        <x:v>1530</x:v>
      </x:c>
      <x:c r="F87" s="144" t="s">
        <x:v>1527</x:v>
      </x:c>
      <x:c r="G87" s="144" t="s">
        <x:v>1487</x:v>
      </x:c>
      <x:c r="H87" s="144" t="s">
        <x:v>1531</x:v>
      </x:c>
    </x:row>
    <x:row r="88" ht="42.75">
      <x:c r="A88" s="144">
        <x:v>15</x:v>
      </x:c>
      <x:c r="B88" s="144" t="s">
        <x:v>54</x:v>
      </x:c>
      <x:c r="C88" s="144" t="s">
        <x:v>75</x:v>
      </x:c>
      <x:c r="D88" s="144" t="s">
        <x:v>1532</x:v>
      </x:c>
      <x:c r="E88" s="144" t="s">
        <x:v>1533</x:v>
      </x:c>
      <x:c r="F88" s="144" t="s">
        <x:v>1534</x:v>
      </x:c>
      <x:c r="G88" s="144" t="s">
        <x:v>1487</x:v>
      </x:c>
      <x:c r="H88" s="144" t="s">
        <x:v>1535</x:v>
      </x:c>
    </x:row>
    <x:row r="89" ht="42.75">
      <x:c r="A89" s="144">
        <x:v>16</x:v>
      </x:c>
      <x:c r="B89" s="144" t="s">
        <x:v>54</x:v>
      </x:c>
      <x:c r="C89" s="144" t="s">
        <x:v>76</x:v>
      </x:c>
      <x:c r="D89" s="144" t="s">
        <x:v>1536</x:v>
      </x:c>
      <x:c r="E89" s="144" t="s">
        <x:v>1537</x:v>
      </x:c>
      <x:c r="F89" s="144" t="s">
        <x:v>1534</x:v>
      </x:c>
      <x:c r="G89" s="144" t="s">
        <x:v>1487</x:v>
      </x:c>
      <x:c r="H89" s="144" t="s">
        <x:v>1538</x:v>
      </x:c>
    </x:row>
    <x:row r="90" ht="42.75">
      <x:c r="A90" s="144">
        <x:v>17</x:v>
      </x:c>
      <x:c r="B90" s="144" t="s">
        <x:v>54</x:v>
      </x:c>
      <x:c r="C90" s="144" t="s">
        <x:v>77</x:v>
      </x:c>
      <x:c r="D90" s="144" t="s">
        <x:v>1539</x:v>
      </x:c>
      <x:c r="E90" s="144" t="s">
        <x:v>1540</x:v>
      </x:c>
      <x:c r="F90" s="144" t="s">
        <x:v>1516</x:v>
      </x:c>
      <x:c r="G90" s="144" t="s">
        <x:v>1487</x:v>
      </x:c>
      <x:c r="H90" s="144" t="s">
        <x:v>1517</x:v>
      </x:c>
    </x:row>
    <x:row r="91" ht="42.75">
      <x:c r="A91" s="144">
        <x:v>18</x:v>
      </x:c>
      <x:c r="B91" s="144" t="s">
        <x:v>54</x:v>
      </x:c>
      <x:c r="C91" s="144" t="s">
        <x:v>78</x:v>
      </x:c>
      <x:c r="D91" s="144" t="s">
        <x:v>1541</x:v>
      </x:c>
      <x:c r="E91" s="144" t="s">
        <x:v>1542</x:v>
      </x:c>
      <x:c r="F91" s="144" t="s">
        <x:v>1520</x:v>
      </x:c>
      <x:c r="G91" s="144" t="s">
        <x:v>1487</x:v>
      </x:c>
      <x:c r="H91" s="144" t="s">
        <x:v>1521</x:v>
      </x:c>
    </x:row>
    <x:row r="92" ht="42.75">
      <x:c r="A92" s="144">
        <x:v>19</x:v>
      </x:c>
      <x:c r="B92" s="144" t="s">
        <x:v>54</x:v>
      </x:c>
      <x:c r="C92" s="144" t="s">
        <x:v>79</x:v>
      </x:c>
      <x:c r="D92" s="144" t="s">
        <x:v>1543</x:v>
      </x:c>
      <x:c r="E92" s="144" t="s">
        <x:v>1544</x:v>
      </x:c>
      <x:c r="F92" s="144" t="s">
        <x:v>1520</x:v>
      </x:c>
      <x:c r="G92" s="144" t="s">
        <x:v>1487</x:v>
      </x:c>
      <x:c r="H92" s="144" t="s">
        <x:v>1545</x:v>
      </x:c>
    </x:row>
    <x:row r="93" ht="42.75">
      <x:c r="A93" s="144">
        <x:v>20</x:v>
      </x:c>
      <x:c r="B93" s="144" t="s">
        <x:v>54</x:v>
      </x:c>
      <x:c r="C93" s="144" t="s">
        <x:v>80</x:v>
      </x:c>
      <x:c r="D93" s="144" t="s">
        <x:v>1546</x:v>
      </x:c>
      <x:c r="E93" s="144" t="s">
        <x:v>1547</x:v>
      </x:c>
      <x:c r="F93" s="144" t="s">
        <x:v>1527</x:v>
      </x:c>
      <x:c r="G93" s="144" t="s">
        <x:v>1487</x:v>
      </x:c>
      <x:c r="H93" s="144" t="s">
        <x:v>1528</x:v>
      </x:c>
    </x:row>
    <x:row r="94" ht="28.5">
      <x:c r="A94" s="144">
        <x:v>21</x:v>
      </x:c>
      <x:c r="B94" s="144" t="s">
        <x:v>54</x:v>
      </x:c>
      <x:c r="C94" s="144" t="s">
        <x:v>81</x:v>
      </x:c>
      <x:c r="D94" s="144" t="s">
        <x:v>1548</x:v>
      </x:c>
      <x:c r="E94" s="144" t="s">
        <x:v>1549</x:v>
      </x:c>
      <x:c r="F94" s="144" t="s">
        <x:v>1527</x:v>
      </x:c>
      <x:c r="G94" s="144" t="s">
        <x:v>1487</x:v>
      </x:c>
      <x:c r="H94" s="144" t="s">
        <x:v>1550</x:v>
      </x:c>
    </x:row>
    <x:row r="95" ht="42.75">
      <x:c r="A95" s="144">
        <x:v>22</x:v>
      </x:c>
      <x:c r="B95" s="144" t="s">
        <x:v>54</x:v>
      </x:c>
      <x:c r="C95" s="144" t="s">
        <x:v>82</x:v>
      </x:c>
      <x:c r="D95" s="144" t="s">
        <x:v>1551</x:v>
      </x:c>
      <x:c r="E95" s="144" t="s">
        <x:v>1552</x:v>
      </x:c>
      <x:c r="F95" s="144" t="s">
        <x:v>1534</x:v>
      </x:c>
      <x:c r="G95" s="144" t="s">
        <x:v>1487</x:v>
      </x:c>
      <x:c r="H95" s="144" t="s">
        <x:v>1553</x:v>
      </x:c>
    </x:row>
    <x:row r="96" ht="57">
      <x:c r="A96" s="144">
        <x:v>23</x:v>
      </x:c>
      <x:c r="B96" s="144" t="s">
        <x:v>54</x:v>
      </x:c>
      <x:c r="C96" s="144" t="s">
        <x:v>83</x:v>
      </x:c>
      <x:c r="D96" s="144" t="s">
        <x:v>1554</x:v>
      </x:c>
      <x:c r="E96" s="144" t="s">
        <x:v>1555</x:v>
      </x:c>
      <x:c r="F96" s="144" t="s">
        <x:v>1534</x:v>
      </x:c>
      <x:c r="G96" s="144" t="s">
        <x:v>1487</x:v>
      </x:c>
      <x:c r="H96" s="144" t="s">
        <x:v>1556</x:v>
      </x:c>
    </x:row>
    <x:row r="97" ht="42.75">
      <x:c r="A97" s="144">
        <x:v>24</x:v>
      </x:c>
      <x:c r="B97" s="144" t="s">
        <x:v>55</x:v>
      </x:c>
      <x:c r="C97" s="144" t="s">
        <x:v>84</x:v>
      </x:c>
      <x:c r="D97" s="144" t="s">
        <x:v>1557</x:v>
      </x:c>
      <x:c r="E97" s="144" t="s">
        <x:v>1558</x:v>
      </x:c>
      <x:c r="F97" s="144" t="s">
        <x:v>1516</x:v>
      </x:c>
      <x:c r="G97" s="144" t="s">
        <x:v>1487</x:v>
      </x:c>
      <x:c r="H97" s="144" t="s">
        <x:v>1559</x:v>
      </x:c>
    </x:row>
    <x:row r="98" ht="42.75">
      <x:c r="A98" s="144">
        <x:v>25</x:v>
      </x:c>
      <x:c r="B98" s="144" t="s">
        <x:v>55</x:v>
      </x:c>
      <x:c r="C98" s="144" t="s">
        <x:v>85</x:v>
      </x:c>
      <x:c r="D98" s="144" t="s">
        <x:v>1560</x:v>
      </x:c>
      <x:c r="E98" s="144" t="s">
        <x:v>1561</x:v>
      </x:c>
      <x:c r="F98" s="144" t="s">
        <x:v>1520</x:v>
      </x:c>
      <x:c r="G98" s="144" t="s">
        <x:v>1487</x:v>
      </x:c>
      <x:c r="H98" s="144" t="s">
        <x:v>1562</x:v>
      </x:c>
    </x:row>
    <x:row r="99" ht="42.75">
      <x:c r="A99" s="144">
        <x:v>26</x:v>
      </x:c>
      <x:c r="B99" s="144" t="s">
        <x:v>55</x:v>
      </x:c>
      <x:c r="C99" s="144" t="s">
        <x:v>86</x:v>
      </x:c>
      <x:c r="D99" s="144" t="s">
        <x:v>1563</x:v>
      </x:c>
      <x:c r="E99" s="144" t="s">
        <x:v>1564</x:v>
      </x:c>
      <x:c r="F99" s="144" t="s">
        <x:v>1520</x:v>
      </x:c>
      <x:c r="G99" s="144" t="s">
        <x:v>1487</x:v>
      </x:c>
      <x:c r="H99" s="144" t="s">
        <x:v>1565</x:v>
      </x:c>
    </x:row>
    <x:row r="100" ht="28.5">
      <x:c r="A100" s="144">
        <x:v>27</x:v>
      </x:c>
      <x:c r="B100" s="144" t="s">
        <x:v>55</x:v>
      </x:c>
      <x:c r="C100" s="144" t="s">
        <x:v>87</x:v>
      </x:c>
      <x:c r="D100" s="144" t="s">
        <x:v>1566</x:v>
      </x:c>
      <x:c r="E100" s="144" t="s">
        <x:v>1567</x:v>
      </x:c>
      <x:c r="F100" s="144" t="s">
        <x:v>1527</x:v>
      </x:c>
      <x:c r="G100" s="144" t="s">
        <x:v>1487</x:v>
      </x:c>
      <x:c r="H100" s="144" t="s">
        <x:v>1568</x:v>
      </x:c>
    </x:row>
    <x:row r="101" ht="42.75">
      <x:c r="A101" s="144">
        <x:v>28</x:v>
      </x:c>
      <x:c r="B101" s="144" t="s">
        <x:v>55</x:v>
      </x:c>
      <x:c r="C101" s="144" t="s">
        <x:v>88</x:v>
      </x:c>
      <x:c r="D101" s="144" t="s">
        <x:v>1569</x:v>
      </x:c>
      <x:c r="E101" s="144" t="s">
        <x:v>1570</x:v>
      </x:c>
      <x:c r="F101" s="144" t="s">
        <x:v>1527</x:v>
      </x:c>
      <x:c r="G101" s="144" t="s">
        <x:v>1487</x:v>
      </x:c>
      <x:c r="H101" s="144" t="s">
        <x:v>1568</x:v>
      </x:c>
    </x:row>
    <x:row r="102" ht="28.5">
      <x:c r="A102" s="144">
        <x:v>29</x:v>
      </x:c>
      <x:c r="B102" s="144" t="s">
        <x:v>55</x:v>
      </x:c>
      <x:c r="C102" s="144" t="s">
        <x:v>89</x:v>
      </x:c>
      <x:c r="D102" s="144" t="s">
        <x:v>1571</x:v>
      </x:c>
      <x:c r="E102" s="144" t="s">
        <x:v>1572</x:v>
      </x:c>
      <x:c r="F102" s="144" t="s">
        <x:v>1516</x:v>
      </x:c>
      <x:c r="G102" s="144" t="s">
        <x:v>1487</x:v>
      </x:c>
      <x:c r="H102" s="144" t="s">
        <x:v>1559</x:v>
      </x:c>
    </x:row>
    <x:row r="103" ht="28.5">
      <x:c r="A103" s="144">
        <x:v>30</x:v>
      </x:c>
      <x:c r="B103" s="144" t="s">
        <x:v>55</x:v>
      </x:c>
      <x:c r="C103" s="144" t="s">
        <x:v>90</x:v>
      </x:c>
      <x:c r="D103" s="144" t="s">
        <x:v>1573</x:v>
      </x:c>
      <x:c r="E103" s="144" t="s">
        <x:v>1574</x:v>
      </x:c>
      <x:c r="F103" s="144" t="s">
        <x:v>1520</x:v>
      </x:c>
      <x:c r="G103" s="144" t="s">
        <x:v>1487</x:v>
      </x:c>
      <x:c r="H103" s="144" t="s">
        <x:v>1562</x:v>
      </x:c>
    </x:row>
    <x:row r="104" ht="42.75">
      <x:c r="A104" s="144">
        <x:v>31</x:v>
      </x:c>
      <x:c r="B104" s="144" t="s">
        <x:v>55</x:v>
      </x:c>
      <x:c r="C104" s="144" t="s">
        <x:v>91</x:v>
      </x:c>
      <x:c r="D104" s="144" t="s">
        <x:v>1575</x:v>
      </x:c>
      <x:c r="E104" s="144" t="s">
        <x:v>1576</x:v>
      </x:c>
      <x:c r="F104" s="144" t="s">
        <x:v>1520</x:v>
      </x:c>
      <x:c r="G104" s="144" t="s">
        <x:v>1487</x:v>
      </x:c>
      <x:c r="H104" s="144" t="s">
        <x:v>1562</x:v>
      </x:c>
    </x:row>
    <x:row r="105" ht="28.5">
      <x:c r="A105" s="144">
        <x:v>32</x:v>
      </x:c>
      <x:c r="B105" s="144" t="s">
        <x:v>55</x:v>
      </x:c>
      <x:c r="C105" s="144" t="s">
        <x:v>92</x:v>
      </x:c>
      <x:c r="D105" s="144" t="s">
        <x:v>1577</x:v>
      </x:c>
      <x:c r="E105" s="144" t="s">
        <x:v>1578</x:v>
      </x:c>
      <x:c r="F105" s="144" t="s">
        <x:v>1527</x:v>
      </x:c>
      <x:c r="G105" s="144" t="s">
        <x:v>1487</x:v>
      </x:c>
      <x:c r="H105" s="144" t="s">
        <x:v>1568</x:v>
      </x:c>
    </x:row>
    <x:row r="106" ht="28.5">
      <x:c r="A106" s="144">
        <x:v>33</x:v>
      </x:c>
      <x:c r="B106" s="144" t="s">
        <x:v>55</x:v>
      </x:c>
      <x:c r="C106" s="144" t="s">
        <x:v>93</x:v>
      </x:c>
      <x:c r="D106" s="144" t="s">
        <x:v>1579</x:v>
      </x:c>
      <x:c r="E106" s="144" t="s">
        <x:v>1580</x:v>
      </x:c>
      <x:c r="F106" s="144" t="s">
        <x:v>1527</x:v>
      </x:c>
      <x:c r="G106" s="144" t="s">
        <x:v>1487</x:v>
      </x:c>
      <x:c r="H106" s="144" t="s">
        <x:v>1568</x:v>
      </x:c>
    </x:row>
    <x:row r="107" ht="42.75">
      <x:c r="A107" s="144">
        <x:v>34</x:v>
      </x:c>
      <x:c r="B107" s="144" t="s">
        <x:v>56</x:v>
      </x:c>
      <x:c r="C107" s="144" t="s">
        <x:v>94</x:v>
      </x:c>
      <x:c r="D107" s="144" t="s">
        <x:v>1581</x:v>
      </x:c>
      <x:c r="E107" s="144" t="s">
        <x:v>1582</x:v>
      </x:c>
      <x:c r="F107" s="144" t="s">
        <x:v>1516</x:v>
      </x:c>
      <x:c r="G107" s="144" t="s">
        <x:v>1487</x:v>
      </x:c>
      <x:c r="H107" s="144" t="s">
        <x:v>1583</x:v>
      </x:c>
    </x:row>
    <x:row r="108" ht="42.75">
      <x:c r="A108" s="144">
        <x:v>35</x:v>
      </x:c>
      <x:c r="B108" s="144" t="s">
        <x:v>56</x:v>
      </x:c>
      <x:c r="C108" s="144" t="s">
        <x:v>95</x:v>
      </x:c>
      <x:c r="D108" s="144" t="s">
        <x:v>1584</x:v>
      </x:c>
      <x:c r="E108" s="144" t="s">
        <x:v>1585</x:v>
      </x:c>
      <x:c r="F108" s="144" t="s">
        <x:v>1586</x:v>
      </x:c>
      <x:c r="G108" s="144" t="s">
        <x:v>1487</x:v>
      </x:c>
      <x:c r="H108" s="144" t="s">
        <x:v>1587</x:v>
      </x:c>
    </x:row>
    <x:row r="109" ht="42.75">
      <x:c r="A109" s="144">
        <x:v>36</x:v>
      </x:c>
      <x:c r="B109" s="144" t="s">
        <x:v>56</x:v>
      </x:c>
      <x:c r="C109" s="144" t="s">
        <x:v>96</x:v>
      </x:c>
      <x:c r="D109" s="144" t="s">
        <x:v>1588</x:v>
      </x:c>
      <x:c r="E109" s="144" t="s">
        <x:v>1589</x:v>
      </x:c>
      <x:c r="F109" s="144" t="s">
        <x:v>1534</x:v>
      </x:c>
      <x:c r="G109" s="144" t="s">
        <x:v>1487</x:v>
      </x:c>
      <x:c r="H109" s="144" t="s">
        <x:v>1590</x:v>
      </x:c>
    </x:row>
    <x:row r="110" ht="42.75">
      <x:c r="A110" s="144">
        <x:v>37</x:v>
      </x:c>
      <x:c r="B110" s="144" t="s">
        <x:v>56</x:v>
      </x:c>
      <x:c r="C110" s="144" t="s">
        <x:v>97</x:v>
      </x:c>
      <x:c r="D110" s="144" t="s">
        <x:v>1591</x:v>
      </x:c>
      <x:c r="E110" s="144" t="s">
        <x:v>1592</x:v>
      </x:c>
      <x:c r="F110" s="144" t="s">
        <x:v>1520</x:v>
      </x:c>
      <x:c r="G110" s="144" t="s">
        <x:v>1503</x:v>
      </x:c>
      <x:c r="H110" s="144" t="s">
        <x:v>1593</x:v>
      </x:c>
    </x:row>
    <x:row r="111" ht="42.75">
      <x:c r="A111" s="144">
        <x:v>38</x:v>
      </x:c>
      <x:c r="B111" s="144" t="s">
        <x:v>56</x:v>
      </x:c>
      <x:c r="C111" s="144" t="s">
        <x:v>98</x:v>
      </x:c>
      <x:c r="D111" s="144" t="s">
        <x:v>1594</x:v>
      </x:c>
      <x:c r="E111" s="144" t="s">
        <x:v>1595</x:v>
      </x:c>
      <x:c r="F111" s="144" t="s">
        <x:v>1520</x:v>
      </x:c>
      <x:c r="G111" s="144" t="s">
        <x:v>1503</x:v>
      </x:c>
      <x:c r="H111" s="144" t="s">
        <x:v>1596</x:v>
      </x:c>
    </x:row>
    <x:row r="112" ht="57">
      <x:c r="A112" s="144">
        <x:v>39</x:v>
      </x:c>
      <x:c r="B112" s="144" t="s">
        <x:v>56</x:v>
      </x:c>
      <x:c r="C112" s="144" t="s">
        <x:v>99</x:v>
      </x:c>
      <x:c r="D112" s="144" t="s">
        <x:v>1597</x:v>
      </x:c>
      <x:c r="E112" s="144" t="s">
        <x:v>1598</x:v>
      </x:c>
      <x:c r="F112" s="144" t="s">
        <x:v>1586</x:v>
      </x:c>
      <x:c r="G112" s="144" t="s">
        <x:v>1503</x:v>
      </x:c>
      <x:c r="H112" s="144" t="s">
        <x:v>1599</x:v>
      </x:c>
    </x:row>
    <x:row r="113" ht="42.75">
      <x:c r="A113" s="144">
        <x:v>40</x:v>
      </x:c>
      <x:c r="B113" s="144" t="s">
        <x:v>56</x:v>
      </x:c>
      <x:c r="C113" s="144" t="s">
        <x:v>100</x:v>
      </x:c>
      <x:c r="D113" s="144" t="s">
        <x:v>1600</x:v>
      </x:c>
      <x:c r="E113" s="144" t="s">
        <x:v>1601</x:v>
      </x:c>
      <x:c r="F113" s="144" t="s">
        <x:v>1534</x:v>
      </x:c>
      <x:c r="G113" s="144" t="s">
        <x:v>1487</x:v>
      </x:c>
      <x:c r="H113" s="144" t="s">
        <x:v>1602</x:v>
      </x:c>
    </x:row>
    <x:row r="114" ht="42.75">
      <x:c r="A114" s="144">
        <x:v>41</x:v>
      </x:c>
      <x:c r="B114" s="144" t="s">
        <x:v>56</x:v>
      </x:c>
      <x:c r="C114" s="144" t="s">
        <x:v>101</x:v>
      </x:c>
      <x:c r="D114" s="144" t="s">
        <x:v>1603</x:v>
      </x:c>
      <x:c r="E114" s="144" t="s">
        <x:v>1604</x:v>
      </x:c>
      <x:c r="F114" s="144" t="s">
        <x:v>1516</x:v>
      </x:c>
      <x:c r="G114" s="144" t="s">
        <x:v>1487</x:v>
      </x:c>
      <x:c r="H114" s="144" t="s">
        <x:v>1605</x:v>
      </x:c>
    </x:row>
    <x:row r="115" ht="57">
      <x:c r="A115" s="144">
        <x:v>42</x:v>
      </x:c>
      <x:c r="B115" s="144" t="s">
        <x:v>57</x:v>
      </x:c>
      <x:c r="C115" s="144" t="s">
        <x:v>102</x:v>
      </x:c>
      <x:c r="D115" s="144" t="s">
        <x:v>1606</x:v>
      </x:c>
      <x:c r="E115" s="144" t="s">
        <x:v>1607</x:v>
      </x:c>
      <x:c r="F115" s="144" t="s">
        <x:v>1608</x:v>
      </x:c>
      <x:c r="G115" s="144" t="s">
        <x:v>1487</x:v>
      </x:c>
      <x:c r="H115" s="144" t="s">
        <x:v>1609</x:v>
      </x:c>
    </x:row>
    <x:row r="116" ht="42.75">
      <x:c r="A116" s="144">
        <x:v>43</x:v>
      </x:c>
      <x:c r="B116" s="144" t="s">
        <x:v>57</x:v>
      </x:c>
      <x:c r="C116" s="144" t="s">
        <x:v>103</x:v>
      </x:c>
      <x:c r="D116" s="144" t="s">
        <x:v>1610</x:v>
      </x:c>
      <x:c r="E116" s="144" t="s">
        <x:v>1611</x:v>
      </x:c>
      <x:c r="F116" s="144" t="s">
        <x:v>1608</x:v>
      </x:c>
      <x:c r="G116" s="144" t="s">
        <x:v>1487</x:v>
      </x:c>
      <x:c r="H116" s="144" t="s">
        <x:v>1612</x:v>
      </x:c>
    </x:row>
    <x:row r="117" ht="42.75">
      <x:c r="A117" s="144">
        <x:v>44</x:v>
      </x:c>
      <x:c r="B117" s="144" t="s">
        <x:v>57</x:v>
      </x:c>
      <x:c r="C117" s="144" t="s">
        <x:v>104</x:v>
      </x:c>
      <x:c r="D117" s="144" t="s">
        <x:v>1613</x:v>
      </x:c>
      <x:c r="E117" s="144" t="s">
        <x:v>1614</x:v>
      </x:c>
      <x:c r="F117" s="144" t="s">
        <x:v>1608</x:v>
      </x:c>
      <x:c r="G117" s="144" t="s">
        <x:v>1487</x:v>
      </x:c>
      <x:c r="H117" s="144" t="s">
        <x:v>1612</x:v>
      </x:c>
    </x:row>
    <x:row r="118" ht="42.75">
      <x:c r="A118" s="144">
        <x:v>45</x:v>
      </x:c>
      <x:c r="B118" s="144" t="s">
        <x:v>57</x:v>
      </x:c>
      <x:c r="C118" s="144" t="s">
        <x:v>105</x:v>
      </x:c>
      <x:c r="D118" s="144" t="s">
        <x:v>1615</x:v>
      </x:c>
      <x:c r="E118" s="144" t="s">
        <x:v>1616</x:v>
      </x:c>
      <x:c r="F118" s="144" t="s">
        <x:v>1617</x:v>
      </x:c>
      <x:c r="G118" s="144" t="s">
        <x:v>1618</x:v>
      </x:c>
      <x:c r="H118" s="144" t="s">
        <x:v>1619</x:v>
      </x:c>
    </x:row>
    <x:row r="119" ht="57">
      <x:c r="A119" s="144">
        <x:v>46</x:v>
      </x:c>
      <x:c r="B119" s="144" t="s">
        <x:v>57</x:v>
      </x:c>
      <x:c r="C119" s="144" t="s">
        <x:v>106</x:v>
      </x:c>
      <x:c r="D119" s="144" t="s">
        <x:v>1620</x:v>
      </x:c>
      <x:c r="E119" s="144" t="s">
        <x:v>1621</x:v>
      </x:c>
      <x:c r="F119" s="144" t="s">
        <x:v>1617</x:v>
      </x:c>
      <x:c r="G119" s="144" t="s">
        <x:v>1487</x:v>
      </x:c>
      <x:c r="H119" s="144" t="s">
        <x:v>1622</x:v>
      </x:c>
    </x:row>
    <x:row r="120" ht="42.75">
      <x:c r="A120" s="144">
        <x:v>47</x:v>
      </x:c>
      <x:c r="B120" s="144" t="s">
        <x:v>57</x:v>
      </x:c>
      <x:c r="C120" s="144" t="s">
        <x:v>107</x:v>
      </x:c>
      <x:c r="D120" s="144" t="s">
        <x:v>1623</x:v>
      </x:c>
      <x:c r="E120" s="144" t="s">
        <x:v>1624</x:v>
      </x:c>
      <x:c r="F120" s="144" t="s">
        <x:v>1625</x:v>
      </x:c>
      <x:c r="G120" s="144" t="s">
        <x:v>1503</x:v>
      </x:c>
      <x:c r="H120" s="144" t="s">
        <x:v>1626</x:v>
      </x:c>
    </x:row>
    <x:row r="121" ht="42.75">
      <x:c r="A121" s="144">
        <x:v>48</x:v>
      </x:c>
      <x:c r="B121" s="144" t="s">
        <x:v>57</x:v>
      </x:c>
      <x:c r="C121" s="144" t="s">
        <x:v>108</x:v>
      </x:c>
      <x:c r="D121" s="144" t="s">
        <x:v>1627</x:v>
      </x:c>
      <x:c r="E121" s="144" t="s">
        <x:v>1628</x:v>
      </x:c>
      <x:c r="F121" s="144" t="s">
        <x:v>1629</x:v>
      </x:c>
      <x:c r="G121" s="144" t="s">
        <x:v>1503</x:v>
      </x:c>
      <x:c r="H121" s="144" t="s">
        <x:v>1630</x:v>
      </x:c>
    </x:row>
    <x:row r="122" ht="57">
      <x:c r="A122" s="144">
        <x:v>49</x:v>
      </x:c>
      <x:c r="B122" s="144" t="s">
        <x:v>58</x:v>
      </x:c>
      <x:c r="C122" s="144" t="s">
        <x:v>109</x:v>
      </x:c>
      <x:c r="D122" s="144" t="s">
        <x:v>1631</x:v>
      </x:c>
      <x:c r="E122" s="144" t="s">
        <x:v>1632</x:v>
      </x:c>
      <x:c r="F122" s="144" t="s">
        <x:v>1633</x:v>
      </x:c>
      <x:c r="G122" s="144" t="s">
        <x:v>1634</x:v>
      </x:c>
      <x:c r="H122" s="144" t="s">
        <x:v>1635</x:v>
      </x:c>
    </x:row>
    <x:row r="123" ht="57">
      <x:c r="A123" s="144">
        <x:v>50</x:v>
      </x:c>
      <x:c r="B123" s="144" t="s">
        <x:v>58</x:v>
      </x:c>
      <x:c r="C123" s="144" t="s">
        <x:v>110</x:v>
      </x:c>
      <x:c r="D123" s="144" t="s">
        <x:v>1636</x:v>
      </x:c>
      <x:c r="E123" s="144" t="s">
        <x:v>1637</x:v>
      </x:c>
      <x:c r="F123" s="144" t="s">
        <x:v>1633</x:v>
      </x:c>
      <x:c r="G123" s="144" t="s">
        <x:v>1634</x:v>
      </x:c>
      <x:c r="H123" s="144" t="s">
        <x:v>1638</x:v>
      </x:c>
    </x:row>
    <x:row r="124" ht="42.75">
      <x:c r="A124" s="144">
        <x:v>51</x:v>
      </x:c>
      <x:c r="B124" s="144" t="s">
        <x:v>58</x:v>
      </x:c>
      <x:c r="C124" s="144" t="s">
        <x:v>111</x:v>
      </x:c>
      <x:c r="D124" s="144" t="s">
        <x:v>1639</x:v>
      </x:c>
      <x:c r="E124" s="144" t="s">
        <x:v>1640</x:v>
      </x:c>
      <x:c r="F124" s="144" t="s">
        <x:v>1633</x:v>
      </x:c>
      <x:c r="G124" s="144" t="s">
        <x:v>1634</x:v>
      </x:c>
      <x:c r="H124" s="144" t="s">
        <x:v>1641</x:v>
      </x:c>
    </x:row>
    <x:row r="125" ht="42.75">
      <x:c r="A125" s="144">
        <x:v>52</x:v>
      </x:c>
      <x:c r="B125" s="144" t="s">
        <x:v>58</x:v>
      </x:c>
      <x:c r="C125" s="144" t="s">
        <x:v>112</x:v>
      </x:c>
      <x:c r="D125" s="144" t="s">
        <x:v>1642</x:v>
      </x:c>
      <x:c r="E125" s="144" t="s">
        <x:v>1643</x:v>
      </x:c>
      <x:c r="F125" s="144" t="s">
        <x:v>1633</x:v>
      </x:c>
      <x:c r="G125" s="144" t="s">
        <x:v>1634</x:v>
      </x:c>
      <x:c r="H125" s="144" t="s">
        <x:v>1641</x:v>
      </x:c>
    </x:row>
    <x:row r="126" ht="57">
      <x:c r="A126" s="144">
        <x:v>53</x:v>
      </x:c>
      <x:c r="B126" s="144" t="s">
        <x:v>58</x:v>
      </x:c>
      <x:c r="C126" s="144" t="s">
        <x:v>113</x:v>
      </x:c>
      <x:c r="D126" s="144" t="s">
        <x:v>1644</x:v>
      </x:c>
      <x:c r="E126" s="144" t="s">
        <x:v>1645</x:v>
      </x:c>
      <x:c r="F126" s="144" t="s">
        <x:v>1633</x:v>
      </x:c>
      <x:c r="G126" s="144" t="s">
        <x:v>1634</x:v>
      </x:c>
      <x:c r="H126" s="144" t="s">
        <x:v>1646</x:v>
      </x:c>
    </x:row>
    <x:row r="127" ht="57">
      <x:c r="A127" s="144">
        <x:v>54</x:v>
      </x:c>
      <x:c r="B127" s="144" t="s">
        <x:v>58</x:v>
      </x:c>
      <x:c r="C127" s="144" t="s">
        <x:v>114</x:v>
      </x:c>
      <x:c r="D127" s="144" t="s">
        <x:v>1647</x:v>
      </x:c>
      <x:c r="E127" s="144" t="s">
        <x:v>1648</x:v>
      </x:c>
      <x:c r="F127" s="144" t="s">
        <x:v>1633</x:v>
      </x:c>
      <x:c r="G127" s="144" t="s">
        <x:v>1634</x:v>
      </x:c>
      <x:c r="H127" s="144" t="s">
        <x:v>1635</x:v>
      </x:c>
    </x:row>
    <x:row r="128" ht="42.75">
      <x:c r="A128" s="144">
        <x:v>55</x:v>
      </x:c>
      <x:c r="B128" s="144" t="s">
        <x:v>58</x:v>
      </x:c>
      <x:c r="C128" s="144" t="s">
        <x:v>115</x:v>
      </x:c>
      <x:c r="D128" s="144" t="s">
        <x:v>1649</x:v>
      </x:c>
      <x:c r="E128" s="144" t="s">
        <x:v>1650</x:v>
      </x:c>
      <x:c r="F128" s="144" t="s">
        <x:v>1633</x:v>
      </x:c>
      <x:c r="G128" s="144" t="s">
        <x:v>1634</x:v>
      </x:c>
      <x:c r="H128" s="144" t="s">
        <x:v>1646</x:v>
      </x:c>
    </x:row>
    <x:row r="129" ht="42.75">
      <x:c r="A129" s="144">
        <x:v>56</x:v>
      </x:c>
      <x:c r="B129" s="144" t="s">
        <x:v>58</x:v>
      </x:c>
      <x:c r="C129" s="144" t="s">
        <x:v>116</x:v>
      </x:c>
      <x:c r="D129" s="144" t="s">
        <x:v>1651</x:v>
      </x:c>
      <x:c r="E129" s="144" t="s">
        <x:v>1652</x:v>
      </x:c>
      <x:c r="F129" s="144" t="s">
        <x:v>1633</x:v>
      </x:c>
      <x:c r="G129" s="144" t="s">
        <x:v>1634</x:v>
      </x:c>
      <x:c r="H129" s="144" t="s">
        <x:v>1646</x:v>
      </x:c>
    </x:row>
    <x:row r="130" ht="57">
      <x:c r="A130" s="144">
        <x:v>57</x:v>
      </x:c>
      <x:c r="B130" s="144" t="s">
        <x:v>58</x:v>
      </x:c>
      <x:c r="C130" s="144" t="s">
        <x:v>117</x:v>
      </x:c>
      <x:c r="D130" s="144" t="s">
        <x:v>1653</x:v>
      </x:c>
      <x:c r="E130" s="144" t="s">
        <x:v>1654</x:v>
      </x:c>
      <x:c r="F130" s="144" t="s">
        <x:v>1633</x:v>
      </x:c>
      <x:c r="G130" s="144" t="s">
        <x:v>1634</x:v>
      </x:c>
      <x:c r="H130" s="144" t="s">
        <x:v>1655</x:v>
      </x:c>
    </x:row>
    <x:row r="131" ht="57">
      <x:c r="A131" s="144">
        <x:v>58</x:v>
      </x:c>
      <x:c r="B131" s="144" t="s">
        <x:v>58</x:v>
      </x:c>
      <x:c r="C131" s="144" t="s">
        <x:v>118</x:v>
      </x:c>
      <x:c r="D131" s="144" t="s">
        <x:v>1656</x:v>
      </x:c>
      <x:c r="E131" s="144" t="s">
        <x:v>1657</x:v>
      </x:c>
      <x:c r="F131" s="144" t="s">
        <x:v>1633</x:v>
      </x:c>
      <x:c r="G131" s="144" t="s">
        <x:v>1634</x:v>
      </x:c>
      <x:c r="H131" s="144" t="s">
        <x:v>1658</x:v>
      </x:c>
    </x:row>
    <x:row r="132" ht="57">
      <x:c r="A132" s="144">
        <x:v>59</x:v>
      </x:c>
      <x:c r="B132" s="144" t="s">
        <x:v>58</x:v>
      </x:c>
      <x:c r="C132" s="144" t="s">
        <x:v>119</x:v>
      </x:c>
      <x:c r="D132" s="144" t="s">
        <x:v>1659</x:v>
      </x:c>
      <x:c r="E132" s="144" t="s">
        <x:v>1660</x:v>
      </x:c>
      <x:c r="F132" s="144" t="s">
        <x:v>1633</x:v>
      </x:c>
      <x:c r="G132" s="144" t="s">
        <x:v>1634</x:v>
      </x:c>
      <x:c r="H132" s="144" t="s">
        <x:v>1646</x:v>
      </x:c>
    </x:row>
    <x:row r="133" ht="42.75">
      <x:c r="A133" s="144">
        <x:v>60</x:v>
      </x:c>
      <x:c r="B133" s="144" t="s">
        <x:v>58</x:v>
      </x:c>
      <x:c r="C133" s="144" t="s">
        <x:v>120</x:v>
      </x:c>
      <x:c r="D133" s="144" t="s">
        <x:v>1661</x:v>
      </x:c>
      <x:c r="E133" s="144" t="s">
        <x:v>1662</x:v>
      </x:c>
      <x:c r="F133" s="144" t="s">
        <x:v>1663</x:v>
      </x:c>
      <x:c r="G133" s="144" t="s">
        <x:v>1503</x:v>
      </x:c>
      <x:c r="H133" s="144" t="s">
        <x:v>1664</x:v>
      </x:c>
    </x:row>
    <x:row r="134" ht="42.75">
      <x:c r="A134" s="144">
        <x:v>61</x:v>
      </x:c>
      <x:c r="B134" s="144" t="s">
        <x:v>59</x:v>
      </x:c>
      <x:c r="C134" s="144" t="s">
        <x:v>121</x:v>
      </x:c>
      <x:c r="D134" s="144" t="s">
        <x:v>1665</x:v>
      </x:c>
      <x:c r="E134" s="144" t="s">
        <x:v>1666</x:v>
      </x:c>
      <x:c r="F134" s="144" t="s">
        <x:v>1667</x:v>
      </x:c>
      <x:c r="G134" s="144" t="s">
        <x:v>1487</x:v>
      </x:c>
      <x:c r="H134" s="144" t="s">
        <x:v>1668</x:v>
      </x:c>
    </x:row>
    <x:row r="135" ht="42.75">
      <x:c r="A135" s="144">
        <x:v>62</x:v>
      </x:c>
      <x:c r="B135" s="144" t="s">
        <x:v>59</x:v>
      </x:c>
      <x:c r="C135" s="144" t="s">
        <x:v>122</x:v>
      </x:c>
      <x:c r="D135" s="144" t="s">
        <x:v>1669</x:v>
      </x:c>
      <x:c r="E135" s="144" t="s">
        <x:v>1670</x:v>
      </x:c>
      <x:c r="F135" s="144" t="s">
        <x:v>1671</x:v>
      </x:c>
      <x:c r="G135" s="144" t="s">
        <x:v>1487</x:v>
      </x:c>
      <x:c r="H135" s="144" t="s">
        <x:v>1672</x:v>
      </x:c>
    </x:row>
    <x:row r="136" ht="57">
      <x:c r="A136" s="144">
        <x:v>63</x:v>
      </x:c>
      <x:c r="B136" s="144" t="s">
        <x:v>60</x:v>
      </x:c>
      <x:c r="C136" s="144" t="s">
        <x:v>5</x:v>
      </x:c>
      <x:c r="D136" s="144" t="s">
        <x:v>1673</x:v>
      </x:c>
      <x:c r="E136" s="144" t="s">
        <x:v>1674</x:v>
      </x:c>
      <x:c r="F136" s="144" t="s">
        <x:v>1675</x:v>
      </x:c>
      <x:c r="G136" s="144" t="s">
        <x:v>1676</x:v>
      </x:c>
      <x:c r="H136" s="144" t="s">
        <x:v>1677</x:v>
      </x:c>
    </x:row>
    <x:row r="137" ht="42.75">
      <x:c r="A137" s="144">
        <x:v>64</x:v>
      </x:c>
      <x:c r="B137" s="144" t="s">
        <x:v>60</x:v>
      </x:c>
      <x:c r="C137" s="144" t="s">
        <x:v>6</x:v>
      </x:c>
      <x:c r="D137" s="144" t="s">
        <x:v>1678</x:v>
      </x:c>
      <x:c r="E137" s="144" t="s">
        <x:v>1679</x:v>
      </x:c>
      <x:c r="F137" s="144" t="s">
        <x:v>1680</x:v>
      </x:c>
      <x:c r="G137" s="144" t="s">
        <x:v>1676</x:v>
      </x:c>
      <x:c r="H137" s="144" t="s">
        <x:v>1681</x:v>
      </x:c>
    </x:row>
    <x:row r="138" ht="57">
      <x:c r="A138" s="144">
        <x:v>65</x:v>
      </x:c>
      <x:c r="B138" s="144" t="s">
        <x:v>60</x:v>
      </x:c>
      <x:c r="C138" s="144" t="s">
        <x:v>8</x:v>
      </x:c>
      <x:c r="D138" s="144" t="s">
        <x:v>1682</x:v>
      </x:c>
      <x:c r="E138" s="144" t="s">
        <x:v>1683</x:v>
      </x:c>
      <x:c r="F138" s="144" t="s">
        <x:v>1675</x:v>
      </x:c>
      <x:c r="G138" s="144" t="s">
        <x:v>1676</x:v>
      </x:c>
      <x:c r="H138" s="144" t="s">
        <x:v>1684</x:v>
      </x:c>
    </x:row>
    <x:row r="139" ht="42.75">
      <x:c r="A139" s="144">
        <x:v>66</x:v>
      </x:c>
      <x:c r="B139" s="144" t="s">
        <x:v>60</x:v>
      </x:c>
      <x:c r="C139" s="144" t="s">
        <x:v>13</x:v>
      </x:c>
      <x:c r="D139" s="144" t="s">
        <x:v>1685</x:v>
      </x:c>
      <x:c r="E139" s="144" t="s">
        <x:v>1686</x:v>
      </x:c>
      <x:c r="F139" s="144" t="s">
        <x:v>1680</x:v>
      </x:c>
      <x:c r="G139" s="144" t="s">
        <x:v>1676</x:v>
      </x:c>
      <x:c r="H139" s="144" t="s">
        <x:v>1684</x:v>
      </x:c>
    </x:row>
    <x:row r="140" ht="57">
      <x:c r="A140" s="144">
        <x:v>67</x:v>
      </x:c>
      <x:c r="B140" s="144" t="s">
        <x:v>60</x:v>
      </x:c>
      <x:c r="C140" s="144" t="s">
        <x:v>18</x:v>
      </x:c>
      <x:c r="D140" s="144" t="s">
        <x:v>1687</x:v>
      </x:c>
      <x:c r="E140" s="144" t="s">
        <x:v>1688</x:v>
      </x:c>
      <x:c r="F140" s="144" t="s">
        <x:v>1675</x:v>
      </x:c>
      <x:c r="G140" s="144" t="s">
        <x:v>1676</x:v>
      </x:c>
      <x:c r="H140" s="144" t="s">
        <x:v>1689</x:v>
      </x:c>
    </x:row>
    <x:row r="141" ht="71.25">
      <x:c r="A141" s="144">
        <x:v>68</x:v>
      </x:c>
      <x:c r="B141" s="144" t="s">
        <x:v>60</x:v>
      </x:c>
      <x:c r="C141" s="144" t="s">
        <x:v>123</x:v>
      </x:c>
      <x:c r="D141" s="144" t="s">
        <x:v>1690</x:v>
      </x:c>
      <x:c r="E141" s="144" t="s">
        <x:v>1691</x:v>
      </x:c>
      <x:c r="F141" s="144" t="s">
        <x:v>1534</x:v>
      </x:c>
      <x:c r="G141" s="144" t="s">
        <x:v>1676</x:v>
      </x:c>
      <x:c r="H141" s="144" t="s">
        <x:v>1692</x:v>
      </x:c>
    </x:row>
    <x:row r="142" ht="42.75">
      <x:c r="A142" s="144">
        <x:v>69</x:v>
      </x:c>
      <x:c r="B142" s="144" t="s">
        <x:v>60</x:v>
      </x:c>
      <x:c r="C142" s="144" t="s">
        <x:v>19</x:v>
      </x:c>
      <x:c r="D142" s="144" t="s">
        <x:v>1693</x:v>
      </x:c>
      <x:c r="E142" s="144" t="s">
        <x:v>1694</x:v>
      </x:c>
      <x:c r="F142" s="144" t="s">
        <x:v>1695</x:v>
      </x:c>
      <x:c r="G142" s="144" t="s">
        <x:v>1676</x:v>
      </x:c>
      <x:c r="H142" s="144" t="s">
        <x:v>1696</x:v>
      </x:c>
    </x:row>
    <x:row r="143" ht="57">
      <x:c r="A143" s="144">
        <x:v>70</x:v>
      </x:c>
      <x:c r="B143" s="144" t="s">
        <x:v>60</x:v>
      </x:c>
      <x:c r="C143" s="144" t="s">
        <x:v>124</x:v>
      </x:c>
      <x:c r="D143" s="144" t="s">
        <x:v>1697</x:v>
      </x:c>
      <x:c r="E143" s="144" t="s">
        <x:v>1698</x:v>
      </x:c>
      <x:c r="F143" s="144" t="s">
        <x:v>1675</x:v>
      </x:c>
      <x:c r="G143" s="144" t="s">
        <x:v>1676</x:v>
      </x:c>
      <x:c r="H143" s="144" t="s">
        <x:v>1699</x:v>
      </x:c>
    </x:row>
    <x:row r="144" ht="42.75">
      <x:c r="A144" s="144">
        <x:v>71</x:v>
      </x:c>
      <x:c r="B144" s="144" t="s">
        <x:v>60</x:v>
      </x:c>
      <x:c r="C144" s="144" t="s">
        <x:v>125</x:v>
      </x:c>
      <x:c r="D144" s="144" t="s">
        <x:v>1700</x:v>
      </x:c>
      <x:c r="E144" s="144" t="s">
        <x:v>1701</x:v>
      </x:c>
      <x:c r="F144" s="144" t="s">
        <x:v>1702</x:v>
      </x:c>
      <x:c r="G144" s="144" t="s">
        <x:v>1676</x:v>
      </x:c>
      <x:c r="H144" s="144" t="s">
        <x:v>1703</x:v>
      </x:c>
    </x:row>
    <x:row r="145" ht="42.75">
      <x:c r="A145" s="144">
        <x:v>72</x:v>
      </x:c>
      <x:c r="B145" s="144" t="s">
        <x:v>60</x:v>
      </x:c>
      <x:c r="C145" s="144" t="s">
        <x:v>126</x:v>
      </x:c>
      <x:c r="D145" s="144" t="s">
        <x:v>1704</x:v>
      </x:c>
      <x:c r="E145" s="144" t="s">
        <x:v>1705</x:v>
      </x:c>
      <x:c r="F145" s="144" t="s">
        <x:v>1675</x:v>
      </x:c>
      <x:c r="G145" s="144" t="s">
        <x:v>1676</x:v>
      </x:c>
      <x:c r="H145" s="144" t="s">
        <x:v>1706</x:v>
      </x:c>
    </x:row>
    <x:row r="146" ht="42.75">
      <x:c r="A146" s="144">
        <x:v>73</x:v>
      </x:c>
      <x:c r="B146" s="144" t="s">
        <x:v>60</x:v>
      </x:c>
      <x:c r="C146" s="144" t="s">
        <x:v>127</x:v>
      </x:c>
      <x:c r="D146" s="144" t="s">
        <x:v>1707</x:v>
      </x:c>
      <x:c r="E146" s="144" t="s">
        <x:v>1708</x:v>
      </x:c>
      <x:c r="F146" s="144" t="s">
        <x:v>1534</x:v>
      </x:c>
      <x:c r="G146" s="144" t="s">
        <x:v>1676</x:v>
      </x:c>
      <x:c r="H146" s="144" t="s">
        <x:v>1709</x:v>
      </x:c>
    </x:row>
    <x:row r="147" ht="57">
      <x:c r="A147" s="144">
        <x:v>74</x:v>
      </x:c>
      <x:c r="B147" s="144" t="s">
        <x:v>60</x:v>
      </x:c>
      <x:c r="C147" s="144" t="s">
        <x:v>128</x:v>
      </x:c>
      <x:c r="D147" s="144" t="s">
        <x:v>1710</x:v>
      </x:c>
      <x:c r="E147" s="144" t="s">
        <x:v>1711</x:v>
      </x:c>
      <x:c r="F147" s="144" t="s">
        <x:v>1712</x:v>
      </x:c>
      <x:c r="G147" s="144" t="s">
        <x:v>1676</x:v>
      </x:c>
      <x:c r="H147" s="144" t="s">
        <x:v>1713</x:v>
      </x:c>
    </x:row>
    <x:row r="148" ht="57">
      <x:c r="A148" s="144">
        <x:v>75</x:v>
      </x:c>
      <x:c r="B148" s="144" t="s">
        <x:v>60</x:v>
      </x:c>
      <x:c r="C148" s="144" t="s">
        <x:v>129</x:v>
      </x:c>
      <x:c r="D148" s="144" t="s">
        <x:v>1714</x:v>
      </x:c>
      <x:c r="E148" s="144" t="s">
        <x:v>1715</x:v>
      </x:c>
      <x:c r="F148" s="144" t="s">
        <x:v>1534</x:v>
      </x:c>
      <x:c r="G148" s="144" t="s">
        <x:v>1676</x:v>
      </x:c>
      <x:c r="H148" s="144" t="s">
        <x:v>1716</x:v>
      </x:c>
    </x:row>
    <x:row r="149" ht="42.75">
      <x:c r="A149" s="144">
        <x:v>76</x:v>
      </x:c>
      <x:c r="B149" s="144" t="s">
        <x:v>60</x:v>
      </x:c>
      <x:c r="C149" s="144" t="s">
        <x:v>130</x:v>
      </x:c>
      <x:c r="D149" s="144" t="s">
        <x:v>1717</x:v>
      </x:c>
      <x:c r="E149" s="144" t="s">
        <x:v>1718</x:v>
      </x:c>
      <x:c r="F149" s="144" t="s">
        <x:v>1534</x:v>
      </x:c>
      <x:c r="G149" s="144" t="s">
        <x:v>1676</x:v>
      </x:c>
      <x:c r="H149" s="144" t="s">
        <x:v>1719</x:v>
      </x:c>
    </x:row>
    <x:row r="150" ht="57">
      <x:c r="A150" s="144">
        <x:v>77</x:v>
      </x:c>
      <x:c r="B150" s="144" t="s">
        <x:v>60</x:v>
      </x:c>
      <x:c r="C150" s="144" t="s">
        <x:v>131</x:v>
      </x:c>
      <x:c r="D150" s="144" t="s">
        <x:v>1720</x:v>
      </x:c>
      <x:c r="E150" s="144" t="s">
        <x:v>1721</x:v>
      </x:c>
      <x:c r="F150" s="144" t="s">
        <x:v>1608</x:v>
      </x:c>
      <x:c r="G150" s="144" t="s">
        <x:v>1676</x:v>
      </x:c>
      <x:c r="H150" s="144" t="s">
        <x:v>1722</x:v>
      </x:c>
    </x:row>
    <x:row r="151" ht="42.75">
      <x:c r="A151" s="144">
        <x:v>78</x:v>
      </x:c>
      <x:c r="B151" s="144" t="s">
        <x:v>60</x:v>
      </x:c>
      <x:c r="C151" s="144" t="s">
        <x:v>132</x:v>
      </x:c>
      <x:c r="D151" s="144" t="s">
        <x:v>1723</x:v>
      </x:c>
      <x:c r="E151" s="144" t="s">
        <x:v>1724</x:v>
      </x:c>
      <x:c r="F151" s="144" t="s">
        <x:v>1534</x:v>
      </x:c>
      <x:c r="G151" s="144" t="s">
        <x:v>1676</x:v>
      </x:c>
      <x:c r="H151" s="144" t="s">
        <x:v>1725</x:v>
      </x:c>
    </x:row>
    <x:row r="152" ht="42.75">
      <x:c r="A152" s="144">
        <x:v>79</x:v>
      </x:c>
      <x:c r="B152" s="144" t="s">
        <x:v>60</x:v>
      </x:c>
      <x:c r="C152" s="144" t="s">
        <x:v>133</x:v>
      </x:c>
      <x:c r="D152" s="144" t="s">
        <x:v>1726</x:v>
      </x:c>
      <x:c r="E152" s="144" t="s">
        <x:v>1727</x:v>
      </x:c>
      <x:c r="F152" s="144" t="s">
        <x:v>1728</x:v>
      </x:c>
      <x:c r="G152" s="144" t="s">
        <x:v>1676</x:v>
      </x:c>
      <x:c r="H152" s="144" t="s">
        <x:v>1729</x:v>
      </x:c>
    </x:row>
    <x:row r="153" ht="57">
      <x:c r="A153" s="144">
        <x:v>80</x:v>
      </x:c>
      <x:c r="B153" s="144" t="s">
        <x:v>60</x:v>
      </x:c>
      <x:c r="C153" s="144" t="s">
        <x:v>134</x:v>
      </x:c>
      <x:c r="D153" s="144" t="s">
        <x:v>1730</x:v>
      </x:c>
      <x:c r="E153" s="144" t="s">
        <x:v>1731</x:v>
      </x:c>
      <x:c r="F153" s="144" t="s">
        <x:v>1732</x:v>
      </x:c>
      <x:c r="G153" s="144" t="s">
        <x:v>1676</x:v>
      </x:c>
      <x:c r="H153" s="144" t="s">
        <x:v>1733</x:v>
      </x:c>
    </x:row>
    <x:row r="154" ht="42.75">
      <x:c r="A154" s="144">
        <x:v>81</x:v>
      </x:c>
      <x:c r="B154" s="144" t="s">
        <x:v>60</x:v>
      </x:c>
      <x:c r="C154" s="144" t="s">
        <x:v>135</x:v>
      </x:c>
      <x:c r="D154" s="144" t="s">
        <x:v>1734</x:v>
      </x:c>
      <x:c r="E154" s="144" t="s">
        <x:v>1735</x:v>
      </x:c>
      <x:c r="F154" s="144" t="s">
        <x:v>1736</x:v>
      </x:c>
      <x:c r="G154" s="144" t="s">
        <x:v>1676</x:v>
      </x:c>
      <x:c r="H154" s="144" t="s">
        <x:v>1737</x:v>
      </x:c>
    </x:row>
    <x:row r="155" ht="57">
      <x:c r="A155" s="144">
        <x:v>82</x:v>
      </x:c>
      <x:c r="B155" s="144" t="s">
        <x:v>60</x:v>
      </x:c>
      <x:c r="C155" s="144" t="s">
        <x:v>136</x:v>
      </x:c>
      <x:c r="D155" s="144" t="s">
        <x:v>1738</x:v>
      </x:c>
      <x:c r="E155" s="144" t="s">
        <x:v>1739</x:v>
      </x:c>
      <x:c r="F155" s="144" t="s">
        <x:v>1740</x:v>
      </x:c>
      <x:c r="G155" s="144" t="s">
        <x:v>1676</x:v>
      </x:c>
      <x:c r="H155" s="144" t="s">
        <x:v>1741</x:v>
      </x:c>
    </x:row>
    <x:row r="156" ht="42.75">
      <x:c r="A156" s="144">
        <x:v>83</x:v>
      </x:c>
      <x:c r="B156" s="144" t="s">
        <x:v>60</x:v>
      </x:c>
      <x:c r="C156" s="144" t="s">
        <x:v>137</x:v>
      </x:c>
      <x:c r="D156" s="144" t="s">
        <x:v>1742</x:v>
      </x:c>
      <x:c r="E156" s="144" t="s">
        <x:v>1743</x:v>
      </x:c>
      <x:c r="F156" s="144" t="s">
        <x:v>1740</x:v>
      </x:c>
      <x:c r="G156" s="144" t="s">
        <x:v>1676</x:v>
      </x:c>
      <x:c r="H156" s="144" t="s">
        <x:v>1744</x:v>
      </x:c>
    </x:row>
    <x:row r="157" ht="57">
      <x:c r="A157" s="144">
        <x:v>84</x:v>
      </x:c>
      <x:c r="B157" s="144" t="s">
        <x:v>60</x:v>
      </x:c>
      <x:c r="C157" s="144" t="s">
        <x:v>138</x:v>
      </x:c>
      <x:c r="D157" s="144" t="s">
        <x:v>1745</x:v>
      </x:c>
      <x:c r="E157" s="144" t="s">
        <x:v>1746</x:v>
      </x:c>
      <x:c r="F157" s="144" t="s">
        <x:v>886</x:v>
      </x:c>
      <x:c r="G157" s="144" t="s">
        <x:v>1676</x:v>
      </x:c>
      <x:c r="H157" s="144" t="s">
        <x:v>1747</x:v>
      </x:c>
    </x:row>
    <x:row r="158" ht="57">
      <x:c r="A158" s="144">
        <x:v>85</x:v>
      </x:c>
      <x:c r="B158" s="144" t="s">
        <x:v>60</x:v>
      </x:c>
      <x:c r="C158" s="144" t="s">
        <x:v>30</x:v>
      </x:c>
      <x:c r="D158" s="144" t="s">
        <x:v>1748</x:v>
      </x:c>
      <x:c r="E158" s="144" t="s">
        <x:v>1749</x:v>
      </x:c>
      <x:c r="F158" s="144" t="s">
        <x:v>1750</x:v>
      </x:c>
      <x:c r="G158" s="144" t="s">
        <x:v>1676</x:v>
      </x:c>
      <x:c r="H158" s="144" t="s">
        <x:v>1751</x:v>
      </x:c>
    </x:row>
    <x:row r="159" ht="85.5">
      <x:c r="A159" s="144">
        <x:v>86</x:v>
      </x:c>
      <x:c r="B159" s="144" t="s">
        <x:v>60</x:v>
      </x:c>
      <x:c r="C159" s="144" t="s">
        <x:v>139</x:v>
      </x:c>
      <x:c r="D159" s="144" t="s">
        <x:v>1752</x:v>
      </x:c>
      <x:c r="E159" s="144" t="s">
        <x:v>1753</x:v>
      </x:c>
      <x:c r="F159" s="144" t="s">
        <x:v>1750</x:v>
      </x:c>
      <x:c r="G159" s="144" t="s">
        <x:v>1676</x:v>
      </x:c>
      <x:c r="H159" s="144" t="s">
        <x:v>1754</x:v>
      </x:c>
    </x:row>
    <x:row r="160" ht="57">
      <x:c r="A160" s="144">
        <x:v>87</x:v>
      </x:c>
      <x:c r="B160" s="144" t="s">
        <x:v>60</x:v>
      </x:c>
      <x:c r="C160" s="144" t="s">
        <x:v>140</x:v>
      </x:c>
      <x:c r="D160" s="144" t="s">
        <x:v>1755</x:v>
      </x:c>
      <x:c r="E160" s="144" t="s">
        <x:v>1756</x:v>
      </x:c>
      <x:c r="F160" s="144" t="s">
        <x:v>1757</x:v>
      </x:c>
      <x:c r="G160" s="144" t="s">
        <x:v>1676</x:v>
      </x:c>
      <x:c r="H160" s="144" t="s">
        <x:v>1758</x:v>
      </x:c>
    </x:row>
    <x:row r="161" ht="28.5">
      <x:c r="A161" s="144">
        <x:v>88</x:v>
      </x:c>
      <x:c r="B161" s="144" t="s">
        <x:v>60</x:v>
      </x:c>
      <x:c r="C161" s="144" t="s">
        <x:v>141</x:v>
      </x:c>
      <x:c r="D161" s="144" t="s">
        <x:v>1759</x:v>
      </x:c>
      <x:c r="E161" s="144" t="s">
        <x:v>1760</x:v>
      </x:c>
      <x:c r="F161" s="144" t="s">
        <x:v>1671</x:v>
      </x:c>
      <x:c r="G161" s="144" t="s">
        <x:v>1676</x:v>
      </x:c>
      <x:c r="H161" s="144" t="s">
        <x:v>1761</x:v>
      </x:c>
    </x:row>
    <x:row r="162" ht="28.5">
      <x:c r="A162" s="144">
        <x:v>89</x:v>
      </x:c>
      <x:c r="B162" s="144" t="s">
        <x:v>1762</x:v>
      </x:c>
      <x:c r="C162" s="144" t="s">
        <x:v>142</x:v>
      </x:c>
      <x:c r="D162" s="144" t="s">
        <x:v>1763</x:v>
      </x:c>
      <x:c r="E162" s="144" t="s">
        <x:v>1764</x:v>
      </x:c>
      <x:c r="F162" s="144" t="s">
        <x:v>1765</x:v>
      </x:c>
      <x:c r="G162" s="144" t="s">
        <x:v>1503</x:v>
      </x:c>
      <x:c r="H162" s="144" t="s">
        <x:v>1766</x:v>
      </x:c>
    </x:row>
    <x:row r="163" ht="28.5">
      <x:c r="A163" s="144">
        <x:v>90</x:v>
      </x:c>
      <x:c r="B163" s="144" t="s">
        <x:v>1762</x:v>
      </x:c>
      <x:c r="C163" s="144" t="s">
        <x:v>143</x:v>
      </x:c>
      <x:c r="D163" s="144" t="s">
        <x:v>1767</x:v>
      </x:c>
      <x:c r="E163" s="144" t="s">
        <x:v>1768</x:v>
      </x:c>
      <x:c r="F163" s="144" t="s">
        <x:v>1629</x:v>
      </x:c>
      <x:c r="G163" s="144" t="s">
        <x:v>1503</x:v>
      </x:c>
      <x:c r="H163" s="144" t="s">
        <x:v>1769</x:v>
      </x:c>
    </x:row>
    <x:row r="164" ht="28.5">
      <x:c r="A164" s="144">
        <x:v>91</x:v>
      </x:c>
      <x:c r="B164" s="144" t="s">
        <x:v>1762</x:v>
      </x:c>
      <x:c r="C164" s="144" t="s">
        <x:v>144</x:v>
      </x:c>
      <x:c r="D164" s="144" t="s">
        <x:v>1770</x:v>
      </x:c>
      <x:c r="E164" s="144" t="s">
        <x:v>1768</x:v>
      </x:c>
      <x:c r="F164" s="144" t="s">
        <x:v>1629</x:v>
      </x:c>
      <x:c r="G164" s="144" t="s">
        <x:v>1503</x:v>
      </x:c>
      <x:c r="H164" s="144" t="s">
        <x:v>1769</x:v>
      </x:c>
    </x:row>
    <x:row r="165" ht="28.5">
      <x:c r="A165" s="144">
        <x:v>92</x:v>
      </x:c>
      <x:c r="B165" s="144" t="s">
        <x:v>1762</x:v>
      </x:c>
      <x:c r="C165" s="144" t="s">
        <x:v>145</x:v>
      </x:c>
      <x:c r="D165" s="144" t="s">
        <x:v>1771</x:v>
      </x:c>
      <x:c r="E165" s="144" t="s">
        <x:v>1772</x:v>
      </x:c>
      <x:c r="F165" s="144" t="s">
        <x:v>1773</x:v>
      </x:c>
      <x:c r="G165" s="144" t="s">
        <x:v>1487</x:v>
      </x:c>
      <x:c r="H165" s="144" t="s">
        <x:v>1774</x:v>
      </x:c>
    </x:row>
    <x:row r="166" ht="28.5">
      <x:c r="A166" s="144">
        <x:v>93</x:v>
      </x:c>
      <x:c r="B166" s="144" t="s">
        <x:v>1762</x:v>
      </x:c>
      <x:c r="C166" s="144" t="s">
        <x:v>146</x:v>
      </x:c>
      <x:c r="D166" s="144" t="s">
        <x:v>1775</x:v>
      </x:c>
      <x:c r="E166" s="144" t="s">
        <x:v>1776</x:v>
      </x:c>
      <x:c r="F166" s="144" t="s">
        <x:v>1773</x:v>
      </x:c>
      <x:c r="G166" s="144" t="s">
        <x:v>1487</x:v>
      </x:c>
      <x:c r="H166" s="144" t="s">
        <x:v>1774</x:v>
      </x:c>
    </x:row>
    <x:row r="167" ht="28.5">
      <x:c r="A167" s="144">
        <x:v>94</x:v>
      </x:c>
      <x:c r="B167" s="144" t="s">
        <x:v>1762</x:v>
      </x:c>
      <x:c r="C167" s="144" t="s">
        <x:v>147</x:v>
      </x:c>
      <x:c r="D167" s="144" t="s">
        <x:v>1777</x:v>
      </x:c>
      <x:c r="E167" s="144" t="s">
        <x:v>1778</x:v>
      </x:c>
      <x:c r="F167" s="144" t="s">
        <x:v>1779</x:v>
      </x:c>
      <x:c r="G167" s="144" t="s">
        <x:v>1487</x:v>
      </x:c>
      <x:c r="H167" s="144" t="s">
        <x:v>1780</x:v>
      </x:c>
    </x:row>
    <x:row r="168" ht="28.5">
      <x:c r="A168" s="144">
        <x:v>95</x:v>
      </x:c>
      <x:c r="B168" s="144" t="s">
        <x:v>1762</x:v>
      </x:c>
      <x:c r="C168" s="144" t="s">
        <x:v>148</x:v>
      </x:c>
      <x:c r="D168" s="144" t="s">
        <x:v>1781</x:v>
      </x:c>
      <x:c r="E168" s="144" t="s">
        <x:v>1778</x:v>
      </x:c>
      <x:c r="F168" s="144" t="s">
        <x:v>1779</x:v>
      </x:c>
      <x:c r="G168" s="144" t="s">
        <x:v>1487</x:v>
      </x:c>
      <x:c r="H168" s="144" t="s">
        <x:v>1780</x:v>
      </x:c>
    </x:row>
    <x:row r="169" ht="28.5">
      <x:c r="A169" s="144">
        <x:v>96</x:v>
      </x:c>
      <x:c r="B169" s="144" t="s">
        <x:v>1762</x:v>
      </x:c>
      <x:c r="C169" s="144" t="s">
        <x:v>149</x:v>
      </x:c>
      <x:c r="D169" s="144" t="s">
        <x:v>1782</x:v>
      </x:c>
      <x:c r="E169" s="144" t="s">
        <x:v>1783</x:v>
      </x:c>
      <x:c r="F169" s="144" t="s">
        <x:v>1784</x:v>
      </x:c>
      <x:c r="G169" s="144" t="s">
        <x:v>1487</x:v>
      </x:c>
      <x:c r="H169" s="144" t="s">
        <x:v>1785</x:v>
      </x:c>
    </x:row>
    <x:row r="170" ht="28.5">
      <x:c r="A170" s="144">
        <x:v>97</x:v>
      </x:c>
      <x:c r="B170" s="144" t="s">
        <x:v>1762</x:v>
      </x:c>
      <x:c r="C170" s="144" t="s">
        <x:v>150</x:v>
      </x:c>
      <x:c r="D170" s="144" t="s">
        <x:v>1786</x:v>
      </x:c>
      <x:c r="E170" s="144" t="s">
        <x:v>1783</x:v>
      </x:c>
      <x:c r="F170" s="144" t="s">
        <x:v>1784</x:v>
      </x:c>
      <x:c r="G170" s="144" t="s">
        <x:v>1487</x:v>
      </x:c>
      <x:c r="H170" s="144" t="s">
        <x:v>1785</x:v>
      </x:c>
    </x:row>
    <x:row r="171" ht="28.5">
      <x:c r="A171" s="144">
        <x:v>98</x:v>
      </x:c>
      <x:c r="B171" s="144" t="s">
        <x:v>1762</x:v>
      </x:c>
      <x:c r="C171" s="144" t="s">
        <x:v>151</x:v>
      </x:c>
      <x:c r="D171" s="144" t="s">
        <x:v>1787</x:v>
      </x:c>
      <x:c r="E171" s="144" t="s">
        <x:v>1788</x:v>
      </x:c>
      <x:c r="F171" s="144" t="s">
        <x:v>1789</x:v>
      </x:c>
      <x:c r="G171" s="144" t="s">
        <x:v>1487</x:v>
      </x:c>
      <x:c r="H171" s="144" t="s">
        <x:v>1785</x:v>
      </x:c>
    </x:row>
    <x:row r="172" ht="28.5">
      <x:c r="A172" s="144">
        <x:v>99</x:v>
      </x:c>
      <x:c r="B172" s="144" t="s">
        <x:v>1762</x:v>
      </x:c>
      <x:c r="C172" s="144" t="s">
        <x:v>152</x:v>
      </x:c>
      <x:c r="D172" s="144" t="s">
        <x:v>1787</x:v>
      </x:c>
      <x:c r="E172" s="144" t="s">
        <x:v>1790</x:v>
      </x:c>
      <x:c r="F172" s="144" t="s">
        <x:v>1789</x:v>
      </x:c>
      <x:c r="G172" s="144" t="s">
        <x:v>1487</x:v>
      </x:c>
      <x:c r="H172" s="144" t="s">
        <x:v>1785</x:v>
      </x:c>
    </x:row>
    <x:row r="173" ht="28.5">
      <x:c r="A173" s="144">
        <x:v>100</x:v>
      </x:c>
      <x:c r="B173" s="144" t="s">
        <x:v>1762</x:v>
      </x:c>
      <x:c r="C173" s="144" t="s">
        <x:v>153</x:v>
      </x:c>
      <x:c r="D173" s="144" t="s">
        <x:v>1791</x:v>
      </x:c>
      <x:c r="E173" s="144" t="s">
        <x:v>1792</x:v>
      </x:c>
      <x:c r="F173" s="144" t="s">
        <x:v>1527</x:v>
      </x:c>
      <x:c r="G173" s="144" t="s">
        <x:v>1487</x:v>
      </x:c>
      <x:c r="H173" s="144" t="s">
        <x:v>1785</x:v>
      </x:c>
    </x:row>
    <x:row r="174" ht="28.5">
      <x:c r="A174" s="144">
        <x:v>101</x:v>
      </x:c>
      <x:c r="B174" s="144" t="s">
        <x:v>1762</x:v>
      </x:c>
      <x:c r="C174" s="144" t="s">
        <x:v>154</x:v>
      </x:c>
      <x:c r="D174" s="144" t="s">
        <x:v>1793</x:v>
      </x:c>
      <x:c r="E174" s="144" t="s">
        <x:v>1792</x:v>
      </x:c>
      <x:c r="F174" s="144" t="s">
        <x:v>1527</x:v>
      </x:c>
      <x:c r="G174" s="144" t="s">
        <x:v>1487</x:v>
      </x:c>
      <x:c r="H174" s="144" t="s">
        <x:v>1785</x:v>
      </x:c>
    </x:row>
    <x:row r="175" ht="28.5">
      <x:c r="A175" s="144">
        <x:v>102</x:v>
      </x:c>
      <x:c r="B175" s="144" t="s">
        <x:v>1762</x:v>
      </x:c>
      <x:c r="C175" s="144" t="s">
        <x:v>155</x:v>
      </x:c>
      <x:c r="D175" s="144" t="s">
        <x:v>1794</x:v>
      </x:c>
      <x:c r="E175" s="144" t="s">
        <x:v>1795</x:v>
      </x:c>
      <x:c r="F175" s="144" t="s">
        <x:v>1796</x:v>
      </x:c>
      <x:c r="G175" s="144" t="s">
        <x:v>1634</x:v>
      </x:c>
      <x:c r="H175" s="144" t="s">
        <x:v>1797</x:v>
      </x:c>
    </x:row>
    <x:row r="176" ht="28.5">
      <x:c r="A176" s="144">
        <x:v>103</x:v>
      </x:c>
      <x:c r="B176" s="144" t="s">
        <x:v>1762</x:v>
      </x:c>
      <x:c r="C176" s="144" t="s">
        <x:v>156</x:v>
      </x:c>
      <x:c r="D176" s="144" t="s">
        <x:v>1798</x:v>
      </x:c>
      <x:c r="E176" s="144" t="s">
        <x:v>1795</x:v>
      </x:c>
      <x:c r="F176" s="144" t="s">
        <x:v>1796</x:v>
      </x:c>
      <x:c r="G176" s="144" t="s">
        <x:v>1634</x:v>
      </x:c>
      <x:c r="H176" s="144" t="s">
        <x:v>1797</x:v>
      </x:c>
    </x:row>
    <x:row r="177" ht="28.5">
      <x:c r="A177" s="144">
        <x:v>104</x:v>
      </x:c>
      <x:c r="B177" s="144" t="s">
        <x:v>1762</x:v>
      </x:c>
      <x:c r="C177" s="144" t="s">
        <x:v>157</x:v>
      </x:c>
      <x:c r="D177" s="144" t="s">
        <x:v>1799</x:v>
      </x:c>
      <x:c r="E177" s="144" t="s">
        <x:v>1800</x:v>
      </x:c>
      <x:c r="F177" s="144" t="s">
        <x:v>1629</x:v>
      </x:c>
      <x:c r="G177" s="144" t="s">
        <x:v>1503</x:v>
      </x:c>
      <x:c r="H177" s="144" t="s">
        <x:v>1801</x:v>
      </x:c>
    </x:row>
    <x:row r="178" ht="28.5">
      <x:c r="A178" s="144">
        <x:v>105</x:v>
      </x:c>
      <x:c r="B178" s="144" t="s">
        <x:v>1762</x:v>
      </x:c>
      <x:c r="C178" s="144" t="s">
        <x:v>158</x:v>
      </x:c>
      <x:c r="D178" s="144" t="s">
        <x:v>1802</x:v>
      </x:c>
      <x:c r="E178" s="144" t="s">
        <x:v>1803</x:v>
      </x:c>
      <x:c r="F178" s="144" t="s">
        <x:v>1629</x:v>
      </x:c>
      <x:c r="G178" s="144" t="s">
        <x:v>1503</x:v>
      </x:c>
      <x:c r="H178" s="144" t="s">
        <x:v>1804</x:v>
      </x:c>
    </x:row>
    <x:row r="179" ht="28.5">
      <x:c r="A179" s="144">
        <x:v>106</x:v>
      </x:c>
      <x:c r="B179" s="144" t="s">
        <x:v>1762</x:v>
      </x:c>
      <x:c r="C179" s="144" t="s">
        <x:v>159</x:v>
      </x:c>
      <x:c r="D179" s="144" t="s">
        <x:v>1805</x:v>
      </x:c>
      <x:c r="E179" s="144" t="s">
        <x:v>1803</x:v>
      </x:c>
      <x:c r="F179" s="144" t="s">
        <x:v>1629</x:v>
      </x:c>
      <x:c r="G179" s="144" t="s">
        <x:v>1503</x:v>
      </x:c>
      <x:c r="H179" s="144" t="s">
        <x:v>1806</x:v>
      </x:c>
    </x:row>
    <x:row r="180" ht="28.5">
      <x:c r="A180" s="144">
        <x:v>107</x:v>
      </x:c>
      <x:c r="B180" s="144" t="s">
        <x:v>1762</x:v>
      </x:c>
      <x:c r="C180" s="144" t="s">
        <x:v>160</x:v>
      </x:c>
      <x:c r="D180" s="144" t="s">
        <x:v>1807</x:v>
      </x:c>
      <x:c r="E180" s="144" t="s">
        <x:v>1803</x:v>
      </x:c>
      <x:c r="F180" s="144" t="s">
        <x:v>1629</x:v>
      </x:c>
      <x:c r="G180" s="144" t="s">
        <x:v>1503</x:v>
      </x:c>
      <x:c r="H180" s="144" t="s">
        <x:v>1806</x:v>
      </x:c>
    </x:row>
    <x:row r="181" ht="28.5">
      <x:c r="A181" s="144">
        <x:v>108</x:v>
      </x:c>
      <x:c r="B181" s="144" t="s">
        <x:v>1808</x:v>
      </x:c>
      <x:c r="C181" s="144" t="s">
        <x:v>161</x:v>
      </x:c>
      <x:c r="D181" s="144" t="s">
        <x:v>1809</x:v>
      </x:c>
      <x:c r="E181" s="144" t="s">
        <x:v>1810</x:v>
      </x:c>
      <x:c r="F181" s="144" t="s">
        <x:v>1608</x:v>
      </x:c>
      <x:c r="G181" s="144" t="s">
        <x:v>1487</x:v>
      </x:c>
      <x:c r="H181" s="144" t="s">
        <x:v>1811</x:v>
      </x:c>
    </x:row>
    <x:row r="182" ht="28.5">
      <x:c r="A182" s="144">
        <x:v>109</x:v>
      </x:c>
      <x:c r="B182" s="144" t="s">
        <x:v>1808</x:v>
      </x:c>
      <x:c r="C182" s="144" t="s">
        <x:v>162</x:v>
      </x:c>
      <x:c r="D182" s="144" t="s">
        <x:v>1812</x:v>
      </x:c>
      <x:c r="E182" s="144" t="s">
        <x:v>1813</x:v>
      </x:c>
      <x:c r="F182" s="144" t="s">
        <x:v>1608</x:v>
      </x:c>
      <x:c r="G182" s="144" t="s">
        <x:v>1814</x:v>
      </x:c>
      <x:c r="H182" s="144" t="s">
        <x:v>1815</x:v>
      </x:c>
    </x:row>
    <x:row r="183" ht="28.5">
      <x:c r="A183" s="144">
        <x:v>110</x:v>
      </x:c>
      <x:c r="B183" s="144" t="s">
        <x:v>1762</x:v>
      </x:c>
      <x:c r="C183" s="144" t="s">
        <x:v>163</x:v>
      </x:c>
      <x:c r="D183" s="144" t="s">
        <x:v>1816</x:v>
      </x:c>
      <x:c r="E183" s="144" t="s">
        <x:v>1817</x:v>
      </x:c>
      <x:c r="F183" s="144" t="s">
        <x:v>1502</x:v>
      </x:c>
      <x:c r="G183" s="144" t="s">
        <x:v>1503</x:v>
      </x:c>
      <x:c r="H183" s="144" t="s">
        <x:v>1818</x:v>
      </x:c>
    </x:row>
    <x:row r="184" ht="28.5">
      <x:c r="A184" s="144">
        <x:v>111</x:v>
      </x:c>
      <x:c r="B184" s="144" t="s">
        <x:v>1819</x:v>
      </x:c>
      <x:c r="C184" s="144" t="s">
        <x:v>164</x:v>
      </x:c>
      <x:c r="D184" s="144" t="s">
        <x:v>1820</x:v>
      </x:c>
      <x:c r="E184" s="144" t="s">
        <x:v>1821</x:v>
      </x:c>
      <x:c r="F184" s="144" t="s">
        <x:v>1822</x:v>
      </x:c>
      <x:c r="G184" s="144" t="s">
        <x:v>1823</x:v>
      </x:c>
      <x:c r="H184" s="144" t="s">
        <x:v>1824</x:v>
      </x:c>
    </x:row>
    <x:row r="185" ht="28.5">
      <x:c r="A185" s="144">
        <x:v>112</x:v>
      </x:c>
      <x:c r="B185" s="144" t="s">
        <x:v>1819</x:v>
      </x:c>
      <x:c r="C185" s="144" t="s">
        <x:v>165</x:v>
      </x:c>
      <x:c r="D185" s="144" t="s">
        <x:v>1825</x:v>
      </x:c>
      <x:c r="E185" s="144" t="s">
        <x:v>1826</x:v>
      </x:c>
      <x:c r="F185" s="144" t="s">
        <x:v>1827</x:v>
      </x:c>
      <x:c r="G185" s="144" t="s">
        <x:v>1823</x:v>
      </x:c>
      <x:c r="H185" s="144" t="s">
        <x:v>1828</x:v>
      </x:c>
    </x:row>
    <x:row r="186" ht="28.5">
      <x:c r="A186" s="144">
        <x:v>113</x:v>
      </x:c>
      <x:c r="B186" s="144" t="s">
        <x:v>1819</x:v>
      </x:c>
      <x:c r="C186" s="144" t="s">
        <x:v>166</x:v>
      </x:c>
      <x:c r="D186" s="144" t="s">
        <x:v>1829</x:v>
      </x:c>
      <x:c r="E186" s="144" t="s">
        <x:v>1826</x:v>
      </x:c>
      <x:c r="F186" s="144" t="s">
        <x:v>1827</x:v>
      </x:c>
      <x:c r="G186" s="144" t="s">
        <x:v>1823</x:v>
      </x:c>
      <x:c r="H186" s="144" t="s">
        <x:v>1828</x:v>
      </x:c>
    </x:row>
    <x:row r="187" ht="28.5">
      <x:c r="A187" s="144">
        <x:v>114</x:v>
      </x:c>
      <x:c r="B187" s="144" t="s">
        <x:v>1819</x:v>
      </x:c>
      <x:c r="C187" s="144" t="s">
        <x:v>167</x:v>
      </x:c>
      <x:c r="D187" s="144" t="s">
        <x:v>1830</x:v>
      </x:c>
      <x:c r="E187" s="144" t="s">
        <x:v>1831</x:v>
      </x:c>
      <x:c r="F187" s="144" t="s">
        <x:v>506</x:v>
      </x:c>
      <x:c r="G187" s="144" t="s">
        <x:v>1823</x:v>
      </x:c>
      <x:c r="H187" s="144" t="s">
        <x:v>1832</x:v>
      </x:c>
    </x:row>
    <x:row r="188" ht="28.5">
      <x:c r="A188" s="144">
        <x:v>115</x:v>
      </x:c>
      <x:c r="B188" s="144" t="s">
        <x:v>1819</x:v>
      </x:c>
      <x:c r="C188" s="144" t="s">
        <x:v>168</x:v>
      </x:c>
      <x:c r="D188" s="144" t="s">
        <x:v>1833</x:v>
      </x:c>
      <x:c r="E188" s="144" t="s">
        <x:v>1831</x:v>
      </x:c>
      <x:c r="F188" s="144" t="s">
        <x:v>506</x:v>
      </x:c>
      <x:c r="G188" s="144" t="s">
        <x:v>1823</x:v>
      </x:c>
      <x:c r="H188" s="144" t="s">
        <x:v>1832</x:v>
      </x:c>
    </x:row>
    <x:row r="189" ht="28.5">
      <x:c r="A189" s="144">
        <x:v>116</x:v>
      </x:c>
      <x:c r="B189" s="144" t="s">
        <x:v>1819</x:v>
      </x:c>
      <x:c r="C189" s="144" t="s">
        <x:v>169</x:v>
      </x:c>
      <x:c r="D189" s="144" t="s">
        <x:v>1834</x:v>
      </x:c>
      <x:c r="E189" s="144" t="s">
        <x:v>1835</x:v>
      </x:c>
      <x:c r="F189" s="144" t="s">
        <x:v>1836</x:v>
      </x:c>
      <x:c r="G189" s="144" t="s">
        <x:v>1823</x:v>
      </x:c>
      <x:c r="H189" s="144" t="s">
        <x:v>1837</x:v>
      </x:c>
    </x:row>
    <x:row r="190" ht="28.5">
      <x:c r="A190" s="144">
        <x:v>117</x:v>
      </x:c>
      <x:c r="B190" s="144" t="s">
        <x:v>1819</x:v>
      </x:c>
      <x:c r="C190" s="144" t="s">
        <x:v>170</x:v>
      </x:c>
      <x:c r="D190" s="144" t="s">
        <x:v>1838</x:v>
      </x:c>
      <x:c r="E190" s="144" t="s">
        <x:v>1839</x:v>
      </x:c>
      <x:c r="F190" s="144" t="s">
        <x:v>1836</x:v>
      </x:c>
      <x:c r="G190" s="144" t="s">
        <x:v>1823</x:v>
      </x:c>
      <x:c r="H190" s="144" t="s">
        <x:v>1837</x:v>
      </x:c>
    </x:row>
    <x:row r="191" ht="28.5">
      <x:c r="A191" s="144">
        <x:v>118</x:v>
      </x:c>
      <x:c r="B191" s="144" t="s">
        <x:v>1819</x:v>
      </x:c>
      <x:c r="C191" s="144" t="s">
        <x:v>171</x:v>
      </x:c>
      <x:c r="D191" s="144" t="s">
        <x:v>1840</x:v>
      </x:c>
      <x:c r="E191" s="144" t="s">
        <x:v>1841</x:v>
      </x:c>
      <x:c r="F191" s="144" t="s">
        <x:v>1842</x:v>
      </x:c>
      <x:c r="G191" s="144" t="s">
        <x:v>1823</x:v>
      </x:c>
      <x:c r="H191" s="144" t="s">
        <x:v>1837</x:v>
      </x:c>
    </x:row>
    <x:row r="192" ht="28.5">
      <x:c r="A192" s="144">
        <x:v>119</x:v>
      </x:c>
      <x:c r="B192" s="144" t="s">
        <x:v>1819</x:v>
      </x:c>
      <x:c r="C192" s="144" t="s">
        <x:v>172</x:v>
      </x:c>
      <x:c r="D192" s="144" t="s">
        <x:v>1843</x:v>
      </x:c>
      <x:c r="E192" s="144" t="s">
        <x:v>1841</x:v>
      </x:c>
      <x:c r="F192" s="144" t="s">
        <x:v>1842</x:v>
      </x:c>
      <x:c r="G192" s="144" t="s">
        <x:v>1823</x:v>
      </x:c>
      <x:c r="H192" s="144" t="s">
        <x:v>1837</x:v>
      </x:c>
    </x:row>
    <x:row r="193" ht="28.5">
      <x:c r="A193" s="144">
        <x:v>120</x:v>
      </x:c>
      <x:c r="B193" s="144" t="s">
        <x:v>1819</x:v>
      </x:c>
      <x:c r="C193" s="144" t="s">
        <x:v>173</x:v>
      </x:c>
      <x:c r="D193" s="144" t="s">
        <x:v>1844</x:v>
      </x:c>
      <x:c r="E193" s="144" t="s">
        <x:v>1845</x:v>
      </x:c>
      <x:c r="F193" s="144" t="s">
        <x:v>1629</x:v>
      </x:c>
      <x:c r="G193" s="144" t="s">
        <x:v>1823</x:v>
      </x:c>
      <x:c r="H193" s="144" t="s">
        <x:v>1837</x:v>
      </x:c>
    </x:row>
    <x:row r="194" ht="28.5">
      <x:c r="A194" s="144">
        <x:v>121</x:v>
      </x:c>
      <x:c r="B194" s="144" t="s">
        <x:v>1819</x:v>
      </x:c>
      <x:c r="C194" s="144" t="s">
        <x:v>174</x:v>
      </x:c>
      <x:c r="D194" s="144" t="s">
        <x:v>1846</x:v>
      </x:c>
      <x:c r="E194" s="144" t="s">
        <x:v>1845</x:v>
      </x:c>
      <x:c r="F194" s="144" t="s">
        <x:v>1629</x:v>
      </x:c>
      <x:c r="G194" s="144" t="s">
        <x:v>1823</x:v>
      </x:c>
      <x:c r="H194" s="144" t="s">
        <x:v>1837</x:v>
      </x:c>
    </x:row>
    <x:row r="195" ht="28.5">
      <x:c r="A195" s="144">
        <x:v>122</x:v>
      </x:c>
      <x:c r="B195" s="144" t="s">
        <x:v>1819</x:v>
      </x:c>
      <x:c r="C195" s="144" t="s">
        <x:v>175</x:v>
      </x:c>
      <x:c r="D195" s="144" t="s">
        <x:v>1847</x:v>
      </x:c>
      <x:c r="E195" s="144" t="s">
        <x:v>1848</x:v>
      </x:c>
      <x:c r="F195" s="144" t="s">
        <x:v>1608</x:v>
      </x:c>
      <x:c r="G195" s="144" t="s">
        <x:v>1849</x:v>
      </x:c>
      <x:c r="H195" s="144" t="s">
        <x:v>1850</x:v>
      </x:c>
    </x:row>
    <x:row r="196" ht="28.5">
      <x:c r="A196" s="144">
        <x:v>123</x:v>
      </x:c>
      <x:c r="B196" s="144" t="s">
        <x:v>1851</x:v>
      </x:c>
      <x:c r="C196" s="144" t="s">
        <x:v>176</x:v>
      </x:c>
      <x:c r="D196" s="144" t="s">
        <x:v>1852</x:v>
      </x:c>
      <x:c r="E196" s="144" t="s">
        <x:v>1853</x:v>
      </x:c>
      <x:c r="F196" s="144" t="s">
        <x:v>1765</x:v>
      </x:c>
      <x:c r="G196" s="144" t="s">
        <x:v>1503</x:v>
      </x:c>
      <x:c r="H196" s="144" t="s">
        <x:v>1854</x:v>
      </x:c>
    </x:row>
    <x:row r="197" ht="28.5">
      <x:c r="A197" s="144">
        <x:v>124</x:v>
      </x:c>
      <x:c r="B197" s="144" t="s">
        <x:v>1851</x:v>
      </x:c>
      <x:c r="C197" s="144" t="s">
        <x:v>177</x:v>
      </x:c>
      <x:c r="D197" s="144" t="s">
        <x:v>1855</x:v>
      </x:c>
      <x:c r="E197" s="144" t="s">
        <x:v>1856</x:v>
      </x:c>
      <x:c r="F197" s="144" t="s">
        <x:v>1534</x:v>
      </x:c>
      <x:c r="G197" s="144" t="s">
        <x:v>1487</x:v>
      </x:c>
      <x:c r="H197" s="144" t="s">
        <x:v>1857</x:v>
      </x:c>
    </x:row>
    <x:row r="198" ht="28.5">
      <x:c r="A198" s="144">
        <x:v>125</x:v>
      </x:c>
      <x:c r="B198" s="144" t="s">
        <x:v>1851</x:v>
      </x:c>
      <x:c r="C198" s="144" t="s">
        <x:v>178</x:v>
      </x:c>
      <x:c r="D198" s="144" t="s">
        <x:v>1858</x:v>
      </x:c>
      <x:c r="E198" s="144" t="s">
        <x:v>1859</x:v>
      </x:c>
      <x:c r="F198" s="144" t="s">
        <x:v>1860</x:v>
      </x:c>
      <x:c r="G198" s="144" t="s">
        <x:v>1487</x:v>
      </x:c>
      <x:c r="H198" s="144" t="s">
        <x:v>1861</x:v>
      </x:c>
    </x:row>
    <x:row r="199" ht="28.5">
      <x:c r="A199" s="144">
        <x:v>126</x:v>
      </x:c>
      <x:c r="B199" s="144" t="s">
        <x:v>1851</x:v>
      </x:c>
      <x:c r="C199" s="144" t="s">
        <x:v>179</x:v>
      </x:c>
      <x:c r="D199" s="144" t="s">
        <x:v>1862</x:v>
      </x:c>
      <x:c r="E199" s="144" t="s">
        <x:v>1863</x:v>
      </x:c>
      <x:c r="F199" s="144" t="s">
        <x:v>1864</x:v>
      </x:c>
      <x:c r="G199" s="144" t="s">
        <x:v>1487</x:v>
      </x:c>
      <x:c r="H199" s="144" t="s">
        <x:v>1865</x:v>
      </x:c>
    </x:row>
    <x:row r="200">
      <x:c r="A200" s="144">
        <x:v>127</x:v>
      </x:c>
      <x:c r="B200" s="144" t="s">
        <x:v>1851</x:v>
      </x:c>
      <x:c r="C200" s="144" t="s">
        <x:v>180</x:v>
      </x:c>
      <x:c r="D200" s="144" t="s">
        <x:v>1866</x:v>
      </x:c>
      <x:c r="E200" s="144" t="s">
        <x:v>1867</x:v>
      </x:c>
      <x:c r="F200" s="144" t="s">
        <x:v>1864</x:v>
      </x:c>
      <x:c r="G200" s="144" t="s">
        <x:v>1487</x:v>
      </x:c>
      <x:c r="H200" s="144" t="s">
        <x:v>1868</x:v>
      </x:c>
    </x:row>
    <x:row r="201" ht="28.5">
      <x:c r="A201" s="144">
        <x:v>128</x:v>
      </x:c>
      <x:c r="B201" s="144" t="s">
        <x:v>1869</x:v>
      </x:c>
      <x:c r="C201" s="144" t="s">
        <x:v>181</x:v>
      </x:c>
      <x:c r="D201" s="144" t="s">
        <x:v>1870</x:v>
      </x:c>
      <x:c r="E201" s="144" t="s">
        <x:v>1871</x:v>
      </x:c>
      <x:c r="F201" s="144" t="s">
        <x:v>1872</x:v>
      </x:c>
      <x:c r="G201" s="144" t="s">
        <x:v>1676</x:v>
      </x:c>
      <x:c r="H201" s="144" t="s">
        <x:v>1873</x:v>
      </x:c>
    </x:row>
    <x:row r="202" ht="28.5">
      <x:c r="A202" s="144">
        <x:v>129</x:v>
      </x:c>
      <x:c r="B202" s="144" t="s">
        <x:v>1869</x:v>
      </x:c>
      <x:c r="C202" s="144" t="s">
        <x:v>182</x:v>
      </x:c>
      <x:c r="D202" s="144" t="s">
        <x:v>1874</x:v>
      </x:c>
      <x:c r="E202" s="144" t="s">
        <x:v>1875</x:v>
      </x:c>
      <x:c r="F202" s="144" t="s">
        <x:v>312</x:v>
      </x:c>
      <x:c r="G202" s="144" t="s">
        <x:v>1676</x:v>
      </x:c>
      <x:c r="H202" s="144" t="s">
        <x:v>1876</x:v>
      </x:c>
    </x:row>
    <x:row r="203" ht="28.5">
      <x:c r="A203" s="144">
        <x:v>130</x:v>
      </x:c>
      <x:c r="B203" s="144" t="s">
        <x:v>1869</x:v>
      </x:c>
      <x:c r="C203" s="144" t="s">
        <x:v>183</x:v>
      </x:c>
      <x:c r="D203" s="144" t="s">
        <x:v>1877</x:v>
      </x:c>
      <x:c r="E203" s="144" t="s">
        <x:v>1878</x:v>
      </x:c>
      <x:c r="F203" s="144" t="s">
        <x:v>312</x:v>
      </x:c>
      <x:c r="G203" s="144" t="s">
        <x:v>1676</x:v>
      </x:c>
      <x:c r="H203" s="144" t="s">
        <x:v>1879</x:v>
      </x:c>
    </x:row>
    <x:row r="204" ht="42.75">
      <x:c r="A204" s="144">
        <x:v>131</x:v>
      </x:c>
      <x:c r="B204" s="144" t="s">
        <x:v>1869</x:v>
      </x:c>
      <x:c r="C204" s="144" t="s">
        <x:v>184</x:v>
      </x:c>
      <x:c r="D204" s="144" t="s">
        <x:v>1880</x:v>
      </x:c>
      <x:c r="E204" s="144" t="s">
        <x:v>1881</x:v>
      </x:c>
      <x:c r="F204" s="144" t="s">
        <x:v>1864</x:v>
      </x:c>
      <x:c r="G204" s="144" t="s">
        <x:v>1676</x:v>
      </x:c>
      <x:c r="H204" s="144" t="s">
        <x:v>1882</x:v>
      </x:c>
    </x:row>
    <x:row r="205" ht="42.75">
      <x:c r="A205" s="144">
        <x:v>132</x:v>
      </x:c>
      <x:c r="B205" s="144" t="s">
        <x:v>1869</x:v>
      </x:c>
      <x:c r="C205" s="144" t="s">
        <x:v>185</x:v>
      </x:c>
      <x:c r="D205" s="144" t="s">
        <x:v>1883</x:v>
      </x:c>
      <x:c r="E205" s="144" t="s">
        <x:v>1884</x:v>
      </x:c>
      <x:c r="F205" s="144" t="s">
        <x:v>1864</x:v>
      </x:c>
      <x:c r="G205" s="144" t="s">
        <x:v>1676</x:v>
      </x:c>
      <x:c r="H205" s="144" t="s">
        <x:v>1885</x:v>
      </x:c>
    </x:row>
    <x:row r="206">
      <x:c r="A206" s="144">
        <x:v>133</x:v>
      </x:c>
      <x:c r="B206" s="144" t="s">
        <x:v>1869</x:v>
      </x:c>
      <x:c r="C206" s="144" t="s">
        <x:v>186</x:v>
      </x:c>
      <x:c r="D206" s="144" t="s">
        <x:v>1886</x:v>
      </x:c>
      <x:c r="E206" s="144" t="s">
        <x:v>1887</x:v>
      </x:c>
      <x:c r="F206" s="144" t="s">
        <x:v>1608</x:v>
      </x:c>
      <x:c r="G206" s="144" t="s">
        <x:v>1676</x:v>
      </x:c>
      <x:c r="H206" s="144" t="s">
        <x:v>1888</x:v>
      </x:c>
    </x:row>
    <x:row r="207" ht="42.75">
      <x:c r="A207" s="144">
        <x:v>134</x:v>
      </x:c>
      <x:c r="B207" s="144" t="s">
        <x:v>1869</x:v>
      </x:c>
      <x:c r="C207" s="144" t="s">
        <x:v>187</x:v>
      </x:c>
      <x:c r="D207" s="144" t="s">
        <x:v>1889</x:v>
      </x:c>
      <x:c r="E207" s="144" t="s">
        <x:v>1890</x:v>
      </x:c>
      <x:c r="F207" s="144" t="s">
        <x:v>1864</x:v>
      </x:c>
      <x:c r="G207" s="144" t="s">
        <x:v>1676</x:v>
      </x:c>
      <x:c r="H207" s="144" t="s">
        <x:v>1891</x:v>
      </x:c>
    </x:row>
    <x:row r="208" ht="28.5">
      <x:c r="A208" s="144">
        <x:v>135</x:v>
      </x:c>
      <x:c r="B208" s="144" t="s">
        <x:v>1869</x:v>
      </x:c>
      <x:c r="C208" s="144" t="s">
        <x:v>188</x:v>
      </x:c>
      <x:c r="D208" s="144" t="s">
        <x:v>1892</x:v>
      </x:c>
      <x:c r="E208" s="144" t="s">
        <x:v>1893</x:v>
      </x:c>
      <x:c r="F208" s="144" t="s">
        <x:v>1864</x:v>
      </x:c>
      <x:c r="G208" s="144" t="s">
        <x:v>1676</x:v>
      </x:c>
      <x:c r="H208" s="144" t="s">
        <x:v>1894</x:v>
      </x:c>
    </x:row>
    <x:row r="209" ht="28.5">
      <x:c r="A209" s="144">
        <x:v>136</x:v>
      </x:c>
      <x:c r="B209" s="144" t="s">
        <x:v>1869</x:v>
      </x:c>
      <x:c r="C209" s="144" t="s">
        <x:v>1895</x:v>
      </x:c>
      <x:c r="D209" s="144" t="s">
        <x:v>1896</x:v>
      </x:c>
      <x:c r="E209" s="144" t="s">
        <x:v>1897</x:v>
      </x:c>
      <x:c r="F209" s="144" t="s">
        <x:v>1864</x:v>
      </x:c>
      <x:c r="G209" s="144" t="s">
        <x:v>1676</x:v>
      </x:c>
      <x:c r="H209" s="144" t="s">
        <x:v>1898</x:v>
      </x:c>
    </x:row>
    <x:row r="210" ht="42.75">
      <x:c r="A210" s="144">
        <x:v>137</x:v>
      </x:c>
      <x:c r="B210" s="144" t="s">
        <x:v>1869</x:v>
      </x:c>
      <x:c r="C210" s="144" t="s">
        <x:v>190</x:v>
      </x:c>
      <x:c r="D210" s="144" t="s">
        <x:v>1899</x:v>
      </x:c>
      <x:c r="E210" s="144" t="s">
        <x:v>1900</x:v>
      </x:c>
      <x:c r="F210" s="144" t="s">
        <x:v>886</x:v>
      </x:c>
      <x:c r="G210" s="144" t="s">
        <x:v>1676</x:v>
      </x:c>
      <x:c r="H210" s="144" t="s">
        <x:v>1901</x:v>
      </x:c>
    </x:row>
    <x:row r="211" ht="28.5">
      <x:c r="A211" s="144">
        <x:v>138</x:v>
      </x:c>
      <x:c r="B211" s="144" t="s">
        <x:v>1869</x:v>
      </x:c>
      <x:c r="C211" s="144" t="s">
        <x:v>191</x:v>
      </x:c>
      <x:c r="D211" s="144" t="s">
        <x:v>1902</x:v>
      </x:c>
      <x:c r="E211" s="144" t="s">
        <x:v>1903</x:v>
      </x:c>
      <x:c r="F211" s="144" t="s">
        <x:v>1864</x:v>
      </x:c>
      <x:c r="G211" s="144" t="s">
        <x:v>1676</x:v>
      </x:c>
      <x:c r="H211" s="144" t="s">
        <x:v>1904</x:v>
      </x:c>
    </x:row>
    <x:row r="212" ht="42.75">
      <x:c r="A212" s="144">
        <x:v>139</x:v>
      </x:c>
      <x:c r="B212" s="144" t="s">
        <x:v>1869</x:v>
      </x:c>
      <x:c r="C212" s="144" t="s">
        <x:v>192</x:v>
      </x:c>
      <x:c r="D212" s="144" t="s">
        <x:v>1905</x:v>
      </x:c>
      <x:c r="E212" s="144" t="s">
        <x:v>1906</x:v>
      </x:c>
      <x:c r="F212" s="144" t="s">
        <x:v>1491</x:v>
      </x:c>
      <x:c r="G212" s="144" t="s">
        <x:v>1676</x:v>
      </x:c>
      <x:c r="H212" s="144" t="s">
        <x:v>1907</x:v>
      </x:c>
    </x:row>
    <x:row r="213" ht="57">
      <x:c r="A213" s="144">
        <x:v>140</x:v>
      </x:c>
      <x:c r="B213" s="144" t="s">
        <x:v>1869</x:v>
      </x:c>
      <x:c r="C213" s="144" t="s">
        <x:v>1908</x:v>
      </x:c>
      <x:c r="D213" s="144" t="s">
        <x:v>1909</x:v>
      </x:c>
      <x:c r="E213" s="144" t="s">
        <x:v>1910</x:v>
      </x:c>
      <x:c r="F213" s="144" t="s">
        <x:v>1491</x:v>
      </x:c>
      <x:c r="G213" s="144" t="s">
        <x:v>1676</x:v>
      </x:c>
      <x:c r="H213" s="144" t="s">
        <x:v>1911</x:v>
      </x:c>
    </x:row>
    <x:row r="214" ht="28.5">
      <x:c r="A214" s="144">
        <x:v>141</x:v>
      </x:c>
      <x:c r="B214" s="144" t="s">
        <x:v>1869</x:v>
      </x:c>
      <x:c r="C214" s="144" t="s">
        <x:v>194</x:v>
      </x:c>
      <x:c r="D214" s="144" t="s">
        <x:v>1912</x:v>
      </x:c>
      <x:c r="E214" s="144" t="s">
        <x:v>1913</x:v>
      </x:c>
      <x:c r="F214" s="144" t="s">
        <x:v>1864</x:v>
      </x:c>
      <x:c r="G214" s="144" t="s">
        <x:v>1914</x:v>
      </x:c>
      <x:c r="H214" s="144" t="s">
        <x:v>1915</x:v>
      </x:c>
    </x:row>
    <x:row r="215" ht="28.5">
      <x:c r="A215" s="144">
        <x:v>142</x:v>
      </x:c>
      <x:c r="B215" s="144" t="s">
        <x:v>1869</x:v>
      </x:c>
      <x:c r="C215" s="144" t="s">
        <x:v>1916</x:v>
      </x:c>
      <x:c r="D215" s="144" t="s">
        <x:v>1917</x:v>
      </x:c>
      <x:c r="E215" s="144" t="s">
        <x:v>1918</x:v>
      </x:c>
      <x:c r="F215" s="144" t="s">
        <x:v>1864</x:v>
      </x:c>
      <x:c r="G215" s="144" t="s">
        <x:v>1914</x:v>
      </x:c>
      <x:c r="H215" s="144" t="s">
        <x:v>1919</x:v>
      </x:c>
    </x:row>
    <x:row r="216" ht="57">
      <x:c r="A216" s="144">
        <x:v>143</x:v>
      </x:c>
      <x:c r="B216" s="144" t="s">
        <x:v>1869</x:v>
      </x:c>
      <x:c r="C216" s="144" t="s">
        <x:v>1920</x:v>
      </x:c>
      <x:c r="D216" s="144" t="s">
        <x:v>1921</x:v>
      </x:c>
      <x:c r="E216" s="144" t="s">
        <x:v>1922</x:v>
      </x:c>
      <x:c r="F216" s="144" t="s">
        <x:v>1491</x:v>
      </x:c>
      <x:c r="G216" s="144" t="s">
        <x:v>1676</x:v>
      </x:c>
      <x:c r="H216" s="144" t="s">
        <x:v>1923</x:v>
      </x:c>
    </x:row>
    <x:row r="217" ht="28.5">
      <x:c r="A217" s="144">
        <x:v>144</x:v>
      </x:c>
      <x:c r="B217" s="144" t="s">
        <x:v>1869</x:v>
      </x:c>
      <x:c r="C217" s="144" t="s">
        <x:v>1924</x:v>
      </x:c>
      <x:c r="D217" s="144" t="s">
        <x:v>1925</x:v>
      </x:c>
      <x:c r="E217" s="144" t="s">
        <x:v>1926</x:v>
      </x:c>
      <x:c r="F217" s="144" t="s">
        <x:v>1491</x:v>
      </x:c>
      <x:c r="G217" s="144" t="s">
        <x:v>1676</x:v>
      </x:c>
      <x:c r="H217" s="144" t="s">
        <x:v>1927</x:v>
      </x:c>
    </x:row>
    <x:row r="218" ht="28.5">
      <x:c r="A218" s="144">
        <x:v>145</x:v>
      </x:c>
      <x:c r="B218" s="144" t="s">
        <x:v>1869</x:v>
      </x:c>
      <x:c r="C218" s="144" t="s">
        <x:v>198</x:v>
      </x:c>
      <x:c r="D218" s="144" t="s">
        <x:v>1928</x:v>
      </x:c>
      <x:c r="E218" s="144" t="s">
        <x:v>1929</x:v>
      </x:c>
      <x:c r="F218" s="144" t="s">
        <x:v>1864</x:v>
      </x:c>
      <x:c r="G218" s="144" t="s">
        <x:v>1676</x:v>
      </x:c>
      <x:c r="H218" s="144" t="s">
        <x:v>1930</x:v>
      </x:c>
    </x:row>
    <x:row r="219" ht="28.5">
      <x:c r="A219" s="144">
        <x:v>146</x:v>
      </x:c>
      <x:c r="B219" s="144" t="s">
        <x:v>1869</x:v>
      </x:c>
      <x:c r="C219" s="144" t="s">
        <x:v>199</x:v>
      </x:c>
      <x:c r="D219" s="144" t="s">
        <x:v>1931</x:v>
      </x:c>
      <x:c r="E219" s="144" t="s">
        <x:v>1932</x:v>
      </x:c>
      <x:c r="F219" s="144" t="s">
        <x:v>1860</x:v>
      </x:c>
      <x:c r="G219" s="144" t="s">
        <x:v>1676</x:v>
      </x:c>
      <x:c r="H219" s="144" t="s">
        <x:v>1933</x:v>
      </x:c>
    </x:row>
    <x:row r="220" ht="28.5">
      <x:c r="A220" s="144">
        <x:v>147</x:v>
      </x:c>
      <x:c r="B220" s="144" t="s">
        <x:v>1869</x:v>
      </x:c>
      <x:c r="C220" s="144" t="s">
        <x:v>200</x:v>
      </x:c>
      <x:c r="D220" s="144" t="s">
        <x:v>1934</x:v>
      </x:c>
      <x:c r="E220" s="144" t="s">
        <x:v>1935</x:v>
      </x:c>
      <x:c r="F220" s="144" t="s">
        <x:v>1491</x:v>
      </x:c>
      <x:c r="G220" s="144" t="s">
        <x:v>1676</x:v>
      </x:c>
      <x:c r="H220" s="144" t="s">
        <x:v>1936</x:v>
      </x:c>
    </x:row>
    <x:row r="221" ht="28.5">
      <x:c r="A221" s="144">
        <x:v>148</x:v>
      </x:c>
      <x:c r="B221" s="144" t="s">
        <x:v>1869</x:v>
      </x:c>
      <x:c r="C221" s="144" t="s">
        <x:v>201</x:v>
      </x:c>
      <x:c r="D221" s="144" t="s">
        <x:v>1937</x:v>
      </x:c>
      <x:c r="E221" s="144" t="s">
        <x:v>1938</x:v>
      </x:c>
      <x:c r="F221" s="144" t="s">
        <x:v>1864</x:v>
      </x:c>
      <x:c r="G221" s="144" t="s">
        <x:v>1939</x:v>
      </x:c>
      <x:c r="H221" s="144" t="s">
        <x:v>1940</x:v>
      </x:c>
    </x:row>
    <x:row r="222" ht="42.75">
      <x:c r="A222" s="144">
        <x:v>149</x:v>
      </x:c>
      <x:c r="B222" s="144" t="s">
        <x:v>1869</x:v>
      </x:c>
      <x:c r="C222" s="144" t="s">
        <x:v>202</x:v>
      </x:c>
      <x:c r="D222" s="144" t="s">
        <x:v>1941</x:v>
      </x:c>
      <x:c r="E222" s="144" t="s">
        <x:v>1942</x:v>
      </x:c>
      <x:c r="F222" s="144" t="s">
        <x:v>1491</x:v>
      </x:c>
      <x:c r="G222" s="144" t="s">
        <x:v>1676</x:v>
      </x:c>
      <x:c r="H222" s="144" t="s">
        <x:v>1943</x:v>
      </x:c>
    </x:row>
    <x:row r="223" ht="28.5">
      <x:c r="A223" s="144">
        <x:v>150</x:v>
      </x:c>
      <x:c r="B223" s="144" t="s">
        <x:v>1869</x:v>
      </x:c>
      <x:c r="C223" s="144" t="s">
        <x:v>203</x:v>
      </x:c>
      <x:c r="D223" s="144" t="s">
        <x:v>1944</x:v>
      </x:c>
      <x:c r="E223" s="144" t="s">
        <x:v>1945</x:v>
      </x:c>
      <x:c r="F223" s="144" t="s">
        <x:v>1822</x:v>
      </x:c>
      <x:c r="G223" s="144" t="s">
        <x:v>1676</x:v>
      </x:c>
      <x:c r="H223" s="144" t="s">
        <x:v>1946</x:v>
      </x:c>
    </x:row>
    <x:row r="224" ht="28.5">
      <x:c r="A224" s="144">
        <x:v>151</x:v>
      </x:c>
      <x:c r="B224" s="144" t="s">
        <x:v>1869</x:v>
      </x:c>
      <x:c r="C224" s="144" t="s">
        <x:v>204</x:v>
      </x:c>
      <x:c r="D224" s="144" t="s">
        <x:v>1947</x:v>
      </x:c>
      <x:c r="E224" s="144" t="s">
        <x:v>1948</x:v>
      </x:c>
      <x:c r="F224" s="144" t="s">
        <x:v>312</x:v>
      </x:c>
      <x:c r="G224" s="144" t="s">
        <x:v>1676</x:v>
      </x:c>
      <x:c r="H224" s="144" t="s">
        <x:v>1949</x:v>
      </x:c>
    </x:row>
    <x:row r="225" ht="42.75">
      <x:c r="A225" s="144">
        <x:v>152</x:v>
      </x:c>
      <x:c r="B225" s="144" t="s">
        <x:v>1869</x:v>
      </x:c>
      <x:c r="C225" s="144" t="s">
        <x:v>205</x:v>
      </x:c>
      <x:c r="D225" s="144" t="s">
        <x:v>1950</x:v>
      </x:c>
      <x:c r="E225" s="144" t="s">
        <x:v>1951</x:v>
      </x:c>
      <x:c r="F225" s="144" t="s">
        <x:v>1675</x:v>
      </x:c>
      <x:c r="G225" s="144" t="s">
        <x:v>1914</x:v>
      </x:c>
      <x:c r="H225" s="144" t="s">
        <x:v>1952</x:v>
      </x:c>
    </x:row>
    <x:row r="226" ht="28.5">
      <x:c r="A226" s="144">
        <x:v>153</x:v>
      </x:c>
      <x:c r="B226" s="144" t="s">
        <x:v>1953</x:v>
      </x:c>
      <x:c r="C226" s="144" t="s">
        <x:v>206</x:v>
      </x:c>
      <x:c r="D226" s="144" t="s">
        <x:v>1954</x:v>
      </x:c>
      <x:c r="E226" s="144" t="s">
        <x:v>1955</x:v>
      </x:c>
      <x:c r="F226" s="144" t="s">
        <x:v>1864</x:v>
      </x:c>
      <x:c r="G226" s="144" t="s">
        <x:v>1503</x:v>
      </x:c>
      <x:c r="H226" s="144" t="s">
        <x:v>1956</x:v>
      </x:c>
    </x:row>
    <x:row r="227" ht="28.5">
      <x:c r="A227" s="144">
        <x:v>154</x:v>
      </x:c>
      <x:c r="B227" s="144" t="s">
        <x:v>1953</x:v>
      </x:c>
      <x:c r="C227" s="144" t="s">
        <x:v>207</x:v>
      </x:c>
      <x:c r="D227" s="144" t="s">
        <x:v>1957</x:v>
      </x:c>
      <x:c r="E227" s="144" t="s">
        <x:v>1958</x:v>
      </x:c>
      <x:c r="F227" s="144" t="s">
        <x:v>1864</x:v>
      </x:c>
      <x:c r="G227" s="144" t="s">
        <x:v>1503</x:v>
      </x:c>
      <x:c r="H227" s="144" t="s">
        <x:v>1956</x:v>
      </x:c>
    </x:row>
    <x:row r="228" ht="28.5">
      <x:c r="A228" s="144">
        <x:v>155</x:v>
      </x:c>
      <x:c r="B228" s="144" t="s">
        <x:v>1953</x:v>
      </x:c>
      <x:c r="C228" s="144" t="s">
        <x:v>208</x:v>
      </x:c>
      <x:c r="D228" s="144" t="s">
        <x:v>1959</x:v>
      </x:c>
      <x:c r="E228" s="144" t="s">
        <x:v>1960</x:v>
      </x:c>
      <x:c r="F228" s="144" t="s">
        <x:v>1864</x:v>
      </x:c>
      <x:c r="G228" s="144" t="s">
        <x:v>1503</x:v>
      </x:c>
      <x:c r="H228" s="144" t="s">
        <x:v>1961</x:v>
      </x:c>
    </x:row>
    <x:row r="229" ht="28.5">
      <x:c r="A229" s="144">
        <x:v>156</x:v>
      </x:c>
      <x:c r="B229" s="144" t="s">
        <x:v>1953</x:v>
      </x:c>
      <x:c r="C229" s="144" t="s">
        <x:v>209</x:v>
      </x:c>
      <x:c r="D229" s="144" t="s">
        <x:v>1962</x:v>
      </x:c>
      <x:c r="E229" s="144" t="s">
        <x:v>1963</x:v>
      </x:c>
      <x:c r="F229" s="144" t="s">
        <x:v>1864</x:v>
      </x:c>
      <x:c r="G229" s="144" t="s">
        <x:v>1503</x:v>
      </x:c>
      <x:c r="H229" s="144" t="s">
        <x:v>1961</x:v>
      </x:c>
    </x:row>
    <x:row r="230" ht="28.5">
      <x:c r="A230" s="144">
        <x:v>157</x:v>
      </x:c>
      <x:c r="B230" s="144" t="s">
        <x:v>1953</x:v>
      </x:c>
      <x:c r="C230" s="144" t="s">
        <x:v>210</x:v>
      </x:c>
      <x:c r="D230" s="144" t="s">
        <x:v>1964</x:v>
      </x:c>
      <x:c r="E230" s="144" t="s">
        <x:v>1965</x:v>
      </x:c>
      <x:c r="F230" s="144" t="s">
        <x:v>1864</x:v>
      </x:c>
      <x:c r="G230" s="144" t="s">
        <x:v>1503</x:v>
      </x:c>
      <x:c r="H230" s="144" t="str">
        <x:v>Intră în componenta statistică 0–0 HT.</x:v>
      </x:c>
    </x:row>
    <x:row r="231" ht="28.5">
      <x:c r="A231" s="144">
        <x:v>158</x:v>
      </x:c>
      <x:c r="B231" s="144" t="s">
        <x:v>1953</x:v>
      </x:c>
      <x:c r="C231" s="144" t="s">
        <x:v>211</x:v>
      </x:c>
      <x:c r="D231" s="144" t="s">
        <x:v>1966</x:v>
      </x:c>
      <x:c r="E231" s="144" t="s">
        <x:v>1967</x:v>
      </x:c>
      <x:c r="F231" s="144" t="s">
        <x:v>1864</x:v>
      </x:c>
      <x:c r="G231" s="144" t="s">
        <x:v>1503</x:v>
      </x:c>
      <x:c r="H231" s="144" t="s">
        <x:v>1968</x:v>
      </x:c>
    </x:row>
    <x:row r="232" ht="28.5">
      <x:c r="A232" s="144">
        <x:v>159</x:v>
      </x:c>
      <x:c r="B232" s="144" t="s">
        <x:v>1953</x:v>
      </x:c>
      <x:c r="C232" s="144" t="str">
        <x:v>Câmp retras – evaluarea FB eliminată</x:v>
      </x:c>
      <x:c r="D232" s="144" t="str">
        <x:v>Evaluarea manuală low-tempo nu mai este solicitată sau utilizată.</x:v>
      </x:c>
      <x:c r="E232" s="144" t="str">
        <x:v>Nu se completează. Nicio formulă activă nu citește FB.</x:v>
      </x:c>
      <x:c r="F232" s="144" t="str">
        <x:v>N/A</x:v>
      </x:c>
      <x:c r="G232" s="144" t="str">
        <x:v>Neutilizat</x:v>
      </x:c>
      <x:c r="H232" s="144" t="str">
        <x:v>Coloană tehnică păstrată pentru stabilitatea adreselor; fără validare sau efect metodologic.</x:v>
      </x:c>
    </x:row>
    <x:row r="233" ht="42.75">
      <x:c r="A233" s="144">
        <x:v>160</x:v>
      </x:c>
      <x:c r="B233" s="144" t="s">
        <x:v>1969</x:v>
      </x:c>
      <x:c r="C233" s="144" t="s">
        <x:v>212</x:v>
      </x:c>
      <x:c r="D233" s="144" t="s">
        <x:v>1970</x:v>
      </x:c>
      <x:c r="E233" s="144" t="s">
        <x:v>1971</x:v>
      </x:c>
      <x:c r="F233" s="144" t="s">
        <x:v>312</x:v>
      </x:c>
      <x:c r="G233" s="144" t="s">
        <x:v>1676</x:v>
      </x:c>
      <x:c r="H233" s="144" t="s">
        <x:v>1972</x:v>
      </x:c>
    </x:row>
    <x:row r="234" ht="28.5">
      <x:c r="A234" s="144">
        <x:v>161</x:v>
      </x:c>
      <x:c r="B234" s="144" t="s">
        <x:v>1969</x:v>
      </x:c>
      <x:c r="C234" s="144" t="s">
        <x:v>213</x:v>
      </x:c>
      <x:c r="D234" s="144" t="s">
        <x:v>1973</x:v>
      </x:c>
      <x:c r="E234" s="144" t="s">
        <x:v>1974</x:v>
      </x:c>
      <x:c r="F234" s="144" t="s">
        <x:v>312</x:v>
      </x:c>
      <x:c r="G234" s="144" t="s">
        <x:v>1676</x:v>
      </x:c>
      <x:c r="H234" s="144" t="s">
        <x:v>1972</x:v>
      </x:c>
    </x:row>
    <x:row r="235" ht="28.5">
      <x:c r="A235" s="144">
        <x:v>162</x:v>
      </x:c>
      <x:c r="B235" s="144" t="s">
        <x:v>1969</x:v>
      </x:c>
      <x:c r="C235" s="144" t="s">
        <x:v>214</x:v>
      </x:c>
      <x:c r="D235" s="144" t="s">
        <x:v>1975</x:v>
      </x:c>
      <x:c r="E235" s="144" t="s">
        <x:v>1976</x:v>
      </x:c>
      <x:c r="F235" s="144" t="s">
        <x:v>312</x:v>
      </x:c>
      <x:c r="G235" s="144" t="s">
        <x:v>1676</x:v>
      </x:c>
      <x:c r="H235" s="144" t="s">
        <x:v>1977</x:v>
      </x:c>
    </x:row>
    <x:row r="236" ht="28.5">
      <x:c r="A236" s="144">
        <x:v>163</x:v>
      </x:c>
      <x:c r="B236" s="144" t="s">
        <x:v>1969</x:v>
      </x:c>
      <x:c r="C236" s="144" t="s">
        <x:v>215</x:v>
      </x:c>
      <x:c r="D236" s="144" t="s">
        <x:v>1978</x:v>
      </x:c>
      <x:c r="E236" s="144" t="s">
        <x:v>1979</x:v>
      </x:c>
      <x:c r="F236" s="144" t="s">
        <x:v>312</x:v>
      </x:c>
      <x:c r="G236" s="144" t="s">
        <x:v>1676</x:v>
      </x:c>
      <x:c r="H236" s="144" t="s">
        <x:v>1980</x:v>
      </x:c>
    </x:row>
    <x:row r="237" ht="28.5">
      <x:c r="A237" s="144">
        <x:v>164</x:v>
      </x:c>
      <x:c r="B237" s="144" t="s">
        <x:v>1969</x:v>
      </x:c>
      <x:c r="C237" s="144" t="s">
        <x:v>216</x:v>
      </x:c>
      <x:c r="D237" s="144" t="s">
        <x:v>1981</x:v>
      </x:c>
      <x:c r="E237" s="144" t="s">
        <x:v>1982</x:v>
      </x:c>
      <x:c r="F237" s="144" t="s">
        <x:v>1983</x:v>
      </x:c>
      <x:c r="G237" s="144" t="s">
        <x:v>1676</x:v>
      </x:c>
      <x:c r="H237" s="144" t="s">
        <x:v>1984</x:v>
      </x:c>
    </x:row>
    <x:row r="238" ht="28.5">
      <x:c r="A238" s="144">
        <x:v>165</x:v>
      </x:c>
      <x:c r="B238" s="144" t="s">
        <x:v>1969</x:v>
      </x:c>
      <x:c r="C238" s="144" t="str">
        <x:v>Risc statistic 0–0 HT</x:v>
      </x:c>
      <x:c r="D238" s="144" t="str">
        <x:v>Componentă derivată exclusiv din ratele 0–0 la pauză ale celor două echipe.</x:v>
      </x:c>
      <x:c r="E238" s="144" t="str">
        <x:v>B94 × AVERAGE(EZ:FA) / B89; sunt necesare ambele rate numerice.</x:v>
      </x:c>
      <x:c r="F238" s="144" t="s">
        <x:v>312</x:v>
      </x:c>
      <x:c r="G238" s="144" t="s">
        <x:v>1676</x:v>
      </x:c>
      <x:c r="H238" s="144" t="str">
        <x:v>Coeficientul statistic 75% este păstrat; termenul manual este eliminat fără redistribuire.</x:v>
      </x:c>
    </x:row>
    <x:row r="239" ht="42.75">
      <x:c r="A239" s="144">
        <x:v>166</x:v>
      </x:c>
      <x:c r="B239" s="144" t="s">
        <x:v>1969</x:v>
      </x:c>
      <x:c r="C239" s="144" t="s">
        <x:v>217</x:v>
      </x:c>
      <x:c r="D239" s="144" t="s">
        <x:v>1985</x:v>
      </x:c>
      <x:c r="E239" s="144" t="s">
        <x:v>1986</x:v>
      </x:c>
      <x:c r="F239" s="144" t="s">
        <x:v>1987</x:v>
      </x:c>
      <x:c r="G239" s="144" t="s">
        <x:v>1676</x:v>
      </x:c>
      <x:c r="H239" s="144" t="s">
        <x:v>1988</x:v>
      </x:c>
    </x:row>
    <x:row r="240" ht="28.5">
      <x:c r="A240" s="144">
        <x:v>167</x:v>
      </x:c>
      <x:c r="B240" s="144" t="s">
        <x:v>1969</x:v>
      </x:c>
      <x:c r="C240" s="144" t="s">
        <x:v>218</x:v>
      </x:c>
      <x:c r="D240" s="144" t="s">
        <x:v>1989</x:v>
      </x:c>
      <x:c r="E240" s="144" t="s">
        <x:v>1990</x:v>
      </x:c>
      <x:c r="F240" s="144" t="s">
        <x:v>1864</x:v>
      </x:c>
      <x:c r="G240" s="144" t="s">
        <x:v>1676</x:v>
      </x:c>
      <x:c r="H240" s="144" t="s">
        <x:v>1991</x:v>
      </x:c>
    </x:row>
    <x:row r="241" ht="28.5">
      <x:c r="A241" s="144">
        <x:v>168</x:v>
      </x:c>
      <x:c r="B241" s="144" t="s">
        <x:v>1969</x:v>
      </x:c>
      <x:c r="C241" s="144" t="s">
        <x:v>219</x:v>
      </x:c>
      <x:c r="D241" s="144" t="s">
        <x:v>1992</x:v>
      </x:c>
      <x:c r="E241" s="144" t="str">
        <x:v>DA numai cu cele 6 valori EV:FA și cele 4 valori O, V, FC, FD numerice. FB nu este cerut.</x:v>
      </x:c>
      <x:c r="F241" s="144" t="s">
        <x:v>1993</x:v>
      </x:c>
      <x:c r="G241" s="144" t="s">
        <x:v>1676</x:v>
      </x:c>
      <x:c r="H241" s="144" t="s">
        <x:v>1994</x:v>
      </x:c>
    </x:row>
    <x:row r="242" ht="28.5">
      <x:c r="A242" s="144">
        <x:v>169</x:v>
      </x:c>
      <x:c r="B242" s="144" t="s">
        <x:v>1969</x:v>
      </x:c>
      <x:c r="C242" s="144" t="s">
        <x:v>220</x:v>
      </x:c>
      <x:c r="D242" s="144" t="s">
        <x:v>1995</x:v>
      </x:c>
      <x:c r="E242" s="144" t="s">
        <x:v>1996</x:v>
      </x:c>
      <x:c r="F242" s="144" t="s">
        <x:v>1491</x:v>
      </x:c>
      <x:c r="G242" s="144" t="s">
        <x:v>1676</x:v>
      </x:c>
      <x:c r="H242" s="144" t="s">
        <x:v>1997</x:v>
      </x:c>
    </x:row>
    <x:row r="243" ht="28.5">
      <x:c r="A243" s="144">
        <x:v>170</x:v>
      </x:c>
      <x:c r="B243" s="144" t="s">
        <x:v>1969</x:v>
      </x:c>
      <x:c r="C243" s="144" t="s">
        <x:v>1998</x:v>
      </x:c>
      <x:c r="D243" s="144" t="s">
        <x:v>1999</x:v>
      </x:c>
      <x:c r="E243" s="144" t="s">
        <x:v>2000</x:v>
      </x:c>
      <x:c r="F243" s="144" t="s">
        <x:v>1993</x:v>
      </x:c>
      <x:c r="G243" s="144" t="s">
        <x:v>1676</x:v>
      </x:c>
      <x:c r="H243" s="144" t="s">
        <x:v>2001</x:v>
      </x:c>
    </x:row>
    <x:row r="244" ht="28.5">
      <x:c r="A244" s="144">
        <x:v>171</x:v>
      </x:c>
      <x:c r="B244" s="144" t="s">
        <x:v>1969</x:v>
      </x:c>
      <x:c r="C244" s="144" t="s">
        <x:v>2002</x:v>
      </x:c>
      <x:c r="D244" s="144" t="s">
        <x:v>2003</x:v>
      </x:c>
      <x:c r="E244" s="144" t="s">
        <x:v>2004</x:v>
      </x:c>
      <x:c r="F244" s="144" t="s">
        <x:v>1993</x:v>
      </x:c>
      <x:c r="G244" s="144" t="s">
        <x:v>1676</x:v>
      </x:c>
      <x:c r="H244" s="144" t="s">
        <x:v>2001</x:v>
      </x:c>
    </x:row>
    <x:row r="245" ht="28.5">
      <x:c r="A245" s="144">
        <x:v>172</x:v>
      </x:c>
      <x:c r="B245" s="144" t="s">
        <x:v>1969</x:v>
      </x:c>
      <x:c r="C245" s="144" t="s">
        <x:v>221</x:v>
      </x:c>
      <x:c r="D245" s="144" t="s">
        <x:v>2005</x:v>
      </x:c>
      <x:c r="E245" s="144" t="s">
        <x:v>2006</x:v>
      </x:c>
      <x:c r="F245" s="144" t="s">
        <x:v>1864</x:v>
      </x:c>
      <x:c r="G245" s="144" t="s">
        <x:v>1676</x:v>
      </x:c>
      <x:c r="H245" s="144" t="s">
        <x:v>2007</x:v>
      </x:c>
    </x:row>
    <x:row r="246" ht="28.5">
      <x:c r="A246" s="144">
        <x:v>173</x:v>
      </x:c>
      <x:c r="B246" s="144" t="s">
        <x:v>1969</x:v>
      </x:c>
      <x:c r="C246" s="144" t="s">
        <x:v>222</x:v>
      </x:c>
      <x:c r="D246" s="144" t="s">
        <x:v>2008</x:v>
      </x:c>
      <x:c r="E246" s="144" t="s">
        <x:v>2009</x:v>
      </x:c>
      <x:c r="F246" s="144" t="s">
        <x:v>1864</x:v>
      </x:c>
      <x:c r="G246" s="144" t="s">
        <x:v>1676</x:v>
      </x:c>
      <x:c r="H246" s="144" t="s">
        <x:v>2010</x:v>
      </x:c>
    </x:row>
    <x:row r="247">
      <x:c r="A247" s="144">
        <x:v>174</x:v>
      </x:c>
      <x:c r="B247" s="144" t="s">
        <x:v>1969</x:v>
      </x:c>
      <x:c r="C247" s="144" t="s">
        <x:v>223</x:v>
      </x:c>
      <x:c r="D247" s="144" t="s">
        <x:v>2011</x:v>
      </x:c>
      <x:c r="E247" s="144" t="s">
        <x:v>2012</x:v>
      </x:c>
      <x:c r="F247" s="144" t="s">
        <x:v>1608</x:v>
      </x:c>
      <x:c r="G247" s="144" t="s">
        <x:v>1676</x:v>
      </x:c>
      <x:c r="H247" s="144" t="s">
        <x:v>2013</x:v>
      </x:c>
    </x:row>
    <x:row r="248" ht="28.5">
      <x:c r="A248" s="144">
        <x:v>175</x:v>
      </x:c>
      <x:c r="B248" s="144" t="s">
        <x:v>1969</x:v>
      </x:c>
      <x:c r="C248" s="144" t="s">
        <x:v>224</x:v>
      </x:c>
      <x:c r="D248" s="144" t="s">
        <x:v>2014</x:v>
      </x:c>
      <x:c r="E248" s="144" t="s">
        <x:v>1894</x:v>
      </x:c>
      <x:c r="F248" s="144" t="s">
        <x:v>1864</x:v>
      </x:c>
      <x:c r="G248" s="144" t="s">
        <x:v>1676</x:v>
      </x:c>
      <x:c r="H248" s="144" t="s">
        <x:v>2015</x:v>
      </x:c>
    </x:row>
    <x:row r="249">
      <x:c r="A249" s="144">
        <x:v>176</x:v>
      </x:c>
      <x:c r="B249" s="144" t="s">
        <x:v>1969</x:v>
      </x:c>
      <x:c r="C249" s="144" t="s">
        <x:v>225</x:v>
      </x:c>
      <x:c r="D249" s="144" t="s">
        <x:v>2016</x:v>
      </x:c>
      <x:c r="E249" s="144" t="s">
        <x:v>2017</x:v>
      </x:c>
      <x:c r="F249" s="144" t="s">
        <x:v>1864</x:v>
      </x:c>
      <x:c r="G249" s="144" t="s">
        <x:v>1676</x:v>
      </x:c>
      <x:c r="H249" s="144" t="s">
        <x:v>2018</x:v>
      </x:c>
    </x:row>
    <x:row r="250" ht="42.75">
      <x:c r="A250" s="144">
        <x:v>177</x:v>
      </x:c>
      <x:c r="B250" s="144" t="s">
        <x:v>1969</x:v>
      </x:c>
      <x:c r="C250" s="144" t="s">
        <x:v>226</x:v>
      </x:c>
      <x:c r="D250" s="144" t="s">
        <x:v>2019</x:v>
      </x:c>
      <x:c r="E250" s="144" t="s">
        <x:v>2020</x:v>
      </x:c>
      <x:c r="F250" s="144" t="s">
        <x:v>886</x:v>
      </x:c>
      <x:c r="G250" s="144" t="s">
        <x:v>1676</x:v>
      </x:c>
      <x:c r="H250" s="144" t="s">
        <x:v>2021</x:v>
      </x:c>
    </x:row>
    <x:row r="251" ht="42.75">
      <x:c r="A251" s="144">
        <x:v>178</x:v>
      </x:c>
      <x:c r="B251" s="144" t="s">
        <x:v>1969</x:v>
      </x:c>
      <x:c r="C251" s="144" t="s">
        <x:v>227</x:v>
      </x:c>
      <x:c r="D251" s="144" t="s">
        <x:v>2022</x:v>
      </x:c>
      <x:c r="E251" s="144" t="s">
        <x:v>2023</x:v>
      </x:c>
      <x:c r="F251" s="144" t="s">
        <x:v>1491</x:v>
      </x:c>
      <x:c r="G251" s="144" t="s">
        <x:v>1676</x:v>
      </x:c>
      <x:c r="H251" s="144" t="s">
        <x:v>2024</x:v>
      </x:c>
    </x:row>
    <x:row r="252" ht="28.5">
      <x:c r="A252" s="144">
        <x:v>179</x:v>
      </x:c>
      <x:c r="B252" s="144" t="s">
        <x:v>1969</x:v>
      </x:c>
      <x:c r="C252" s="144" t="s">
        <x:v>228</x:v>
      </x:c>
      <x:c r="D252" s="144" t="s">
        <x:v>2025</x:v>
      </x:c>
      <x:c r="E252" s="144" t="s">
        <x:v>2026</x:v>
      </x:c>
      <x:c r="F252" s="144" t="s">
        <x:v>1491</x:v>
      </x:c>
      <x:c r="G252" s="144" t="s">
        <x:v>1676</x:v>
      </x:c>
      <x:c r="H252" s="144" t="s">
        <x:v>2027</x:v>
      </x:c>
    </x:row>
    <x:row r="253" ht="28.5">
      <x:c r="A253" s="144">
        <x:v>180</x:v>
      </x:c>
      <x:c r="B253" s="144" t="s">
        <x:v>1969</x:v>
      </x:c>
      <x:c r="C253" s="144" t="s">
        <x:v>229</x:v>
      </x:c>
      <x:c r="D253" s="144" t="s">
        <x:v>2028</x:v>
      </x:c>
      <x:c r="E253" s="144" t="s">
        <x:v>1926</x:v>
      </x:c>
      <x:c r="F253" s="144" t="s">
        <x:v>1491</x:v>
      </x:c>
      <x:c r="G253" s="144" t="s">
        <x:v>1676</x:v>
      </x:c>
      <x:c r="H253" s="144" t="s">
        <x:v>2029</x:v>
      </x:c>
    </x:row>
    <x:row r="254" ht="42.75">
      <x:c r="A254" s="144">
        <x:v>181</x:v>
      </x:c>
      <x:c r="B254" s="144" t="s">
        <x:v>1969</x:v>
      </x:c>
      <x:c r="C254" s="144" t="s">
        <x:v>230</x:v>
      </x:c>
      <x:c r="D254" s="144" t="s">
        <x:v>2030</x:v>
      </x:c>
      <x:c r="E254" s="144" t="s">
        <x:v>2031</x:v>
      </x:c>
      <x:c r="F254" s="144" t="s">
        <x:v>1491</x:v>
      </x:c>
      <x:c r="G254" s="144" t="s">
        <x:v>1676</x:v>
      </x:c>
      <x:c r="H254" s="144" t="s">
        <x:v>2032</x:v>
      </x:c>
    </x:row>
    <x:row r="255" ht="42.75">
      <x:c r="A255" s="144">
        <x:v>182</x:v>
      </x:c>
      <x:c r="B255" s="144" t="s">
        <x:v>2033</x:v>
      </x:c>
      <x:c r="C255" s="144" t="s">
        <x:v>231</x:v>
      </x:c>
      <x:c r="D255" s="144" t="s">
        <x:v>2034</x:v>
      </x:c>
      <x:c r="E255" s="144" t="s">
        <x:v>2035</x:v>
      </x:c>
      <x:c r="F255" s="144" t="s">
        <x:v>1864</x:v>
      </x:c>
      <x:c r="G255" s="144" t="s">
        <x:v>1503</x:v>
      </x:c>
      <x:c r="H255" s="144" t="s">
        <x:v>2036</x:v>
      </x:c>
    </x:row>
    <x:row r="256" ht="28.5">
      <x:c r="A256" s="144">
        <x:v>183</x:v>
      </x:c>
      <x:c r="B256" s="144" t="s">
        <x:v>2033</x:v>
      </x:c>
      <x:c r="C256" s="144" t="s">
        <x:v>232</x:v>
      </x:c>
      <x:c r="D256" s="144" t="s">
        <x:v>2037</x:v>
      </x:c>
      <x:c r="E256" s="144" t="s">
        <x:v>2038</x:v>
      </x:c>
      <x:c r="F256" s="144" t="s">
        <x:v>1864</x:v>
      </x:c>
      <x:c r="G256" s="144" t="s">
        <x:v>1503</x:v>
      </x:c>
      <x:c r="H256" s="144" t="s">
        <x:v>2036</x:v>
      </x:c>
    </x:row>
    <x:row r="257" ht="28.5">
      <x:c r="A257" s="144">
        <x:v>184</x:v>
      </x:c>
      <x:c r="B257" s="144" t="s">
        <x:v>2033</x:v>
      </x:c>
      <x:c r="C257" s="144" t="s">
        <x:v>233</x:v>
      </x:c>
      <x:c r="D257" s="144" t="s">
        <x:v>2039</x:v>
      </x:c>
      <x:c r="E257" s="144" t="s">
        <x:v>2040</x:v>
      </x:c>
      <x:c r="F257" s="144" t="s">
        <x:v>1842</x:v>
      </x:c>
      <x:c r="G257" s="144" t="s">
        <x:v>1503</x:v>
      </x:c>
      <x:c r="H257" s="144" t="s">
        <x:v>2041</x:v>
      </x:c>
    </x:row>
    <x:row r="258" ht="28.5">
      <x:c r="A258" s="144">
        <x:v>185</x:v>
      </x:c>
      <x:c r="B258" s="144" t="s">
        <x:v>2033</x:v>
      </x:c>
      <x:c r="C258" s="144" t="s">
        <x:v>234</x:v>
      </x:c>
      <x:c r="D258" s="144" t="s">
        <x:v>2042</x:v>
      </x:c>
      <x:c r="E258" s="144" t="s">
        <x:v>2043</x:v>
      </x:c>
      <x:c r="F258" s="144" t="s">
        <x:v>1842</x:v>
      </x:c>
      <x:c r="G258" s="144" t="s">
        <x:v>1503</x:v>
      </x:c>
      <x:c r="H258" s="144" t="s">
        <x:v>2041</x:v>
      </x:c>
    </x:row>
    <x:row r="259" ht="28.5">
      <x:c r="A259" s="144">
        <x:v>186</x:v>
      </x:c>
      <x:c r="B259" s="144" t="s">
        <x:v>2044</x:v>
      </x:c>
      <x:c r="C259" s="144" t="s">
        <x:v>235</x:v>
      </x:c>
      <x:c r="D259" s="144" t="s">
        <x:v>2045</x:v>
      </x:c>
      <x:c r="E259" s="144" t="s">
        <x:v>2046</x:v>
      </x:c>
      <x:c r="F259" s="144" t="s">
        <x:v>312</x:v>
      </x:c>
      <x:c r="G259" s="144" t="s">
        <x:v>1676</x:v>
      </x:c>
      <x:c r="H259" s="144" t="s">
        <x:v>2047</x:v>
      </x:c>
    </x:row>
    <x:row r="260" ht="28.5">
      <x:c r="A260" s="144">
        <x:v>187</x:v>
      </x:c>
      <x:c r="B260" s="144" t="s">
        <x:v>2044</x:v>
      </x:c>
      <x:c r="C260" s="144" t="s">
        <x:v>236</x:v>
      </x:c>
      <x:c r="D260" s="144" t="s">
        <x:v>2045</x:v>
      </x:c>
      <x:c r="E260" s="144" t="s">
        <x:v>2048</x:v>
      </x:c>
      <x:c r="F260" s="144" t="s">
        <x:v>312</x:v>
      </x:c>
      <x:c r="G260" s="144" t="s">
        <x:v>1676</x:v>
      </x:c>
      <x:c r="H260" s="144" t="s">
        <x:v>2047</x:v>
      </x:c>
    </x:row>
    <x:row r="261" ht="42.75">
      <x:c r="A261" s="144">
        <x:v>188</x:v>
      </x:c>
      <x:c r="B261" s="144" t="s">
        <x:v>2044</x:v>
      </x:c>
      <x:c r="C261" s="144" t="s">
        <x:v>237</x:v>
      </x:c>
      <x:c r="D261" s="144" t="s">
        <x:v>2049</x:v>
      </x:c>
      <x:c r="E261" s="144" t="s">
        <x:v>2050</x:v>
      </x:c>
      <x:c r="F261" s="144" t="s">
        <x:v>1527</x:v>
      </x:c>
      <x:c r="G261" s="144" t="s">
        <x:v>1676</x:v>
      </x:c>
      <x:c r="H261" s="144" t="s">
        <x:v>2051</x:v>
      </x:c>
    </x:row>
    <x:row r="262" ht="28.5">
      <x:c r="A262" s="144">
        <x:v>189</x:v>
      </x:c>
      <x:c r="B262" s="144" t="s">
        <x:v>2044</x:v>
      </x:c>
      <x:c r="C262" s="144" t="s">
        <x:v>238</x:v>
      </x:c>
      <x:c r="D262" s="144" t="s">
        <x:v>2052</x:v>
      </x:c>
      <x:c r="E262" s="144" t="s">
        <x:v>2053</x:v>
      </x:c>
      <x:c r="F262" s="144" t="s">
        <x:v>2054</x:v>
      </x:c>
      <x:c r="G262" s="144" t="s">
        <x:v>1676</x:v>
      </x:c>
      <x:c r="H262" s="144" t="s">
        <x:v>2055</x:v>
      </x:c>
    </x:row>
    <x:row r="263" ht="28.5">
      <x:c r="A263" s="144">
        <x:v>190</x:v>
      </x:c>
      <x:c r="B263" s="144" t="s">
        <x:v>2044</x:v>
      </x:c>
      <x:c r="C263" s="144" t="s">
        <x:v>239</x:v>
      </x:c>
      <x:c r="D263" s="144" t="s">
        <x:v>2056</x:v>
      </x:c>
      <x:c r="E263" s="144" t="s">
        <x:v>2057</x:v>
      </x:c>
      <x:c r="F263" s="144" t="s">
        <x:v>2054</x:v>
      </x:c>
      <x:c r="G263" s="144" t="s">
        <x:v>1676</x:v>
      </x:c>
      <x:c r="H263" s="144" t="s">
        <x:v>2055</x:v>
      </x:c>
    </x:row>
    <x:row r="264" ht="28.5">
      <x:c r="A264" s="144">
        <x:v>191</x:v>
      </x:c>
      <x:c r="B264" s="144" t="s">
        <x:v>2044</x:v>
      </x:c>
      <x:c r="C264" s="144" t="s">
        <x:v>240</x:v>
      </x:c>
      <x:c r="D264" s="144" t="s">
        <x:v>2058</x:v>
      </x:c>
      <x:c r="E264" s="144" t="s">
        <x:v>2059</x:v>
      </x:c>
      <x:c r="F264" s="144" t="s">
        <x:v>2054</x:v>
      </x:c>
      <x:c r="G264" s="144" t="s">
        <x:v>1676</x:v>
      </x:c>
      <x:c r="H264" s="144" t="s">
        <x:v>2060</x:v>
      </x:c>
    </x:row>
    <x:row r="265" ht="28.5">
      <x:c r="A265" s="144">
        <x:v>192</x:v>
      </x:c>
      <x:c r="B265" s="144" t="s">
        <x:v>2044</x:v>
      </x:c>
      <x:c r="C265" s="144" t="s">
        <x:v>241</x:v>
      </x:c>
      <x:c r="D265" s="144" t="s">
        <x:v>2061</x:v>
      </x:c>
      <x:c r="E265" s="144" t="s">
        <x:v>2062</x:v>
      </x:c>
      <x:c r="F265" s="144" t="s">
        <x:v>2054</x:v>
      </x:c>
      <x:c r="G265" s="144" t="s">
        <x:v>1676</x:v>
      </x:c>
      <x:c r="H265" s="144" t="s">
        <x:v>2063</x:v>
      </x:c>
    </x:row>
    <x:row r="266" ht="28.5">
      <x:c r="A266" s="144">
        <x:v>193</x:v>
      </x:c>
      <x:c r="B266" s="144" t="s">
        <x:v>2044</x:v>
      </x:c>
      <x:c r="C266" s="144" t="s">
        <x:v>242</x:v>
      </x:c>
      <x:c r="D266" s="144" t="s">
        <x:v>2064</x:v>
      </x:c>
      <x:c r="E266" s="144" t="s">
        <x:v>2065</x:v>
      </x:c>
      <x:c r="F266" s="144" t="s">
        <x:v>1864</x:v>
      </x:c>
      <x:c r="G266" s="144" t="s">
        <x:v>1676</x:v>
      </x:c>
      <x:c r="H266" s="144" t="s">
        <x:v>2066</x:v>
      </x:c>
    </x:row>
    <x:row r="267" ht="28.5">
      <x:c r="A267" s="144">
        <x:v>194</x:v>
      </x:c>
      <x:c r="B267" s="144" t="s">
        <x:v>2044</x:v>
      </x:c>
      <x:c r="C267" s="144" t="s">
        <x:v>243</x:v>
      </x:c>
      <x:c r="D267" s="144" t="s">
        <x:v>2067</x:v>
      </x:c>
      <x:c r="E267" s="144" t="s">
        <x:v>2068</x:v>
      </x:c>
      <x:c r="F267" s="144" t="s">
        <x:v>312</x:v>
      </x:c>
      <x:c r="G267" s="144" t="s">
        <x:v>1676</x:v>
      </x:c>
      <x:c r="H267" s="144" t="s">
        <x:v>2069</x:v>
      </x:c>
    </x:row>
    <x:row r="268" ht="28.5">
      <x:c r="A268" s="144">
        <x:v>195</x:v>
      </x:c>
      <x:c r="B268" s="144" t="s">
        <x:v>2044</x:v>
      </x:c>
      <x:c r="C268" s="144" t="s">
        <x:v>21</x:v>
      </x:c>
      <x:c r="D268" s="144" t="s">
        <x:v>2070</x:v>
      </x:c>
      <x:c r="E268" s="144" t="s">
        <x:v>2071</x:v>
      </x:c>
      <x:c r="F268" s="144" t="s">
        <x:v>1864</x:v>
      </x:c>
      <x:c r="G268" s="144" t="s">
        <x:v>1676</x:v>
      </x:c>
      <x:c r="H268" s="144" t="s">
        <x:v>2072</x:v>
      </x:c>
    </x:row>
    <x:row r="269" ht="28.5">
      <x:c r="A269" s="144">
        <x:v>196</x:v>
      </x:c>
      <x:c r="B269" s="144" t="s">
        <x:v>2044</x:v>
      </x:c>
      <x:c r="C269" s="144" t="s">
        <x:v>2073</x:v>
      </x:c>
      <x:c r="D269" s="144" t="s">
        <x:v>2074</x:v>
      </x:c>
      <x:c r="E269" s="144" t="s">
        <x:v>2075</x:v>
      </x:c>
      <x:c r="F269" s="144" t="s">
        <x:v>1993</x:v>
      </x:c>
      <x:c r="G269" s="144" t="s">
        <x:v>1676</x:v>
      </x:c>
      <x:c r="H269" s="144" t="s">
        <x:v>2076</x:v>
      </x:c>
    </x:row>
    <x:row r="270" ht="28.5">
      <x:c r="A270" s="144">
        <x:v>197</x:v>
      </x:c>
      <x:c r="B270" s="144" t="s">
        <x:v>2044</x:v>
      </x:c>
      <x:c r="C270" s="144" t="s">
        <x:v>859</x:v>
      </x:c>
      <x:c r="D270" s="144" t="s">
        <x:v>2077</x:v>
      </x:c>
      <x:c r="E270" s="144" t="s">
        <x:v>2078</x:v>
      </x:c>
      <x:c r="F270" s="144" t="s">
        <x:v>1491</x:v>
      </x:c>
      <x:c r="G270" s="144" t="s">
        <x:v>1676</x:v>
      </x:c>
      <x:c r="H270" s="144" t="s">
        <x:v>2079</x:v>
      </x:c>
    </x:row>
    <x:row r="271" ht="28.5">
      <x:c r="A271" s="144">
        <x:v>198</x:v>
      </x:c>
      <x:c r="B271" s="144" t="s">
        <x:v>2044</x:v>
      </x:c>
      <x:c r="C271" s="144" t="s">
        <x:v>1162</x:v>
      </x:c>
      <x:c r="D271" s="144" t="s">
        <x:v>2080</x:v>
      </x:c>
      <x:c r="E271" s="144" t="s">
        <x:v>2081</x:v>
      </x:c>
      <x:c r="F271" s="144" t="s">
        <x:v>1864</x:v>
      </x:c>
      <x:c r="G271" s="144" t="s">
        <x:v>1676</x:v>
      </x:c>
      <x:c r="H271" s="144" t="s">
        <x:v>2082</x:v>
      </x:c>
    </x:row>
    <x:row r="272" ht="28.5">
      <x:c r="A272" s="144">
        <x:v>199</x:v>
      </x:c>
      <x:c r="B272" s="144" t="s">
        <x:v>2044</x:v>
      </x:c>
      <x:c r="C272" s="144" t="s">
        <x:v>244</x:v>
      </x:c>
      <x:c r="D272" s="144" t="s">
        <x:v>2083</x:v>
      </x:c>
      <x:c r="E272" s="144" t="s">
        <x:v>2084</x:v>
      </x:c>
      <x:c r="F272" s="144" t="s">
        <x:v>1864</x:v>
      </x:c>
      <x:c r="G272" s="144" t="s">
        <x:v>1676</x:v>
      </x:c>
      <x:c r="H272" s="144" t="s">
        <x:v>2085</x:v>
      </x:c>
    </x:row>
    <x:row r="273" ht="28.5">
      <x:c r="A273" s="144">
        <x:v>200</x:v>
      </x:c>
      <x:c r="B273" s="144" t="s">
        <x:v>2044</x:v>
      </x:c>
      <x:c r="C273" s="144" t="s">
        <x:v>23</x:v>
      </x:c>
      <x:c r="D273" s="144" t="s">
        <x:v>2086</x:v>
      </x:c>
      <x:c r="E273" s="144" t="s">
        <x:v>2087</x:v>
      </x:c>
      <x:c r="F273" s="144" t="s">
        <x:v>1608</x:v>
      </x:c>
      <x:c r="G273" s="144" t="s">
        <x:v>1676</x:v>
      </x:c>
      <x:c r="H273" s="144" t="s">
        <x:v>2088</x:v>
      </x:c>
    </x:row>
    <x:row r="274" ht="28.5">
      <x:c r="A274" s="144">
        <x:v>201</x:v>
      </x:c>
      <x:c r="B274" s="144" t="s">
        <x:v>2044</x:v>
      </x:c>
      <x:c r="C274" s="144" t="s">
        <x:v>27</x:v>
      </x:c>
      <x:c r="D274" s="144" t="s">
        <x:v>2089</x:v>
      </x:c>
      <x:c r="E274" s="144" t="s">
        <x:v>1894</x:v>
      </x:c>
      <x:c r="F274" s="144" t="s">
        <x:v>1864</x:v>
      </x:c>
      <x:c r="G274" s="144" t="s">
        <x:v>1676</x:v>
      </x:c>
      <x:c r="H274" s="144" t="s">
        <x:v>2090</x:v>
      </x:c>
    </x:row>
    <x:row r="275" ht="28.5">
      <x:c r="A275" s="144">
        <x:v>202</x:v>
      </x:c>
      <x:c r="B275" s="144" t="s">
        <x:v>2044</x:v>
      </x:c>
      <x:c r="C275" s="144" t="s">
        <x:v>28</x:v>
      </x:c>
      <x:c r="D275" s="144" t="s">
        <x:v>2091</x:v>
      </x:c>
      <x:c r="E275" s="144" t="s">
        <x:v>2092</x:v>
      </x:c>
      <x:c r="F275" s="144" t="s">
        <x:v>1864</x:v>
      </x:c>
      <x:c r="G275" s="144" t="s">
        <x:v>1676</x:v>
      </x:c>
      <x:c r="H275" s="144" t="s">
        <x:v>2093</x:v>
      </x:c>
    </x:row>
    <x:row r="276" ht="42.75">
      <x:c r="A276" s="144">
        <x:v>203</x:v>
      </x:c>
      <x:c r="B276" s="144" t="s">
        <x:v>2044</x:v>
      </x:c>
      <x:c r="C276" s="144" t="s">
        <x:v>24</x:v>
      </x:c>
      <x:c r="D276" s="144" t="s">
        <x:v>2094</x:v>
      </x:c>
      <x:c r="E276" s="144" t="s">
        <x:v>2095</x:v>
      </x:c>
      <x:c r="F276" s="144" t="s">
        <x:v>886</x:v>
      </x:c>
      <x:c r="G276" s="144" t="s">
        <x:v>1676</x:v>
      </x:c>
      <x:c r="H276" s="144" t="s">
        <x:v>2021</x:v>
      </x:c>
    </x:row>
    <x:row r="277" ht="28.5">
      <x:c r="A277" s="144">
        <x:v>204</x:v>
      </x:c>
      <x:c r="B277" s="144" t="s">
        <x:v>2044</x:v>
      </x:c>
      <x:c r="C277" s="144" t="s">
        <x:v>1167</x:v>
      </x:c>
      <x:c r="D277" s="144" t="s">
        <x:v>2096</x:v>
      </x:c>
      <x:c r="E277" s="144" t="s">
        <x:v>2097</x:v>
      </x:c>
      <x:c r="F277" s="144" t="s">
        <x:v>1491</x:v>
      </x:c>
      <x:c r="G277" s="144" t="s">
        <x:v>1676</x:v>
      </x:c>
      <x:c r="H277" s="144" t="s">
        <x:v>2098</x:v>
      </x:c>
    </x:row>
    <x:row r="278" ht="28.5">
      <x:c r="A278" s="144">
        <x:v>205</x:v>
      </x:c>
      <x:c r="B278" s="144" t="s">
        <x:v>2044</x:v>
      </x:c>
      <x:c r="C278" s="144" t="s">
        <x:v>858</x:v>
      </x:c>
      <x:c r="D278" s="144" t="s">
        <x:v>2099</x:v>
      </x:c>
      <x:c r="E278" s="144" t="s">
        <x:v>2100</x:v>
      </x:c>
      <x:c r="F278" s="144" t="s">
        <x:v>1491</x:v>
      </x:c>
      <x:c r="G278" s="144" t="s">
        <x:v>1676</x:v>
      </x:c>
      <x:c r="H278" s="144" t="s">
        <x:v>2101</x:v>
      </x:c>
    </x:row>
    <x:row r="279" ht="28.5">
      <x:c r="A279" s="144">
        <x:v>206</x:v>
      </x:c>
      <x:c r="B279" s="144" t="s">
        <x:v>2044</x:v>
      </x:c>
      <x:c r="C279" s="144" t="s">
        <x:v>245</x:v>
      </x:c>
      <x:c r="D279" s="144" t="s">
        <x:v>2102</x:v>
      </x:c>
      <x:c r="E279" s="144" t="s">
        <x:v>2103</x:v>
      </x:c>
      <x:c r="F279" s="144" t="s">
        <x:v>1491</x:v>
      </x:c>
      <x:c r="G279" s="144" t="s">
        <x:v>1676</x:v>
      </x:c>
      <x:c r="H279" s="144" t="s">
        <x:v>2029</x:v>
      </x:c>
    </x:row>
    <x:row r="280" ht="42.75">
      <x:c r="A280" s="144">
        <x:v>207</x:v>
      </x:c>
      <x:c r="B280" s="144" t="s">
        <x:v>2044</x:v>
      </x:c>
      <x:c r="C280" s="144" t="s">
        <x:v>246</x:v>
      </x:c>
      <x:c r="D280" s="144" t="s">
        <x:v>2104</x:v>
      </x:c>
      <x:c r="E280" s="144" t="s">
        <x:v>2105</x:v>
      </x:c>
      <x:c r="F280" s="144" t="s">
        <x:v>1491</x:v>
      </x:c>
      <x:c r="G280" s="144" t="s">
        <x:v>1676</x:v>
      </x:c>
      <x:c r="H280" s="144" t="s">
        <x:v>2106</x:v>
      </x:c>
    </x:row>
    <x:row r="281">
      <x:c r="A281" s="144"/>
      <x:c r="B281" s="144"/>
      <x:c r="C281" s="144"/>
      <x:c r="D281" s="144"/>
      <x:c r="E281" s="144"/>
      <x:c r="F281" s="144"/>
      <x:c r="G281" s="144"/>
      <x:c r="H281" s="144"/>
    </x:row>
    <x:row r="282">
      <x:c r="A282" s="144"/>
      <x:c r="B282" s="144"/>
      <x:c r="C282" s="144"/>
      <x:c r="D282" s="144"/>
      <x:c r="E282" s="144"/>
      <x:c r="F282" s="144"/>
      <x:c r="G282" s="144"/>
      <x:c r="H282" s="144"/>
    </x:row>
    <x:row r="283" ht="28.5">
      <x:c r="A283" s="144" t="s">
        <x:v>2107</x:v>
      </x:c>
      <x:c r="B283" s="144"/>
      <x:c r="C283" s="144"/>
      <x:c r="D283" s="144"/>
      <x:c r="E283" s="144"/>
      <x:c r="F283" s="144"/>
      <x:c r="G283" s="144"/>
      <x:c r="H283" s="144"/>
    </x:row>
    <x:row r="284">
      <x:c r="A284" s="144" t="s">
        <x:v>1016</x:v>
      </x:c>
      <x:c r="B284" s="144" t="s">
        <x:v>2108</x:v>
      </x:c>
      <x:c r="C284" s="144"/>
      <x:c r="D284" s="144"/>
      <x:c r="E284" s="144"/>
      <x:c r="F284" s="144"/>
      <x:c r="G284" s="144"/>
      <x:c r="H284" s="144"/>
    </x:row>
    <x:row r="285" ht="28.5">
      <x:c r="A285" s="144" t="s">
        <x:v>2109</x:v>
      </x:c>
      <x:c r="B285" s="144" t="s">
        <x:v>2110</x:v>
      </x:c>
      <x:c r="C285" s="144"/>
      <x:c r="D285" s="144"/>
      <x:c r="E285" s="144"/>
      <x:c r="F285" s="144"/>
      <x:c r="G285" s="144"/>
      <x:c r="H285" s="144"/>
    </x:row>
    <x:row r="286" ht="28.5">
      <x:c r="A286" s="144" t="s">
        <x:v>2111</x:v>
      </x:c>
      <x:c r="B286" s="144" t="s">
        <x:v>2112</x:v>
      </x:c>
      <x:c r="C286" s="144"/>
      <x:c r="D286" s="144"/>
      <x:c r="E286" s="144"/>
      <x:c r="F286" s="144"/>
      <x:c r="G286" s="144"/>
      <x:c r="H286" s="144"/>
    </x:row>
    <x:row r="287" ht="28.5">
      <x:c r="A287" s="144" t="s">
        <x:v>2113</x:v>
      </x:c>
      <x:c r="B287" s="144" t="s">
        <x:v>2114</x:v>
      </x:c>
      <x:c r="C287" s="144"/>
      <x:c r="D287" s="144"/>
      <x:c r="E287" s="144"/>
      <x:c r="F287" s="144"/>
      <x:c r="G287" s="144"/>
      <x:c r="H287" s="144"/>
    </x:row>
    <x:row r="288" ht="28.5">
      <x:c r="A288" s="144" t="s">
        <x:v>2115</x:v>
      </x:c>
      <x:c r="B288" s="144" t="s">
        <x:v>2116</x:v>
      </x:c>
      <x:c r="C288" s="144"/>
      <x:c r="D288" s="144"/>
      <x:c r="E288" s="144"/>
      <x:c r="F288" s="144"/>
      <x:c r="G288" s="144"/>
      <x:c r="H288" s="144"/>
    </x:row>
    <x:row r="289">
      <x:c r="A289" s="144" t="s">
        <x:v>304</x:v>
      </x:c>
      <x:c r="B289" s="144" t="s">
        <x:v>2117</x:v>
      </x:c>
      <x:c r="C289" s="144"/>
      <x:c r="D289" s="144"/>
      <x:c r="E289" s="144"/>
      <x:c r="F289" s="144"/>
      <x:c r="G289" s="144"/>
      <x:c r="H289" s="144"/>
    </x:row>
    <x:row r="290" ht="28.5">
      <x:c r="A290" s="144" t="s">
        <x:v>2118</x:v>
      </x:c>
      <x:c r="B290" s="144" t="s">
        <x:v>2119</x:v>
      </x:c>
      <x:c r="C290" s="144"/>
      <x:c r="D290" s="144"/>
      <x:c r="E290" s="144"/>
      <x:c r="F290" s="144"/>
      <x:c r="G290" s="144"/>
      <x:c r="H290" s="144"/>
    </x:row>
    <x:row r="291">
      <x:c r="A291" s="144" t="s">
        <x:v>934</x:v>
      </x:c>
      <x:c r="B291" s="144" t="s">
        <x:v>2120</x:v>
      </x:c>
      <x:c r="C291" s="144"/>
      <x:c r="D291" s="144"/>
      <x:c r="E291" s="144"/>
      <x:c r="F291" s="144"/>
      <x:c r="G291" s="144"/>
      <x:c r="H291" s="144"/>
    </x:row>
    <x:row r="292" ht="28.5">
      <x:c r="A292" s="144" t="s">
        <x:v>133</x:v>
      </x:c>
      <x:c r="B292" s="144" t="s">
        <x:v>2121</x:v>
      </x:c>
      <x:c r="C292" s="144"/>
      <x:c r="D292" s="144"/>
      <x:c r="E292" s="144"/>
      <x:c r="F292" s="144"/>
      <x:c r="G292" s="144"/>
      <x:c r="H292" s="144"/>
    </x:row>
    <x:row r="293" ht="28.5">
      <x:c r="A293" s="144" t="s">
        <x:v>134</x:v>
      </x:c>
      <x:c r="B293" s="144" t="s">
        <x:v>2122</x:v>
      </x:c>
      <x:c r="C293" s="144"/>
      <x:c r="D293" s="144"/>
      <x:c r="E293" s="144"/>
      <x:c r="F293" s="144"/>
      <x:c r="G293" s="144"/>
      <x:c r="H293" s="144"/>
    </x:row>
    <x:row r="294" ht="42.75">
      <x:c r="A294" s="144" t="s">
        <x:v>2123</x:v>
      </x:c>
      <x:c r="B294" s="144" t="s">
        <x:v>2124</x:v>
      </x:c>
      <x:c r="C294" s="144"/>
      <x:c r="D294" s="144"/>
      <x:c r="E294" s="144"/>
      <x:c r="F294" s="144"/>
      <x:c r="G294" s="144"/>
      <x:c r="H294" s="144"/>
    </x:row>
    <x:row r="297" ht="15">
      <x:c r="A297" s="172" t="s">
        <x:v>2125</x:v>
      </x:c>
      <x:c r="B297" s="172"/>
      <x:c r="C297" s="172"/>
      <x:c r="D297" s="172"/>
      <x:c r="E297" s="172"/>
      <x:c r="F297" s="172"/>
      <x:c r="G297" s="172"/>
      <x:c r="H297" s="172"/>
    </x:row>
    <x:row r="298" ht="42.75">
      <x:c r="A298" s="144" t="s">
        <x:v>2126</x:v>
      </x:c>
      <x:c r="B298" s="144"/>
      <x:c r="C298" s="144"/>
      <x:c r="D298" s="144"/>
      <x:c r="E298" s="144"/>
      <x:c r="F298" s="144"/>
      <x:c r="G298" s="144"/>
      <x:c r="H298" s="144" t="s">
        <x:v>2127</x:v>
      </x:c>
      <x:c r="I298" s="144"/>
    </x:row>
    <x:row r="299" ht="57">
      <x:c r="A299" s="144" t="s">
        <x:v>2128</x:v>
      </x:c>
      <x:c r="B299" s="144"/>
      <x:c r="C299" s="144"/>
      <x:c r="D299" s="144"/>
      <x:c r="E299" s="144"/>
      <x:c r="F299" s="144"/>
      <x:c r="G299" s="144"/>
      <x:c r="H299" s="144"/>
      <x:c r="I299" s="144"/>
    </x:row>
    <x:row r="300">
      <x:c r="A300" s="144"/>
      <x:c r="B300" s="144"/>
      <x:c r="C300" s="144"/>
      <x:c r="D300" s="144"/>
      <x:c r="E300" s="144"/>
      <x:c r="F300" s="144"/>
      <x:c r="G300" s="144"/>
      <x:c r="H300" s="144"/>
      <x:c r="I300" s="144"/>
    </x:row>
    <x:row r="301">
      <x:c r="A301" s="144" t="s">
        <x:v>1174</x:v>
      </x:c>
      <x:c r="B301" s="144" t="s">
        <x:v>2129</x:v>
      </x:c>
      <x:c r="C301" s="144" t="s">
        <x:v>1219</x:v>
      </x:c>
      <x:c r="D301" s="144" t="s">
        <x:v>384</x:v>
      </x:c>
      <x:c r="E301" s="144" t="s">
        <x:v>2130</x:v>
      </x:c>
      <x:c r="F301" s="144" t="s">
        <x:v>2131</x:v>
      </x:c>
      <x:c r="G301" s="144" t="s">
        <x:v>2132</x:v>
      </x:c>
      <x:c r="H301" s="144" t="s">
        <x:v>2133</x:v>
      </x:c>
      <x:c r="I301" s="144" t="s">
        <x:v>2134</x:v>
      </x:c>
    </x:row>
    <x:row r="302" ht="42.75">
      <x:c r="A302" s="144" t="s">
        <x:v>2135</x:v>
      </x:c>
      <x:c r="B302" s="144" t="s">
        <x:v>2136</x:v>
      </x:c>
      <x:c r="C302" s="144" t="s">
        <x:v>2137</x:v>
      </x:c>
      <x:c r="D302" s="144" t="s">
        <x:v>2138</x:v>
      </x:c>
      <x:c r="E302" s="144" t="s">
        <x:v>2139</x:v>
      </x:c>
      <x:c r="F302" s="144" t="s">
        <x:v>2140</x:v>
      </x:c>
      <x:c r="G302" s="144" t="s">
        <x:v>2141</x:v>
      </x:c>
      <x:c r="H302" s="144" t="s">
        <x:v>2142</x:v>
      </x:c>
      <x:c r="I302" s="144" t="s">
        <x:v>2143</x:v>
      </x:c>
    </x:row>
    <x:row r="303" ht="42.75">
      <x:c r="A303" s="144" t="s">
        <x:v>2135</x:v>
      </x:c>
      <x:c r="B303" s="144" t="s">
        <x:v>2144</x:v>
      </x:c>
      <x:c r="C303" s="144" t="s">
        <x:v>2145</x:v>
      </x:c>
      <x:c r="D303" s="144" t="s">
        <x:v>2146</x:v>
      </x:c>
      <x:c r="E303" s="144" t="s">
        <x:v>2147</x:v>
      </x:c>
      <x:c r="F303" s="144" t="s">
        <x:v>2148</x:v>
      </x:c>
      <x:c r="G303" s="144" t="s">
        <x:v>2149</x:v>
      </x:c>
      <x:c r="H303" s="144" t="s">
        <x:v>2142</x:v>
      </x:c>
      <x:c r="I303" s="144" t="s">
        <x:v>2150</x:v>
      </x:c>
    </x:row>
    <x:row r="304" ht="42.75">
      <x:c r="A304" s="144" t="s">
        <x:v>2135</x:v>
      </x:c>
      <x:c r="B304" s="144" t="s">
        <x:v>2151</x:v>
      </x:c>
      <x:c r="C304" s="144" t="s">
        <x:v>2152</x:v>
      </x:c>
      <x:c r="D304" s="144" t="s">
        <x:v>2153</x:v>
      </x:c>
      <x:c r="E304" s="144" t="s">
        <x:v>2154</x:v>
      </x:c>
      <x:c r="F304" s="144" t="s">
        <x:v>2155</x:v>
      </x:c>
      <x:c r="G304" s="144" t="s">
        <x:v>2156</x:v>
      </x:c>
      <x:c r="H304" s="144" t="s">
        <x:v>2142</x:v>
      </x:c>
      <x:c r="I304" s="144" t="s">
        <x:v>2157</x:v>
      </x:c>
    </x:row>
    <x:row r="305" ht="42.75">
      <x:c r="A305" s="144" t="s">
        <x:v>1189</x:v>
      </x:c>
      <x:c r="B305" s="144" t="s">
        <x:v>2158</x:v>
      </x:c>
      <x:c r="C305" s="144" t="s">
        <x:v>2159</x:v>
      </x:c>
      <x:c r="D305" s="144" t="s">
        <x:v>2160</x:v>
      </x:c>
      <x:c r="E305" s="144" t="s">
        <x:v>2161</x:v>
      </x:c>
      <x:c r="F305" s="144" t="s">
        <x:v>2162</x:v>
      </x:c>
      <x:c r="G305" s="144" t="s">
        <x:v>2163</x:v>
      </x:c>
      <x:c r="H305" s="144" t="s">
        <x:v>2142</x:v>
      </x:c>
      <x:c r="I305" s="144" t="s">
        <x:v>2164</x:v>
      </x:c>
    </x:row>
    <x:row r="306" ht="42.75">
      <x:c r="A306" s="144" t="s">
        <x:v>1189</x:v>
      </x:c>
      <x:c r="B306" s="144" t="s">
        <x:v>2165</x:v>
      </x:c>
      <x:c r="C306" s="144" t="s">
        <x:v>2166</x:v>
      </x:c>
      <x:c r="D306" s="144" t="s">
        <x:v>2167</x:v>
      </x:c>
      <x:c r="E306" s="144" t="s">
        <x:v>2168</x:v>
      </x:c>
      <x:c r="F306" s="144" t="s">
        <x:v>2169</x:v>
      </x:c>
      <x:c r="G306" s="144" t="s">
        <x:v>2170</x:v>
      </x:c>
      <x:c r="H306" s="144" t="s">
        <x:v>2142</x:v>
      </x:c>
      <x:c r="I306" s="144" t="s">
        <x:v>2171</x:v>
      </x:c>
    </x:row>
    <x:row r="307" ht="42.75">
      <x:c r="A307" s="144" t="s">
        <x:v>1189</x:v>
      </x:c>
      <x:c r="B307" s="144" t="s">
        <x:v>2172</x:v>
      </x:c>
      <x:c r="C307" s="144" t="s">
        <x:v>2173</x:v>
      </x:c>
      <x:c r="D307" s="144" t="s">
        <x:v>2174</x:v>
      </x:c>
      <x:c r="E307" s="144" t="s">
        <x:v>2175</x:v>
      </x:c>
      <x:c r="F307" s="144" t="s">
        <x:v>2176</x:v>
      </x:c>
      <x:c r="G307" s="144" t="s">
        <x:v>2177</x:v>
      </x:c>
      <x:c r="H307" s="144" t="s">
        <x:v>2142</x:v>
      </x:c>
      <x:c r="I307" s="144" t="s">
        <x:v>2178</x:v>
      </x:c>
    </x:row>
    <x:row r="308" ht="42.75">
      <x:c r="A308" s="144" t="s">
        <x:v>1189</x:v>
      </x:c>
      <x:c r="B308" s="144" t="s">
        <x:v>2179</x:v>
      </x:c>
      <x:c r="C308" s="144" t="s">
        <x:v>2180</x:v>
      </x:c>
      <x:c r="D308" s="144" t="s">
        <x:v>2181</x:v>
      </x:c>
      <x:c r="E308" s="144" t="s">
        <x:v>2182</x:v>
      </x:c>
      <x:c r="F308" s="144" t="s">
        <x:v>2183</x:v>
      </x:c>
      <x:c r="G308" s="144" t="s">
        <x:v>2184</x:v>
      </x:c>
      <x:c r="H308" s="144" t="s">
        <x:v>2142</x:v>
      </x:c>
      <x:c r="I308" s="144" t="s">
        <x:v>2185</x:v>
      </x:c>
    </x:row>
    <x:row r="309" ht="42.75">
      <x:c r="A309" s="144" t="s">
        <x:v>1247</x:v>
      </x:c>
      <x:c r="B309" s="144" t="s">
        <x:v>2186</x:v>
      </x:c>
      <x:c r="C309" s="144" t="s">
        <x:v>2187</x:v>
      </x:c>
      <x:c r="D309" s="144" t="s">
        <x:v>2188</x:v>
      </x:c>
      <x:c r="E309" s="144" t="s">
        <x:v>2189</x:v>
      </x:c>
      <x:c r="F309" s="144" t="s">
        <x:v>2190</x:v>
      </x:c>
      <x:c r="G309" s="144" t="s">
        <x:v>2191</x:v>
      </x:c>
      <x:c r="H309" s="144" t="s">
        <x:v>2142</x:v>
      </x:c>
      <x:c r="I309" s="144" t="s">
        <x:v>2192</x:v>
      </x:c>
    </x:row>
    <x:row r="310" ht="42.75">
      <x:c r="A310" s="144" t="s">
        <x:v>1247</x:v>
      </x:c>
      <x:c r="B310" s="144" t="s">
        <x:v>2193</x:v>
      </x:c>
      <x:c r="C310" s="144" t="s">
        <x:v>2194</x:v>
      </x:c>
      <x:c r="D310" s="144" t="s">
        <x:v>2195</x:v>
      </x:c>
      <x:c r="E310" s="144" t="s">
        <x:v>2196</x:v>
      </x:c>
      <x:c r="F310" s="144" t="s">
        <x:v>2197</x:v>
      </x:c>
      <x:c r="G310" s="144" t="s">
        <x:v>2198</x:v>
      </x:c>
      <x:c r="H310" s="144" t="s">
        <x:v>2142</x:v>
      </x:c>
      <x:c r="I310" s="144" t="s">
        <x:v>2199</x:v>
      </x:c>
    </x:row>
    <x:row r="311" ht="42.75">
      <x:c r="A311" s="144" t="s">
        <x:v>1247</x:v>
      </x:c>
      <x:c r="B311" s="144" t="s">
        <x:v>2200</x:v>
      </x:c>
      <x:c r="C311" s="144" t="s">
        <x:v>2201</x:v>
      </x:c>
      <x:c r="D311" s="144" t="s">
        <x:v>2202</x:v>
      </x:c>
      <x:c r="E311" s="144" t="s">
        <x:v>2203</x:v>
      </x:c>
      <x:c r="F311" s="144" t="s">
        <x:v>2204</x:v>
      </x:c>
      <x:c r="G311" s="144" t="s">
        <x:v>2205</x:v>
      </x:c>
      <x:c r="H311" s="144" t="s">
        <x:v>2142</x:v>
      </x:c>
      <x:c r="I311" s="144" t="s">
        <x:v>2206</x:v>
      </x:c>
    </x:row>
    <x:row r="312" ht="42.75">
      <x:c r="A312" s="144" t="s">
        <x:v>1252</x:v>
      </x:c>
      <x:c r="B312" s="144" t="s">
        <x:v>2207</x:v>
      </x:c>
      <x:c r="C312" s="144" t="s">
        <x:v>2208</x:v>
      </x:c>
      <x:c r="D312" s="144" t="s">
        <x:v>2209</x:v>
      </x:c>
      <x:c r="E312" s="144" t="s">
        <x:v>2210</x:v>
      </x:c>
      <x:c r="F312" s="144" t="s">
        <x:v>2211</x:v>
      </x:c>
      <x:c r="G312" s="144" t="s">
        <x:v>2212</x:v>
      </x:c>
      <x:c r="H312" s="144" t="s">
        <x:v>2142</x:v>
      </x:c>
      <x:c r="I312" s="144" t="s">
        <x:v>2213</x:v>
      </x:c>
    </x:row>
    <x:row r="313">
      <x:c r="A313" s="144"/>
      <x:c r="B313" s="144"/>
      <x:c r="C313" s="144"/>
      <x:c r="D313" s="144"/>
      <x:c r="E313" s="144"/>
      <x:c r="F313" s="144"/>
      <x:c r="G313" s="144"/>
      <x:c r="H313" s="144"/>
      <x:c r="I313" s="144"/>
    </x:row>
    <x:row r="314" ht="99.75">
      <x:c r="A314" s="144" t="s">
        <x:v>2214</x:v>
      </x:c>
      <x:c r="B314" s="144"/>
      <x:c r="C314" s="144"/>
      <x:c r="D314" s="144"/>
      <x:c r="E314" s="144"/>
      <x:c r="F314" s="144"/>
      <x:c r="G314" s="144"/>
      <x:c r="H314" s="144"/>
      <x:c r="I314" s="144"/>
    </x:row>
    <x:row r="317" ht="15">
      <x:c r="A317" s="172" t="s">
        <x:v>2215</x:v>
      </x:c>
      <x:c r="B317" s="172"/>
      <x:c r="C317" s="172"/>
      <x:c r="D317" s="172"/>
      <x:c r="E317" s="172"/>
      <x:c r="F317" s="172"/>
      <x:c r="G317" s="172"/>
      <x:c r="H317" s="172"/>
    </x:row>
    <x:row r="318" ht="42.75">
      <x:c r="A318" s="144" t="s">
        <x:v>2216</x:v>
      </x:c>
      <x:c r="B318" s="144"/>
      <x:c r="C318" s="144"/>
      <x:c r="D318" s="144"/>
      <x:c r="E318" s="144"/>
      <x:c r="F318" s="144"/>
      <x:c r="G318" s="144"/>
      <x:c r="H318" s="144"/>
    </x:row>
    <x:row r="319">
      <x:c r="A319" s="144"/>
      <x:c r="B319" s="144"/>
      <x:c r="C319" s="144"/>
      <x:c r="D319" s="144"/>
      <x:c r="E319" s="144"/>
      <x:c r="F319" s="144"/>
      <x:c r="G319" s="144"/>
      <x:c r="H319" s="144"/>
    </x:row>
    <x:row r="320" ht="85.5">
      <x:c r="A320" s="144" t="s">
        <x:v>2217</x:v>
      </x:c>
      <x:c r="B320" s="144"/>
      <x:c r="C320" s="144"/>
      <x:c r="D320" s="144"/>
      <x:c r="E320" s="144"/>
      <x:c r="F320" s="144"/>
      <x:c r="G320" s="144"/>
      <x:c r="H320" s="144"/>
    </x:row>
    <x:row r="321">
      <x:c r="A321" s="144"/>
      <x:c r="B321" s="144"/>
      <x:c r="C321" s="144"/>
      <x:c r="D321" s="144"/>
      <x:c r="E321" s="144"/>
      <x:c r="F321" s="144"/>
      <x:c r="G321" s="144"/>
      <x:c r="H321" s="144"/>
    </x:row>
    <x:row r="322">
      <x:c r="A322" s="144" t="s">
        <x:v>1174</x:v>
      </x:c>
      <x:c r="B322" s="144" t="s">
        <x:v>2218</x:v>
      </x:c>
      <x:c r="C322" s="144" t="s">
        <x:v>2219</x:v>
      </x:c>
      <x:c r="D322" s="144" t="s">
        <x:v>2220</x:v>
      </x:c>
      <x:c r="E322" s="144" t="s">
        <x:v>384</x:v>
      </x:c>
      <x:c r="F322" s="144" t="s">
        <x:v>2130</x:v>
      </x:c>
      <x:c r="G322" s="144" t="s">
        <x:v>2221</x:v>
      </x:c>
      <x:c r="H322" s="144" t="s">
        <x:v>2132</x:v>
      </x:c>
    </x:row>
    <x:row r="323" ht="57">
      <x:c r="A323" s="144" t="s">
        <x:v>934</x:v>
      </x:c>
      <x:c r="B323" s="144" t="s">
        <x:v>2222</x:v>
      </x:c>
      <x:c r="C323" s="144" t="s">
        <x:v>2223</x:v>
      </x:c>
      <x:c r="D323" s="144" t="str">
        <x:v>Recalibrare ZIP/DC pe echipă + ligă; blank rate, clean sheet reciproc, finishing vs xG și 0–0 la pauză. Termenul FB eliminat.</x:v>
      </x:c>
      <x:c r="E323" s="144" t="s">
        <x:v>2224</x:v>
      </x:c>
      <x:c r="F323" s="144" t="str">
        <x:v>0–0 home/away; FTS; clean sheets; GF/xGF; 0–0 HT. FB nu se colectează.</x:v>
      </x:c>
      <x:c r="G323" s="144" t="s">
        <x:v>2225</x:v>
      </x:c>
      <x:c r="H323" s="144" t="s">
        <x:v>2226</x:v>
      </x:c>
    </x:row>
    <x:row r="324">
      <x:c r="A324" s="144"/>
      <x:c r="B324" s="144"/>
      <x:c r="C324" s="144"/>
      <x:c r="D324" s="144"/>
      <x:c r="E324" s="144"/>
      <x:c r="F324" s="144"/>
      <x:c r="G324" s="144"/>
      <x:c r="H324" s="144"/>
    </x:row>
    <x:row r="325" ht="28.5">
      <x:c r="A325" s="144" t="s">
        <x:v>2227</x:v>
      </x:c>
      <x:c r="B325" s="144"/>
      <x:c r="C325" s="144"/>
      <x:c r="D325" s="144"/>
      <x:c r="E325" s="144"/>
      <x:c r="F325" s="144"/>
      <x:c r="G325" s="144"/>
      <x:c r="H325" s="144"/>
    </x:row>
    <x:row r="326">
      <x:c r="A326" s="144" t="s">
        <x:v>884</x:v>
      </x:c>
      <x:c r="B326" s="144" t="s">
        <x:v>2228</x:v>
      </x:c>
      <x:c r="C326" s="144" t="s">
        <x:v>2229</x:v>
      </x:c>
      <x:c r="D326" s="144" t="s">
        <x:v>2230</x:v>
      </x:c>
      <x:c r="E326" s="144" t="s">
        <x:v>2231</x:v>
      </x:c>
      <x:c r="F326" s="144" t="s">
        <x:v>2232</x:v>
      </x:c>
      <x:c r="G326" s="144" t="s">
        <x:v>2233</x:v>
      </x:c>
      <x:c r="H326" s="144" t="s">
        <x:v>899</x:v>
      </x:c>
    </x:row>
    <x:row r="327" ht="28.5">
      <x:c r="A327" s="144" t="s">
        <x:v>2234</x:v>
      </x:c>
      <x:c r="B327" s="144" t="s">
        <x:v>2235</x:v>
      </x:c>
      <x:c r="C327" s="144" t="s">
        <x:v>2236</x:v>
      </x:c>
      <x:c r="D327" s="144" t="s">
        <x:v>2237</x:v>
      </x:c>
      <x:c r="E327" s="144" t="s">
        <x:v>2238</x:v>
      </x:c>
      <x:c r="F327" s="144" t="s">
        <x:v>2239</x:v>
      </x:c>
      <x:c r="G327" s="144" t="s">
        <x:v>2240</x:v>
      </x:c>
      <x:c r="H327" s="144" t="s">
        <x:v>2241</x:v>
      </x:c>
    </x:row>
    <x:row r="328" ht="28.5">
      <x:c r="A328" s="144" t="s">
        <x:v>2242</x:v>
      </x:c>
      <x:c r="B328" s="144" t="s">
        <x:v>2243</x:v>
      </x:c>
      <x:c r="C328" s="144" t="s">
        <x:v>2244</x:v>
      </x:c>
      <x:c r="D328" s="144" t="s">
        <x:v>2245</x:v>
      </x:c>
      <x:c r="E328" s="144" t="s">
        <x:v>2246</x:v>
      </x:c>
      <x:c r="F328" s="144" t="s">
        <x:v>2239</x:v>
      </x:c>
      <x:c r="G328" s="144" t="s">
        <x:v>2240</x:v>
      </x:c>
      <x:c r="H328" s="144" t="s">
        <x:v>2247</x:v>
      </x:c>
    </x:row>
    <x:row r="329" ht="28.5">
      <x:c r="A329" s="144" t="s">
        <x:v>2248</x:v>
      </x:c>
      <x:c r="B329" s="144" t="s">
        <x:v>2249</x:v>
      </x:c>
      <x:c r="C329" s="144" t="s">
        <x:v>2250</x:v>
      </x:c>
      <x:c r="D329" s="144" t="s">
        <x:v>2251</x:v>
      </x:c>
      <x:c r="E329" s="144" t="s">
        <x:v>2252</x:v>
      </x:c>
      <x:c r="F329" s="144" t="s">
        <x:v>2253</x:v>
      </x:c>
      <x:c r="G329" s="144" t="s">
        <x:v>2240</x:v>
      </x:c>
      <x:c r="H329" s="144" t="s">
        <x:v>2254</x:v>
      </x:c>
    </x:row>
    <x:row r="330">
      <x:c r="A330" s="144" t="str">
        <x:v>0–0 HT statistic</x:v>
      </x:c>
      <x:c r="B330" s="144" t="str">
        <x:v>Ratele 0–0 HT pentru gazde și oaspeți</x:v>
      </x:c>
      <x:c r="C330" s="144" t="str">
        <x:v>75% × media ratelor HT / etalon HT; fără termen manual</x:v>
      </x:c>
      <x:c r="D330" s="144" t="str">
        <x:v>Frecvență 0–0 HT sub etalon</x:v>
      </x:c>
      <x:c r="E330" s="144" t="str">
        <x:v>Frecvență 0–0 HT peste etalon</x:v>
      </x:c>
      <x:c r="F330" s="144" t="s">
        <x:v>2253</x:v>
      </x:c>
      <x:c r="G330" s="144" t="s">
        <x:v>2240</x:v>
      </x:c>
      <x:c r="H330" s="144" t="str">
        <x:v>Semnal statistic de primă repriză fără gol</x:v>
      </x:c>
    </x:row>
    <x:row r="331">
      <x:c r="A331" s="144"/>
      <x:c r="B331" s="144"/>
      <x:c r="C331" s="144"/>
      <x:c r="D331" s="144"/>
      <x:c r="E331" s="144"/>
      <x:c r="F331" s="144"/>
      <x:c r="G331" s="144"/>
      <x:c r="H331" s="144"/>
    </x:row>
    <x:row r="332" ht="28.5">
      <x:c r="A332" s="144" t="s">
        <x:v>2255</x:v>
      </x:c>
      <x:c r="B332" s="144"/>
      <x:c r="C332" s="144"/>
      <x:c r="D332" s="144"/>
      <x:c r="E332" s="144"/>
      <x:c r="F332" s="144"/>
      <x:c r="G332" s="144"/>
      <x:c r="H332" s="144"/>
    </x:row>
    <x:row r="333">
      <x:c r="A333" s="144" t="s">
        <x:v>2256</x:v>
      </x:c>
      <x:c r="B333" s="144" t="s">
        <x:v>219</x:v>
      </x:c>
      <x:c r="C333" s="144" t="s">
        <x:v>2257</x:v>
      </x:c>
      <x:c r="D333" s="144" t="s">
        <x:v>2258</x:v>
      </x:c>
      <x:c r="E333" s="144" t="s">
        <x:v>945</x:v>
      </x:c>
      <x:c r="F333" s="144" t="s">
        <x:v>2259</x:v>
      </x:c>
      <x:c r="G333" s="144" t="s">
        <x:v>314</x:v>
      </x:c>
      <x:c r="H333" s="144" t="s">
        <x:v>897</x:v>
      </x:c>
    </x:row>
    <x:row r="334" ht="28.5">
      <x:c r="A334" s="144" t="s">
        <x:v>2260</x:v>
      </x:c>
      <x:c r="B334" s="144" t="s">
        <x:v>2261</x:v>
      </x:c>
      <x:c r="C334" s="144" t="s">
        <x:v>2262</x:v>
      </x:c>
      <x:c r="D334" s="144" t="s">
        <x:v>2262</x:v>
      </x:c>
      <x:c r="E334" s="144" t="s">
        <x:v>2263</x:v>
      </x:c>
      <x:c r="F334" s="144" t="s">
        <x:v>2264</x:v>
      </x:c>
      <x:c r="G334" s="144" t="s">
        <x:v>2265</x:v>
      </x:c>
      <x:c r="H334" s="144" t="s">
        <x:v>2266</x:v>
      </x:c>
    </x:row>
    <x:row r="335">
      <x:c r="A335" s="144" t="s">
        <x:v>868</x:v>
      </x:c>
      <x:c r="B335" s="144" t="s">
        <x:v>2142</x:v>
      </x:c>
      <x:c r="C335" s="144" t="s">
        <x:v>2262</x:v>
      </x:c>
      <x:c r="D335" s="144" t="s">
        <x:v>2262</x:v>
      </x:c>
      <x:c r="E335" s="144" t="s">
        <x:v>2267</x:v>
      </x:c>
      <x:c r="F335" s="144" t="s">
        <x:v>2264</x:v>
      </x:c>
      <x:c r="G335" s="144" t="s">
        <x:v>2268</x:v>
      </x:c>
      <x:c r="H335" s="144" t="s">
        <x:v>2266</x:v>
      </x:c>
    </x:row>
    <x:row r="336">
      <x:c r="A336" s="144" t="s">
        <x:v>2269</x:v>
      </x:c>
      <x:c r="B336" s="144" t="s">
        <x:v>2142</x:v>
      </x:c>
      <x:c r="C336" s="144" t="s">
        <x:v>2270</x:v>
      </x:c>
      <x:c r="D336" s="144" t="s">
        <x:v>2271</x:v>
      </x:c>
      <x:c r="E336" s="144" t="s">
        <x:v>2272</x:v>
      </x:c>
      <x:c r="F336" s="144" t="s">
        <x:v>2264</x:v>
      </x:c>
      <x:c r="G336" s="144" t="s">
        <x:v>2273</x:v>
      </x:c>
      <x:c r="H336" s="144" t="s">
        <x:v>2266</x:v>
      </x:c>
    </x:row>
    <x:row r="337">
      <x:c r="A337" s="144" t="s">
        <x:v>2274</x:v>
      </x:c>
      <x:c r="B337" s="144" t="s">
        <x:v>2142</x:v>
      </x:c>
      <x:c r="C337" s="144" t="s">
        <x:v>2142</x:v>
      </x:c>
      <x:c r="D337" s="144" t="s">
        <x:v>2275</x:v>
      </x:c>
      <x:c r="E337" s="144" t="s">
        <x:v>2276</x:v>
      </x:c>
      <x:c r="F337" s="144" t="s">
        <x:v>2142</x:v>
      </x:c>
      <x:c r="G337" s="144" t="s">
        <x:v>2277</x:v>
      </x:c>
      <x:c r="H337" s="144" t="s">
        <x:v>2278</x:v>
      </x:c>
    </x:row>
    <x:row r="338">
      <x:c r="A338" s="144"/>
      <x:c r="B338" s="144"/>
      <x:c r="C338" s="144"/>
      <x:c r="D338" s="144"/>
      <x:c r="E338" s="144"/>
      <x:c r="F338" s="144"/>
      <x:c r="G338" s="144"/>
      <x:c r="H338" s="144"/>
    </x:row>
    <x:row r="339" ht="142.5">
      <x:c r="A339" s="144" t="s">
        <x:v>2279</x:v>
      </x:c>
      <x:c r="B339" s="144"/>
      <x:c r="C339" s="144"/>
      <x:c r="D339" s="144"/>
      <x:c r="E339" s="144"/>
      <x:c r="F339" s="144"/>
      <x:c r="G339" s="144"/>
      <x:c r="H339" s="144"/>
    </x:row>
    <x:row r="342" ht="15">
      <x:c r="A342" s="172" t="s">
        <x:v>2280</x:v>
      </x:c>
      <x:c r="B342" s="172"/>
      <x:c r="C342" s="172"/>
      <x:c r="D342" s="172"/>
      <x:c r="E342" s="172"/>
      <x:c r="F342" s="172"/>
      <x:c r="G342" s="172"/>
      <x:c r="H342" s="172"/>
    </x:row>
    <x:row r="343" ht="42.75">
      <x:c r="A343" s="144" t="s">
        <x:v>2281</x:v>
      </x:c>
      <x:c r="B343" s="144"/>
      <x:c r="C343" s="144"/>
      <x:c r="D343" s="144"/>
      <x:c r="E343" s="144"/>
      <x:c r="F343" s="144"/>
      <x:c r="G343" s="144"/>
      <x:c r="H343" s="144"/>
    </x:row>
    <x:row r="344">
      <x:c r="A344" s="144"/>
      <x:c r="B344" s="144"/>
      <x:c r="C344" s="144"/>
      <x:c r="D344" s="144"/>
      <x:c r="E344" s="144"/>
      <x:c r="F344" s="144"/>
      <x:c r="G344" s="144"/>
      <x:c r="H344" s="144"/>
    </x:row>
    <x:row r="345" ht="85.5">
      <x:c r="A345" s="144" t="s">
        <x:v>2282</x:v>
      </x:c>
      <x:c r="B345" s="144"/>
      <x:c r="C345" s="144"/>
      <x:c r="D345" s="144"/>
      <x:c r="E345" s="144"/>
      <x:c r="F345" s="144"/>
      <x:c r="G345" s="144"/>
      <x:c r="H345" s="144"/>
    </x:row>
    <x:row r="346">
      <x:c r="A346" s="144"/>
      <x:c r="B346" s="144"/>
      <x:c r="C346" s="144"/>
      <x:c r="D346" s="144"/>
      <x:c r="E346" s="144"/>
      <x:c r="F346" s="144"/>
      <x:c r="G346" s="144"/>
      <x:c r="H346" s="144"/>
    </x:row>
    <x:row r="347">
      <x:c r="A347" s="144" t="s">
        <x:v>884</x:v>
      </x:c>
      <x:c r="B347" s="144" t="s">
        <x:v>2283</x:v>
      </x:c>
      <x:c r="C347" s="144" t="s">
        <x:v>2284</x:v>
      </x:c>
      <x:c r="D347" s="144" t="s">
        <x:v>915</x:v>
      </x:c>
      <x:c r="E347" s="144" t="s">
        <x:v>2285</x:v>
      </x:c>
      <x:c r="F347" s="144" t="s">
        <x:v>1241</x:v>
      </x:c>
      <x:c r="G347" s="144" t="s">
        <x:v>2233</x:v>
      </x:c>
      <x:c r="H347" s="144" t="s">
        <x:v>900</x:v>
      </x:c>
    </x:row>
    <x:row r="348">
      <x:c r="A348" s="144" t="s">
        <x:v>2286</x:v>
      </x:c>
      <x:c r="B348" s="144" t="s">
        <x:v>2287</x:v>
      </x:c>
      <x:c r="C348" s="144" t="s">
        <x:v>2288</x:v>
      </x:c>
      <x:c r="D348" s="144" t="s">
        <x:v>2253</x:v>
      </x:c>
      <x:c r="E348" s="144" t="s">
        <x:v>2289</x:v>
      </x:c>
      <x:c r="F348" s="144" t="s">
        <x:v>2290</x:v>
      </x:c>
      <x:c r="G348" s="144" t="s">
        <x:v>2291</x:v>
      </x:c>
      <x:c r="H348" s="144" t="s">
        <x:v>2292</x:v>
      </x:c>
    </x:row>
    <x:row r="349" ht="28.5">
      <x:c r="A349" s="144" t="s">
        <x:v>2293</x:v>
      </x:c>
      <x:c r="B349" s="144" t="s">
        <x:v>2294</x:v>
      </x:c>
      <x:c r="C349" s="144" t="s">
        <x:v>2295</x:v>
      </x:c>
      <x:c r="D349" s="144" t="s">
        <x:v>2253</x:v>
      </x:c>
      <x:c r="E349" s="144" t="s">
        <x:v>2296</x:v>
      </x:c>
      <x:c r="F349" s="144" t="s">
        <x:v>2290</x:v>
      </x:c>
      <x:c r="G349" s="144" t="s">
        <x:v>2291</x:v>
      </x:c>
      <x:c r="H349" s="144" t="s">
        <x:v>2297</x:v>
      </x:c>
    </x:row>
    <x:row r="350" ht="28.5">
      <x:c r="A350" s="144" t="s">
        <x:v>2298</x:v>
      </x:c>
      <x:c r="B350" s="144" t="s">
        <x:v>2299</x:v>
      </x:c>
      <x:c r="C350" s="144" t="s">
        <x:v>2300</x:v>
      </x:c>
      <x:c r="D350" s="144" t="s">
        <x:v>2301</x:v>
      </x:c>
      <x:c r="E350" s="144" t="s">
        <x:v>2302</x:v>
      </x:c>
      <x:c r="F350" s="144" t="s">
        <x:v>2303</x:v>
      </x:c>
      <x:c r="G350" s="144" t="s">
        <x:v>2304</x:v>
      </x:c>
      <x:c r="H350" s="144" t="s">
        <x:v>2305</x:v>
      </x:c>
    </x:row>
    <x:row r="351" ht="28.5">
      <x:c r="A351" s="144" t="s">
        <x:v>2306</x:v>
      </x:c>
      <x:c r="B351" s="144" t="s">
        <x:v>2307</x:v>
      </x:c>
      <x:c r="C351" s="144" t="s">
        <x:v>2308</x:v>
      </x:c>
      <x:c r="D351" s="144" t="s">
        <x:v>2309</x:v>
      </x:c>
      <x:c r="E351" s="144" t="s">
        <x:v>2310</x:v>
      </x:c>
      <x:c r="F351" s="144" t="s">
        <x:v>2290</x:v>
      </x:c>
      <x:c r="G351" s="144" t="s">
        <x:v>2291</x:v>
      </x:c>
      <x:c r="H351" s="144" t="s">
        <x:v>2311</x:v>
      </x:c>
    </x:row>
    <x:row r="352">
      <x:c r="A352" s="144"/>
      <x:c r="B352" s="144"/>
      <x:c r="C352" s="144"/>
      <x:c r="D352" s="144"/>
      <x:c r="E352" s="144"/>
      <x:c r="F352" s="144"/>
      <x:c r="G352" s="144"/>
      <x:c r="H352" s="144"/>
    </x:row>
    <x:row r="353" ht="28.5">
      <x:c r="A353" s="144" t="s">
        <x:v>2312</x:v>
      </x:c>
      <x:c r="B353" s="144"/>
      <x:c r="C353" s="144"/>
      <x:c r="D353" s="144"/>
      <x:c r="E353" s="144"/>
      <x:c r="F353" s="144"/>
      <x:c r="G353" s="144"/>
      <x:c r="H353" s="144"/>
    </x:row>
    <x:row r="354">
      <x:c r="A354" s="144" t="s">
        <x:v>1304</x:v>
      </x:c>
      <x:c r="B354" s="144" t="s">
        <x:v>2313</x:v>
      </x:c>
      <x:c r="C354" s="144" t="s">
        <x:v>34</x:v>
      </x:c>
      <x:c r="D354" s="144" t="s">
        <x:v>2314</x:v>
      </x:c>
      <x:c r="E354" s="144" t="s">
        <x:v>2315</x:v>
      </x:c>
      <x:c r="F354" s="144" t="s">
        <x:v>2316</x:v>
      </x:c>
      <x:c r="G354" s="144" t="s">
        <x:v>2317</x:v>
      </x:c>
      <x:c r="H354" s="144" t="s">
        <x:v>2318</x:v>
      </x:c>
    </x:row>
    <x:row r="355" ht="28.5">
      <x:c r="A355" s="144" t="s">
        <x:v>1477</x:v>
      </x:c>
      <x:c r="B355" s="144" t="s">
        <x:v>2319</x:v>
      </x:c>
      <x:c r="C355" s="144" t="s">
        <x:v>2320</x:v>
      </x:c>
      <x:c r="D355" s="144" t="s">
        <x:v>2264</x:v>
      </x:c>
      <x:c r="E355" s="144" t="s">
        <x:v>2321</x:v>
      </x:c>
      <x:c r="F355" s="144" t="s">
        <x:v>2321</x:v>
      </x:c>
      <x:c r="G355" s="144" t="s">
        <x:v>2321</x:v>
      </x:c>
      <x:c r="H355" s="144" t="s">
        <x:v>2321</x:v>
      </x:c>
    </x:row>
    <x:row r="356" ht="42.75">
      <x:c r="A356" s="144" t="s">
        <x:v>2322</x:v>
      </x:c>
      <x:c r="B356" s="144" t="s">
        <x:v>2323</x:v>
      </x:c>
      <x:c r="C356" s="144" t="s">
        <x:v>1153</x:v>
      </x:c>
      <x:c r="D356" s="144" t="s">
        <x:v>2264</x:v>
      </x:c>
      <x:c r="E356" s="144" t="s">
        <x:v>2321</x:v>
      </x:c>
      <x:c r="F356" s="144" t="s">
        <x:v>2321</x:v>
      </x:c>
      <x:c r="G356" s="144" t="s">
        <x:v>2321</x:v>
      </x:c>
      <x:c r="H356" s="144" t="s">
        <x:v>2321</x:v>
      </x:c>
    </x:row>
    <x:row r="357" ht="28.5">
      <x:c r="A357" s="144" t="s">
        <x:v>2324</x:v>
      </x:c>
      <x:c r="B357" s="144" t="s">
        <x:v>2325</x:v>
      </x:c>
      <x:c r="C357" s="144" t="s">
        <x:v>2326</x:v>
      </x:c>
      <x:c r="D357" s="144" t="s">
        <x:v>2264</x:v>
      </x:c>
      <x:c r="E357" s="144" t="s">
        <x:v>2327</x:v>
      </x:c>
      <x:c r="F357" s="144" t="s">
        <x:v>2327</x:v>
      </x:c>
      <x:c r="G357" s="144" t="s">
        <x:v>2327</x:v>
      </x:c>
      <x:c r="H357" s="144" t="s">
        <x:v>2327</x:v>
      </x:c>
    </x:row>
    <x:row r="358" ht="28.5">
      <x:c r="A358" s="144" t="s">
        <x:v>2328</x:v>
      </x:c>
      <x:c r="B358" s="144" t="s">
        <x:v>2329</x:v>
      </x:c>
      <x:c r="C358" s="144" t="s">
        <x:v>2330</x:v>
      </x:c>
      <x:c r="D358" s="144" t="s">
        <x:v>2264</x:v>
      </x:c>
      <x:c r="E358" s="144" t="s">
        <x:v>2263</x:v>
      </x:c>
      <x:c r="F358" s="144" t="s">
        <x:v>2267</x:v>
      </x:c>
      <x:c r="G358" s="144" t="s">
        <x:v>2272</x:v>
      </x:c>
      <x:c r="H358" s="144" t="s">
        <x:v>2331</x:v>
      </x:c>
    </x:row>
    <x:row r="359">
      <x:c r="A359" s="144"/>
      <x:c r="B359" s="144"/>
      <x:c r="C359" s="144"/>
      <x:c r="D359" s="144"/>
      <x:c r="E359" s="144"/>
      <x:c r="F359" s="144"/>
      <x:c r="G359" s="144"/>
      <x:c r="H359" s="144"/>
    </x:row>
    <x:row r="360" ht="30" customHeight="1">
      <x:c r="A360" s="144" t="str">
        <x:v>CONTROLURI ISTORICE v5 – DEZACTIVATE PENTRU RECOMANDAREA FINALĂ</x:v>
      </x:c>
      <x:c r="B360" s="144"/>
      <x:c r="C360" s="144"/>
      <x:c r="D360" s="144"/>
      <x:c r="E360" s="144"/>
      <x:c r="F360" s="144"/>
      <x:c r="G360" s="144"/>
      <x:c r="H360" s="144"/>
    </x:row>
    <x:row r="361">
      <x:c r="A361" s="144" t="str">
        <x:v>Câmp istoric</x:v>
      </x:c>
      <x:c r="B361" s="144" t="str">
        <x:v>Zero-risk istoric</x:v>
      </x:c>
      <x:c r="C361" s="144" t="str">
        <x:v>Lineup informativ</x:v>
      </x:c>
      <x:c r="D361" s="144" t="str">
        <x:v>Piață informativă</x:v>
      </x:c>
      <x:c r="E361" s="144" t="str">
        <x:v>Portofoliu istoric</x:v>
      </x:c>
      <x:c r="F361" s="144" t="str">
        <x:v>Confidence informativ</x:v>
      </x:c>
      <x:c r="G361" s="144" t="str">
        <x:v>EV informativ</x:v>
      </x:c>
      <x:c r="H361" s="144" t="str">
        <x:v>Consecință actuală</x:v>
      </x:c>
    </x:row>
    <x:row r="362" ht="36" customHeight="1">
      <x:c r="A362" s="144" t="str">
        <x:v>Valorile istorice pot fi păstrate</x:v>
      </x:c>
      <x:c r="B362" s="144" t="str">
        <x:v>Nu sunt gate final</x:v>
      </x:c>
      <x:c r="C362" s="144" t="str">
        <x:v>Nu este gate final</x:v>
      </x:c>
      <x:c r="D362" s="144" t="str">
        <x:v>Nu este gate final</x:v>
      </x:c>
      <x:c r="E362" s="144" t="str">
        <x:v>Nu este gate final</x:v>
      </x:c>
      <x:c r="F362" s="144" t="str">
        <x:v>Nu este gate final</x:v>
      </x:c>
      <x:c r="G362" s="144" t="str">
        <x:v>Nu este gate final</x:v>
      </x:c>
      <x:c r="H362" s="144" t="str">
        <x:v>Recomandarea vine din Risk Score + G0</x:v>
      </x:c>
    </x:row>
    <x:row r="363" ht="36" customHeight="1">
      <x:c r="A363" s="144" t="str">
        <x:v>GU/GV rămân numai pentru auditul versiunii vechi</x:v>
      </x:c>
      <x:c r="B363" s="144" t="str">
        <x:v>Fără efect asupra HK</x:v>
      </x:c>
      <x:c r="C363" s="144" t="str">
        <x:v>Fără efect asupra HK</x:v>
      </x:c>
      <x:c r="D363" s="144" t="str">
        <x:v>Fără efect asupra HK</x:v>
      </x:c>
      <x:c r="E363" s="144" t="str">
        <x:v>Fără efect asupra HK</x:v>
      </x:c>
      <x:c r="F363" s="144" t="str">
        <x:v>Fără efect asupra HK</x:v>
      </x:c>
      <x:c r="G363" s="144" t="str">
        <x:v>Fără efect asupra HK</x:v>
      </x:c>
      <x:c r="H363" s="144" t="str">
        <x:v>Nu produc WATCH / NO BET</x:v>
      </x:c>
    </x:row>
    <x:row r="364">
      <x:c r="A364" s="144"/>
      <x:c r="B364" s="144"/>
      <x:c r="C364" s="144"/>
      <x:c r="D364" s="144"/>
      <x:c r="E364" s="144"/>
      <x:c r="F364" s="144"/>
      <x:c r="G364" s="144"/>
      <x:c r="H364" s="144"/>
    </x:row>
    <x:row r="365" ht="128.25">
      <x:c r="A365" s="144" t="s">
        <x:v>2332</x:v>
      </x:c>
      <x:c r="B365" s="144"/>
      <x:c r="C365" s="144"/>
      <x:c r="D365" s="144"/>
      <x:c r="E365" s="144"/>
      <x:c r="F365" s="144"/>
      <x:c r="G365" s="144"/>
      <x:c r="H365" s="144"/>
    </x:row>
    <x:row r="368" ht="15">
      <x:c r="A368" s="172" t="s">
        <x:v>2333</x:v>
      </x:c>
      <x:c r="B368" s="172"/>
      <x:c r="C368" s="172"/>
      <x:c r="D368" s="172"/>
      <x:c r="E368" s="172"/>
      <x:c r="F368" s="172"/>
      <x:c r="G368" s="172"/>
      <x:c r="H368" s="172"/>
    </x:row>
    <x:row r="369" ht="28.5">
      <x:c r="A369" s="144" t="s">
        <x:v>2334</x:v>
      </x:c>
      <x:c r="B369" s="144"/>
      <x:c r="C369" s="144"/>
      <x:c r="D369" s="144"/>
      <x:c r="E369" s="144"/>
      <x:c r="F369" s="144"/>
    </x:row>
    <x:row r="370">
      <x:c r="A370" s="144"/>
      <x:c r="B370" s="144"/>
      <x:c r="C370" s="144"/>
      <x:c r="D370" s="144"/>
      <x:c r="E370" s="144"/>
      <x:c r="F370" s="144"/>
    </x:row>
    <x:row r="371">
      <x:c r="A371" s="144" t="s">
        <x:v>35</x:v>
      </x:c>
      <x:c r="B371" s="144" t="s">
        <x:v>2228</x:v>
      </x:c>
      <x:c r="C371" s="144" t="s">
        <x:v>2335</x:v>
      </x:c>
      <x:c r="D371" s="144" t="s">
        <x:v>2336</x:v>
      </x:c>
      <x:c r="E371" s="144" t="s">
        <x:v>2337</x:v>
      </x:c>
      <x:c r="F371" s="144" t="s">
        <x:v>900</x:v>
      </x:c>
    </x:row>
    <x:row r="372">
      <x:c r="A372" s="144" t="s">
        <x:v>2338</x:v>
      </x:c>
      <x:c r="B372" s="144" t="s">
        <x:v>2339</x:v>
      </x:c>
      <x:c r="C372" s="144" t="s">
        <x:v>2340</x:v>
      </x:c>
      <x:c r="D372" s="144" t="s">
        <x:v>2264</x:v>
      </x:c>
      <x:c r="E372" s="144" t="s">
        <x:v>2341</x:v>
      </x:c>
      <x:c r="F372" s="144" t="s">
        <x:v>2342</x:v>
      </x:c>
    </x:row>
    <x:row r="373" ht="28.5">
      <x:c r="A373" s="144" t="s">
        <x:v>1281</x:v>
      </x:c>
      <x:c r="B373" s="144" t="s">
        <x:v>2343</x:v>
      </x:c>
      <x:c r="C373" s="144" t="s">
        <x:v>2344</x:v>
      </x:c>
      <x:c r="D373" s="144" t="s">
        <x:v>2264</x:v>
      </x:c>
      <x:c r="E373" s="144" t="s">
        <x:v>2345</x:v>
      </x:c>
      <x:c r="F373" s="144" t="s">
        <x:v>2346</x:v>
      </x:c>
    </x:row>
    <x:row r="374" ht="28.5">
      <x:c r="A374" s="144" t="s">
        <x:v>2347</x:v>
      </x:c>
      <x:c r="B374" s="144" t="s">
        <x:v>2348</x:v>
      </x:c>
      <x:c r="C374" s="144" t="s">
        <x:v>2349</x:v>
      </x:c>
      <x:c r="D374" s="144" t="s">
        <x:v>2350</x:v>
      </x:c>
      <x:c r="E374" s="144" t="s">
        <x:v>2351</x:v>
      </x:c>
      <x:c r="F374" s="144" t="s">
        <x:v>2352</x:v>
      </x:c>
    </x:row>
    <x:row r="375" ht="28.5">
      <x:c r="A375" s="144" t="s">
        <x:v>2353</x:v>
      </x:c>
      <x:c r="B375" s="144" t="s">
        <x:v>2354</x:v>
      </x:c>
      <x:c r="C375" s="144" t="s">
        <x:v>2355</x:v>
      </x:c>
      <x:c r="D375" s="144" t="s">
        <x:v>2356</x:v>
      </x:c>
      <x:c r="E375" s="144" t="s">
        <x:v>2357</x:v>
      </x:c>
      <x:c r="F375" s="144" t="s">
        <x:v>2358</x:v>
      </x:c>
    </x:row>
    <x:row r="376">
      <x:c r="A376" s="144" t="s">
        <x:v>2359</x:v>
      </x:c>
      <x:c r="B376" s="144" t="s">
        <x:v>2360</x:v>
      </x:c>
      <x:c r="C376" s="144" t="s">
        <x:v>2361</x:v>
      </x:c>
      <x:c r="D376" s="144" t="s">
        <x:v>2264</x:v>
      </x:c>
      <x:c r="E376" s="144" t="s">
        <x:v>2362</x:v>
      </x:c>
      <x:c r="F376" s="144" t="s">
        <x:v>2363</x:v>
      </x:c>
    </x:row>
    <x:row r="377" ht="28.5">
      <x:c r="A377" s="144" t="s">
        <x:v>2364</x:v>
      </x:c>
      <x:c r="B377" s="144" t="s">
        <x:v>2365</x:v>
      </x:c>
      <x:c r="C377" s="144" t="s">
        <x:v>2366</x:v>
      </x:c>
      <x:c r="D377" s="144" t="s">
        <x:v>2367</x:v>
      </x:c>
      <x:c r="E377" s="144" t="s">
        <x:v>2368</x:v>
      </x:c>
      <x:c r="F377" s="144" t="s">
        <x:v>2369</x:v>
      </x:c>
    </x:row>
    <x:row r="378">
      <x:c r="A378" s="144" t="s">
        <x:v>2370</x:v>
      </x:c>
      <x:c r="B378" s="144" t="s">
        <x:v>2371</x:v>
      </x:c>
      <x:c r="C378" s="144" t="s">
        <x:v>2372</x:v>
      </x:c>
      <x:c r="D378" s="144" t="s">
        <x:v>2373</x:v>
      </x:c>
      <x:c r="E378" s="144" t="s">
        <x:v>2374</x:v>
      </x:c>
      <x:c r="F378" s="144" t="s">
        <x:v>2375</x:v>
      </x:c>
    </x:row>
    <x:row r="379" ht="28.5">
      <x:c r="A379" s="144" t="s">
        <x:v>2376</x:v>
      </x:c>
      <x:c r="B379" s="144" t="s">
        <x:v>2377</x:v>
      </x:c>
      <x:c r="C379" s="144" t="s">
        <x:v>2378</x:v>
      </x:c>
      <x:c r="D379" s="144" t="s">
        <x:v>2264</x:v>
      </x:c>
      <x:c r="E379" s="144" t="s">
        <x:v>2379</x:v>
      </x:c>
      <x:c r="F379" s="144" t="s">
        <x:v>2380</x:v>
      </x:c>
    </x:row>
    <x:row r="380" ht="28.5">
      <x:c r="A380" s="144" t="s">
        <x:v>2381</x:v>
      </x:c>
      <x:c r="B380" s="144" t="s">
        <x:v>2382</x:v>
      </x:c>
      <x:c r="C380" s="144" t="s">
        <x:v>2383</x:v>
      </x:c>
      <x:c r="D380" s="144" t="s">
        <x:v>2384</x:v>
      </x:c>
      <x:c r="E380" s="144" t="s">
        <x:v>2385</x:v>
      </x:c>
      <x:c r="F380" s="144" t="s">
        <x:v>2386</x:v>
      </x:c>
    </x:row>
    <x:row r="381">
      <x:c r="A381" s="144"/>
      <x:c r="B381" s="144"/>
      <x:c r="C381" s="144"/>
      <x:c r="D381" s="144"/>
      <x:c r="E381" s="144"/>
      <x:c r="F381" s="144"/>
    </x:row>
    <x:row r="382">
      <x:c r="A382" s="144"/>
      <x:c r="B382" s="144"/>
      <x:c r="C382" s="144"/>
      <x:c r="D382" s="144"/>
      <x:c r="E382" s="144"/>
      <x:c r="F382" s="144"/>
    </x:row>
    <x:row r="383">
      <x:c r="A383" s="144" t="s">
        <x:v>2387</x:v>
      </x:c>
      <x:c r="B383" s="144" t="s">
        <x:v>2388</x:v>
      </x:c>
      <x:c r="C383" s="144" t="s">
        <x:v>2389</x:v>
      </x:c>
      <x:c r="D383" s="144" t="s">
        <x:v>2390</x:v>
      </x:c>
      <x:c r="E383" s="144" t="s">
        <x:v>2391</x:v>
      </x:c>
      <x:c r="F383" s="144" t="s">
        <x:v>2392</x:v>
      </x:c>
    </x:row>
    <x:row r="384">
      <x:c r="A384" s="144" t="s">
        <x:v>2393</x:v>
      </x:c>
      <x:c r="B384" s="144" t="s">
        <x:v>2394</x:v>
      </x:c>
      <x:c r="C384" s="144" t="s">
        <x:v>1281</x:v>
      </x:c>
      <x:c r="D384" s="144" t="s">
        <x:v>2395</x:v>
      </x:c>
      <x:c r="E384" s="144" t="s">
        <x:v>2396</x:v>
      </x:c>
      <x:c r="F384" s="144" t="s">
        <x:v>2397</x:v>
      </x:c>
    </x:row>
    <x:row r="385">
      <x:c r="A385" s="144" t="s">
        <x:v>2398</x:v>
      </x:c>
      <x:c r="B385" s="144" t="s">
        <x:v>2399</x:v>
      </x:c>
      <x:c r="C385" s="144" t="s">
        <x:v>1281</x:v>
      </x:c>
      <x:c r="D385" s="144" t="s">
        <x:v>2400</x:v>
      </x:c>
      <x:c r="E385" s="144" t="s">
        <x:v>2401</x:v>
      </x:c>
      <x:c r="F385" s="144" t="s">
        <x:v>2397</x:v>
      </x:c>
    </x:row>
    <x:row r="386" ht="28.5">
      <x:c r="A386" s="144" t="s">
        <x:v>2402</x:v>
      </x:c>
      <x:c r="B386" s="144" t="s">
        <x:v>2403</x:v>
      </x:c>
      <x:c r="C386" s="144" t="s">
        <x:v>1281</x:v>
      </x:c>
      <x:c r="D386" s="144" t="s">
        <x:v>2404</x:v>
      </x:c>
      <x:c r="E386" s="144" t="s">
        <x:v>2405</x:v>
      </x:c>
      <x:c r="F386" s="144" t="s">
        <x:v>2397</x:v>
      </x:c>
    </x:row>
    <x:row r="387">
      <x:c r="A387" s="144" t="s">
        <x:v>2406</x:v>
      </x:c>
      <x:c r="B387" s="144" t="s">
        <x:v>2403</x:v>
      </x:c>
      <x:c r="C387" s="144" t="s">
        <x:v>1281</x:v>
      </x:c>
      <x:c r="D387" s="144" t="s">
        <x:v>2407</x:v>
      </x:c>
      <x:c r="E387" s="144" t="s">
        <x:v>2408</x:v>
      </x:c>
      <x:c r="F387" s="144" t="s">
        <x:v>2397</x:v>
      </x:c>
    </x:row>
    <x:row r="388">
      <x:c r="A388" s="144"/>
      <x:c r="B388" s="144"/>
      <x:c r="C388" s="144"/>
      <x:c r="D388" s="144"/>
      <x:c r="E388" s="144"/>
      <x:c r="F388" s="144"/>
    </x:row>
    <x:row r="389">
      <x:c r="A389" s="144"/>
      <x:c r="B389" s="144"/>
      <x:c r="C389" s="144"/>
      <x:c r="D389" s="144"/>
      <x:c r="E389" s="144"/>
      <x:c r="F389" s="144"/>
    </x:row>
    <x:row r="390">
      <x:c r="A390" s="144" t="s">
        <x:v>2409</x:v>
      </x:c>
      <x:c r="B390" s="144" t="s">
        <x:v>2228</x:v>
      </x:c>
      <x:c r="C390" s="144"/>
      <x:c r="D390" s="144"/>
      <x:c r="E390" s="144"/>
      <x:c r="F390" s="144"/>
    </x:row>
    <x:row r="391">
      <x:c r="A391" s="144" t="s">
        <x:v>2410</x:v>
      </x:c>
      <x:c r="B391" s="144" t="s">
        <x:v>2411</x:v>
      </x:c>
      <x:c r="C391" s="144"/>
      <x:c r="D391" s="144"/>
      <x:c r="E391" s="144"/>
      <x:c r="F391" s="144"/>
    </x:row>
    <x:row r="392">
      <x:c r="A392" s="144" t="s">
        <x:v>2403</x:v>
      </x:c>
      <x:c r="B392" s="144" t="s">
        <x:v>2412</x:v>
      </x:c>
      <x:c r="C392" s="144"/>
      <x:c r="D392" s="144"/>
      <x:c r="E392" s="144"/>
      <x:c r="F392" s="144"/>
    </x:row>
    <x:row r="393">
      <x:c r="A393" s="144" t="s">
        <x:v>2399</x:v>
      </x:c>
      <x:c r="B393" s="144" t="s">
        <x:v>2413</x:v>
      </x:c>
      <x:c r="C393" s="144"/>
      <x:c r="D393" s="144"/>
      <x:c r="E393" s="144"/>
      <x:c r="F393" s="144"/>
    </x:row>
    <x:row r="394">
      <x:c r="A394" s="144" t="s">
        <x:v>2414</x:v>
      </x:c>
      <x:c r="B394" s="144" t="s">
        <x:v>2415</x:v>
      </x:c>
      <x:c r="C394" s="144"/>
      <x:c r="D394" s="144"/>
      <x:c r="E394" s="144"/>
      <x:c r="F394" s="144"/>
    </x:row>
    <x:row r="395">
      <x:c r="A395" s="144" t="s">
        <x:v>2416</x:v>
      </x:c>
      <x:c r="B395" s="144" t="s">
        <x:v>2417</x:v>
      </x:c>
      <x:c r="C395" s="144"/>
      <x:c r="D395" s="144"/>
      <x:c r="E395" s="144"/>
      <x:c r="F395" s="144"/>
    </x:row>
    <x:row r="396" ht="28.5">
      <x:c r="A396" s="144" t="s">
        <x:v>2418</x:v>
      </x:c>
      <x:c r="B396" s="144" t="s">
        <x:v>2419</x:v>
      </x:c>
      <x:c r="C396" s="144"/>
      <x:c r="D396" s="144"/>
      <x:c r="E396" s="144"/>
      <x:c r="F396" s="144"/>
    </x:row>
    <x:row r="399" ht="15">
      <x:c r="A399" s="172" t="s">
        <x:v>2420</x:v>
      </x:c>
      <x:c r="B399" s="172"/>
      <x:c r="C399" s="172"/>
      <x:c r="D399" s="172"/>
      <x:c r="E399" s="172"/>
      <x:c r="F399" s="172"/>
      <x:c r="G399" s="172"/>
      <x:c r="H399" s="172"/>
    </x:row>
    <x:row r="400" ht="42.75">
      <x:c r="A400" s="144" t="s">
        <x:v>2421</x:v>
      </x:c>
      <x:c r="B400" s="144"/>
      <x:c r="C400" s="144"/>
      <x:c r="D400" s="144"/>
      <x:c r="E400" s="144"/>
      <x:c r="F400" s="144"/>
    </x:row>
    <x:row r="401" ht="42.75">
      <x:c r="A401" s="144" t="s">
        <x:v>2422</x:v>
      </x:c>
      <x:c r="B401" s="144" t="s">
        <x:v>2423</x:v>
      </x:c>
      <x:c r="C401" s="144"/>
      <x:c r="D401" s="144"/>
      <x:c r="E401" s="144"/>
      <x:c r="F401" s="144"/>
    </x:row>
    <x:row r="402">
      <x:c r="A402" s="144"/>
      <x:c r="B402" s="144"/>
      <x:c r="C402" s="144"/>
      <x:c r="D402" s="144"/>
      <x:c r="E402" s="144"/>
      <x:c r="F402" s="144"/>
    </x:row>
    <x:row r="403" ht="28.5">
      <x:c r="A403" s="144" t="s">
        <x:v>2424</x:v>
      </x:c>
      <x:c r="B403" s="144" t="s">
        <x:v>2228</x:v>
      </x:c>
      <x:c r="C403" s="144" t="s">
        <x:v>899</x:v>
      </x:c>
      <x:c r="D403" s="144" t="s">
        <x:v>2425</x:v>
      </x:c>
      <x:c r="E403" s="144" t="s">
        <x:v>2426</x:v>
      </x:c>
      <x:c r="F403" s="144" t="s">
        <x:v>2427</x:v>
      </x:c>
    </x:row>
    <x:row r="404" ht="28.5">
      <x:c r="A404" s="144" t="s">
        <x:v>2428</x:v>
      </x:c>
      <x:c r="B404" s="144" t="s">
        <x:v>2429</x:v>
      </x:c>
      <x:c r="C404" s="144" t="s">
        <x:v>2430</x:v>
      </x:c>
      <x:c r="D404" s="144" t="s">
        <x:v>2264</x:v>
      </x:c>
      <x:c r="E404" s="144" t="s">
        <x:v>2264</x:v>
      </x:c>
      <x:c r="F404" s="144" t="s">
        <x:v>2431</x:v>
      </x:c>
    </x:row>
    <x:row r="405" ht="42.75">
      <x:c r="A405" s="144" t="s">
        <x:v>2432</x:v>
      </x:c>
      <x:c r="B405" s="144" t="s">
        <x:v>2433</x:v>
      </x:c>
      <x:c r="C405" s="144" t="s">
        <x:v>2434</x:v>
      </x:c>
      <x:c r="D405" s="144" t="s">
        <x:v>2264</x:v>
      </x:c>
      <x:c r="E405" s="144" t="s">
        <x:v>2264</x:v>
      </x:c>
      <x:c r="F405" s="144" t="s">
        <x:v>2435</x:v>
      </x:c>
    </x:row>
    <x:row r="406" ht="28.5">
      <x:c r="A406" s="144" t="s">
        <x:v>2436</x:v>
      </x:c>
      <x:c r="B406" s="144" t="s">
        <x:v>2437</x:v>
      </x:c>
      <x:c r="C406" s="144" t="s">
        <x:v>2438</x:v>
      </x:c>
      <x:c r="D406" s="144" t="s">
        <x:v>2264</x:v>
      </x:c>
      <x:c r="E406" s="144" t="s">
        <x:v>2264</x:v>
      </x:c>
      <x:c r="F406" s="144" t="s">
        <x:v>2439</x:v>
      </x:c>
    </x:row>
    <x:row r="407" ht="42.75">
      <x:c r="A407" s="144" t="s">
        <x:v>249</x:v>
      </x:c>
      <x:c r="B407" s="144" t="s">
        <x:v>2440</x:v>
      </x:c>
      <x:c r="C407" s="144" t="s">
        <x:v>2441</x:v>
      </x:c>
      <x:c r="D407" s="144" t="s">
        <x:v>2442</x:v>
      </x:c>
      <x:c r="E407" s="144" t="s">
        <x:v>2443</x:v>
      </x:c>
      <x:c r="F407" s="144" t="s">
        <x:v>2444</x:v>
      </x:c>
    </x:row>
    <x:row r="408" ht="71.25">
      <x:c r="A408" s="144" t="s">
        <x:v>2445</x:v>
      </x:c>
      <x:c r="B408" s="144" t="s">
        <x:v>2446</x:v>
      </x:c>
      <x:c r="C408" s="144" t="s">
        <x:v>2447</x:v>
      </x:c>
      <x:c r="D408" s="144" t="s">
        <x:v>2448</x:v>
      </x:c>
      <x:c r="E408" s="144" t="s">
        <x:v>2449</x:v>
      </x:c>
      <x:c r="F408" s="144" t="s">
        <x:v>2450</x:v>
      </x:c>
    </x:row>
    <x:row r="409" ht="42.75">
      <x:c r="A409" s="144" t="s">
        <x:v>2123</x:v>
      </x:c>
      <x:c r="B409" s="144" t="s">
        <x:v>2451</x:v>
      </x:c>
      <x:c r="C409" s="144" t="s">
        <x:v>2452</x:v>
      </x:c>
      <x:c r="D409" s="144" t="s">
        <x:v>2453</x:v>
      </x:c>
      <x:c r="E409" s="144" t="s">
        <x:v>2454</x:v>
      </x:c>
      <x:c r="F409" s="144" t="s">
        <x:v>2455</x:v>
      </x:c>
    </x:row>
    <x:row r="410" ht="28.5">
      <x:c r="A410" s="144" t="s">
        <x:v>1015</x:v>
      </x:c>
      <x:c r="B410" s="144" t="s">
        <x:v>2456</x:v>
      </x:c>
      <x:c r="C410" s="144" t="s">
        <x:v>2457</x:v>
      </x:c>
      <x:c r="D410" s="144" t="s">
        <x:v>2321</x:v>
      </x:c>
      <x:c r="E410" s="144" t="s">
        <x:v>2321</x:v>
      </x:c>
      <x:c r="F410" s="144" t="s">
        <x:v>2458</x:v>
      </x:c>
    </x:row>
    <x:row r="411">
      <x:c r="A411" s="144"/>
      <x:c r="B411" s="144"/>
      <x:c r="C411" s="144"/>
      <x:c r="D411" s="144"/>
      <x:c r="E411" s="144"/>
      <x:c r="F411" s="144"/>
    </x:row>
    <x:row r="412">
      <x:c r="A412" s="144" t="s">
        <x:v>2459</x:v>
      </x:c>
      <x:c r="B412" s="144"/>
      <x:c r="C412" s="144"/>
      <x:c r="D412" s="144"/>
      <x:c r="E412" s="144"/>
      <x:c r="F412" s="144"/>
    </x:row>
    <x:row r="413">
      <x:c r="A413" s="144" t="s">
        <x:v>1477</x:v>
      </x:c>
      <x:c r="B413" s="144" t="s">
        <x:v>2460</x:v>
      </x:c>
      <x:c r="C413" s="144"/>
      <x:c r="D413" s="144"/>
      <x:c r="E413" s="144"/>
      <x:c r="F413" s="144"/>
    </x:row>
    <x:row r="414" ht="42.75">
      <x:c r="A414" s="144" t="s">
        <x:v>2322</x:v>
      </x:c>
      <x:c r="B414" s="144" t="s">
        <x:v>2461</x:v>
      </x:c>
      <x:c r="C414" s="144"/>
      <x:c r="D414" s="144"/>
      <x:c r="E414" s="144"/>
      <x:c r="F414" s="144"/>
    </x:row>
    <x:row r="415" ht="57">
      <x:c r="A415" s="144" t="s">
        <x:v>2324</x:v>
      </x:c>
      <x:c r="B415" s="144" t="s">
        <x:v>2462</x:v>
      </x:c>
      <x:c r="C415" s="144"/>
      <x:c r="D415" s="144"/>
      <x:c r="E415" s="144"/>
      <x:c r="F415" s="144"/>
    </x:row>
    <x:row r="416" ht="42.75">
      <x:c r="A416" s="144" t="s">
        <x:v>2328</x:v>
      </x:c>
      <x:c r="B416" s="144" t="s">
        <x:v>2463</x:v>
      </x:c>
      <x:c r="C416" s="144"/>
      <x:c r="D416" s="144"/>
      <x:c r="E416" s="144"/>
      <x:c r="F416" s="144"/>
    </x:row>
    <x:row r="417" ht="71.25">
      <x:c r="A417" s="144" t="s">
        <x:v>2464</x:v>
      </x:c>
      <x:c r="B417" s="144" t="s">
        <x:v>2465</x:v>
      </x:c>
      <x:c r="C417" s="144"/>
      <x:c r="D417" s="144"/>
      <x:c r="E417" s="144"/>
      <x:c r="F417" s="144"/>
    </x:row>
    <x:row r="418" ht="57">
      <x:c r="A418" s="144" t="s">
        <x:v>2466</x:v>
      </x:c>
      <x:c r="B418" s="144" t="s">
        <x:v>2467</x:v>
      </x:c>
      <x:c r="C418" s="144"/>
      <x:c r="D418" s="144"/>
      <x:c r="E418" s="144"/>
      <x:c r="F418" s="144"/>
    </x:row>
    <x:row r="419" ht="57">
      <x:c r="A419" s="144" t="s">
        <x:v>2468</x:v>
      </x:c>
      <x:c r="B419" s="144" t="s">
        <x:v>2469</x:v>
      </x:c>
      <x:c r="C419" s="144"/>
      <x:c r="D419" s="144"/>
      <x:c r="E419" s="144"/>
      <x:c r="F419" s="144"/>
    </x:row>
    <x:row r="420" ht="40" customHeight="1">
      <x:c r="A420" s="144" t="s">
        <x:v>2470</x:v>
      </x:c>
      <x:c r="B420" s="144" t="str">
        <x:v>G0 hard fail / input critic zero-mass incomplet =&gt; WATCH / NO BET indiferent de probabilitatea brută. Clasa zero-mass RIDICAT contribuie la Risk Score și nu este singură hard fail.</x:v>
      </x:c>
      <x:c r="C420" s="144"/>
      <x:c r="D420" s="144"/>
      <x:c r="E420" s="144"/>
      <x:c r="F420" s="144"/>
    </x:row>
    <x:row r="421">
      <x:c r="A421" s="144"/>
      <x:c r="B421" s="144"/>
      <x:c r="C421" s="144"/>
      <x:c r="D421" s="144"/>
      <x:c r="E421" s="144"/>
      <x:c r="F421" s="144"/>
    </x:row>
    <x:row r="422">
      <x:c r="A422" s="144" t="s">
        <x:v>2471</x:v>
      </x:c>
      <x:c r="B422" s="144"/>
      <x:c r="C422" s="144"/>
      <x:c r="D422" s="144"/>
      <x:c r="E422" s="144"/>
      <x:c r="F422" s="144"/>
    </x:row>
    <x:row r="423" ht="42.75">
      <x:c r="A423" s="144" t="s">
        <x:v>2472</x:v>
      </x:c>
      <x:c r="B423" s="144" t="s">
        <x:v>2473</x:v>
      </x:c>
      <x:c r="C423" s="144" t="s">
        <x:v>2474</x:v>
      </x:c>
      <x:c r="D423" s="144" t="s">
        <x:v>2475</x:v>
      </x:c>
      <x:c r="E423" s="144" t="s">
        <x:v>2476</x:v>
      </x:c>
      <x:c r="F423" s="144" t="s">
        <x:v>2477</x:v>
      </x:c>
    </x:row>
    <x:row r="424" ht="57">
      <x:c r="A424" s="144" t="s">
        <x:v>516</x:v>
      </x:c>
      <x:c r="B424" s="144" t="s">
        <x:v>2478</x:v>
      </x:c>
      <x:c r="C424" s="144" t="s">
        <x:v>2479</x:v>
      </x:c>
      <x:c r="D424" s="144" t="s">
        <x:v>2480</x:v>
      </x:c>
      <x:c r="E424" s="144" t="s">
        <x:v>2476</x:v>
      </x:c>
      <x:c r="F424" s="144" t="s">
        <x:v>2481</x:v>
      </x:c>
    </x:row>
    <x:row r="425" ht="42.75">
      <x:c r="A425" s="144" t="s">
        <x:v>573</x:v>
      </x:c>
      <x:c r="B425" s="144" t="s">
        <x:v>2482</x:v>
      </x:c>
      <x:c r="C425" s="144" t="s">
        <x:v>2483</x:v>
      </x:c>
      <x:c r="D425" s="144" t="s">
        <x:v>2266</x:v>
      </x:c>
      <x:c r="E425" s="144" t="s">
        <x:v>2476</x:v>
      </x:c>
      <x:c r="F425" s="144" t="s">
        <x:v>2484</x:v>
      </x:c>
    </x:row>
    <x:row r="428" ht="15">
      <x:c r="A428" s="172" t="s">
        <x:v>2485</x:v>
      </x:c>
      <x:c r="B428" s="172"/>
      <x:c r="C428" s="172"/>
      <x:c r="D428" s="172"/>
      <x:c r="E428" s="172"/>
      <x:c r="F428" s="172"/>
      <x:c r="G428" s="172"/>
      <x:c r="H428" s="172"/>
    </x:row>
    <x:row r="429" ht="28.5">
      <x:c r="A429" s="144" t="s">
        <x:v>2486</x:v>
      </x:c>
      <x:c r="B429" s="144"/>
      <x:c r="C429" s="144"/>
      <x:c r="D429" s="144"/>
      <x:c r="E429" s="144"/>
      <x:c r="F429" s="144"/>
      <x:c r="G429" s="144"/>
    </x:row>
    <x:row r="430" ht="30" customHeight="1">
      <x:c r="A430" s="144" t="str">
        <x:v>DECISION MATRIX ACTIVĂ – O0,5 / WORKBOOK OPTIMIZAT V4</x:v>
      </x:c>
      <x:c r="B430" s="144" t="s">
        <x:v>2487</x:v>
      </x:c>
      <x:c r="C430" s="144" t="s">
        <x:v>2445</x:v>
      </x:c>
      <x:c r="D430" s="144" t="s">
        <x:v>2488</x:v>
      </x:c>
      <x:c r="E430" s="144" t="s">
        <x:v>253</x:v>
      </x:c>
      <x:c r="F430" s="144" t="s">
        <x:v>2489</x:v>
      </x:c>
      <x:c r="G430" s="144" t="s">
        <x:v>314</x:v>
      </x:c>
    </x:row>
    <x:row r="431" ht="34" customHeight="1">
      <x:c r="A431" s="144" t="s">
        <x:v>933</x:v>
      </x:c>
      <x:c r="B431" s="144" t="s">
        <x:v>866</x:v>
      </x:c>
      <x:c r="C431" s="144" t="s">
        <x:v>2338</x:v>
      </x:c>
      <x:c r="D431" s="144" t="s">
        <x:v>2490</x:v>
      </x:c>
      <x:c r="E431" s="144" t="str">
        <x:v>conform HE (0–100)</x:v>
      </x:c>
      <x:c r="F431" s="144" t="str">
        <x:v>conform benzilor Risk Score</x:v>
      </x:c>
      <x:c r="G431" s="144" t="str">
        <x:v>Cap 94% numai cu confirmări complete; capul nu decide verdictul.</x:v>
      </x:c>
    </x:row>
    <x:row r="432" ht="34" customHeight="1">
      <x:c r="A432" s="144" t="s">
        <x:v>933</x:v>
      </x:c>
      <x:c r="B432" s="144" t="s">
        <x:v>866</x:v>
      </x:c>
      <x:c r="C432" s="144" t="s">
        <x:v>2491</x:v>
      </x:c>
      <x:c r="D432" s="144" t="s">
        <x:v>2272</x:v>
      </x:c>
      <x:c r="E432" s="144" t="str">
        <x:v>conform HE (0–100)</x:v>
      </x:c>
      <x:c r="F432" s="144" t="str">
        <x:v>conform benzilor Risk Score</x:v>
      </x:c>
      <x:c r="G432" s="144" t="str">
        <x:v>SMALL SAMPLE nu produce downgrade automat.</x:v>
      </x:c>
    </x:row>
    <x:row r="433" ht="34" customHeight="1">
      <x:c r="A433" s="144" t="s">
        <x:v>933</x:v>
      </x:c>
      <x:c r="B433" s="144" t="s">
        <x:v>866</x:v>
      </x:c>
      <x:c r="C433" s="144" t="s">
        <x:v>1281</x:v>
      </x:c>
      <x:c r="D433" s="144" t="s">
        <x:v>2492</x:v>
      </x:c>
      <x:c r="E433" s="144" t="str">
        <x:v>conform HE (0–100)</x:v>
      </x:c>
      <x:c r="F433" s="144" t="str">
        <x:v>conform benzilor Risk Score</x:v>
      </x:c>
      <x:c r="G433" s="144" t="str">
        <x:v>Recheck; fără hard fail dacă datele critice sunt prezente.</x:v>
      </x:c>
    </x:row>
    <x:row r="434" ht="34" customHeight="1">
      <x:c r="A434" s="144" t="s">
        <x:v>933</x:v>
      </x:c>
      <x:c r="B434" s="144" t="s">
        <x:v>868</x:v>
      </x:c>
      <x:c r="C434" s="144" t="s">
        <x:v>2493</x:v>
      </x:c>
      <x:c r="D434" s="144" t="s">
        <x:v>2494</x:v>
      </x:c>
      <x:c r="E434" s="144" t="str">
        <x:v>conform HE (0–100)</x:v>
      </x:c>
      <x:c r="F434" s="144" t="str">
        <x:v>conform benzilor Risk Score</x:v>
      </x:c>
      <x:c r="G434" s="144" t="str">
        <x:v>Zero-mass MEDIU crește componenta de risc; nivelul vine din total.</x:v>
      </x:c>
    </x:row>
    <x:row r="435" ht="34" customHeight="1">
      <x:c r="A435" s="144" t="s">
        <x:v>933</x:v>
      </x:c>
      <x:c r="B435" s="144" t="s">
        <x:v>868</x:v>
      </x:c>
      <x:c r="C435" s="144" t="s">
        <x:v>2353</x:v>
      </x:c>
      <x:c r="D435" s="144" t="s">
        <x:v>2494</x:v>
      </x:c>
      <x:c r="E435" s="144" t="str">
        <x:v>conform HE (0–100)</x:v>
      </x:c>
      <x:c r="F435" s="144" t="str">
        <x:v>conform benzilor Risk Score</x:v>
      </x:c>
      <x:c r="G435" s="144" t="str">
        <x:v>Eșantionul mic influențează gradual incertitudinea.</x:v>
      </x:c>
    </x:row>
    <x:row r="436" ht="34" customHeight="1">
      <x:c r="A436" s="144" t="s">
        <x:v>933</x:v>
      </x:c>
      <x:c r="B436" s="144" t="s">
        <x:v>870</x:v>
      </x:c>
      <x:c r="C436" s="144" t="s">
        <x:v>2495</x:v>
      </x:c>
      <x:c r="D436" s="144" t="s">
        <x:v>2496</x:v>
      </x:c>
      <x:c r="E436" s="144" t="str">
        <x:v>conform HE (0–100)</x:v>
      </x:c>
      <x:c r="F436" s="144" t="str">
        <x:v>conform benzilor Risk Score</x:v>
      </x:c>
      <x:c r="G436" s="144" t="str">
        <x:v>Zero-mass RIDICAT nu este singur hard fail; nivelul vine din Risk Score.</x:v>
      </x:c>
    </x:row>
    <x:row r="437" ht="34" customHeight="1">
      <x:c r="A437" s="144" t="s">
        <x:v>2497</x:v>
      </x:c>
      <x:c r="B437" s="144" t="s">
        <x:v>2495</x:v>
      </x:c>
      <x:c r="C437" s="144" t="s">
        <x:v>2498</x:v>
      </x:c>
      <x:c r="D437" s="144" t="s">
        <x:v>2499</x:v>
      </x:c>
      <x:c r="E437" s="144" t="str">
        <x:v>Nivel 5 prin G0</x:v>
      </x:c>
      <x:c r="F437" s="144" t="str">
        <x:v>WATCH / NO BET</x:v>
      </x:c>
      <x:c r="G437" s="144" t="str">
        <x:v>Hard-gate numai pentru date critice incomplete/conflict material.</x:v>
      </x:c>
    </x:row>
    <x:row r="438" ht="30" customHeight="1">
      <x:c r="A438" s="178" t="str">
        <x:v>IMPLEMENTARE ACTIVĂ – METODOLOGIE v9 (FĂRĂ FB)</x:v>
      </x:c>
      <x:c r="B438" s="178"/>
      <x:c r="C438" s="178"/>
      <x:c r="D438" s="178"/>
      <x:c r="E438" s="178"/>
      <x:c r="F438" s="178"/>
      <x:c r="G438" s="178"/>
    </x:row>
    <x:row r="439" ht="15">
      <x:c r="A439" s="179" t="s">
        <x:v>1478</x:v>
      </x:c>
      <x:c r="B439" s="179" t="s">
        <x:v>939</x:v>
      </x:c>
      <x:c r="C439" s="179" t="s">
        <x:v>2500</x:v>
      </x:c>
      <x:c r="D439" s="179" t="s">
        <x:v>2501</x:v>
      </x:c>
      <x:c r="E439" s="179" t="s">
        <x:v>2502</x:v>
      </x:c>
      <x:c r="F439" s="179" t="s">
        <x:v>2259</x:v>
      </x:c>
      <x:c r="G439" s="179" t="s">
        <x:v>900</x:v>
      </x:c>
    </x:row>
    <x:row r="440" ht="34" customHeight="1">
      <x:c r="A440" s="180" t="s">
        <x:v>248</x:v>
      </x:c>
      <x:c r="B440" s="180" t="str">
        <x:v>100 × (1 − media stării datelor critice și calității surselor)</x:v>
      </x:c>
      <x:c r="C440" s="180" t="str">
        <x:v>GM + AT</x:v>
      </x:c>
      <x:c r="D440" s="180" t="s">
        <x:v>2503</x:v>
      </x:c>
      <x:c r="E440" s="180" t="s">
        <x:v>2504</x:v>
      </x:c>
      <x:c r="F440" s="180" t="s">
        <x:v>2505</x:v>
      </x:c>
      <x:c r="G440" s="180" t="s">
        <x:v>886</x:v>
      </x:c>
    </x:row>
    <x:row r="441" ht="34" customHeight="1">
      <x:c r="A441" s="180" t="s">
        <x:v>249</x:v>
      </x:c>
      <x:c r="B441" s="180" t="str">
        <x:v>Factor zero-mass fără termenul manual FB, normalizat între limitele active; low-conversion neschimbat.</x:v>
      </x:c>
      <x:c r="C441" s="180" t="str">
        <x:v>FI × GK; B97:B100</x:v>
      </x:c>
      <x:c r="D441" s="180" t="s">
        <x:v>2503</x:v>
      </x:c>
      <x:c r="E441" s="180" t="s">
        <x:v>2506</x:v>
      </x:c>
      <x:c r="F441" s="180" t="s">
        <x:v>2507</x:v>
      </x:c>
      <x:c r="G441" s="180" t="s">
        <x:v>886</x:v>
      </x:c>
    </x:row>
    <x:row r="442" ht="24">
      <x:c r="A442" s="180" t="s">
        <x:v>250</x:v>
      </x:c>
      <x:c r="B442" s="180" t="s">
        <x:v>2508</x:v>
      </x:c>
      <x:c r="C442" s="180" t="s">
        <x:v>891</x:v>
      </x:c>
      <x:c r="D442" s="180" t="s">
        <x:v>2503</x:v>
      </x:c>
      <x:c r="E442" s="180" t="s">
        <x:v>2509</x:v>
      </x:c>
      <x:c r="F442" s="180" t="s">
        <x:v>2505</x:v>
      </x:c>
      <x:c r="G442" s="180" t="s">
        <x:v>886</x:v>
      </x:c>
    </x:row>
    <x:row r="443" ht="34" customHeight="1">
      <x:c r="A443" s="180" t="s">
        <x:v>251</x:v>
      </x:c>
      <x:c r="B443" s="180" t="str">
        <x:v>1 − media Sample Score și acordului dintre componentele tehnice</x:v>
      </x:c>
      <x:c r="C443" s="180" t="str">
        <x:v>CC + BJ:BN (fără BP/piață)</x:v>
      </x:c>
      <x:c r="D443" s="180" t="s">
        <x:v>2510</x:v>
      </x:c>
      <x:c r="E443" s="180" t="s">
        <x:v>2511</x:v>
      </x:c>
      <x:c r="F443" s="180" t="s">
        <x:v>2505</x:v>
      </x:c>
      <x:c r="G443" s="180" t="s">
        <x:v>886</x:v>
      </x:c>
    </x:row>
    <x:row r="444" ht="24">
      <x:c r="A444" s="180" t="s">
        <x:v>252</x:v>
      </x:c>
      <x:c r="B444" s="180" t="s">
        <x:v>2512</x:v>
      </x:c>
      <x:c r="C444" s="180" t="s">
        <x:v>893</x:v>
      </x:c>
      <x:c r="D444" s="180" t="s">
        <x:v>2503</x:v>
      </x:c>
      <x:c r="E444" s="180" t="s">
        <x:v>2513</x:v>
      </x:c>
      <x:c r="F444" s="180" t="s">
        <x:v>2505</x:v>
      </x:c>
      <x:c r="G444" s="180" t="s">
        <x:v>886</x:v>
      </x:c>
    </x:row>
    <x:row r="445" ht="34" customHeight="1">
      <x:c r="A445" s="180" t="str">
        <x:v>Final Risk Level</x:v>
      </x:c>
      <x:c r="B445" s="180" t="str">
        <x:v>Benzile Risk Score; numai G0 pentru date critice incomplete forțează Nivel 5</x:v>
      </x:c>
      <x:c r="C445" s="180" t="str">
        <x:v>HE + HF + HG</x:v>
      </x:c>
      <x:c r="D445" s="180" t="s">
        <x:v>2514</x:v>
      </x:c>
      <x:c r="E445" s="180" t="s">
        <x:v>2515</x:v>
      </x:c>
      <x:c r="F445" s="180" t="s">
        <x:v>2516</x:v>
      </x:c>
      <x:c r="G445" s="180" t="s">
        <x:v>2517</x:v>
      </x:c>
    </x:row>
    <x:row r="446" ht="38" customHeight="1">
      <x:c r="A446" s="180" t="str">
        <x:v>Recomandare finală tehnică</x:v>
      </x:c>
      <x:c r="B446" s="180" t="str">
        <x:v>HK citește direct Risk Class din HI; nu citește GU/GV, cota, EV sau lineup</x:v>
      </x:c>
      <x:c r="C446" s="180" t="str">
        <x:v>HI</x:v>
      </x:c>
      <x:c r="D446" s="180" t="s">
        <x:v>2514</x:v>
      </x:c>
      <x:c r="E446" s="180" t="str">
        <x:v>HK</x:v>
      </x:c>
      <x:c r="F446" s="180" t="str">
        <x:v>Da – Risk Score + G0</x:v>
      </x:c>
      <x:c r="G446" s="180" t="str">
        <x:v>P_cap, cota, EV și lineup rămân informative</x:v>
      </x:c>
    </x:row>
    <x:row r="449">
      <x:c r="A449" s="250" t="str">
        <x:v>METODOLOGIE ACTIVĂ v9 – ELIMINAREA EVALUĂRII FB</x:v>
      </x:c>
      <x:c r="B449" s="250"/>
      <x:c r="C449" s="250"/>
      <x:c r="D449" s="250"/>
      <x:c r="E449" s="250"/>
      <x:c r="F449" s="250"/>
      <x:c r="G449" s="250"/>
      <x:c r="H449" s="250"/>
    </x:row>
    <x:row r="451" ht="32" customHeight="1">
      <x:c r="A451" s="252" t="str">
        <x:v>Fișier</x:v>
      </x:c>
      <x:c r="B451" s="252"/>
      <x:c r="C451" s="252" t="str">
        <x:v>1_model_analiza_over0.5_optimizat_V4.xlsx</x:v>
      </x:c>
      <x:c r="D451" s="252"/>
      <x:c r="E451" s="252"/>
      <x:c r="F451" s="252"/>
      <x:c r="G451" s="252"/>
      <x:c r="H451" s="252"/>
    </x:row>
    <x:row r="452" ht="32" customHeight="1">
      <x:c r="A452" s="252" t="str">
        <x:v>Metodologie</x:v>
      </x:c>
      <x:c r="B452" s="252"/>
      <x:c r="C452" s="252" t="str">
        <x:v>v9 – eliminarea evaluării manuale FB din motor și G0; benzile Risk Score rămân cele existente.</x:v>
      </x:c>
      <x:c r="D452" s="252"/>
      <x:c r="E452" s="252"/>
      <x:c r="F452" s="252"/>
      <x:c r="G452" s="252"/>
      <x:c r="H452" s="252"/>
    </x:row>
    <x:row r="453" ht="32" customHeight="1">
      <x:c r="A453" s="252" t="str">
        <x:v>Intrare eliminată</x:v>
      </x:c>
      <x:c r="B453" s="252"/>
      <x:c r="C453" s="252" t="str">
        <x:v>FB nu se completează. Coloana rămâne neutilizată pentru a păstra adresele din toate foile și integrările.</x:v>
      </x:c>
      <x:c r="D453" s="252"/>
      <x:c r="E453" s="252"/>
      <x:c r="F453" s="252"/>
      <x:c r="G453" s="252"/>
      <x:c r="H453" s="252"/>
    </x:row>
    <x:row r="454" ht="32" customHeight="1">
      <x:c r="A454" s="252" t="str">
        <x:v>FH</x:v>
      </x:c>
      <x:c r="B454" s="252"/>
      <x:c r="C454" s="252" t="str">
        <x:v>B94 × AVERAGE(EZ:FA) / B89, numai cu două rate numerice. B94=0,75 și B93=0,20 sunt păstrate.</x:v>
      </x:c>
      <x:c r="D454" s="252"/>
      <x:c r="E454" s="252"/>
      <x:c r="F454" s="252"/>
      <x:c r="G454" s="252"/>
      <x:c r="H454" s="252"/>
    </x:row>
    <x:row r="455" ht="32" customHeight="1">
      <x:c r="A455" s="252" t="str">
        <x:v>Pondere retrasă</x:v>
      </x:c>
      <x:c r="B455" s="252"/>
      <x:c r="C455" s="252" t="str">
        <x:v>Termenul B95 × FB / B96 este eliminat. Ponderea manuală nu se redistribuie. B95/B96 sunt retrase.</x:v>
      </x:c>
      <x:c r="D455" s="252"/>
      <x:c r="E455" s="252"/>
      <x:c r="F455" s="252"/>
      <x:c r="G455" s="252"/>
      <x:c r="H455" s="252"/>
    </x:row>
    <x:row r="456" ht="32" customHeight="1">
      <x:c r="A456" s="252" t="str">
        <x:v>G0</x:v>
      </x:c>
      <x:c r="B456" s="252"/>
      <x:c r="C456" s="252" t="str">
        <x:v>FK verifică 6 valori EV:FA și 4 valori O,V,FC,FD. GM verifică în continuare toate celelalte date critice.</x:v>
      </x:c>
      <x:c r="D456" s="252"/>
      <x:c r="E456" s="252"/>
      <x:c r="F456" s="252"/>
      <x:c r="G456" s="252"/>
      <x:c r="H456" s="252"/>
    </x:row>
    <x:row r="457" ht="32" customHeight="1">
      <x:c r="A457" s="252" t="str">
        <x:v>Propagare</x:v>
      </x:c>
      <x:c r="B457" s="252"/>
      <x:c r="C457" s="252" t="str">
        <x:v>FH → FI → FJ/GL → FP/GP și HA/HE → HF/HH/HI/HK. FK → GM → HG. Toate legăturile existente sunt păstrate.</x:v>
      </x:c>
      <x:c r="D457" s="252"/>
      <x:c r="E457" s="252"/>
      <x:c r="F457" s="252"/>
      <x:c r="G457" s="252"/>
      <x:c r="H457" s="252"/>
    </x:row>
    <x:row r="458" ht="32" customHeight="1">
      <x:c r="A458" s="252" t="str">
        <x:v>Cote fair</x:v>
      </x:c>
      <x:c r="B458" s="252"/>
      <x:c r="C458" s="252" t="str">
        <x:v>FQ/GQ întorc gol dacă FP/GP sunt goale. Pentru probabilități numerice pozitive, calculul rămâne 1/P.</x:v>
      </x:c>
      <x:c r="D458" s="252"/>
      <x:c r="E458" s="252"/>
      <x:c r="F458" s="252"/>
      <x:c r="G458" s="252"/>
      <x:c r="H458" s="252"/>
    </x:row>
    <x:row r="459" ht="32" customHeight="1">
      <x:c r="A459" s="252" t="str">
        <x:v>Impact</x:v>
      </x:c>
      <x:c r="B459" s="252"/>
      <x:c r="C459" s="252" t="str">
        <x:v>Eliminarea termenului manual poate reduce P0 și Risk Score față de un FB pozitiv. G0 PASS nu garantează DEFENSIV.</x:v>
      </x:c>
      <x:c r="D459" s="252"/>
      <x:c r="E459" s="252"/>
      <x:c r="F459" s="252"/>
      <x:c r="G459" s="252"/>
      <x:c r="H459" s="252"/>
    </x:row>
    <x:row r="460" ht="32" customHeight="1">
      <x:c r="A460" s="252" t="str">
        <x:v>Date obligatorii</x:v>
      </x:c>
      <x:c r="B460" s="252"/>
      <x:c r="C460" s="252" t="str">
        <x:v>Lipsa xG, FTS, clean sheets, 0–0 FT/HT sau a altor inputuri critice păstrează efectele G0 existente.</x:v>
      </x:c>
      <x:c r="D460" s="252"/>
      <x:c r="E460" s="252"/>
      <x:c r="F460" s="252"/>
      <x:c r="G460" s="252"/>
      <x:c r="H460" s="252"/>
    </x:row>
    <x:row r="461" ht="32" customHeight="1">
      <x:c r="A461" s="252" t="str">
        <x:v>Alte evaluări</x:v>
      </x:c>
      <x:c r="B461" s="252"/>
      <x:c r="C461" s="252" t="str">
        <x:v>Eliminarea privește exclusiv FB. Celelalte inputuri contextuale ale modelului își păstrează rolul.</x:v>
      </x:c>
      <x:c r="D461" s="252"/>
      <x:c r="E461" s="252"/>
      <x:c r="F461" s="252"/>
      <x:c r="G461" s="252"/>
      <x:c r="H461" s="252"/>
    </x:row>
    <x:row r="462" ht="32" customHeight="1">
      <x:c r="A462" s="252" t="str">
        <x:v>Calibrare</x:v>
      </x:c>
      <x:c r="B462" s="252"/>
      <x:c r="C462" s="252" t="str">
        <x:v>Această modificare este metodologică. Performanța predictivă a noii configurații nu este validată prin simplul QA tehnic.</x:v>
      </x:c>
      <x:c r="D462" s="252"/>
      <x:c r="E462" s="252"/>
      <x:c r="F462" s="252"/>
      <x:c r="G462" s="252"/>
      <x:c r="H462" s="252"/>
    </x:row>
    <x:row r="463" ht="32" customHeight="1">
      <x:c r="A463" s="252" t="str">
        <x:v>Aplicare</x:v>
      </x:c>
      <x:c r="B463" s="252"/>
      <x:c r="C463" s="252" t="str">
        <x:v>Model reutilizabil cu exemplele DEMO din sursă. Snapshotul anterior pentru 11 septembrie nu este rescris.</x:v>
      </x:c>
      <x:c r="D463" s="252"/>
      <x:c r="E463" s="252"/>
      <x:c r="F463" s="252"/>
      <x:c r="G463" s="252"/>
      <x:c r="H463" s="252"/>
    </x:row>
    <x:row r="464" ht="32" customHeight="1">
      <x:c r="A464" s="252" t="str">
        <x:v>Prioritate</x:v>
      </x:c>
      <x:c r="B464" s="252"/>
      <x:c r="C464" s="252" t="str">
        <x:v>Această secțiune înlocuiește cerințele istorice despre scorul manual low-tempo. Pentru restul regulilor se păstrează metodologia activă.</x:v>
      </x:c>
      <x:c r="D464" s="252"/>
      <x:c r="E464" s="252"/>
      <x:c r="F464" s="252"/>
      <x:c r="G464" s="252"/>
      <x:c r="H464" s="252"/>
    </x:row>
  </x:sheetData>
  <x:mergeCells>
    <x:mergeCell ref="A1:H1"/>
    <x:mergeCell ref="A2:H2"/>
    <x:mergeCell ref="A449:H449"/>
    <x:mergeCell ref="A451:B451"/>
    <x:mergeCell ref="C451:H451"/>
    <x:mergeCell ref="A452:B452"/>
    <x:mergeCell ref="C452:H452"/>
    <x:mergeCell ref="A453:B453"/>
    <x:mergeCell ref="C453:H453"/>
    <x:mergeCell ref="A454:B454"/>
    <x:mergeCell ref="C454:H454"/>
    <x:mergeCell ref="A455:B455"/>
    <x:mergeCell ref="C455:H455"/>
    <x:mergeCell ref="A456:B456"/>
    <x:mergeCell ref="C456:H456"/>
    <x:mergeCell ref="A457:B457"/>
    <x:mergeCell ref="C457:H457"/>
    <x:mergeCell ref="A458:B458"/>
    <x:mergeCell ref="C458:H458"/>
    <x:mergeCell ref="A459:B459"/>
    <x:mergeCell ref="C459:H459"/>
    <x:mergeCell ref="A460:B460"/>
    <x:mergeCell ref="C460:H460"/>
    <x:mergeCell ref="A461:B461"/>
    <x:mergeCell ref="C461:H461"/>
    <x:mergeCell ref="A462:B462"/>
    <x:mergeCell ref="C462:H462"/>
    <x:mergeCell ref="A463:B463"/>
    <x:mergeCell ref="C463:H463"/>
    <x:mergeCell ref="A464:B464"/>
    <x:mergeCell ref="C464:H464"/>
  </x:mergeCells>
  <x:pageMargins left="0.7" right="0.7" top="0.75" bottom="0.75" header="0.3" footer="0.3"/>
</x:worksheet>
</file>